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ebadaher/Documents/UoEO/Module 3/"/>
    </mc:Choice>
  </mc:AlternateContent>
  <xr:revisionPtr revIDLastSave="0" documentId="13_ncr:1_{7A6D618A-6627-254B-AF6F-C6A5958EFF33}" xr6:coauthVersionLast="47" xr6:coauthVersionMax="47" xr10:uidLastSave="{00000000-0000-0000-0000-000000000000}"/>
  <bookViews>
    <workbookView xWindow="0" yWindow="780" windowWidth="36000" windowHeight="20900" tabRatio="500" xr2:uid="{00000000-000D-0000-FFFF-FFFF00000000}"/>
  </bookViews>
  <sheets>
    <sheet name="README" sheetId="1" r:id="rId1"/>
    <sheet name="Inputs" sheetId="2" r:id="rId2"/>
    <sheet name="Model" sheetId="3" r:id="rId3"/>
    <sheet name="Simulati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1011" i="4" l="1"/>
  <c r="AA1011" i="4"/>
  <c r="T1011" i="4"/>
  <c r="M1011" i="4"/>
  <c r="F1011" i="4"/>
  <c r="AH1010" i="4"/>
  <c r="AA1010" i="4"/>
  <c r="T1010" i="4"/>
  <c r="M1010" i="4"/>
  <c r="F1010" i="4"/>
  <c r="AH1009" i="4"/>
  <c r="AA1009" i="4"/>
  <c r="T1009" i="4"/>
  <c r="M1009" i="4"/>
  <c r="F1009" i="4"/>
  <c r="AH1008" i="4"/>
  <c r="AA1008" i="4"/>
  <c r="T1008" i="4"/>
  <c r="M1008" i="4"/>
  <c r="F1008" i="4"/>
  <c r="AH1007" i="4"/>
  <c r="AA1007" i="4"/>
  <c r="T1007" i="4"/>
  <c r="M1007" i="4"/>
  <c r="F1007" i="4"/>
  <c r="AH1006" i="4"/>
  <c r="AA1006" i="4"/>
  <c r="T1006" i="4"/>
  <c r="M1006" i="4"/>
  <c r="F1006" i="4"/>
  <c r="AH1005" i="4"/>
  <c r="AA1005" i="4"/>
  <c r="T1005" i="4"/>
  <c r="M1005" i="4"/>
  <c r="F1005" i="4"/>
  <c r="AH1004" i="4"/>
  <c r="AA1004" i="4"/>
  <c r="T1004" i="4"/>
  <c r="M1004" i="4"/>
  <c r="F1004" i="4"/>
  <c r="AH1003" i="4"/>
  <c r="AA1003" i="4"/>
  <c r="T1003" i="4"/>
  <c r="M1003" i="4"/>
  <c r="F1003" i="4"/>
  <c r="AH1002" i="4"/>
  <c r="AA1002" i="4"/>
  <c r="T1002" i="4"/>
  <c r="M1002" i="4"/>
  <c r="F1002" i="4"/>
  <c r="AH1001" i="4"/>
  <c r="AA1001" i="4"/>
  <c r="T1001" i="4"/>
  <c r="M1001" i="4"/>
  <c r="F1001" i="4"/>
  <c r="AH1000" i="4"/>
  <c r="AA1000" i="4"/>
  <c r="T1000" i="4"/>
  <c r="M1000" i="4"/>
  <c r="F1000" i="4"/>
  <c r="AH999" i="4"/>
  <c r="AA999" i="4"/>
  <c r="T999" i="4"/>
  <c r="M999" i="4"/>
  <c r="F999" i="4"/>
  <c r="AH998" i="4"/>
  <c r="AA998" i="4"/>
  <c r="T998" i="4"/>
  <c r="M998" i="4"/>
  <c r="F998" i="4"/>
  <c r="AH997" i="4"/>
  <c r="AA997" i="4"/>
  <c r="T997" i="4"/>
  <c r="M997" i="4"/>
  <c r="F997" i="4"/>
  <c r="AH996" i="4"/>
  <c r="AA996" i="4"/>
  <c r="T996" i="4"/>
  <c r="M996" i="4"/>
  <c r="F996" i="4"/>
  <c r="AH995" i="4"/>
  <c r="AA995" i="4"/>
  <c r="T995" i="4"/>
  <c r="M995" i="4"/>
  <c r="F995" i="4"/>
  <c r="AH994" i="4"/>
  <c r="AA994" i="4"/>
  <c r="T994" i="4"/>
  <c r="M994" i="4"/>
  <c r="F994" i="4"/>
  <c r="AH993" i="4"/>
  <c r="AA993" i="4"/>
  <c r="T993" i="4"/>
  <c r="M993" i="4"/>
  <c r="F993" i="4"/>
  <c r="AH992" i="4"/>
  <c r="AA992" i="4"/>
  <c r="T992" i="4"/>
  <c r="M992" i="4"/>
  <c r="F992" i="4"/>
  <c r="AH991" i="4"/>
  <c r="AA991" i="4"/>
  <c r="T991" i="4"/>
  <c r="M991" i="4"/>
  <c r="F991" i="4"/>
  <c r="AH990" i="4"/>
  <c r="AA990" i="4"/>
  <c r="T990" i="4"/>
  <c r="M990" i="4"/>
  <c r="F990" i="4"/>
  <c r="AH989" i="4"/>
  <c r="AA989" i="4"/>
  <c r="T989" i="4"/>
  <c r="M989" i="4"/>
  <c r="F989" i="4"/>
  <c r="AH988" i="4"/>
  <c r="AA988" i="4"/>
  <c r="T988" i="4"/>
  <c r="M988" i="4"/>
  <c r="F988" i="4"/>
  <c r="AH987" i="4"/>
  <c r="AA987" i="4"/>
  <c r="T987" i="4"/>
  <c r="M987" i="4"/>
  <c r="F987" i="4"/>
  <c r="AH986" i="4"/>
  <c r="AA986" i="4"/>
  <c r="T986" i="4"/>
  <c r="M986" i="4"/>
  <c r="F986" i="4"/>
  <c r="AH985" i="4"/>
  <c r="AA985" i="4"/>
  <c r="T985" i="4"/>
  <c r="M985" i="4"/>
  <c r="F985" i="4"/>
  <c r="AH984" i="4"/>
  <c r="AA984" i="4"/>
  <c r="T984" i="4"/>
  <c r="M984" i="4"/>
  <c r="F984" i="4"/>
  <c r="AH983" i="4"/>
  <c r="AA983" i="4"/>
  <c r="T983" i="4"/>
  <c r="M983" i="4"/>
  <c r="F983" i="4"/>
  <c r="AH982" i="4"/>
  <c r="AA982" i="4"/>
  <c r="T982" i="4"/>
  <c r="M982" i="4"/>
  <c r="F982" i="4"/>
  <c r="AH981" i="4"/>
  <c r="AA981" i="4"/>
  <c r="T981" i="4"/>
  <c r="M981" i="4"/>
  <c r="F981" i="4"/>
  <c r="AH980" i="4"/>
  <c r="AA980" i="4"/>
  <c r="T980" i="4"/>
  <c r="M980" i="4"/>
  <c r="F980" i="4"/>
  <c r="AH979" i="4"/>
  <c r="AA979" i="4"/>
  <c r="T979" i="4"/>
  <c r="M979" i="4"/>
  <c r="F979" i="4"/>
  <c r="AH978" i="4"/>
  <c r="AA978" i="4"/>
  <c r="T978" i="4"/>
  <c r="M978" i="4"/>
  <c r="F978" i="4"/>
  <c r="AH977" i="4"/>
  <c r="AA977" i="4"/>
  <c r="T977" i="4"/>
  <c r="M977" i="4"/>
  <c r="F977" i="4"/>
  <c r="AH976" i="4"/>
  <c r="AA976" i="4"/>
  <c r="T976" i="4"/>
  <c r="M976" i="4"/>
  <c r="F976" i="4"/>
  <c r="AH975" i="4"/>
  <c r="AA975" i="4"/>
  <c r="T975" i="4"/>
  <c r="M975" i="4"/>
  <c r="F975" i="4"/>
  <c r="AH974" i="4"/>
  <c r="AA974" i="4"/>
  <c r="T974" i="4"/>
  <c r="M974" i="4"/>
  <c r="F974" i="4"/>
  <c r="AH973" i="4"/>
  <c r="AA973" i="4"/>
  <c r="T973" i="4"/>
  <c r="M973" i="4"/>
  <c r="F973" i="4"/>
  <c r="AH972" i="4"/>
  <c r="AA972" i="4"/>
  <c r="T972" i="4"/>
  <c r="M972" i="4"/>
  <c r="F972" i="4"/>
  <c r="AH971" i="4"/>
  <c r="AA971" i="4"/>
  <c r="T971" i="4"/>
  <c r="M971" i="4"/>
  <c r="F971" i="4"/>
  <c r="AH970" i="4"/>
  <c r="AA970" i="4"/>
  <c r="T970" i="4"/>
  <c r="M970" i="4"/>
  <c r="F970" i="4"/>
  <c r="AH969" i="4"/>
  <c r="AA969" i="4"/>
  <c r="T969" i="4"/>
  <c r="M969" i="4"/>
  <c r="F969" i="4"/>
  <c r="AH968" i="4"/>
  <c r="AA968" i="4"/>
  <c r="T968" i="4"/>
  <c r="M968" i="4"/>
  <c r="F968" i="4"/>
  <c r="AH967" i="4"/>
  <c r="AA967" i="4"/>
  <c r="T967" i="4"/>
  <c r="M967" i="4"/>
  <c r="F967" i="4"/>
  <c r="AH966" i="4"/>
  <c r="AA966" i="4"/>
  <c r="T966" i="4"/>
  <c r="M966" i="4"/>
  <c r="F966" i="4"/>
  <c r="AH965" i="4"/>
  <c r="AA965" i="4"/>
  <c r="T965" i="4"/>
  <c r="M965" i="4"/>
  <c r="F965" i="4"/>
  <c r="AH964" i="4"/>
  <c r="AA964" i="4"/>
  <c r="T964" i="4"/>
  <c r="M964" i="4"/>
  <c r="F964" i="4"/>
  <c r="AH963" i="4"/>
  <c r="AA963" i="4"/>
  <c r="T963" i="4"/>
  <c r="M963" i="4"/>
  <c r="F963" i="4"/>
  <c r="AH962" i="4"/>
  <c r="AA962" i="4"/>
  <c r="T962" i="4"/>
  <c r="M962" i="4"/>
  <c r="F962" i="4"/>
  <c r="AH961" i="4"/>
  <c r="AA961" i="4"/>
  <c r="T961" i="4"/>
  <c r="M961" i="4"/>
  <c r="F961" i="4"/>
  <c r="AH960" i="4"/>
  <c r="AA960" i="4"/>
  <c r="T960" i="4"/>
  <c r="M960" i="4"/>
  <c r="F960" i="4"/>
  <c r="AH959" i="4"/>
  <c r="AA959" i="4"/>
  <c r="T959" i="4"/>
  <c r="M959" i="4"/>
  <c r="F959" i="4"/>
  <c r="AH958" i="4"/>
  <c r="AA958" i="4"/>
  <c r="T958" i="4"/>
  <c r="M958" i="4"/>
  <c r="F958" i="4"/>
  <c r="AH957" i="4"/>
  <c r="AA957" i="4"/>
  <c r="T957" i="4"/>
  <c r="M957" i="4"/>
  <c r="F957" i="4"/>
  <c r="AH956" i="4"/>
  <c r="AA956" i="4"/>
  <c r="T956" i="4"/>
  <c r="M956" i="4"/>
  <c r="F956" i="4"/>
  <c r="AH955" i="4"/>
  <c r="AA955" i="4"/>
  <c r="T955" i="4"/>
  <c r="M955" i="4"/>
  <c r="F955" i="4"/>
  <c r="AH954" i="4"/>
  <c r="AA954" i="4"/>
  <c r="T954" i="4"/>
  <c r="M954" i="4"/>
  <c r="F954" i="4"/>
  <c r="AH953" i="4"/>
  <c r="AA953" i="4"/>
  <c r="T953" i="4"/>
  <c r="M953" i="4"/>
  <c r="F953" i="4"/>
  <c r="AH952" i="4"/>
  <c r="AA952" i="4"/>
  <c r="T952" i="4"/>
  <c r="M952" i="4"/>
  <c r="F952" i="4"/>
  <c r="AH951" i="4"/>
  <c r="AA951" i="4"/>
  <c r="T951" i="4"/>
  <c r="M951" i="4"/>
  <c r="F951" i="4"/>
  <c r="AH950" i="4"/>
  <c r="AA950" i="4"/>
  <c r="T950" i="4"/>
  <c r="M950" i="4"/>
  <c r="F950" i="4"/>
  <c r="AH949" i="4"/>
  <c r="AA949" i="4"/>
  <c r="T949" i="4"/>
  <c r="M949" i="4"/>
  <c r="F949" i="4"/>
  <c r="AH948" i="4"/>
  <c r="AA948" i="4"/>
  <c r="T948" i="4"/>
  <c r="M948" i="4"/>
  <c r="F948" i="4"/>
  <c r="AH947" i="4"/>
  <c r="AA947" i="4"/>
  <c r="T947" i="4"/>
  <c r="M947" i="4"/>
  <c r="F947" i="4"/>
  <c r="AH946" i="4"/>
  <c r="AA946" i="4"/>
  <c r="T946" i="4"/>
  <c r="M946" i="4"/>
  <c r="F946" i="4"/>
  <c r="AH945" i="4"/>
  <c r="AA945" i="4"/>
  <c r="T945" i="4"/>
  <c r="M945" i="4"/>
  <c r="F945" i="4"/>
  <c r="AH944" i="4"/>
  <c r="AA944" i="4"/>
  <c r="T944" i="4"/>
  <c r="M944" i="4"/>
  <c r="F944" i="4"/>
  <c r="AH943" i="4"/>
  <c r="AA943" i="4"/>
  <c r="T943" i="4"/>
  <c r="M943" i="4"/>
  <c r="F943" i="4"/>
  <c r="AH942" i="4"/>
  <c r="AA942" i="4"/>
  <c r="T942" i="4"/>
  <c r="M942" i="4"/>
  <c r="F942" i="4"/>
  <c r="AH941" i="4"/>
  <c r="AA941" i="4"/>
  <c r="T941" i="4"/>
  <c r="M941" i="4"/>
  <c r="F941" i="4"/>
  <c r="AH940" i="4"/>
  <c r="AA940" i="4"/>
  <c r="T940" i="4"/>
  <c r="M940" i="4"/>
  <c r="F940" i="4"/>
  <c r="AH939" i="4"/>
  <c r="AA939" i="4"/>
  <c r="T939" i="4"/>
  <c r="M939" i="4"/>
  <c r="F939" i="4"/>
  <c r="AH938" i="4"/>
  <c r="AA938" i="4"/>
  <c r="T938" i="4"/>
  <c r="M938" i="4"/>
  <c r="F938" i="4"/>
  <c r="AH937" i="4"/>
  <c r="AA937" i="4"/>
  <c r="T937" i="4"/>
  <c r="M937" i="4"/>
  <c r="F937" i="4"/>
  <c r="AH936" i="4"/>
  <c r="AA936" i="4"/>
  <c r="T936" i="4"/>
  <c r="M936" i="4"/>
  <c r="F936" i="4"/>
  <c r="AH935" i="4"/>
  <c r="AA935" i="4"/>
  <c r="T935" i="4"/>
  <c r="M935" i="4"/>
  <c r="F935" i="4"/>
  <c r="AH934" i="4"/>
  <c r="AA934" i="4"/>
  <c r="T934" i="4"/>
  <c r="M934" i="4"/>
  <c r="F934" i="4"/>
  <c r="AH933" i="4"/>
  <c r="AA933" i="4"/>
  <c r="T933" i="4"/>
  <c r="M933" i="4"/>
  <c r="F933" i="4"/>
  <c r="AH932" i="4"/>
  <c r="AA932" i="4"/>
  <c r="T932" i="4"/>
  <c r="M932" i="4"/>
  <c r="F932" i="4"/>
  <c r="AH931" i="4"/>
  <c r="AA931" i="4"/>
  <c r="T931" i="4"/>
  <c r="M931" i="4"/>
  <c r="F931" i="4"/>
  <c r="AH930" i="4"/>
  <c r="AA930" i="4"/>
  <c r="T930" i="4"/>
  <c r="M930" i="4"/>
  <c r="F930" i="4"/>
  <c r="AH929" i="4"/>
  <c r="AA929" i="4"/>
  <c r="T929" i="4"/>
  <c r="M929" i="4"/>
  <c r="F929" i="4"/>
  <c r="AH928" i="4"/>
  <c r="AA928" i="4"/>
  <c r="T928" i="4"/>
  <c r="M928" i="4"/>
  <c r="F928" i="4"/>
  <c r="AH927" i="4"/>
  <c r="AA927" i="4"/>
  <c r="T927" i="4"/>
  <c r="M927" i="4"/>
  <c r="F927" i="4"/>
  <c r="AH926" i="4"/>
  <c r="AA926" i="4"/>
  <c r="T926" i="4"/>
  <c r="M926" i="4"/>
  <c r="F926" i="4"/>
  <c r="AH925" i="4"/>
  <c r="AA925" i="4"/>
  <c r="T925" i="4"/>
  <c r="M925" i="4"/>
  <c r="F925" i="4"/>
  <c r="AH924" i="4"/>
  <c r="AA924" i="4"/>
  <c r="T924" i="4"/>
  <c r="M924" i="4"/>
  <c r="F924" i="4"/>
  <c r="AH923" i="4"/>
  <c r="AA923" i="4"/>
  <c r="T923" i="4"/>
  <c r="M923" i="4"/>
  <c r="F923" i="4"/>
  <c r="AH922" i="4"/>
  <c r="AA922" i="4"/>
  <c r="T922" i="4"/>
  <c r="M922" i="4"/>
  <c r="F922" i="4"/>
  <c r="AH921" i="4"/>
  <c r="AA921" i="4"/>
  <c r="T921" i="4"/>
  <c r="M921" i="4"/>
  <c r="F921" i="4"/>
  <c r="AH920" i="4"/>
  <c r="AA920" i="4"/>
  <c r="T920" i="4"/>
  <c r="M920" i="4"/>
  <c r="F920" i="4"/>
  <c r="AH919" i="4"/>
  <c r="AA919" i="4"/>
  <c r="T919" i="4"/>
  <c r="M919" i="4"/>
  <c r="F919" i="4"/>
  <c r="AH918" i="4"/>
  <c r="AA918" i="4"/>
  <c r="T918" i="4"/>
  <c r="M918" i="4"/>
  <c r="F918" i="4"/>
  <c r="AH917" i="4"/>
  <c r="AA917" i="4"/>
  <c r="T917" i="4"/>
  <c r="M917" i="4"/>
  <c r="F917" i="4"/>
  <c r="AH916" i="4"/>
  <c r="AA916" i="4"/>
  <c r="T916" i="4"/>
  <c r="M916" i="4"/>
  <c r="F916" i="4"/>
  <c r="AH915" i="4"/>
  <c r="AA915" i="4"/>
  <c r="T915" i="4"/>
  <c r="M915" i="4"/>
  <c r="F915" i="4"/>
  <c r="AH914" i="4"/>
  <c r="AA914" i="4"/>
  <c r="T914" i="4"/>
  <c r="M914" i="4"/>
  <c r="F914" i="4"/>
  <c r="AH913" i="4"/>
  <c r="AA913" i="4"/>
  <c r="T913" i="4"/>
  <c r="M913" i="4"/>
  <c r="F913" i="4"/>
  <c r="AH912" i="4"/>
  <c r="AA912" i="4"/>
  <c r="T912" i="4"/>
  <c r="M912" i="4"/>
  <c r="F912" i="4"/>
  <c r="AH911" i="4"/>
  <c r="AA911" i="4"/>
  <c r="T911" i="4"/>
  <c r="M911" i="4"/>
  <c r="F911" i="4"/>
  <c r="AH910" i="4"/>
  <c r="AA910" i="4"/>
  <c r="T910" i="4"/>
  <c r="M910" i="4"/>
  <c r="F910" i="4"/>
  <c r="AH909" i="4"/>
  <c r="AA909" i="4"/>
  <c r="T909" i="4"/>
  <c r="M909" i="4"/>
  <c r="F909" i="4"/>
  <c r="AH908" i="4"/>
  <c r="AA908" i="4"/>
  <c r="T908" i="4"/>
  <c r="M908" i="4"/>
  <c r="F908" i="4"/>
  <c r="AH907" i="4"/>
  <c r="AA907" i="4"/>
  <c r="T907" i="4"/>
  <c r="M907" i="4"/>
  <c r="F907" i="4"/>
  <c r="AH906" i="4"/>
  <c r="AA906" i="4"/>
  <c r="T906" i="4"/>
  <c r="M906" i="4"/>
  <c r="F906" i="4"/>
  <c r="AH905" i="4"/>
  <c r="AA905" i="4"/>
  <c r="T905" i="4"/>
  <c r="M905" i="4"/>
  <c r="F905" i="4"/>
  <c r="AH904" i="4"/>
  <c r="AA904" i="4"/>
  <c r="T904" i="4"/>
  <c r="M904" i="4"/>
  <c r="F904" i="4"/>
  <c r="AH903" i="4"/>
  <c r="AA903" i="4"/>
  <c r="T903" i="4"/>
  <c r="M903" i="4"/>
  <c r="F903" i="4"/>
  <c r="AH902" i="4"/>
  <c r="AA902" i="4"/>
  <c r="T902" i="4"/>
  <c r="M902" i="4"/>
  <c r="F902" i="4"/>
  <c r="AH901" i="4"/>
  <c r="AA901" i="4"/>
  <c r="T901" i="4"/>
  <c r="M901" i="4"/>
  <c r="F901" i="4"/>
  <c r="AH900" i="4"/>
  <c r="AA900" i="4"/>
  <c r="T900" i="4"/>
  <c r="M900" i="4"/>
  <c r="F900" i="4"/>
  <c r="AH899" i="4"/>
  <c r="AA899" i="4"/>
  <c r="T899" i="4"/>
  <c r="M899" i="4"/>
  <c r="F899" i="4"/>
  <c r="AH898" i="4"/>
  <c r="AA898" i="4"/>
  <c r="T898" i="4"/>
  <c r="M898" i="4"/>
  <c r="F898" i="4"/>
  <c r="AH897" i="4"/>
  <c r="AA897" i="4"/>
  <c r="T897" i="4"/>
  <c r="M897" i="4"/>
  <c r="F897" i="4"/>
  <c r="AH896" i="4"/>
  <c r="AA896" i="4"/>
  <c r="T896" i="4"/>
  <c r="M896" i="4"/>
  <c r="F896" i="4"/>
  <c r="AH895" i="4"/>
  <c r="AA895" i="4"/>
  <c r="T895" i="4"/>
  <c r="M895" i="4"/>
  <c r="F895" i="4"/>
  <c r="AH894" i="4"/>
  <c r="AA894" i="4"/>
  <c r="T894" i="4"/>
  <c r="M894" i="4"/>
  <c r="F894" i="4"/>
  <c r="AH893" i="4"/>
  <c r="AA893" i="4"/>
  <c r="T893" i="4"/>
  <c r="M893" i="4"/>
  <c r="F893" i="4"/>
  <c r="AH892" i="4"/>
  <c r="AA892" i="4"/>
  <c r="T892" i="4"/>
  <c r="M892" i="4"/>
  <c r="F892" i="4"/>
  <c r="AH891" i="4"/>
  <c r="AA891" i="4"/>
  <c r="T891" i="4"/>
  <c r="M891" i="4"/>
  <c r="F891" i="4"/>
  <c r="AH890" i="4"/>
  <c r="AA890" i="4"/>
  <c r="T890" i="4"/>
  <c r="M890" i="4"/>
  <c r="F890" i="4"/>
  <c r="AH889" i="4"/>
  <c r="AA889" i="4"/>
  <c r="T889" i="4"/>
  <c r="M889" i="4"/>
  <c r="F889" i="4"/>
  <c r="AH888" i="4"/>
  <c r="AA888" i="4"/>
  <c r="T888" i="4"/>
  <c r="M888" i="4"/>
  <c r="F888" i="4"/>
  <c r="AH887" i="4"/>
  <c r="AA887" i="4"/>
  <c r="T887" i="4"/>
  <c r="M887" i="4"/>
  <c r="F887" i="4"/>
  <c r="AH886" i="4"/>
  <c r="AA886" i="4"/>
  <c r="T886" i="4"/>
  <c r="M886" i="4"/>
  <c r="F886" i="4"/>
  <c r="AH885" i="4"/>
  <c r="AA885" i="4"/>
  <c r="T885" i="4"/>
  <c r="M885" i="4"/>
  <c r="F885" i="4"/>
  <c r="AH884" i="4"/>
  <c r="AA884" i="4"/>
  <c r="T884" i="4"/>
  <c r="M884" i="4"/>
  <c r="F884" i="4"/>
  <c r="AH883" i="4"/>
  <c r="AA883" i="4"/>
  <c r="T883" i="4"/>
  <c r="M883" i="4"/>
  <c r="F883" i="4"/>
  <c r="AH882" i="4"/>
  <c r="AA882" i="4"/>
  <c r="T882" i="4"/>
  <c r="M882" i="4"/>
  <c r="F882" i="4"/>
  <c r="AH881" i="4"/>
  <c r="AA881" i="4"/>
  <c r="T881" i="4"/>
  <c r="M881" i="4"/>
  <c r="F881" i="4"/>
  <c r="AH880" i="4"/>
  <c r="AA880" i="4"/>
  <c r="T880" i="4"/>
  <c r="M880" i="4"/>
  <c r="F880" i="4"/>
  <c r="AH879" i="4"/>
  <c r="AA879" i="4"/>
  <c r="T879" i="4"/>
  <c r="M879" i="4"/>
  <c r="F879" i="4"/>
  <c r="AH878" i="4"/>
  <c r="AA878" i="4"/>
  <c r="T878" i="4"/>
  <c r="M878" i="4"/>
  <c r="F878" i="4"/>
  <c r="AH877" i="4"/>
  <c r="AA877" i="4"/>
  <c r="T877" i="4"/>
  <c r="M877" i="4"/>
  <c r="F877" i="4"/>
  <c r="AH876" i="4"/>
  <c r="AA876" i="4"/>
  <c r="T876" i="4"/>
  <c r="M876" i="4"/>
  <c r="F876" i="4"/>
  <c r="AH875" i="4"/>
  <c r="AA875" i="4"/>
  <c r="T875" i="4"/>
  <c r="M875" i="4"/>
  <c r="F875" i="4"/>
  <c r="AH874" i="4"/>
  <c r="AA874" i="4"/>
  <c r="T874" i="4"/>
  <c r="M874" i="4"/>
  <c r="F874" i="4"/>
  <c r="AH873" i="4"/>
  <c r="AA873" i="4"/>
  <c r="T873" i="4"/>
  <c r="M873" i="4"/>
  <c r="F873" i="4"/>
  <c r="AH872" i="4"/>
  <c r="AA872" i="4"/>
  <c r="T872" i="4"/>
  <c r="M872" i="4"/>
  <c r="F872" i="4"/>
  <c r="AH871" i="4"/>
  <c r="AA871" i="4"/>
  <c r="T871" i="4"/>
  <c r="M871" i="4"/>
  <c r="F871" i="4"/>
  <c r="AH870" i="4"/>
  <c r="AA870" i="4"/>
  <c r="T870" i="4"/>
  <c r="M870" i="4"/>
  <c r="F870" i="4"/>
  <c r="AH869" i="4"/>
  <c r="AA869" i="4"/>
  <c r="T869" i="4"/>
  <c r="M869" i="4"/>
  <c r="F869" i="4"/>
  <c r="AH868" i="4"/>
  <c r="AA868" i="4"/>
  <c r="T868" i="4"/>
  <c r="M868" i="4"/>
  <c r="F868" i="4"/>
  <c r="AH867" i="4"/>
  <c r="AA867" i="4"/>
  <c r="T867" i="4"/>
  <c r="M867" i="4"/>
  <c r="F867" i="4"/>
  <c r="AH866" i="4"/>
  <c r="AA866" i="4"/>
  <c r="T866" i="4"/>
  <c r="M866" i="4"/>
  <c r="F866" i="4"/>
  <c r="AH865" i="4"/>
  <c r="AA865" i="4"/>
  <c r="T865" i="4"/>
  <c r="M865" i="4"/>
  <c r="F865" i="4"/>
  <c r="AH864" i="4"/>
  <c r="AA864" i="4"/>
  <c r="T864" i="4"/>
  <c r="M864" i="4"/>
  <c r="F864" i="4"/>
  <c r="AH863" i="4"/>
  <c r="AA863" i="4"/>
  <c r="T863" i="4"/>
  <c r="M863" i="4"/>
  <c r="F863" i="4"/>
  <c r="AH862" i="4"/>
  <c r="AA862" i="4"/>
  <c r="T862" i="4"/>
  <c r="M862" i="4"/>
  <c r="F862" i="4"/>
  <c r="AH861" i="4"/>
  <c r="AA861" i="4"/>
  <c r="T861" i="4"/>
  <c r="M861" i="4"/>
  <c r="F861" i="4"/>
  <c r="AH860" i="4"/>
  <c r="AA860" i="4"/>
  <c r="T860" i="4"/>
  <c r="M860" i="4"/>
  <c r="F860" i="4"/>
  <c r="AH859" i="4"/>
  <c r="AA859" i="4"/>
  <c r="T859" i="4"/>
  <c r="M859" i="4"/>
  <c r="F859" i="4"/>
  <c r="AH858" i="4"/>
  <c r="AA858" i="4"/>
  <c r="T858" i="4"/>
  <c r="M858" i="4"/>
  <c r="F858" i="4"/>
  <c r="AH857" i="4"/>
  <c r="AA857" i="4"/>
  <c r="T857" i="4"/>
  <c r="M857" i="4"/>
  <c r="F857" i="4"/>
  <c r="AH856" i="4"/>
  <c r="AA856" i="4"/>
  <c r="T856" i="4"/>
  <c r="M856" i="4"/>
  <c r="F856" i="4"/>
  <c r="AH855" i="4"/>
  <c r="AA855" i="4"/>
  <c r="T855" i="4"/>
  <c r="M855" i="4"/>
  <c r="F855" i="4"/>
  <c r="AH854" i="4"/>
  <c r="AA854" i="4"/>
  <c r="T854" i="4"/>
  <c r="M854" i="4"/>
  <c r="F854" i="4"/>
  <c r="AH853" i="4"/>
  <c r="AA853" i="4"/>
  <c r="T853" i="4"/>
  <c r="M853" i="4"/>
  <c r="F853" i="4"/>
  <c r="AH852" i="4"/>
  <c r="AA852" i="4"/>
  <c r="T852" i="4"/>
  <c r="M852" i="4"/>
  <c r="F852" i="4"/>
  <c r="AH851" i="4"/>
  <c r="AA851" i="4"/>
  <c r="T851" i="4"/>
  <c r="M851" i="4"/>
  <c r="F851" i="4"/>
  <c r="AH850" i="4"/>
  <c r="AA850" i="4"/>
  <c r="T850" i="4"/>
  <c r="M850" i="4"/>
  <c r="F850" i="4"/>
  <c r="AH849" i="4"/>
  <c r="AA849" i="4"/>
  <c r="T849" i="4"/>
  <c r="M849" i="4"/>
  <c r="F849" i="4"/>
  <c r="AH848" i="4"/>
  <c r="AA848" i="4"/>
  <c r="T848" i="4"/>
  <c r="M848" i="4"/>
  <c r="F848" i="4"/>
  <c r="AH847" i="4"/>
  <c r="AA847" i="4"/>
  <c r="T847" i="4"/>
  <c r="M847" i="4"/>
  <c r="F847" i="4"/>
  <c r="AH846" i="4"/>
  <c r="AA846" i="4"/>
  <c r="T846" i="4"/>
  <c r="M846" i="4"/>
  <c r="F846" i="4"/>
  <c r="AH845" i="4"/>
  <c r="AA845" i="4"/>
  <c r="T845" i="4"/>
  <c r="M845" i="4"/>
  <c r="F845" i="4"/>
  <c r="AH844" i="4"/>
  <c r="AA844" i="4"/>
  <c r="T844" i="4"/>
  <c r="M844" i="4"/>
  <c r="F844" i="4"/>
  <c r="AH843" i="4"/>
  <c r="AA843" i="4"/>
  <c r="T843" i="4"/>
  <c r="M843" i="4"/>
  <c r="F843" i="4"/>
  <c r="AH842" i="4"/>
  <c r="AA842" i="4"/>
  <c r="T842" i="4"/>
  <c r="M842" i="4"/>
  <c r="F842" i="4"/>
  <c r="AH841" i="4"/>
  <c r="AA841" i="4"/>
  <c r="T841" i="4"/>
  <c r="M841" i="4"/>
  <c r="F841" i="4"/>
  <c r="AH840" i="4"/>
  <c r="AA840" i="4"/>
  <c r="T840" i="4"/>
  <c r="M840" i="4"/>
  <c r="F840" i="4"/>
  <c r="AH839" i="4"/>
  <c r="AA839" i="4"/>
  <c r="T839" i="4"/>
  <c r="M839" i="4"/>
  <c r="F839" i="4"/>
  <c r="AH838" i="4"/>
  <c r="AA838" i="4"/>
  <c r="T838" i="4"/>
  <c r="M838" i="4"/>
  <c r="F838" i="4"/>
  <c r="AH837" i="4"/>
  <c r="AA837" i="4"/>
  <c r="T837" i="4"/>
  <c r="M837" i="4"/>
  <c r="F837" i="4"/>
  <c r="AH836" i="4"/>
  <c r="AA836" i="4"/>
  <c r="T836" i="4"/>
  <c r="M836" i="4"/>
  <c r="F836" i="4"/>
  <c r="AH835" i="4"/>
  <c r="AA835" i="4"/>
  <c r="T835" i="4"/>
  <c r="M835" i="4"/>
  <c r="F835" i="4"/>
  <c r="AH834" i="4"/>
  <c r="AA834" i="4"/>
  <c r="T834" i="4"/>
  <c r="M834" i="4"/>
  <c r="F834" i="4"/>
  <c r="AH833" i="4"/>
  <c r="AA833" i="4"/>
  <c r="T833" i="4"/>
  <c r="M833" i="4"/>
  <c r="F833" i="4"/>
  <c r="AH832" i="4"/>
  <c r="AA832" i="4"/>
  <c r="T832" i="4"/>
  <c r="M832" i="4"/>
  <c r="F832" i="4"/>
  <c r="AH831" i="4"/>
  <c r="AA831" i="4"/>
  <c r="T831" i="4"/>
  <c r="M831" i="4"/>
  <c r="F831" i="4"/>
  <c r="AH830" i="4"/>
  <c r="AA830" i="4"/>
  <c r="T830" i="4"/>
  <c r="M830" i="4"/>
  <c r="F830" i="4"/>
  <c r="AH829" i="4"/>
  <c r="AA829" i="4"/>
  <c r="T829" i="4"/>
  <c r="M829" i="4"/>
  <c r="F829" i="4"/>
  <c r="AH828" i="4"/>
  <c r="AA828" i="4"/>
  <c r="T828" i="4"/>
  <c r="M828" i="4"/>
  <c r="F828" i="4"/>
  <c r="AH827" i="4"/>
  <c r="AA827" i="4"/>
  <c r="T827" i="4"/>
  <c r="M827" i="4"/>
  <c r="F827" i="4"/>
  <c r="AH826" i="4"/>
  <c r="AA826" i="4"/>
  <c r="T826" i="4"/>
  <c r="M826" i="4"/>
  <c r="F826" i="4"/>
  <c r="AH825" i="4"/>
  <c r="AA825" i="4"/>
  <c r="T825" i="4"/>
  <c r="M825" i="4"/>
  <c r="F825" i="4"/>
  <c r="AH824" i="4"/>
  <c r="AA824" i="4"/>
  <c r="T824" i="4"/>
  <c r="M824" i="4"/>
  <c r="F824" i="4"/>
  <c r="AH823" i="4"/>
  <c r="AA823" i="4"/>
  <c r="T823" i="4"/>
  <c r="M823" i="4"/>
  <c r="F823" i="4"/>
  <c r="AH822" i="4"/>
  <c r="AA822" i="4"/>
  <c r="T822" i="4"/>
  <c r="M822" i="4"/>
  <c r="F822" i="4"/>
  <c r="AH821" i="4"/>
  <c r="AA821" i="4"/>
  <c r="T821" i="4"/>
  <c r="M821" i="4"/>
  <c r="F821" i="4"/>
  <c r="AH820" i="4"/>
  <c r="AA820" i="4"/>
  <c r="T820" i="4"/>
  <c r="M820" i="4"/>
  <c r="F820" i="4"/>
  <c r="AH819" i="4"/>
  <c r="AA819" i="4"/>
  <c r="T819" i="4"/>
  <c r="M819" i="4"/>
  <c r="F819" i="4"/>
  <c r="AH818" i="4"/>
  <c r="AA818" i="4"/>
  <c r="T818" i="4"/>
  <c r="M818" i="4"/>
  <c r="F818" i="4"/>
  <c r="AH817" i="4"/>
  <c r="AA817" i="4"/>
  <c r="T817" i="4"/>
  <c r="M817" i="4"/>
  <c r="F817" i="4"/>
  <c r="AH816" i="4"/>
  <c r="AA816" i="4"/>
  <c r="T816" i="4"/>
  <c r="M816" i="4"/>
  <c r="F816" i="4"/>
  <c r="AH815" i="4"/>
  <c r="AA815" i="4"/>
  <c r="T815" i="4"/>
  <c r="M815" i="4"/>
  <c r="F815" i="4"/>
  <c r="AH814" i="4"/>
  <c r="AA814" i="4"/>
  <c r="T814" i="4"/>
  <c r="M814" i="4"/>
  <c r="F814" i="4"/>
  <c r="AH813" i="4"/>
  <c r="AA813" i="4"/>
  <c r="T813" i="4"/>
  <c r="M813" i="4"/>
  <c r="F813" i="4"/>
  <c r="AH812" i="4"/>
  <c r="AA812" i="4"/>
  <c r="T812" i="4"/>
  <c r="M812" i="4"/>
  <c r="F812" i="4"/>
  <c r="AH811" i="4"/>
  <c r="AA811" i="4"/>
  <c r="T811" i="4"/>
  <c r="M811" i="4"/>
  <c r="F811" i="4"/>
  <c r="AH810" i="4"/>
  <c r="AA810" i="4"/>
  <c r="T810" i="4"/>
  <c r="M810" i="4"/>
  <c r="F810" i="4"/>
  <c r="AH809" i="4"/>
  <c r="AA809" i="4"/>
  <c r="T809" i="4"/>
  <c r="M809" i="4"/>
  <c r="F809" i="4"/>
  <c r="AH808" i="4"/>
  <c r="AA808" i="4"/>
  <c r="T808" i="4"/>
  <c r="M808" i="4"/>
  <c r="F808" i="4"/>
  <c r="AH807" i="4"/>
  <c r="AA807" i="4"/>
  <c r="T807" i="4"/>
  <c r="M807" i="4"/>
  <c r="F807" i="4"/>
  <c r="AH806" i="4"/>
  <c r="AA806" i="4"/>
  <c r="T806" i="4"/>
  <c r="M806" i="4"/>
  <c r="F806" i="4"/>
  <c r="AH805" i="4"/>
  <c r="AA805" i="4"/>
  <c r="T805" i="4"/>
  <c r="M805" i="4"/>
  <c r="F805" i="4"/>
  <c r="AH804" i="4"/>
  <c r="AA804" i="4"/>
  <c r="T804" i="4"/>
  <c r="M804" i="4"/>
  <c r="F804" i="4"/>
  <c r="AH803" i="4"/>
  <c r="AA803" i="4"/>
  <c r="T803" i="4"/>
  <c r="M803" i="4"/>
  <c r="F803" i="4"/>
  <c r="AH802" i="4"/>
  <c r="AA802" i="4"/>
  <c r="T802" i="4"/>
  <c r="M802" i="4"/>
  <c r="F802" i="4"/>
  <c r="AH801" i="4"/>
  <c r="AA801" i="4"/>
  <c r="T801" i="4"/>
  <c r="M801" i="4"/>
  <c r="F801" i="4"/>
  <c r="AH800" i="4"/>
  <c r="AA800" i="4"/>
  <c r="T800" i="4"/>
  <c r="M800" i="4"/>
  <c r="F800" i="4"/>
  <c r="AH799" i="4"/>
  <c r="AA799" i="4"/>
  <c r="T799" i="4"/>
  <c r="M799" i="4"/>
  <c r="F799" i="4"/>
  <c r="AH798" i="4"/>
  <c r="AA798" i="4"/>
  <c r="T798" i="4"/>
  <c r="M798" i="4"/>
  <c r="F798" i="4"/>
  <c r="AH797" i="4"/>
  <c r="AA797" i="4"/>
  <c r="T797" i="4"/>
  <c r="M797" i="4"/>
  <c r="F797" i="4"/>
  <c r="AH796" i="4"/>
  <c r="AA796" i="4"/>
  <c r="T796" i="4"/>
  <c r="M796" i="4"/>
  <c r="F796" i="4"/>
  <c r="AH795" i="4"/>
  <c r="AA795" i="4"/>
  <c r="T795" i="4"/>
  <c r="M795" i="4"/>
  <c r="F795" i="4"/>
  <c r="AH794" i="4"/>
  <c r="AA794" i="4"/>
  <c r="T794" i="4"/>
  <c r="M794" i="4"/>
  <c r="F794" i="4"/>
  <c r="AH793" i="4"/>
  <c r="AA793" i="4"/>
  <c r="T793" i="4"/>
  <c r="M793" i="4"/>
  <c r="F793" i="4"/>
  <c r="AH792" i="4"/>
  <c r="AA792" i="4"/>
  <c r="T792" i="4"/>
  <c r="M792" i="4"/>
  <c r="F792" i="4"/>
  <c r="AH791" i="4"/>
  <c r="AA791" i="4"/>
  <c r="T791" i="4"/>
  <c r="M791" i="4"/>
  <c r="F791" i="4"/>
  <c r="AH790" i="4"/>
  <c r="AA790" i="4"/>
  <c r="T790" i="4"/>
  <c r="M790" i="4"/>
  <c r="F790" i="4"/>
  <c r="AH789" i="4"/>
  <c r="AA789" i="4"/>
  <c r="T789" i="4"/>
  <c r="M789" i="4"/>
  <c r="F789" i="4"/>
  <c r="AH788" i="4"/>
  <c r="AA788" i="4"/>
  <c r="T788" i="4"/>
  <c r="M788" i="4"/>
  <c r="F788" i="4"/>
  <c r="AH787" i="4"/>
  <c r="AA787" i="4"/>
  <c r="T787" i="4"/>
  <c r="M787" i="4"/>
  <c r="F787" i="4"/>
  <c r="AH786" i="4"/>
  <c r="AA786" i="4"/>
  <c r="T786" i="4"/>
  <c r="M786" i="4"/>
  <c r="F786" i="4"/>
  <c r="AH785" i="4"/>
  <c r="AA785" i="4"/>
  <c r="T785" i="4"/>
  <c r="M785" i="4"/>
  <c r="F785" i="4"/>
  <c r="AH784" i="4"/>
  <c r="AA784" i="4"/>
  <c r="T784" i="4"/>
  <c r="M784" i="4"/>
  <c r="F784" i="4"/>
  <c r="AH783" i="4"/>
  <c r="AA783" i="4"/>
  <c r="T783" i="4"/>
  <c r="M783" i="4"/>
  <c r="F783" i="4"/>
  <c r="AH782" i="4"/>
  <c r="AA782" i="4"/>
  <c r="T782" i="4"/>
  <c r="M782" i="4"/>
  <c r="F782" i="4"/>
  <c r="AH781" i="4"/>
  <c r="AA781" i="4"/>
  <c r="T781" i="4"/>
  <c r="M781" i="4"/>
  <c r="F781" i="4"/>
  <c r="AH780" i="4"/>
  <c r="AA780" i="4"/>
  <c r="T780" i="4"/>
  <c r="M780" i="4"/>
  <c r="F780" i="4"/>
  <c r="AH779" i="4"/>
  <c r="AA779" i="4"/>
  <c r="T779" i="4"/>
  <c r="M779" i="4"/>
  <c r="F779" i="4"/>
  <c r="AH778" i="4"/>
  <c r="AA778" i="4"/>
  <c r="T778" i="4"/>
  <c r="M778" i="4"/>
  <c r="F778" i="4"/>
  <c r="AH777" i="4"/>
  <c r="AA777" i="4"/>
  <c r="T777" i="4"/>
  <c r="M777" i="4"/>
  <c r="F777" i="4"/>
  <c r="AH776" i="4"/>
  <c r="AA776" i="4"/>
  <c r="T776" i="4"/>
  <c r="M776" i="4"/>
  <c r="F776" i="4"/>
  <c r="AH775" i="4"/>
  <c r="AA775" i="4"/>
  <c r="T775" i="4"/>
  <c r="M775" i="4"/>
  <c r="F775" i="4"/>
  <c r="AH774" i="4"/>
  <c r="AA774" i="4"/>
  <c r="T774" i="4"/>
  <c r="M774" i="4"/>
  <c r="F774" i="4"/>
  <c r="AH773" i="4"/>
  <c r="AA773" i="4"/>
  <c r="T773" i="4"/>
  <c r="M773" i="4"/>
  <c r="F773" i="4"/>
  <c r="AH772" i="4"/>
  <c r="AA772" i="4"/>
  <c r="T772" i="4"/>
  <c r="M772" i="4"/>
  <c r="F772" i="4"/>
  <c r="AH771" i="4"/>
  <c r="AA771" i="4"/>
  <c r="T771" i="4"/>
  <c r="M771" i="4"/>
  <c r="F771" i="4"/>
  <c r="AH770" i="4"/>
  <c r="AA770" i="4"/>
  <c r="T770" i="4"/>
  <c r="M770" i="4"/>
  <c r="F770" i="4"/>
  <c r="AH769" i="4"/>
  <c r="AA769" i="4"/>
  <c r="T769" i="4"/>
  <c r="M769" i="4"/>
  <c r="F769" i="4"/>
  <c r="AH768" i="4"/>
  <c r="AA768" i="4"/>
  <c r="T768" i="4"/>
  <c r="M768" i="4"/>
  <c r="F768" i="4"/>
  <c r="AH767" i="4"/>
  <c r="AA767" i="4"/>
  <c r="T767" i="4"/>
  <c r="M767" i="4"/>
  <c r="F767" i="4"/>
  <c r="AH766" i="4"/>
  <c r="AA766" i="4"/>
  <c r="T766" i="4"/>
  <c r="M766" i="4"/>
  <c r="F766" i="4"/>
  <c r="AH765" i="4"/>
  <c r="AA765" i="4"/>
  <c r="T765" i="4"/>
  <c r="M765" i="4"/>
  <c r="F765" i="4"/>
  <c r="AH764" i="4"/>
  <c r="AA764" i="4"/>
  <c r="T764" i="4"/>
  <c r="M764" i="4"/>
  <c r="F764" i="4"/>
  <c r="AH763" i="4"/>
  <c r="AA763" i="4"/>
  <c r="T763" i="4"/>
  <c r="M763" i="4"/>
  <c r="F763" i="4"/>
  <c r="AH762" i="4"/>
  <c r="AA762" i="4"/>
  <c r="T762" i="4"/>
  <c r="M762" i="4"/>
  <c r="F762" i="4"/>
  <c r="AH761" i="4"/>
  <c r="AA761" i="4"/>
  <c r="T761" i="4"/>
  <c r="M761" i="4"/>
  <c r="F761" i="4"/>
  <c r="AH760" i="4"/>
  <c r="AA760" i="4"/>
  <c r="T760" i="4"/>
  <c r="M760" i="4"/>
  <c r="F760" i="4"/>
  <c r="AH759" i="4"/>
  <c r="AA759" i="4"/>
  <c r="T759" i="4"/>
  <c r="M759" i="4"/>
  <c r="F759" i="4"/>
  <c r="AH758" i="4"/>
  <c r="AA758" i="4"/>
  <c r="T758" i="4"/>
  <c r="M758" i="4"/>
  <c r="F758" i="4"/>
  <c r="AH757" i="4"/>
  <c r="AA757" i="4"/>
  <c r="T757" i="4"/>
  <c r="M757" i="4"/>
  <c r="F757" i="4"/>
  <c r="AH756" i="4"/>
  <c r="AA756" i="4"/>
  <c r="T756" i="4"/>
  <c r="M756" i="4"/>
  <c r="F756" i="4"/>
  <c r="AH755" i="4"/>
  <c r="AA755" i="4"/>
  <c r="T755" i="4"/>
  <c r="M755" i="4"/>
  <c r="F755" i="4"/>
  <c r="AH754" i="4"/>
  <c r="AA754" i="4"/>
  <c r="T754" i="4"/>
  <c r="M754" i="4"/>
  <c r="F754" i="4"/>
  <c r="AH753" i="4"/>
  <c r="AA753" i="4"/>
  <c r="T753" i="4"/>
  <c r="M753" i="4"/>
  <c r="F753" i="4"/>
  <c r="AH752" i="4"/>
  <c r="AA752" i="4"/>
  <c r="T752" i="4"/>
  <c r="M752" i="4"/>
  <c r="F752" i="4"/>
  <c r="AH751" i="4"/>
  <c r="AA751" i="4"/>
  <c r="T751" i="4"/>
  <c r="M751" i="4"/>
  <c r="F751" i="4"/>
  <c r="AH750" i="4"/>
  <c r="AA750" i="4"/>
  <c r="T750" i="4"/>
  <c r="M750" i="4"/>
  <c r="F750" i="4"/>
  <c r="AH749" i="4"/>
  <c r="AA749" i="4"/>
  <c r="T749" i="4"/>
  <c r="M749" i="4"/>
  <c r="F749" i="4"/>
  <c r="AH748" i="4"/>
  <c r="AA748" i="4"/>
  <c r="T748" i="4"/>
  <c r="M748" i="4"/>
  <c r="F748" i="4"/>
  <c r="AH747" i="4"/>
  <c r="AA747" i="4"/>
  <c r="T747" i="4"/>
  <c r="M747" i="4"/>
  <c r="F747" i="4"/>
  <c r="AH746" i="4"/>
  <c r="AA746" i="4"/>
  <c r="T746" i="4"/>
  <c r="M746" i="4"/>
  <c r="F746" i="4"/>
  <c r="AH745" i="4"/>
  <c r="AA745" i="4"/>
  <c r="T745" i="4"/>
  <c r="M745" i="4"/>
  <c r="F745" i="4"/>
  <c r="AH744" i="4"/>
  <c r="AA744" i="4"/>
  <c r="T744" i="4"/>
  <c r="M744" i="4"/>
  <c r="F744" i="4"/>
  <c r="AH743" i="4"/>
  <c r="AA743" i="4"/>
  <c r="T743" i="4"/>
  <c r="M743" i="4"/>
  <c r="F743" i="4"/>
  <c r="AH742" i="4"/>
  <c r="AA742" i="4"/>
  <c r="T742" i="4"/>
  <c r="M742" i="4"/>
  <c r="F742" i="4"/>
  <c r="AH741" i="4"/>
  <c r="AA741" i="4"/>
  <c r="T741" i="4"/>
  <c r="M741" i="4"/>
  <c r="F741" i="4"/>
  <c r="AH740" i="4"/>
  <c r="AA740" i="4"/>
  <c r="T740" i="4"/>
  <c r="M740" i="4"/>
  <c r="F740" i="4"/>
  <c r="AH739" i="4"/>
  <c r="AA739" i="4"/>
  <c r="T739" i="4"/>
  <c r="M739" i="4"/>
  <c r="F739" i="4"/>
  <c r="AH738" i="4"/>
  <c r="AA738" i="4"/>
  <c r="T738" i="4"/>
  <c r="M738" i="4"/>
  <c r="F738" i="4"/>
  <c r="AH737" i="4"/>
  <c r="AA737" i="4"/>
  <c r="T737" i="4"/>
  <c r="M737" i="4"/>
  <c r="F737" i="4"/>
  <c r="AH736" i="4"/>
  <c r="AA736" i="4"/>
  <c r="T736" i="4"/>
  <c r="M736" i="4"/>
  <c r="F736" i="4"/>
  <c r="AH735" i="4"/>
  <c r="AA735" i="4"/>
  <c r="T735" i="4"/>
  <c r="M735" i="4"/>
  <c r="F735" i="4"/>
  <c r="AH734" i="4"/>
  <c r="AA734" i="4"/>
  <c r="T734" i="4"/>
  <c r="M734" i="4"/>
  <c r="F734" i="4"/>
  <c r="AH733" i="4"/>
  <c r="AA733" i="4"/>
  <c r="T733" i="4"/>
  <c r="M733" i="4"/>
  <c r="F733" i="4"/>
  <c r="AH732" i="4"/>
  <c r="AA732" i="4"/>
  <c r="T732" i="4"/>
  <c r="M732" i="4"/>
  <c r="F732" i="4"/>
  <c r="AH731" i="4"/>
  <c r="AA731" i="4"/>
  <c r="T731" i="4"/>
  <c r="M731" i="4"/>
  <c r="F731" i="4"/>
  <c r="AH730" i="4"/>
  <c r="AA730" i="4"/>
  <c r="T730" i="4"/>
  <c r="M730" i="4"/>
  <c r="F730" i="4"/>
  <c r="AH729" i="4"/>
  <c r="AA729" i="4"/>
  <c r="T729" i="4"/>
  <c r="M729" i="4"/>
  <c r="F729" i="4"/>
  <c r="AH728" i="4"/>
  <c r="AA728" i="4"/>
  <c r="T728" i="4"/>
  <c r="M728" i="4"/>
  <c r="F728" i="4"/>
  <c r="AH727" i="4"/>
  <c r="AA727" i="4"/>
  <c r="T727" i="4"/>
  <c r="M727" i="4"/>
  <c r="F727" i="4"/>
  <c r="AH726" i="4"/>
  <c r="AA726" i="4"/>
  <c r="T726" i="4"/>
  <c r="M726" i="4"/>
  <c r="F726" i="4"/>
  <c r="AH725" i="4"/>
  <c r="AA725" i="4"/>
  <c r="T725" i="4"/>
  <c r="M725" i="4"/>
  <c r="F725" i="4"/>
  <c r="AH724" i="4"/>
  <c r="AA724" i="4"/>
  <c r="T724" i="4"/>
  <c r="M724" i="4"/>
  <c r="F724" i="4"/>
  <c r="AH723" i="4"/>
  <c r="AA723" i="4"/>
  <c r="T723" i="4"/>
  <c r="M723" i="4"/>
  <c r="F723" i="4"/>
  <c r="AH722" i="4"/>
  <c r="AA722" i="4"/>
  <c r="T722" i="4"/>
  <c r="M722" i="4"/>
  <c r="F722" i="4"/>
  <c r="AH721" i="4"/>
  <c r="AA721" i="4"/>
  <c r="T721" i="4"/>
  <c r="M721" i="4"/>
  <c r="F721" i="4"/>
  <c r="AH720" i="4"/>
  <c r="AA720" i="4"/>
  <c r="T720" i="4"/>
  <c r="M720" i="4"/>
  <c r="F720" i="4"/>
  <c r="AH719" i="4"/>
  <c r="AA719" i="4"/>
  <c r="T719" i="4"/>
  <c r="M719" i="4"/>
  <c r="F719" i="4"/>
  <c r="AH718" i="4"/>
  <c r="AA718" i="4"/>
  <c r="T718" i="4"/>
  <c r="M718" i="4"/>
  <c r="F718" i="4"/>
  <c r="AH717" i="4"/>
  <c r="AA717" i="4"/>
  <c r="T717" i="4"/>
  <c r="M717" i="4"/>
  <c r="F717" i="4"/>
  <c r="AH716" i="4"/>
  <c r="AA716" i="4"/>
  <c r="T716" i="4"/>
  <c r="M716" i="4"/>
  <c r="F716" i="4"/>
  <c r="AH715" i="4"/>
  <c r="AA715" i="4"/>
  <c r="T715" i="4"/>
  <c r="M715" i="4"/>
  <c r="F715" i="4"/>
  <c r="AH714" i="4"/>
  <c r="AA714" i="4"/>
  <c r="T714" i="4"/>
  <c r="M714" i="4"/>
  <c r="F714" i="4"/>
  <c r="AH713" i="4"/>
  <c r="AA713" i="4"/>
  <c r="T713" i="4"/>
  <c r="M713" i="4"/>
  <c r="F713" i="4"/>
  <c r="AH712" i="4"/>
  <c r="AA712" i="4"/>
  <c r="T712" i="4"/>
  <c r="M712" i="4"/>
  <c r="F712" i="4"/>
  <c r="AH711" i="4"/>
  <c r="AA711" i="4"/>
  <c r="T711" i="4"/>
  <c r="M711" i="4"/>
  <c r="F711" i="4"/>
  <c r="AH710" i="4"/>
  <c r="AA710" i="4"/>
  <c r="T710" i="4"/>
  <c r="M710" i="4"/>
  <c r="F710" i="4"/>
  <c r="AH709" i="4"/>
  <c r="AA709" i="4"/>
  <c r="T709" i="4"/>
  <c r="M709" i="4"/>
  <c r="F709" i="4"/>
  <c r="AH708" i="4"/>
  <c r="AA708" i="4"/>
  <c r="T708" i="4"/>
  <c r="M708" i="4"/>
  <c r="F708" i="4"/>
  <c r="AH707" i="4"/>
  <c r="AA707" i="4"/>
  <c r="T707" i="4"/>
  <c r="M707" i="4"/>
  <c r="F707" i="4"/>
  <c r="AH706" i="4"/>
  <c r="AA706" i="4"/>
  <c r="T706" i="4"/>
  <c r="M706" i="4"/>
  <c r="F706" i="4"/>
  <c r="AH705" i="4"/>
  <c r="AA705" i="4"/>
  <c r="T705" i="4"/>
  <c r="M705" i="4"/>
  <c r="F705" i="4"/>
  <c r="AH704" i="4"/>
  <c r="AA704" i="4"/>
  <c r="T704" i="4"/>
  <c r="M704" i="4"/>
  <c r="F704" i="4"/>
  <c r="AH703" i="4"/>
  <c r="AA703" i="4"/>
  <c r="T703" i="4"/>
  <c r="M703" i="4"/>
  <c r="F703" i="4"/>
  <c r="AH702" i="4"/>
  <c r="AA702" i="4"/>
  <c r="T702" i="4"/>
  <c r="M702" i="4"/>
  <c r="F702" i="4"/>
  <c r="AH701" i="4"/>
  <c r="AA701" i="4"/>
  <c r="T701" i="4"/>
  <c r="M701" i="4"/>
  <c r="F701" i="4"/>
  <c r="AH700" i="4"/>
  <c r="AA700" i="4"/>
  <c r="T700" i="4"/>
  <c r="M700" i="4"/>
  <c r="F700" i="4"/>
  <c r="AH699" i="4"/>
  <c r="AA699" i="4"/>
  <c r="T699" i="4"/>
  <c r="M699" i="4"/>
  <c r="F699" i="4"/>
  <c r="AH698" i="4"/>
  <c r="AA698" i="4"/>
  <c r="T698" i="4"/>
  <c r="M698" i="4"/>
  <c r="F698" i="4"/>
  <c r="AH697" i="4"/>
  <c r="AA697" i="4"/>
  <c r="T697" i="4"/>
  <c r="M697" i="4"/>
  <c r="F697" i="4"/>
  <c r="AH696" i="4"/>
  <c r="AA696" i="4"/>
  <c r="T696" i="4"/>
  <c r="M696" i="4"/>
  <c r="F696" i="4"/>
  <c r="AH695" i="4"/>
  <c r="AA695" i="4"/>
  <c r="T695" i="4"/>
  <c r="M695" i="4"/>
  <c r="F695" i="4"/>
  <c r="AH694" i="4"/>
  <c r="AA694" i="4"/>
  <c r="T694" i="4"/>
  <c r="M694" i="4"/>
  <c r="F694" i="4"/>
  <c r="AH693" i="4"/>
  <c r="AA693" i="4"/>
  <c r="T693" i="4"/>
  <c r="M693" i="4"/>
  <c r="F693" i="4"/>
  <c r="AH692" i="4"/>
  <c r="AA692" i="4"/>
  <c r="T692" i="4"/>
  <c r="M692" i="4"/>
  <c r="F692" i="4"/>
  <c r="AH691" i="4"/>
  <c r="AA691" i="4"/>
  <c r="T691" i="4"/>
  <c r="M691" i="4"/>
  <c r="F691" i="4"/>
  <c r="AH690" i="4"/>
  <c r="AA690" i="4"/>
  <c r="T690" i="4"/>
  <c r="M690" i="4"/>
  <c r="F690" i="4"/>
  <c r="AH689" i="4"/>
  <c r="AA689" i="4"/>
  <c r="T689" i="4"/>
  <c r="M689" i="4"/>
  <c r="F689" i="4"/>
  <c r="AH688" i="4"/>
  <c r="AA688" i="4"/>
  <c r="T688" i="4"/>
  <c r="M688" i="4"/>
  <c r="F688" i="4"/>
  <c r="AH687" i="4"/>
  <c r="AA687" i="4"/>
  <c r="T687" i="4"/>
  <c r="M687" i="4"/>
  <c r="F687" i="4"/>
  <c r="AH686" i="4"/>
  <c r="AA686" i="4"/>
  <c r="T686" i="4"/>
  <c r="M686" i="4"/>
  <c r="F686" i="4"/>
  <c r="AH685" i="4"/>
  <c r="AA685" i="4"/>
  <c r="T685" i="4"/>
  <c r="M685" i="4"/>
  <c r="F685" i="4"/>
  <c r="AH684" i="4"/>
  <c r="AA684" i="4"/>
  <c r="T684" i="4"/>
  <c r="M684" i="4"/>
  <c r="F684" i="4"/>
  <c r="AH683" i="4"/>
  <c r="AA683" i="4"/>
  <c r="T683" i="4"/>
  <c r="M683" i="4"/>
  <c r="F683" i="4"/>
  <c r="AH682" i="4"/>
  <c r="AA682" i="4"/>
  <c r="T682" i="4"/>
  <c r="M682" i="4"/>
  <c r="F682" i="4"/>
  <c r="AH681" i="4"/>
  <c r="AA681" i="4"/>
  <c r="T681" i="4"/>
  <c r="M681" i="4"/>
  <c r="F681" i="4"/>
  <c r="AH680" i="4"/>
  <c r="AA680" i="4"/>
  <c r="T680" i="4"/>
  <c r="M680" i="4"/>
  <c r="F680" i="4"/>
  <c r="AH679" i="4"/>
  <c r="AA679" i="4"/>
  <c r="T679" i="4"/>
  <c r="M679" i="4"/>
  <c r="F679" i="4"/>
  <c r="AH678" i="4"/>
  <c r="AA678" i="4"/>
  <c r="T678" i="4"/>
  <c r="M678" i="4"/>
  <c r="F678" i="4"/>
  <c r="AH677" i="4"/>
  <c r="AA677" i="4"/>
  <c r="T677" i="4"/>
  <c r="M677" i="4"/>
  <c r="F677" i="4"/>
  <c r="AH676" i="4"/>
  <c r="AA676" i="4"/>
  <c r="T676" i="4"/>
  <c r="M676" i="4"/>
  <c r="F676" i="4"/>
  <c r="AH675" i="4"/>
  <c r="AA675" i="4"/>
  <c r="T675" i="4"/>
  <c r="M675" i="4"/>
  <c r="F675" i="4"/>
  <c r="AH674" i="4"/>
  <c r="AA674" i="4"/>
  <c r="T674" i="4"/>
  <c r="M674" i="4"/>
  <c r="F674" i="4"/>
  <c r="AH673" i="4"/>
  <c r="AA673" i="4"/>
  <c r="T673" i="4"/>
  <c r="M673" i="4"/>
  <c r="F673" i="4"/>
  <c r="AH672" i="4"/>
  <c r="AA672" i="4"/>
  <c r="T672" i="4"/>
  <c r="M672" i="4"/>
  <c r="F672" i="4"/>
  <c r="AH671" i="4"/>
  <c r="AA671" i="4"/>
  <c r="T671" i="4"/>
  <c r="M671" i="4"/>
  <c r="F671" i="4"/>
  <c r="AH670" i="4"/>
  <c r="AA670" i="4"/>
  <c r="T670" i="4"/>
  <c r="M670" i="4"/>
  <c r="F670" i="4"/>
  <c r="AH669" i="4"/>
  <c r="AA669" i="4"/>
  <c r="T669" i="4"/>
  <c r="M669" i="4"/>
  <c r="F669" i="4"/>
  <c r="AH668" i="4"/>
  <c r="AA668" i="4"/>
  <c r="T668" i="4"/>
  <c r="M668" i="4"/>
  <c r="F668" i="4"/>
  <c r="AH667" i="4"/>
  <c r="AA667" i="4"/>
  <c r="T667" i="4"/>
  <c r="M667" i="4"/>
  <c r="F667" i="4"/>
  <c r="AH666" i="4"/>
  <c r="AA666" i="4"/>
  <c r="T666" i="4"/>
  <c r="M666" i="4"/>
  <c r="F666" i="4"/>
  <c r="AH665" i="4"/>
  <c r="AA665" i="4"/>
  <c r="T665" i="4"/>
  <c r="M665" i="4"/>
  <c r="F665" i="4"/>
  <c r="AH664" i="4"/>
  <c r="AA664" i="4"/>
  <c r="T664" i="4"/>
  <c r="M664" i="4"/>
  <c r="F664" i="4"/>
  <c r="AH663" i="4"/>
  <c r="AA663" i="4"/>
  <c r="T663" i="4"/>
  <c r="M663" i="4"/>
  <c r="F663" i="4"/>
  <c r="AH662" i="4"/>
  <c r="AA662" i="4"/>
  <c r="T662" i="4"/>
  <c r="M662" i="4"/>
  <c r="F662" i="4"/>
  <c r="AH661" i="4"/>
  <c r="AA661" i="4"/>
  <c r="T661" i="4"/>
  <c r="M661" i="4"/>
  <c r="F661" i="4"/>
  <c r="AH660" i="4"/>
  <c r="AA660" i="4"/>
  <c r="T660" i="4"/>
  <c r="M660" i="4"/>
  <c r="F660" i="4"/>
  <c r="AH659" i="4"/>
  <c r="AA659" i="4"/>
  <c r="T659" i="4"/>
  <c r="M659" i="4"/>
  <c r="F659" i="4"/>
  <c r="AH658" i="4"/>
  <c r="AA658" i="4"/>
  <c r="T658" i="4"/>
  <c r="M658" i="4"/>
  <c r="F658" i="4"/>
  <c r="AH657" i="4"/>
  <c r="AA657" i="4"/>
  <c r="T657" i="4"/>
  <c r="M657" i="4"/>
  <c r="F657" i="4"/>
  <c r="AH656" i="4"/>
  <c r="AA656" i="4"/>
  <c r="T656" i="4"/>
  <c r="M656" i="4"/>
  <c r="F656" i="4"/>
  <c r="AH655" i="4"/>
  <c r="AA655" i="4"/>
  <c r="T655" i="4"/>
  <c r="M655" i="4"/>
  <c r="F655" i="4"/>
  <c r="AH654" i="4"/>
  <c r="AA654" i="4"/>
  <c r="T654" i="4"/>
  <c r="M654" i="4"/>
  <c r="F654" i="4"/>
  <c r="AH653" i="4"/>
  <c r="AA653" i="4"/>
  <c r="T653" i="4"/>
  <c r="M653" i="4"/>
  <c r="F653" i="4"/>
  <c r="AH652" i="4"/>
  <c r="AA652" i="4"/>
  <c r="T652" i="4"/>
  <c r="M652" i="4"/>
  <c r="F652" i="4"/>
  <c r="AH651" i="4"/>
  <c r="AA651" i="4"/>
  <c r="T651" i="4"/>
  <c r="M651" i="4"/>
  <c r="F651" i="4"/>
  <c r="AH650" i="4"/>
  <c r="AA650" i="4"/>
  <c r="T650" i="4"/>
  <c r="M650" i="4"/>
  <c r="F650" i="4"/>
  <c r="AH649" i="4"/>
  <c r="AA649" i="4"/>
  <c r="T649" i="4"/>
  <c r="M649" i="4"/>
  <c r="F649" i="4"/>
  <c r="AH648" i="4"/>
  <c r="AA648" i="4"/>
  <c r="T648" i="4"/>
  <c r="M648" i="4"/>
  <c r="F648" i="4"/>
  <c r="AH647" i="4"/>
  <c r="AA647" i="4"/>
  <c r="T647" i="4"/>
  <c r="M647" i="4"/>
  <c r="F647" i="4"/>
  <c r="AH646" i="4"/>
  <c r="AA646" i="4"/>
  <c r="T646" i="4"/>
  <c r="M646" i="4"/>
  <c r="F646" i="4"/>
  <c r="AH645" i="4"/>
  <c r="AA645" i="4"/>
  <c r="T645" i="4"/>
  <c r="M645" i="4"/>
  <c r="F645" i="4"/>
  <c r="AH644" i="4"/>
  <c r="AA644" i="4"/>
  <c r="T644" i="4"/>
  <c r="M644" i="4"/>
  <c r="F644" i="4"/>
  <c r="AH643" i="4"/>
  <c r="AA643" i="4"/>
  <c r="T643" i="4"/>
  <c r="M643" i="4"/>
  <c r="F643" i="4"/>
  <c r="AH642" i="4"/>
  <c r="AA642" i="4"/>
  <c r="T642" i="4"/>
  <c r="M642" i="4"/>
  <c r="F642" i="4"/>
  <c r="AH641" i="4"/>
  <c r="AA641" i="4"/>
  <c r="T641" i="4"/>
  <c r="M641" i="4"/>
  <c r="F641" i="4"/>
  <c r="AH640" i="4"/>
  <c r="AA640" i="4"/>
  <c r="T640" i="4"/>
  <c r="M640" i="4"/>
  <c r="F640" i="4"/>
  <c r="AH639" i="4"/>
  <c r="AA639" i="4"/>
  <c r="T639" i="4"/>
  <c r="M639" i="4"/>
  <c r="F639" i="4"/>
  <c r="AH638" i="4"/>
  <c r="AA638" i="4"/>
  <c r="T638" i="4"/>
  <c r="M638" i="4"/>
  <c r="F638" i="4"/>
  <c r="AH637" i="4"/>
  <c r="AA637" i="4"/>
  <c r="T637" i="4"/>
  <c r="M637" i="4"/>
  <c r="F637" i="4"/>
  <c r="AH636" i="4"/>
  <c r="AA636" i="4"/>
  <c r="T636" i="4"/>
  <c r="M636" i="4"/>
  <c r="F636" i="4"/>
  <c r="AH635" i="4"/>
  <c r="AA635" i="4"/>
  <c r="T635" i="4"/>
  <c r="M635" i="4"/>
  <c r="F635" i="4"/>
  <c r="AH634" i="4"/>
  <c r="AA634" i="4"/>
  <c r="T634" i="4"/>
  <c r="M634" i="4"/>
  <c r="F634" i="4"/>
  <c r="AH633" i="4"/>
  <c r="AA633" i="4"/>
  <c r="T633" i="4"/>
  <c r="M633" i="4"/>
  <c r="F633" i="4"/>
  <c r="AH632" i="4"/>
  <c r="AA632" i="4"/>
  <c r="T632" i="4"/>
  <c r="M632" i="4"/>
  <c r="F632" i="4"/>
  <c r="AH631" i="4"/>
  <c r="AA631" i="4"/>
  <c r="T631" i="4"/>
  <c r="M631" i="4"/>
  <c r="F631" i="4"/>
  <c r="AH630" i="4"/>
  <c r="AA630" i="4"/>
  <c r="T630" i="4"/>
  <c r="M630" i="4"/>
  <c r="F630" i="4"/>
  <c r="AH629" i="4"/>
  <c r="AA629" i="4"/>
  <c r="T629" i="4"/>
  <c r="M629" i="4"/>
  <c r="F629" i="4"/>
  <c r="AH628" i="4"/>
  <c r="AA628" i="4"/>
  <c r="T628" i="4"/>
  <c r="M628" i="4"/>
  <c r="F628" i="4"/>
  <c r="AH627" i="4"/>
  <c r="AA627" i="4"/>
  <c r="T627" i="4"/>
  <c r="M627" i="4"/>
  <c r="F627" i="4"/>
  <c r="AH626" i="4"/>
  <c r="AA626" i="4"/>
  <c r="T626" i="4"/>
  <c r="M626" i="4"/>
  <c r="F626" i="4"/>
  <c r="AH625" i="4"/>
  <c r="AA625" i="4"/>
  <c r="T625" i="4"/>
  <c r="M625" i="4"/>
  <c r="F625" i="4"/>
  <c r="AH624" i="4"/>
  <c r="AA624" i="4"/>
  <c r="T624" i="4"/>
  <c r="M624" i="4"/>
  <c r="F624" i="4"/>
  <c r="AH623" i="4"/>
  <c r="AA623" i="4"/>
  <c r="T623" i="4"/>
  <c r="M623" i="4"/>
  <c r="F623" i="4"/>
  <c r="AH622" i="4"/>
  <c r="AA622" i="4"/>
  <c r="T622" i="4"/>
  <c r="M622" i="4"/>
  <c r="F622" i="4"/>
  <c r="AH621" i="4"/>
  <c r="AA621" i="4"/>
  <c r="T621" i="4"/>
  <c r="M621" i="4"/>
  <c r="F621" i="4"/>
  <c r="AH620" i="4"/>
  <c r="AA620" i="4"/>
  <c r="T620" i="4"/>
  <c r="M620" i="4"/>
  <c r="F620" i="4"/>
  <c r="AH619" i="4"/>
  <c r="AA619" i="4"/>
  <c r="T619" i="4"/>
  <c r="M619" i="4"/>
  <c r="F619" i="4"/>
  <c r="AH618" i="4"/>
  <c r="AA618" i="4"/>
  <c r="T618" i="4"/>
  <c r="M618" i="4"/>
  <c r="F618" i="4"/>
  <c r="AH617" i="4"/>
  <c r="AA617" i="4"/>
  <c r="T617" i="4"/>
  <c r="M617" i="4"/>
  <c r="F617" i="4"/>
  <c r="AH616" i="4"/>
  <c r="AA616" i="4"/>
  <c r="T616" i="4"/>
  <c r="M616" i="4"/>
  <c r="F616" i="4"/>
  <c r="AH615" i="4"/>
  <c r="AA615" i="4"/>
  <c r="T615" i="4"/>
  <c r="M615" i="4"/>
  <c r="F615" i="4"/>
  <c r="AH614" i="4"/>
  <c r="AA614" i="4"/>
  <c r="T614" i="4"/>
  <c r="M614" i="4"/>
  <c r="F614" i="4"/>
  <c r="AH613" i="4"/>
  <c r="AA613" i="4"/>
  <c r="T613" i="4"/>
  <c r="M613" i="4"/>
  <c r="F613" i="4"/>
  <c r="AH612" i="4"/>
  <c r="AA612" i="4"/>
  <c r="T612" i="4"/>
  <c r="M612" i="4"/>
  <c r="F612" i="4"/>
  <c r="AH611" i="4"/>
  <c r="AA611" i="4"/>
  <c r="T611" i="4"/>
  <c r="M611" i="4"/>
  <c r="F611" i="4"/>
  <c r="AH610" i="4"/>
  <c r="AA610" i="4"/>
  <c r="T610" i="4"/>
  <c r="M610" i="4"/>
  <c r="F610" i="4"/>
  <c r="AH609" i="4"/>
  <c r="AA609" i="4"/>
  <c r="T609" i="4"/>
  <c r="M609" i="4"/>
  <c r="F609" i="4"/>
  <c r="AH608" i="4"/>
  <c r="AA608" i="4"/>
  <c r="T608" i="4"/>
  <c r="M608" i="4"/>
  <c r="F608" i="4"/>
  <c r="AH607" i="4"/>
  <c r="AA607" i="4"/>
  <c r="T607" i="4"/>
  <c r="M607" i="4"/>
  <c r="F607" i="4"/>
  <c r="AH606" i="4"/>
  <c r="AA606" i="4"/>
  <c r="T606" i="4"/>
  <c r="M606" i="4"/>
  <c r="F606" i="4"/>
  <c r="AH605" i="4"/>
  <c r="AA605" i="4"/>
  <c r="T605" i="4"/>
  <c r="M605" i="4"/>
  <c r="F605" i="4"/>
  <c r="AH604" i="4"/>
  <c r="AA604" i="4"/>
  <c r="T604" i="4"/>
  <c r="M604" i="4"/>
  <c r="F604" i="4"/>
  <c r="AH603" i="4"/>
  <c r="AA603" i="4"/>
  <c r="T603" i="4"/>
  <c r="M603" i="4"/>
  <c r="F603" i="4"/>
  <c r="AH602" i="4"/>
  <c r="AA602" i="4"/>
  <c r="T602" i="4"/>
  <c r="M602" i="4"/>
  <c r="F602" i="4"/>
  <c r="AH601" i="4"/>
  <c r="AA601" i="4"/>
  <c r="T601" i="4"/>
  <c r="M601" i="4"/>
  <c r="F601" i="4"/>
  <c r="AH600" i="4"/>
  <c r="AA600" i="4"/>
  <c r="T600" i="4"/>
  <c r="M600" i="4"/>
  <c r="F600" i="4"/>
  <c r="AH599" i="4"/>
  <c r="AA599" i="4"/>
  <c r="T599" i="4"/>
  <c r="M599" i="4"/>
  <c r="F599" i="4"/>
  <c r="AH598" i="4"/>
  <c r="AA598" i="4"/>
  <c r="T598" i="4"/>
  <c r="M598" i="4"/>
  <c r="F598" i="4"/>
  <c r="AH597" i="4"/>
  <c r="AA597" i="4"/>
  <c r="T597" i="4"/>
  <c r="M597" i="4"/>
  <c r="F597" i="4"/>
  <c r="AH596" i="4"/>
  <c r="AA596" i="4"/>
  <c r="T596" i="4"/>
  <c r="M596" i="4"/>
  <c r="F596" i="4"/>
  <c r="AH595" i="4"/>
  <c r="AA595" i="4"/>
  <c r="T595" i="4"/>
  <c r="M595" i="4"/>
  <c r="F595" i="4"/>
  <c r="AH594" i="4"/>
  <c r="AA594" i="4"/>
  <c r="T594" i="4"/>
  <c r="M594" i="4"/>
  <c r="F594" i="4"/>
  <c r="AH593" i="4"/>
  <c r="AA593" i="4"/>
  <c r="T593" i="4"/>
  <c r="M593" i="4"/>
  <c r="F593" i="4"/>
  <c r="AH592" i="4"/>
  <c r="AA592" i="4"/>
  <c r="T592" i="4"/>
  <c r="M592" i="4"/>
  <c r="F592" i="4"/>
  <c r="AH591" i="4"/>
  <c r="AA591" i="4"/>
  <c r="T591" i="4"/>
  <c r="M591" i="4"/>
  <c r="F591" i="4"/>
  <c r="AH590" i="4"/>
  <c r="AA590" i="4"/>
  <c r="T590" i="4"/>
  <c r="M590" i="4"/>
  <c r="F590" i="4"/>
  <c r="AH589" i="4"/>
  <c r="AA589" i="4"/>
  <c r="T589" i="4"/>
  <c r="M589" i="4"/>
  <c r="F589" i="4"/>
  <c r="AH588" i="4"/>
  <c r="AA588" i="4"/>
  <c r="T588" i="4"/>
  <c r="M588" i="4"/>
  <c r="F588" i="4"/>
  <c r="AH587" i="4"/>
  <c r="AA587" i="4"/>
  <c r="T587" i="4"/>
  <c r="M587" i="4"/>
  <c r="F587" i="4"/>
  <c r="AH586" i="4"/>
  <c r="AA586" i="4"/>
  <c r="T586" i="4"/>
  <c r="M586" i="4"/>
  <c r="F586" i="4"/>
  <c r="AH585" i="4"/>
  <c r="AA585" i="4"/>
  <c r="T585" i="4"/>
  <c r="M585" i="4"/>
  <c r="F585" i="4"/>
  <c r="AH584" i="4"/>
  <c r="AA584" i="4"/>
  <c r="T584" i="4"/>
  <c r="M584" i="4"/>
  <c r="F584" i="4"/>
  <c r="AH583" i="4"/>
  <c r="AA583" i="4"/>
  <c r="T583" i="4"/>
  <c r="M583" i="4"/>
  <c r="F583" i="4"/>
  <c r="AH582" i="4"/>
  <c r="AA582" i="4"/>
  <c r="T582" i="4"/>
  <c r="M582" i="4"/>
  <c r="F582" i="4"/>
  <c r="AH581" i="4"/>
  <c r="AA581" i="4"/>
  <c r="T581" i="4"/>
  <c r="M581" i="4"/>
  <c r="F581" i="4"/>
  <c r="AH580" i="4"/>
  <c r="AA580" i="4"/>
  <c r="T580" i="4"/>
  <c r="M580" i="4"/>
  <c r="F580" i="4"/>
  <c r="AH579" i="4"/>
  <c r="AA579" i="4"/>
  <c r="T579" i="4"/>
  <c r="M579" i="4"/>
  <c r="F579" i="4"/>
  <c r="AH578" i="4"/>
  <c r="AA578" i="4"/>
  <c r="T578" i="4"/>
  <c r="M578" i="4"/>
  <c r="F578" i="4"/>
  <c r="AH577" i="4"/>
  <c r="AA577" i="4"/>
  <c r="T577" i="4"/>
  <c r="M577" i="4"/>
  <c r="F577" i="4"/>
  <c r="AH576" i="4"/>
  <c r="AA576" i="4"/>
  <c r="T576" i="4"/>
  <c r="M576" i="4"/>
  <c r="F576" i="4"/>
  <c r="AH575" i="4"/>
  <c r="AA575" i="4"/>
  <c r="T575" i="4"/>
  <c r="M575" i="4"/>
  <c r="F575" i="4"/>
  <c r="AH574" i="4"/>
  <c r="AA574" i="4"/>
  <c r="T574" i="4"/>
  <c r="M574" i="4"/>
  <c r="F574" i="4"/>
  <c r="AH573" i="4"/>
  <c r="AA573" i="4"/>
  <c r="T573" i="4"/>
  <c r="M573" i="4"/>
  <c r="F573" i="4"/>
  <c r="AH572" i="4"/>
  <c r="AA572" i="4"/>
  <c r="T572" i="4"/>
  <c r="M572" i="4"/>
  <c r="F572" i="4"/>
  <c r="AH571" i="4"/>
  <c r="AA571" i="4"/>
  <c r="T571" i="4"/>
  <c r="M571" i="4"/>
  <c r="F571" i="4"/>
  <c r="AH570" i="4"/>
  <c r="AA570" i="4"/>
  <c r="T570" i="4"/>
  <c r="M570" i="4"/>
  <c r="F570" i="4"/>
  <c r="AH569" i="4"/>
  <c r="AA569" i="4"/>
  <c r="T569" i="4"/>
  <c r="M569" i="4"/>
  <c r="F569" i="4"/>
  <c r="AH568" i="4"/>
  <c r="AA568" i="4"/>
  <c r="T568" i="4"/>
  <c r="M568" i="4"/>
  <c r="F568" i="4"/>
  <c r="AH567" i="4"/>
  <c r="AA567" i="4"/>
  <c r="T567" i="4"/>
  <c r="M567" i="4"/>
  <c r="F567" i="4"/>
  <c r="AH566" i="4"/>
  <c r="AA566" i="4"/>
  <c r="T566" i="4"/>
  <c r="M566" i="4"/>
  <c r="F566" i="4"/>
  <c r="AH565" i="4"/>
  <c r="AA565" i="4"/>
  <c r="T565" i="4"/>
  <c r="M565" i="4"/>
  <c r="F565" i="4"/>
  <c r="AH564" i="4"/>
  <c r="AA564" i="4"/>
  <c r="T564" i="4"/>
  <c r="M564" i="4"/>
  <c r="F564" i="4"/>
  <c r="AH563" i="4"/>
  <c r="AA563" i="4"/>
  <c r="T563" i="4"/>
  <c r="M563" i="4"/>
  <c r="F563" i="4"/>
  <c r="AH562" i="4"/>
  <c r="AA562" i="4"/>
  <c r="T562" i="4"/>
  <c r="M562" i="4"/>
  <c r="F562" i="4"/>
  <c r="AH561" i="4"/>
  <c r="AA561" i="4"/>
  <c r="T561" i="4"/>
  <c r="M561" i="4"/>
  <c r="F561" i="4"/>
  <c r="AH560" i="4"/>
  <c r="AA560" i="4"/>
  <c r="T560" i="4"/>
  <c r="M560" i="4"/>
  <c r="F560" i="4"/>
  <c r="AH559" i="4"/>
  <c r="AA559" i="4"/>
  <c r="T559" i="4"/>
  <c r="M559" i="4"/>
  <c r="F559" i="4"/>
  <c r="AH558" i="4"/>
  <c r="AA558" i="4"/>
  <c r="T558" i="4"/>
  <c r="M558" i="4"/>
  <c r="F558" i="4"/>
  <c r="AH557" i="4"/>
  <c r="AA557" i="4"/>
  <c r="T557" i="4"/>
  <c r="M557" i="4"/>
  <c r="F557" i="4"/>
  <c r="AH556" i="4"/>
  <c r="AA556" i="4"/>
  <c r="T556" i="4"/>
  <c r="M556" i="4"/>
  <c r="F556" i="4"/>
  <c r="AH555" i="4"/>
  <c r="AA555" i="4"/>
  <c r="T555" i="4"/>
  <c r="M555" i="4"/>
  <c r="F555" i="4"/>
  <c r="AH554" i="4"/>
  <c r="AA554" i="4"/>
  <c r="T554" i="4"/>
  <c r="M554" i="4"/>
  <c r="F554" i="4"/>
  <c r="AH553" i="4"/>
  <c r="AA553" i="4"/>
  <c r="T553" i="4"/>
  <c r="M553" i="4"/>
  <c r="F553" i="4"/>
  <c r="AH552" i="4"/>
  <c r="AA552" i="4"/>
  <c r="T552" i="4"/>
  <c r="M552" i="4"/>
  <c r="F552" i="4"/>
  <c r="AH551" i="4"/>
  <c r="AA551" i="4"/>
  <c r="T551" i="4"/>
  <c r="M551" i="4"/>
  <c r="F551" i="4"/>
  <c r="AH550" i="4"/>
  <c r="AA550" i="4"/>
  <c r="T550" i="4"/>
  <c r="M550" i="4"/>
  <c r="F550" i="4"/>
  <c r="AH549" i="4"/>
  <c r="AA549" i="4"/>
  <c r="T549" i="4"/>
  <c r="M549" i="4"/>
  <c r="F549" i="4"/>
  <c r="AH548" i="4"/>
  <c r="AA548" i="4"/>
  <c r="T548" i="4"/>
  <c r="M548" i="4"/>
  <c r="F548" i="4"/>
  <c r="AH547" i="4"/>
  <c r="AA547" i="4"/>
  <c r="T547" i="4"/>
  <c r="M547" i="4"/>
  <c r="F547" i="4"/>
  <c r="AH546" i="4"/>
  <c r="AA546" i="4"/>
  <c r="T546" i="4"/>
  <c r="M546" i="4"/>
  <c r="F546" i="4"/>
  <c r="AH545" i="4"/>
  <c r="AA545" i="4"/>
  <c r="T545" i="4"/>
  <c r="M545" i="4"/>
  <c r="F545" i="4"/>
  <c r="AH544" i="4"/>
  <c r="AA544" i="4"/>
  <c r="T544" i="4"/>
  <c r="M544" i="4"/>
  <c r="F544" i="4"/>
  <c r="AH543" i="4"/>
  <c r="AA543" i="4"/>
  <c r="T543" i="4"/>
  <c r="M543" i="4"/>
  <c r="F543" i="4"/>
  <c r="AH542" i="4"/>
  <c r="AA542" i="4"/>
  <c r="T542" i="4"/>
  <c r="M542" i="4"/>
  <c r="F542" i="4"/>
  <c r="AH541" i="4"/>
  <c r="AA541" i="4"/>
  <c r="T541" i="4"/>
  <c r="M541" i="4"/>
  <c r="F541" i="4"/>
  <c r="AH540" i="4"/>
  <c r="AA540" i="4"/>
  <c r="T540" i="4"/>
  <c r="M540" i="4"/>
  <c r="F540" i="4"/>
  <c r="AH539" i="4"/>
  <c r="AA539" i="4"/>
  <c r="T539" i="4"/>
  <c r="M539" i="4"/>
  <c r="F539" i="4"/>
  <c r="AH538" i="4"/>
  <c r="AA538" i="4"/>
  <c r="T538" i="4"/>
  <c r="M538" i="4"/>
  <c r="F538" i="4"/>
  <c r="AH537" i="4"/>
  <c r="AA537" i="4"/>
  <c r="T537" i="4"/>
  <c r="M537" i="4"/>
  <c r="F537" i="4"/>
  <c r="AH536" i="4"/>
  <c r="AA536" i="4"/>
  <c r="T536" i="4"/>
  <c r="M536" i="4"/>
  <c r="F536" i="4"/>
  <c r="AH535" i="4"/>
  <c r="AA535" i="4"/>
  <c r="T535" i="4"/>
  <c r="M535" i="4"/>
  <c r="F535" i="4"/>
  <c r="AH534" i="4"/>
  <c r="AA534" i="4"/>
  <c r="T534" i="4"/>
  <c r="M534" i="4"/>
  <c r="F534" i="4"/>
  <c r="AH533" i="4"/>
  <c r="AA533" i="4"/>
  <c r="T533" i="4"/>
  <c r="M533" i="4"/>
  <c r="F533" i="4"/>
  <c r="AH532" i="4"/>
  <c r="AA532" i="4"/>
  <c r="T532" i="4"/>
  <c r="M532" i="4"/>
  <c r="F532" i="4"/>
  <c r="AH531" i="4"/>
  <c r="AA531" i="4"/>
  <c r="T531" i="4"/>
  <c r="M531" i="4"/>
  <c r="F531" i="4"/>
  <c r="AH530" i="4"/>
  <c r="AA530" i="4"/>
  <c r="T530" i="4"/>
  <c r="M530" i="4"/>
  <c r="F530" i="4"/>
  <c r="AH529" i="4"/>
  <c r="AA529" i="4"/>
  <c r="T529" i="4"/>
  <c r="M529" i="4"/>
  <c r="F529" i="4"/>
  <c r="AH528" i="4"/>
  <c r="AA528" i="4"/>
  <c r="T528" i="4"/>
  <c r="M528" i="4"/>
  <c r="F528" i="4"/>
  <c r="AH527" i="4"/>
  <c r="AA527" i="4"/>
  <c r="T527" i="4"/>
  <c r="M527" i="4"/>
  <c r="F527" i="4"/>
  <c r="AH526" i="4"/>
  <c r="AA526" i="4"/>
  <c r="T526" i="4"/>
  <c r="M526" i="4"/>
  <c r="F526" i="4"/>
  <c r="AH525" i="4"/>
  <c r="AA525" i="4"/>
  <c r="T525" i="4"/>
  <c r="M525" i="4"/>
  <c r="F525" i="4"/>
  <c r="AH524" i="4"/>
  <c r="AA524" i="4"/>
  <c r="T524" i="4"/>
  <c r="M524" i="4"/>
  <c r="F524" i="4"/>
  <c r="AH523" i="4"/>
  <c r="AA523" i="4"/>
  <c r="T523" i="4"/>
  <c r="M523" i="4"/>
  <c r="F523" i="4"/>
  <c r="AH522" i="4"/>
  <c r="AA522" i="4"/>
  <c r="T522" i="4"/>
  <c r="M522" i="4"/>
  <c r="F522" i="4"/>
  <c r="AH521" i="4"/>
  <c r="AA521" i="4"/>
  <c r="T521" i="4"/>
  <c r="M521" i="4"/>
  <c r="F521" i="4"/>
  <c r="AH520" i="4"/>
  <c r="AA520" i="4"/>
  <c r="T520" i="4"/>
  <c r="M520" i="4"/>
  <c r="F520" i="4"/>
  <c r="AH519" i="4"/>
  <c r="AA519" i="4"/>
  <c r="T519" i="4"/>
  <c r="M519" i="4"/>
  <c r="F519" i="4"/>
  <c r="AH518" i="4"/>
  <c r="AA518" i="4"/>
  <c r="T518" i="4"/>
  <c r="M518" i="4"/>
  <c r="F518" i="4"/>
  <c r="AH517" i="4"/>
  <c r="AA517" i="4"/>
  <c r="T517" i="4"/>
  <c r="M517" i="4"/>
  <c r="F517" i="4"/>
  <c r="AH516" i="4"/>
  <c r="AA516" i="4"/>
  <c r="T516" i="4"/>
  <c r="M516" i="4"/>
  <c r="F516" i="4"/>
  <c r="AH515" i="4"/>
  <c r="AA515" i="4"/>
  <c r="T515" i="4"/>
  <c r="M515" i="4"/>
  <c r="F515" i="4"/>
  <c r="AH514" i="4"/>
  <c r="AA514" i="4"/>
  <c r="T514" i="4"/>
  <c r="M514" i="4"/>
  <c r="F514" i="4"/>
  <c r="AH513" i="4"/>
  <c r="AA513" i="4"/>
  <c r="T513" i="4"/>
  <c r="M513" i="4"/>
  <c r="F513" i="4"/>
  <c r="AH512" i="4"/>
  <c r="AA512" i="4"/>
  <c r="T512" i="4"/>
  <c r="M512" i="4"/>
  <c r="F512" i="4"/>
  <c r="AH511" i="4"/>
  <c r="AA511" i="4"/>
  <c r="T511" i="4"/>
  <c r="M511" i="4"/>
  <c r="F511" i="4"/>
  <c r="AH510" i="4"/>
  <c r="AA510" i="4"/>
  <c r="T510" i="4"/>
  <c r="M510" i="4"/>
  <c r="F510" i="4"/>
  <c r="AH509" i="4"/>
  <c r="AA509" i="4"/>
  <c r="T509" i="4"/>
  <c r="M509" i="4"/>
  <c r="F509" i="4"/>
  <c r="AH508" i="4"/>
  <c r="AA508" i="4"/>
  <c r="T508" i="4"/>
  <c r="M508" i="4"/>
  <c r="F508" i="4"/>
  <c r="AH507" i="4"/>
  <c r="AA507" i="4"/>
  <c r="T507" i="4"/>
  <c r="M507" i="4"/>
  <c r="F507" i="4"/>
  <c r="AH506" i="4"/>
  <c r="AA506" i="4"/>
  <c r="T506" i="4"/>
  <c r="M506" i="4"/>
  <c r="F506" i="4"/>
  <c r="AH505" i="4"/>
  <c r="AA505" i="4"/>
  <c r="T505" i="4"/>
  <c r="M505" i="4"/>
  <c r="F505" i="4"/>
  <c r="AH504" i="4"/>
  <c r="AA504" i="4"/>
  <c r="T504" i="4"/>
  <c r="M504" i="4"/>
  <c r="F504" i="4"/>
  <c r="AH503" i="4"/>
  <c r="AA503" i="4"/>
  <c r="T503" i="4"/>
  <c r="M503" i="4"/>
  <c r="F503" i="4"/>
  <c r="AH502" i="4"/>
  <c r="AA502" i="4"/>
  <c r="T502" i="4"/>
  <c r="M502" i="4"/>
  <c r="F502" i="4"/>
  <c r="AH501" i="4"/>
  <c r="AA501" i="4"/>
  <c r="T501" i="4"/>
  <c r="M501" i="4"/>
  <c r="F501" i="4"/>
  <c r="AH500" i="4"/>
  <c r="AA500" i="4"/>
  <c r="T500" i="4"/>
  <c r="M500" i="4"/>
  <c r="F500" i="4"/>
  <c r="AH499" i="4"/>
  <c r="AA499" i="4"/>
  <c r="T499" i="4"/>
  <c r="M499" i="4"/>
  <c r="F499" i="4"/>
  <c r="AH498" i="4"/>
  <c r="AA498" i="4"/>
  <c r="T498" i="4"/>
  <c r="M498" i="4"/>
  <c r="F498" i="4"/>
  <c r="AH497" i="4"/>
  <c r="AA497" i="4"/>
  <c r="T497" i="4"/>
  <c r="M497" i="4"/>
  <c r="F497" i="4"/>
  <c r="AH496" i="4"/>
  <c r="AA496" i="4"/>
  <c r="T496" i="4"/>
  <c r="M496" i="4"/>
  <c r="F496" i="4"/>
  <c r="AH495" i="4"/>
  <c r="AA495" i="4"/>
  <c r="T495" i="4"/>
  <c r="M495" i="4"/>
  <c r="F495" i="4"/>
  <c r="AH494" i="4"/>
  <c r="AA494" i="4"/>
  <c r="T494" i="4"/>
  <c r="M494" i="4"/>
  <c r="F494" i="4"/>
  <c r="AH493" i="4"/>
  <c r="AA493" i="4"/>
  <c r="T493" i="4"/>
  <c r="M493" i="4"/>
  <c r="F493" i="4"/>
  <c r="AH492" i="4"/>
  <c r="AA492" i="4"/>
  <c r="T492" i="4"/>
  <c r="M492" i="4"/>
  <c r="F492" i="4"/>
  <c r="AH491" i="4"/>
  <c r="AA491" i="4"/>
  <c r="T491" i="4"/>
  <c r="M491" i="4"/>
  <c r="F491" i="4"/>
  <c r="AH490" i="4"/>
  <c r="AA490" i="4"/>
  <c r="T490" i="4"/>
  <c r="M490" i="4"/>
  <c r="F490" i="4"/>
  <c r="AH489" i="4"/>
  <c r="AA489" i="4"/>
  <c r="T489" i="4"/>
  <c r="M489" i="4"/>
  <c r="F489" i="4"/>
  <c r="AH488" i="4"/>
  <c r="AA488" i="4"/>
  <c r="T488" i="4"/>
  <c r="M488" i="4"/>
  <c r="F488" i="4"/>
  <c r="AH487" i="4"/>
  <c r="AA487" i="4"/>
  <c r="T487" i="4"/>
  <c r="M487" i="4"/>
  <c r="F487" i="4"/>
  <c r="AH486" i="4"/>
  <c r="AA486" i="4"/>
  <c r="T486" i="4"/>
  <c r="M486" i="4"/>
  <c r="F486" i="4"/>
  <c r="AH485" i="4"/>
  <c r="AA485" i="4"/>
  <c r="T485" i="4"/>
  <c r="M485" i="4"/>
  <c r="F485" i="4"/>
  <c r="AH484" i="4"/>
  <c r="AA484" i="4"/>
  <c r="T484" i="4"/>
  <c r="M484" i="4"/>
  <c r="F484" i="4"/>
  <c r="AH483" i="4"/>
  <c r="AA483" i="4"/>
  <c r="T483" i="4"/>
  <c r="M483" i="4"/>
  <c r="F483" i="4"/>
  <c r="AH482" i="4"/>
  <c r="AA482" i="4"/>
  <c r="T482" i="4"/>
  <c r="M482" i="4"/>
  <c r="F482" i="4"/>
  <c r="AH481" i="4"/>
  <c r="AA481" i="4"/>
  <c r="T481" i="4"/>
  <c r="M481" i="4"/>
  <c r="F481" i="4"/>
  <c r="AH480" i="4"/>
  <c r="AA480" i="4"/>
  <c r="T480" i="4"/>
  <c r="M480" i="4"/>
  <c r="F480" i="4"/>
  <c r="AH479" i="4"/>
  <c r="AA479" i="4"/>
  <c r="T479" i="4"/>
  <c r="M479" i="4"/>
  <c r="F479" i="4"/>
  <c r="AH478" i="4"/>
  <c r="AA478" i="4"/>
  <c r="T478" i="4"/>
  <c r="M478" i="4"/>
  <c r="F478" i="4"/>
  <c r="AH477" i="4"/>
  <c r="AA477" i="4"/>
  <c r="T477" i="4"/>
  <c r="M477" i="4"/>
  <c r="F477" i="4"/>
  <c r="AH476" i="4"/>
  <c r="AA476" i="4"/>
  <c r="T476" i="4"/>
  <c r="M476" i="4"/>
  <c r="F476" i="4"/>
  <c r="AH475" i="4"/>
  <c r="AA475" i="4"/>
  <c r="T475" i="4"/>
  <c r="M475" i="4"/>
  <c r="F475" i="4"/>
  <c r="AH474" i="4"/>
  <c r="AA474" i="4"/>
  <c r="T474" i="4"/>
  <c r="M474" i="4"/>
  <c r="F474" i="4"/>
  <c r="AH473" i="4"/>
  <c r="AA473" i="4"/>
  <c r="T473" i="4"/>
  <c r="M473" i="4"/>
  <c r="F473" i="4"/>
  <c r="AH472" i="4"/>
  <c r="AA472" i="4"/>
  <c r="T472" i="4"/>
  <c r="M472" i="4"/>
  <c r="F472" i="4"/>
  <c r="AH471" i="4"/>
  <c r="AA471" i="4"/>
  <c r="T471" i="4"/>
  <c r="M471" i="4"/>
  <c r="F471" i="4"/>
  <c r="AH470" i="4"/>
  <c r="AA470" i="4"/>
  <c r="T470" i="4"/>
  <c r="M470" i="4"/>
  <c r="F470" i="4"/>
  <c r="AH469" i="4"/>
  <c r="AA469" i="4"/>
  <c r="T469" i="4"/>
  <c r="M469" i="4"/>
  <c r="F469" i="4"/>
  <c r="AH468" i="4"/>
  <c r="AA468" i="4"/>
  <c r="T468" i="4"/>
  <c r="M468" i="4"/>
  <c r="F468" i="4"/>
  <c r="AH467" i="4"/>
  <c r="AA467" i="4"/>
  <c r="T467" i="4"/>
  <c r="M467" i="4"/>
  <c r="F467" i="4"/>
  <c r="AH466" i="4"/>
  <c r="AA466" i="4"/>
  <c r="T466" i="4"/>
  <c r="M466" i="4"/>
  <c r="F466" i="4"/>
  <c r="AH465" i="4"/>
  <c r="AA465" i="4"/>
  <c r="T465" i="4"/>
  <c r="M465" i="4"/>
  <c r="F465" i="4"/>
  <c r="AH464" i="4"/>
  <c r="AA464" i="4"/>
  <c r="T464" i="4"/>
  <c r="M464" i="4"/>
  <c r="F464" i="4"/>
  <c r="AH463" i="4"/>
  <c r="AA463" i="4"/>
  <c r="T463" i="4"/>
  <c r="M463" i="4"/>
  <c r="F463" i="4"/>
  <c r="AH462" i="4"/>
  <c r="AA462" i="4"/>
  <c r="T462" i="4"/>
  <c r="M462" i="4"/>
  <c r="F462" i="4"/>
  <c r="AH461" i="4"/>
  <c r="AA461" i="4"/>
  <c r="T461" i="4"/>
  <c r="M461" i="4"/>
  <c r="F461" i="4"/>
  <c r="AH460" i="4"/>
  <c r="AA460" i="4"/>
  <c r="T460" i="4"/>
  <c r="M460" i="4"/>
  <c r="F460" i="4"/>
  <c r="AH459" i="4"/>
  <c r="AA459" i="4"/>
  <c r="T459" i="4"/>
  <c r="M459" i="4"/>
  <c r="F459" i="4"/>
  <c r="AH458" i="4"/>
  <c r="AA458" i="4"/>
  <c r="T458" i="4"/>
  <c r="M458" i="4"/>
  <c r="F458" i="4"/>
  <c r="AH457" i="4"/>
  <c r="AA457" i="4"/>
  <c r="T457" i="4"/>
  <c r="M457" i="4"/>
  <c r="F457" i="4"/>
  <c r="AH456" i="4"/>
  <c r="AA456" i="4"/>
  <c r="T456" i="4"/>
  <c r="M456" i="4"/>
  <c r="F456" i="4"/>
  <c r="AH455" i="4"/>
  <c r="AA455" i="4"/>
  <c r="T455" i="4"/>
  <c r="M455" i="4"/>
  <c r="F455" i="4"/>
  <c r="AH454" i="4"/>
  <c r="AA454" i="4"/>
  <c r="T454" i="4"/>
  <c r="M454" i="4"/>
  <c r="F454" i="4"/>
  <c r="AH453" i="4"/>
  <c r="AA453" i="4"/>
  <c r="T453" i="4"/>
  <c r="M453" i="4"/>
  <c r="F453" i="4"/>
  <c r="AH452" i="4"/>
  <c r="AA452" i="4"/>
  <c r="T452" i="4"/>
  <c r="M452" i="4"/>
  <c r="F452" i="4"/>
  <c r="AH451" i="4"/>
  <c r="AA451" i="4"/>
  <c r="T451" i="4"/>
  <c r="M451" i="4"/>
  <c r="F451" i="4"/>
  <c r="AH450" i="4"/>
  <c r="AA450" i="4"/>
  <c r="T450" i="4"/>
  <c r="M450" i="4"/>
  <c r="F450" i="4"/>
  <c r="AH449" i="4"/>
  <c r="AA449" i="4"/>
  <c r="T449" i="4"/>
  <c r="M449" i="4"/>
  <c r="F449" i="4"/>
  <c r="AH448" i="4"/>
  <c r="AA448" i="4"/>
  <c r="T448" i="4"/>
  <c r="M448" i="4"/>
  <c r="F448" i="4"/>
  <c r="AH447" i="4"/>
  <c r="AA447" i="4"/>
  <c r="T447" i="4"/>
  <c r="M447" i="4"/>
  <c r="F447" i="4"/>
  <c r="AH446" i="4"/>
  <c r="AA446" i="4"/>
  <c r="T446" i="4"/>
  <c r="M446" i="4"/>
  <c r="F446" i="4"/>
  <c r="AH445" i="4"/>
  <c r="AA445" i="4"/>
  <c r="T445" i="4"/>
  <c r="M445" i="4"/>
  <c r="F445" i="4"/>
  <c r="AH444" i="4"/>
  <c r="AA444" i="4"/>
  <c r="T444" i="4"/>
  <c r="M444" i="4"/>
  <c r="F444" i="4"/>
  <c r="AH443" i="4"/>
  <c r="AA443" i="4"/>
  <c r="T443" i="4"/>
  <c r="M443" i="4"/>
  <c r="F443" i="4"/>
  <c r="AH442" i="4"/>
  <c r="AA442" i="4"/>
  <c r="T442" i="4"/>
  <c r="M442" i="4"/>
  <c r="F442" i="4"/>
  <c r="AH441" i="4"/>
  <c r="AA441" i="4"/>
  <c r="T441" i="4"/>
  <c r="M441" i="4"/>
  <c r="F441" i="4"/>
  <c r="AH440" i="4"/>
  <c r="AA440" i="4"/>
  <c r="T440" i="4"/>
  <c r="M440" i="4"/>
  <c r="F440" i="4"/>
  <c r="AH439" i="4"/>
  <c r="AA439" i="4"/>
  <c r="T439" i="4"/>
  <c r="M439" i="4"/>
  <c r="F439" i="4"/>
  <c r="AH438" i="4"/>
  <c r="AA438" i="4"/>
  <c r="T438" i="4"/>
  <c r="M438" i="4"/>
  <c r="F438" i="4"/>
  <c r="AH437" i="4"/>
  <c r="AA437" i="4"/>
  <c r="T437" i="4"/>
  <c r="M437" i="4"/>
  <c r="F437" i="4"/>
  <c r="AH436" i="4"/>
  <c r="AA436" i="4"/>
  <c r="T436" i="4"/>
  <c r="M436" i="4"/>
  <c r="F436" i="4"/>
  <c r="AH435" i="4"/>
  <c r="AA435" i="4"/>
  <c r="T435" i="4"/>
  <c r="M435" i="4"/>
  <c r="F435" i="4"/>
  <c r="AH434" i="4"/>
  <c r="AA434" i="4"/>
  <c r="T434" i="4"/>
  <c r="M434" i="4"/>
  <c r="F434" i="4"/>
  <c r="AH433" i="4"/>
  <c r="AA433" i="4"/>
  <c r="T433" i="4"/>
  <c r="M433" i="4"/>
  <c r="F433" i="4"/>
  <c r="AH432" i="4"/>
  <c r="AA432" i="4"/>
  <c r="T432" i="4"/>
  <c r="M432" i="4"/>
  <c r="F432" i="4"/>
  <c r="AH431" i="4"/>
  <c r="AA431" i="4"/>
  <c r="T431" i="4"/>
  <c r="M431" i="4"/>
  <c r="F431" i="4"/>
  <c r="AH430" i="4"/>
  <c r="AA430" i="4"/>
  <c r="T430" i="4"/>
  <c r="M430" i="4"/>
  <c r="F430" i="4"/>
  <c r="AH429" i="4"/>
  <c r="AA429" i="4"/>
  <c r="T429" i="4"/>
  <c r="M429" i="4"/>
  <c r="F429" i="4"/>
  <c r="AH428" i="4"/>
  <c r="AA428" i="4"/>
  <c r="T428" i="4"/>
  <c r="M428" i="4"/>
  <c r="F428" i="4"/>
  <c r="AH427" i="4"/>
  <c r="AA427" i="4"/>
  <c r="T427" i="4"/>
  <c r="M427" i="4"/>
  <c r="F427" i="4"/>
  <c r="AH426" i="4"/>
  <c r="AA426" i="4"/>
  <c r="T426" i="4"/>
  <c r="M426" i="4"/>
  <c r="F426" i="4"/>
  <c r="AH425" i="4"/>
  <c r="AA425" i="4"/>
  <c r="T425" i="4"/>
  <c r="M425" i="4"/>
  <c r="F425" i="4"/>
  <c r="AH424" i="4"/>
  <c r="AA424" i="4"/>
  <c r="T424" i="4"/>
  <c r="M424" i="4"/>
  <c r="F424" i="4"/>
  <c r="AH423" i="4"/>
  <c r="AA423" i="4"/>
  <c r="T423" i="4"/>
  <c r="M423" i="4"/>
  <c r="F423" i="4"/>
  <c r="AH422" i="4"/>
  <c r="AA422" i="4"/>
  <c r="T422" i="4"/>
  <c r="M422" i="4"/>
  <c r="F422" i="4"/>
  <c r="AH421" i="4"/>
  <c r="AA421" i="4"/>
  <c r="T421" i="4"/>
  <c r="M421" i="4"/>
  <c r="F421" i="4"/>
  <c r="AH420" i="4"/>
  <c r="AA420" i="4"/>
  <c r="T420" i="4"/>
  <c r="M420" i="4"/>
  <c r="F420" i="4"/>
  <c r="AH419" i="4"/>
  <c r="AA419" i="4"/>
  <c r="T419" i="4"/>
  <c r="M419" i="4"/>
  <c r="F419" i="4"/>
  <c r="AH418" i="4"/>
  <c r="AA418" i="4"/>
  <c r="T418" i="4"/>
  <c r="M418" i="4"/>
  <c r="F418" i="4"/>
  <c r="AH417" i="4"/>
  <c r="AA417" i="4"/>
  <c r="T417" i="4"/>
  <c r="M417" i="4"/>
  <c r="F417" i="4"/>
  <c r="AH416" i="4"/>
  <c r="AA416" i="4"/>
  <c r="T416" i="4"/>
  <c r="M416" i="4"/>
  <c r="F416" i="4"/>
  <c r="AH415" i="4"/>
  <c r="AA415" i="4"/>
  <c r="T415" i="4"/>
  <c r="M415" i="4"/>
  <c r="F415" i="4"/>
  <c r="AH414" i="4"/>
  <c r="AA414" i="4"/>
  <c r="T414" i="4"/>
  <c r="M414" i="4"/>
  <c r="F414" i="4"/>
  <c r="AH413" i="4"/>
  <c r="AA413" i="4"/>
  <c r="T413" i="4"/>
  <c r="M413" i="4"/>
  <c r="F413" i="4"/>
  <c r="AH412" i="4"/>
  <c r="AA412" i="4"/>
  <c r="T412" i="4"/>
  <c r="M412" i="4"/>
  <c r="F412" i="4"/>
  <c r="AH411" i="4"/>
  <c r="AA411" i="4"/>
  <c r="T411" i="4"/>
  <c r="M411" i="4"/>
  <c r="F411" i="4"/>
  <c r="AH410" i="4"/>
  <c r="AA410" i="4"/>
  <c r="T410" i="4"/>
  <c r="M410" i="4"/>
  <c r="F410" i="4"/>
  <c r="AH409" i="4"/>
  <c r="AA409" i="4"/>
  <c r="T409" i="4"/>
  <c r="M409" i="4"/>
  <c r="F409" i="4"/>
  <c r="AH408" i="4"/>
  <c r="AA408" i="4"/>
  <c r="T408" i="4"/>
  <c r="M408" i="4"/>
  <c r="F408" i="4"/>
  <c r="AH407" i="4"/>
  <c r="AA407" i="4"/>
  <c r="T407" i="4"/>
  <c r="M407" i="4"/>
  <c r="F407" i="4"/>
  <c r="AH406" i="4"/>
  <c r="AA406" i="4"/>
  <c r="T406" i="4"/>
  <c r="M406" i="4"/>
  <c r="F406" i="4"/>
  <c r="AH405" i="4"/>
  <c r="AA405" i="4"/>
  <c r="T405" i="4"/>
  <c r="M405" i="4"/>
  <c r="F405" i="4"/>
  <c r="AH404" i="4"/>
  <c r="AA404" i="4"/>
  <c r="T404" i="4"/>
  <c r="M404" i="4"/>
  <c r="F404" i="4"/>
  <c r="AH403" i="4"/>
  <c r="AA403" i="4"/>
  <c r="T403" i="4"/>
  <c r="M403" i="4"/>
  <c r="F403" i="4"/>
  <c r="AH402" i="4"/>
  <c r="AA402" i="4"/>
  <c r="T402" i="4"/>
  <c r="M402" i="4"/>
  <c r="F402" i="4"/>
  <c r="AH401" i="4"/>
  <c r="AA401" i="4"/>
  <c r="T401" i="4"/>
  <c r="M401" i="4"/>
  <c r="F401" i="4"/>
  <c r="AH400" i="4"/>
  <c r="AA400" i="4"/>
  <c r="T400" i="4"/>
  <c r="M400" i="4"/>
  <c r="F400" i="4"/>
  <c r="AH399" i="4"/>
  <c r="AA399" i="4"/>
  <c r="T399" i="4"/>
  <c r="M399" i="4"/>
  <c r="F399" i="4"/>
  <c r="AH398" i="4"/>
  <c r="AA398" i="4"/>
  <c r="T398" i="4"/>
  <c r="M398" i="4"/>
  <c r="F398" i="4"/>
  <c r="AH397" i="4"/>
  <c r="AA397" i="4"/>
  <c r="T397" i="4"/>
  <c r="M397" i="4"/>
  <c r="F397" i="4"/>
  <c r="AH396" i="4"/>
  <c r="AA396" i="4"/>
  <c r="T396" i="4"/>
  <c r="M396" i="4"/>
  <c r="F396" i="4"/>
  <c r="AH395" i="4"/>
  <c r="AA395" i="4"/>
  <c r="T395" i="4"/>
  <c r="M395" i="4"/>
  <c r="F395" i="4"/>
  <c r="AH394" i="4"/>
  <c r="AA394" i="4"/>
  <c r="T394" i="4"/>
  <c r="M394" i="4"/>
  <c r="F394" i="4"/>
  <c r="AH393" i="4"/>
  <c r="AA393" i="4"/>
  <c r="T393" i="4"/>
  <c r="M393" i="4"/>
  <c r="F393" i="4"/>
  <c r="AH392" i="4"/>
  <c r="AA392" i="4"/>
  <c r="T392" i="4"/>
  <c r="M392" i="4"/>
  <c r="F392" i="4"/>
  <c r="AH391" i="4"/>
  <c r="AA391" i="4"/>
  <c r="T391" i="4"/>
  <c r="M391" i="4"/>
  <c r="F391" i="4"/>
  <c r="AH390" i="4"/>
  <c r="AA390" i="4"/>
  <c r="T390" i="4"/>
  <c r="M390" i="4"/>
  <c r="F390" i="4"/>
  <c r="AH389" i="4"/>
  <c r="AA389" i="4"/>
  <c r="T389" i="4"/>
  <c r="M389" i="4"/>
  <c r="F389" i="4"/>
  <c r="AH388" i="4"/>
  <c r="AA388" i="4"/>
  <c r="T388" i="4"/>
  <c r="M388" i="4"/>
  <c r="F388" i="4"/>
  <c r="AH387" i="4"/>
  <c r="AA387" i="4"/>
  <c r="T387" i="4"/>
  <c r="M387" i="4"/>
  <c r="F387" i="4"/>
  <c r="AH386" i="4"/>
  <c r="AA386" i="4"/>
  <c r="T386" i="4"/>
  <c r="M386" i="4"/>
  <c r="F386" i="4"/>
  <c r="AH385" i="4"/>
  <c r="AA385" i="4"/>
  <c r="T385" i="4"/>
  <c r="M385" i="4"/>
  <c r="F385" i="4"/>
  <c r="AH384" i="4"/>
  <c r="AA384" i="4"/>
  <c r="T384" i="4"/>
  <c r="M384" i="4"/>
  <c r="F384" i="4"/>
  <c r="AH383" i="4"/>
  <c r="AA383" i="4"/>
  <c r="T383" i="4"/>
  <c r="M383" i="4"/>
  <c r="F383" i="4"/>
  <c r="AH382" i="4"/>
  <c r="AA382" i="4"/>
  <c r="T382" i="4"/>
  <c r="M382" i="4"/>
  <c r="F382" i="4"/>
  <c r="AH381" i="4"/>
  <c r="AA381" i="4"/>
  <c r="T381" i="4"/>
  <c r="M381" i="4"/>
  <c r="F381" i="4"/>
  <c r="AH380" i="4"/>
  <c r="AA380" i="4"/>
  <c r="T380" i="4"/>
  <c r="M380" i="4"/>
  <c r="F380" i="4"/>
  <c r="AH379" i="4"/>
  <c r="AA379" i="4"/>
  <c r="T379" i="4"/>
  <c r="M379" i="4"/>
  <c r="F379" i="4"/>
  <c r="AH378" i="4"/>
  <c r="AA378" i="4"/>
  <c r="T378" i="4"/>
  <c r="M378" i="4"/>
  <c r="F378" i="4"/>
  <c r="AH377" i="4"/>
  <c r="AA377" i="4"/>
  <c r="T377" i="4"/>
  <c r="M377" i="4"/>
  <c r="F377" i="4"/>
  <c r="AH376" i="4"/>
  <c r="AA376" i="4"/>
  <c r="T376" i="4"/>
  <c r="M376" i="4"/>
  <c r="F376" i="4"/>
  <c r="AH375" i="4"/>
  <c r="AA375" i="4"/>
  <c r="T375" i="4"/>
  <c r="M375" i="4"/>
  <c r="F375" i="4"/>
  <c r="AH374" i="4"/>
  <c r="AA374" i="4"/>
  <c r="T374" i="4"/>
  <c r="M374" i="4"/>
  <c r="F374" i="4"/>
  <c r="AH373" i="4"/>
  <c r="AA373" i="4"/>
  <c r="T373" i="4"/>
  <c r="M373" i="4"/>
  <c r="F373" i="4"/>
  <c r="AH372" i="4"/>
  <c r="AA372" i="4"/>
  <c r="T372" i="4"/>
  <c r="M372" i="4"/>
  <c r="F372" i="4"/>
  <c r="AH371" i="4"/>
  <c r="AA371" i="4"/>
  <c r="T371" i="4"/>
  <c r="M371" i="4"/>
  <c r="F371" i="4"/>
  <c r="AH370" i="4"/>
  <c r="AA370" i="4"/>
  <c r="T370" i="4"/>
  <c r="M370" i="4"/>
  <c r="F370" i="4"/>
  <c r="AH369" i="4"/>
  <c r="AA369" i="4"/>
  <c r="T369" i="4"/>
  <c r="M369" i="4"/>
  <c r="F369" i="4"/>
  <c r="AH368" i="4"/>
  <c r="AA368" i="4"/>
  <c r="T368" i="4"/>
  <c r="M368" i="4"/>
  <c r="F368" i="4"/>
  <c r="AH367" i="4"/>
  <c r="AA367" i="4"/>
  <c r="T367" i="4"/>
  <c r="M367" i="4"/>
  <c r="F367" i="4"/>
  <c r="AH366" i="4"/>
  <c r="AA366" i="4"/>
  <c r="T366" i="4"/>
  <c r="M366" i="4"/>
  <c r="F366" i="4"/>
  <c r="AH365" i="4"/>
  <c r="AA365" i="4"/>
  <c r="T365" i="4"/>
  <c r="M365" i="4"/>
  <c r="F365" i="4"/>
  <c r="AH364" i="4"/>
  <c r="AA364" i="4"/>
  <c r="T364" i="4"/>
  <c r="M364" i="4"/>
  <c r="F364" i="4"/>
  <c r="AH363" i="4"/>
  <c r="AA363" i="4"/>
  <c r="T363" i="4"/>
  <c r="M363" i="4"/>
  <c r="F363" i="4"/>
  <c r="AH362" i="4"/>
  <c r="AA362" i="4"/>
  <c r="T362" i="4"/>
  <c r="M362" i="4"/>
  <c r="F362" i="4"/>
  <c r="AH361" i="4"/>
  <c r="AA361" i="4"/>
  <c r="T361" i="4"/>
  <c r="M361" i="4"/>
  <c r="F361" i="4"/>
  <c r="AH360" i="4"/>
  <c r="AA360" i="4"/>
  <c r="T360" i="4"/>
  <c r="M360" i="4"/>
  <c r="F360" i="4"/>
  <c r="AH359" i="4"/>
  <c r="AA359" i="4"/>
  <c r="T359" i="4"/>
  <c r="M359" i="4"/>
  <c r="F359" i="4"/>
  <c r="AH358" i="4"/>
  <c r="AA358" i="4"/>
  <c r="T358" i="4"/>
  <c r="M358" i="4"/>
  <c r="F358" i="4"/>
  <c r="AH357" i="4"/>
  <c r="AA357" i="4"/>
  <c r="T357" i="4"/>
  <c r="M357" i="4"/>
  <c r="F357" i="4"/>
  <c r="AH356" i="4"/>
  <c r="AA356" i="4"/>
  <c r="T356" i="4"/>
  <c r="M356" i="4"/>
  <c r="F356" i="4"/>
  <c r="AH355" i="4"/>
  <c r="AA355" i="4"/>
  <c r="T355" i="4"/>
  <c r="M355" i="4"/>
  <c r="F355" i="4"/>
  <c r="AH354" i="4"/>
  <c r="AA354" i="4"/>
  <c r="T354" i="4"/>
  <c r="M354" i="4"/>
  <c r="F354" i="4"/>
  <c r="AH353" i="4"/>
  <c r="AA353" i="4"/>
  <c r="T353" i="4"/>
  <c r="M353" i="4"/>
  <c r="F353" i="4"/>
  <c r="AH352" i="4"/>
  <c r="AA352" i="4"/>
  <c r="T352" i="4"/>
  <c r="M352" i="4"/>
  <c r="F352" i="4"/>
  <c r="AH351" i="4"/>
  <c r="AA351" i="4"/>
  <c r="T351" i="4"/>
  <c r="M351" i="4"/>
  <c r="F351" i="4"/>
  <c r="AH350" i="4"/>
  <c r="AA350" i="4"/>
  <c r="T350" i="4"/>
  <c r="M350" i="4"/>
  <c r="F350" i="4"/>
  <c r="AH349" i="4"/>
  <c r="AA349" i="4"/>
  <c r="T349" i="4"/>
  <c r="M349" i="4"/>
  <c r="F349" i="4"/>
  <c r="AH348" i="4"/>
  <c r="AA348" i="4"/>
  <c r="T348" i="4"/>
  <c r="M348" i="4"/>
  <c r="F348" i="4"/>
  <c r="AH347" i="4"/>
  <c r="AA347" i="4"/>
  <c r="T347" i="4"/>
  <c r="M347" i="4"/>
  <c r="F347" i="4"/>
  <c r="AH346" i="4"/>
  <c r="AA346" i="4"/>
  <c r="T346" i="4"/>
  <c r="M346" i="4"/>
  <c r="F346" i="4"/>
  <c r="AH345" i="4"/>
  <c r="AA345" i="4"/>
  <c r="T345" i="4"/>
  <c r="M345" i="4"/>
  <c r="F345" i="4"/>
  <c r="AH344" i="4"/>
  <c r="AA344" i="4"/>
  <c r="T344" i="4"/>
  <c r="M344" i="4"/>
  <c r="F344" i="4"/>
  <c r="AH343" i="4"/>
  <c r="AA343" i="4"/>
  <c r="T343" i="4"/>
  <c r="M343" i="4"/>
  <c r="F343" i="4"/>
  <c r="AH342" i="4"/>
  <c r="AA342" i="4"/>
  <c r="T342" i="4"/>
  <c r="M342" i="4"/>
  <c r="F342" i="4"/>
  <c r="AH341" i="4"/>
  <c r="AA341" i="4"/>
  <c r="T341" i="4"/>
  <c r="M341" i="4"/>
  <c r="F341" i="4"/>
  <c r="AH340" i="4"/>
  <c r="AA340" i="4"/>
  <c r="T340" i="4"/>
  <c r="M340" i="4"/>
  <c r="F340" i="4"/>
  <c r="AH339" i="4"/>
  <c r="AA339" i="4"/>
  <c r="T339" i="4"/>
  <c r="M339" i="4"/>
  <c r="F339" i="4"/>
  <c r="AH338" i="4"/>
  <c r="AA338" i="4"/>
  <c r="T338" i="4"/>
  <c r="M338" i="4"/>
  <c r="F338" i="4"/>
  <c r="AH337" i="4"/>
  <c r="AA337" i="4"/>
  <c r="T337" i="4"/>
  <c r="M337" i="4"/>
  <c r="F337" i="4"/>
  <c r="AH336" i="4"/>
  <c r="AA336" i="4"/>
  <c r="T336" i="4"/>
  <c r="M336" i="4"/>
  <c r="F336" i="4"/>
  <c r="AH335" i="4"/>
  <c r="AA335" i="4"/>
  <c r="T335" i="4"/>
  <c r="M335" i="4"/>
  <c r="F335" i="4"/>
  <c r="AH334" i="4"/>
  <c r="AA334" i="4"/>
  <c r="T334" i="4"/>
  <c r="M334" i="4"/>
  <c r="F334" i="4"/>
  <c r="AH333" i="4"/>
  <c r="AA333" i="4"/>
  <c r="T333" i="4"/>
  <c r="M333" i="4"/>
  <c r="F333" i="4"/>
  <c r="AH332" i="4"/>
  <c r="AA332" i="4"/>
  <c r="T332" i="4"/>
  <c r="M332" i="4"/>
  <c r="F332" i="4"/>
  <c r="AH331" i="4"/>
  <c r="AA331" i="4"/>
  <c r="T331" i="4"/>
  <c r="M331" i="4"/>
  <c r="F331" i="4"/>
  <c r="AH330" i="4"/>
  <c r="AA330" i="4"/>
  <c r="T330" i="4"/>
  <c r="M330" i="4"/>
  <c r="F330" i="4"/>
  <c r="AH329" i="4"/>
  <c r="AA329" i="4"/>
  <c r="T329" i="4"/>
  <c r="M329" i="4"/>
  <c r="F329" i="4"/>
  <c r="AH328" i="4"/>
  <c r="AA328" i="4"/>
  <c r="T328" i="4"/>
  <c r="M328" i="4"/>
  <c r="F328" i="4"/>
  <c r="AH327" i="4"/>
  <c r="AA327" i="4"/>
  <c r="T327" i="4"/>
  <c r="M327" i="4"/>
  <c r="F327" i="4"/>
  <c r="AH326" i="4"/>
  <c r="AA326" i="4"/>
  <c r="T326" i="4"/>
  <c r="M326" i="4"/>
  <c r="F326" i="4"/>
  <c r="AH325" i="4"/>
  <c r="AA325" i="4"/>
  <c r="T325" i="4"/>
  <c r="M325" i="4"/>
  <c r="F325" i="4"/>
  <c r="AH324" i="4"/>
  <c r="AA324" i="4"/>
  <c r="T324" i="4"/>
  <c r="M324" i="4"/>
  <c r="F324" i="4"/>
  <c r="AH323" i="4"/>
  <c r="AA323" i="4"/>
  <c r="T323" i="4"/>
  <c r="M323" i="4"/>
  <c r="F323" i="4"/>
  <c r="AH322" i="4"/>
  <c r="AA322" i="4"/>
  <c r="T322" i="4"/>
  <c r="M322" i="4"/>
  <c r="F322" i="4"/>
  <c r="AH321" i="4"/>
  <c r="AA321" i="4"/>
  <c r="T321" i="4"/>
  <c r="M321" i="4"/>
  <c r="F321" i="4"/>
  <c r="AH320" i="4"/>
  <c r="AA320" i="4"/>
  <c r="T320" i="4"/>
  <c r="M320" i="4"/>
  <c r="F320" i="4"/>
  <c r="AH319" i="4"/>
  <c r="AA319" i="4"/>
  <c r="T319" i="4"/>
  <c r="M319" i="4"/>
  <c r="F319" i="4"/>
  <c r="AH318" i="4"/>
  <c r="AA318" i="4"/>
  <c r="T318" i="4"/>
  <c r="M318" i="4"/>
  <c r="F318" i="4"/>
  <c r="AH317" i="4"/>
  <c r="AA317" i="4"/>
  <c r="T317" i="4"/>
  <c r="M317" i="4"/>
  <c r="F317" i="4"/>
  <c r="AH316" i="4"/>
  <c r="AA316" i="4"/>
  <c r="T316" i="4"/>
  <c r="M316" i="4"/>
  <c r="F316" i="4"/>
  <c r="AH315" i="4"/>
  <c r="AA315" i="4"/>
  <c r="T315" i="4"/>
  <c r="M315" i="4"/>
  <c r="F315" i="4"/>
  <c r="AH314" i="4"/>
  <c r="AA314" i="4"/>
  <c r="T314" i="4"/>
  <c r="M314" i="4"/>
  <c r="F314" i="4"/>
  <c r="AH313" i="4"/>
  <c r="AA313" i="4"/>
  <c r="T313" i="4"/>
  <c r="M313" i="4"/>
  <c r="F313" i="4"/>
  <c r="AH312" i="4"/>
  <c r="AA312" i="4"/>
  <c r="T312" i="4"/>
  <c r="M312" i="4"/>
  <c r="F312" i="4"/>
  <c r="AH311" i="4"/>
  <c r="AA311" i="4"/>
  <c r="T311" i="4"/>
  <c r="M311" i="4"/>
  <c r="F311" i="4"/>
  <c r="AH310" i="4"/>
  <c r="AA310" i="4"/>
  <c r="T310" i="4"/>
  <c r="M310" i="4"/>
  <c r="F310" i="4"/>
  <c r="AH309" i="4"/>
  <c r="AA309" i="4"/>
  <c r="T309" i="4"/>
  <c r="M309" i="4"/>
  <c r="F309" i="4"/>
  <c r="AH308" i="4"/>
  <c r="AA308" i="4"/>
  <c r="T308" i="4"/>
  <c r="M308" i="4"/>
  <c r="F308" i="4"/>
  <c r="AH307" i="4"/>
  <c r="AA307" i="4"/>
  <c r="T307" i="4"/>
  <c r="M307" i="4"/>
  <c r="F307" i="4"/>
  <c r="AH306" i="4"/>
  <c r="AA306" i="4"/>
  <c r="T306" i="4"/>
  <c r="M306" i="4"/>
  <c r="F306" i="4"/>
  <c r="AH305" i="4"/>
  <c r="AA305" i="4"/>
  <c r="T305" i="4"/>
  <c r="M305" i="4"/>
  <c r="F305" i="4"/>
  <c r="AH304" i="4"/>
  <c r="AA304" i="4"/>
  <c r="T304" i="4"/>
  <c r="M304" i="4"/>
  <c r="F304" i="4"/>
  <c r="AH303" i="4"/>
  <c r="AA303" i="4"/>
  <c r="T303" i="4"/>
  <c r="M303" i="4"/>
  <c r="F303" i="4"/>
  <c r="AH302" i="4"/>
  <c r="AA302" i="4"/>
  <c r="T302" i="4"/>
  <c r="M302" i="4"/>
  <c r="F302" i="4"/>
  <c r="AH301" i="4"/>
  <c r="AA301" i="4"/>
  <c r="T301" i="4"/>
  <c r="M301" i="4"/>
  <c r="F301" i="4"/>
  <c r="AH300" i="4"/>
  <c r="AA300" i="4"/>
  <c r="T300" i="4"/>
  <c r="M300" i="4"/>
  <c r="F300" i="4"/>
  <c r="AH299" i="4"/>
  <c r="AA299" i="4"/>
  <c r="T299" i="4"/>
  <c r="M299" i="4"/>
  <c r="F299" i="4"/>
  <c r="AH298" i="4"/>
  <c r="AA298" i="4"/>
  <c r="T298" i="4"/>
  <c r="M298" i="4"/>
  <c r="F298" i="4"/>
  <c r="AH297" i="4"/>
  <c r="AA297" i="4"/>
  <c r="T297" i="4"/>
  <c r="M297" i="4"/>
  <c r="F297" i="4"/>
  <c r="AH296" i="4"/>
  <c r="AA296" i="4"/>
  <c r="T296" i="4"/>
  <c r="M296" i="4"/>
  <c r="F296" i="4"/>
  <c r="AH295" i="4"/>
  <c r="AA295" i="4"/>
  <c r="T295" i="4"/>
  <c r="M295" i="4"/>
  <c r="F295" i="4"/>
  <c r="AH294" i="4"/>
  <c r="AA294" i="4"/>
  <c r="T294" i="4"/>
  <c r="M294" i="4"/>
  <c r="F294" i="4"/>
  <c r="AH293" i="4"/>
  <c r="AA293" i="4"/>
  <c r="T293" i="4"/>
  <c r="M293" i="4"/>
  <c r="F293" i="4"/>
  <c r="AH292" i="4"/>
  <c r="AA292" i="4"/>
  <c r="T292" i="4"/>
  <c r="M292" i="4"/>
  <c r="F292" i="4"/>
  <c r="AH291" i="4"/>
  <c r="AA291" i="4"/>
  <c r="T291" i="4"/>
  <c r="M291" i="4"/>
  <c r="F291" i="4"/>
  <c r="AH290" i="4"/>
  <c r="AA290" i="4"/>
  <c r="T290" i="4"/>
  <c r="M290" i="4"/>
  <c r="F290" i="4"/>
  <c r="AH289" i="4"/>
  <c r="AA289" i="4"/>
  <c r="T289" i="4"/>
  <c r="M289" i="4"/>
  <c r="F289" i="4"/>
  <c r="AH288" i="4"/>
  <c r="AA288" i="4"/>
  <c r="T288" i="4"/>
  <c r="M288" i="4"/>
  <c r="F288" i="4"/>
  <c r="AH287" i="4"/>
  <c r="AA287" i="4"/>
  <c r="T287" i="4"/>
  <c r="M287" i="4"/>
  <c r="F287" i="4"/>
  <c r="AH286" i="4"/>
  <c r="AA286" i="4"/>
  <c r="T286" i="4"/>
  <c r="M286" i="4"/>
  <c r="F286" i="4"/>
  <c r="AH285" i="4"/>
  <c r="AA285" i="4"/>
  <c r="T285" i="4"/>
  <c r="M285" i="4"/>
  <c r="F285" i="4"/>
  <c r="AH284" i="4"/>
  <c r="AA284" i="4"/>
  <c r="T284" i="4"/>
  <c r="M284" i="4"/>
  <c r="F284" i="4"/>
  <c r="AH283" i="4"/>
  <c r="AA283" i="4"/>
  <c r="T283" i="4"/>
  <c r="M283" i="4"/>
  <c r="F283" i="4"/>
  <c r="AH282" i="4"/>
  <c r="AA282" i="4"/>
  <c r="T282" i="4"/>
  <c r="M282" i="4"/>
  <c r="F282" i="4"/>
  <c r="AH281" i="4"/>
  <c r="AA281" i="4"/>
  <c r="T281" i="4"/>
  <c r="M281" i="4"/>
  <c r="F281" i="4"/>
  <c r="AH280" i="4"/>
  <c r="AA280" i="4"/>
  <c r="T280" i="4"/>
  <c r="M280" i="4"/>
  <c r="F280" i="4"/>
  <c r="AH279" i="4"/>
  <c r="AA279" i="4"/>
  <c r="T279" i="4"/>
  <c r="M279" i="4"/>
  <c r="F279" i="4"/>
  <c r="AH278" i="4"/>
  <c r="AA278" i="4"/>
  <c r="T278" i="4"/>
  <c r="M278" i="4"/>
  <c r="F278" i="4"/>
  <c r="AH277" i="4"/>
  <c r="AA277" i="4"/>
  <c r="T277" i="4"/>
  <c r="M277" i="4"/>
  <c r="F277" i="4"/>
  <c r="AH276" i="4"/>
  <c r="AA276" i="4"/>
  <c r="T276" i="4"/>
  <c r="M276" i="4"/>
  <c r="F276" i="4"/>
  <c r="AH275" i="4"/>
  <c r="AA275" i="4"/>
  <c r="T275" i="4"/>
  <c r="M275" i="4"/>
  <c r="F275" i="4"/>
  <c r="AH274" i="4"/>
  <c r="AA274" i="4"/>
  <c r="T274" i="4"/>
  <c r="M274" i="4"/>
  <c r="F274" i="4"/>
  <c r="AH273" i="4"/>
  <c r="AA273" i="4"/>
  <c r="T273" i="4"/>
  <c r="M273" i="4"/>
  <c r="F273" i="4"/>
  <c r="AH272" i="4"/>
  <c r="AA272" i="4"/>
  <c r="T272" i="4"/>
  <c r="M272" i="4"/>
  <c r="F272" i="4"/>
  <c r="AH271" i="4"/>
  <c r="AA271" i="4"/>
  <c r="T271" i="4"/>
  <c r="M271" i="4"/>
  <c r="F271" i="4"/>
  <c r="AH270" i="4"/>
  <c r="AA270" i="4"/>
  <c r="T270" i="4"/>
  <c r="M270" i="4"/>
  <c r="F270" i="4"/>
  <c r="AH269" i="4"/>
  <c r="AA269" i="4"/>
  <c r="T269" i="4"/>
  <c r="M269" i="4"/>
  <c r="F269" i="4"/>
  <c r="AH268" i="4"/>
  <c r="AA268" i="4"/>
  <c r="T268" i="4"/>
  <c r="M268" i="4"/>
  <c r="F268" i="4"/>
  <c r="AH267" i="4"/>
  <c r="AA267" i="4"/>
  <c r="T267" i="4"/>
  <c r="M267" i="4"/>
  <c r="F267" i="4"/>
  <c r="AH266" i="4"/>
  <c r="AA266" i="4"/>
  <c r="T266" i="4"/>
  <c r="M266" i="4"/>
  <c r="F266" i="4"/>
  <c r="AH265" i="4"/>
  <c r="AA265" i="4"/>
  <c r="T265" i="4"/>
  <c r="M265" i="4"/>
  <c r="F265" i="4"/>
  <c r="AH264" i="4"/>
  <c r="AA264" i="4"/>
  <c r="T264" i="4"/>
  <c r="M264" i="4"/>
  <c r="F264" i="4"/>
  <c r="AH263" i="4"/>
  <c r="AA263" i="4"/>
  <c r="T263" i="4"/>
  <c r="M263" i="4"/>
  <c r="F263" i="4"/>
  <c r="AH262" i="4"/>
  <c r="AA262" i="4"/>
  <c r="T262" i="4"/>
  <c r="M262" i="4"/>
  <c r="F262" i="4"/>
  <c r="AH261" i="4"/>
  <c r="AA261" i="4"/>
  <c r="T261" i="4"/>
  <c r="M261" i="4"/>
  <c r="F261" i="4"/>
  <c r="AH260" i="4"/>
  <c r="AA260" i="4"/>
  <c r="T260" i="4"/>
  <c r="M260" i="4"/>
  <c r="F260" i="4"/>
  <c r="AH259" i="4"/>
  <c r="AA259" i="4"/>
  <c r="T259" i="4"/>
  <c r="M259" i="4"/>
  <c r="F259" i="4"/>
  <c r="AH258" i="4"/>
  <c r="AA258" i="4"/>
  <c r="T258" i="4"/>
  <c r="M258" i="4"/>
  <c r="F258" i="4"/>
  <c r="AH257" i="4"/>
  <c r="AA257" i="4"/>
  <c r="T257" i="4"/>
  <c r="M257" i="4"/>
  <c r="F257" i="4"/>
  <c r="AH256" i="4"/>
  <c r="AA256" i="4"/>
  <c r="T256" i="4"/>
  <c r="M256" i="4"/>
  <c r="F256" i="4"/>
  <c r="AH255" i="4"/>
  <c r="AA255" i="4"/>
  <c r="T255" i="4"/>
  <c r="M255" i="4"/>
  <c r="F255" i="4"/>
  <c r="AH254" i="4"/>
  <c r="AA254" i="4"/>
  <c r="T254" i="4"/>
  <c r="M254" i="4"/>
  <c r="F254" i="4"/>
  <c r="AH253" i="4"/>
  <c r="AA253" i="4"/>
  <c r="T253" i="4"/>
  <c r="M253" i="4"/>
  <c r="F253" i="4"/>
  <c r="AH252" i="4"/>
  <c r="AA252" i="4"/>
  <c r="T252" i="4"/>
  <c r="M252" i="4"/>
  <c r="F252" i="4"/>
  <c r="AH251" i="4"/>
  <c r="AA251" i="4"/>
  <c r="T251" i="4"/>
  <c r="M251" i="4"/>
  <c r="F251" i="4"/>
  <c r="AH250" i="4"/>
  <c r="AA250" i="4"/>
  <c r="T250" i="4"/>
  <c r="M250" i="4"/>
  <c r="F250" i="4"/>
  <c r="AH249" i="4"/>
  <c r="AA249" i="4"/>
  <c r="T249" i="4"/>
  <c r="M249" i="4"/>
  <c r="F249" i="4"/>
  <c r="AH248" i="4"/>
  <c r="AA248" i="4"/>
  <c r="T248" i="4"/>
  <c r="M248" i="4"/>
  <c r="F248" i="4"/>
  <c r="AH247" i="4"/>
  <c r="AA247" i="4"/>
  <c r="T247" i="4"/>
  <c r="M247" i="4"/>
  <c r="F247" i="4"/>
  <c r="AH246" i="4"/>
  <c r="AA246" i="4"/>
  <c r="T246" i="4"/>
  <c r="M246" i="4"/>
  <c r="F246" i="4"/>
  <c r="AH245" i="4"/>
  <c r="AA245" i="4"/>
  <c r="T245" i="4"/>
  <c r="M245" i="4"/>
  <c r="F245" i="4"/>
  <c r="AH244" i="4"/>
  <c r="AA244" i="4"/>
  <c r="T244" i="4"/>
  <c r="M244" i="4"/>
  <c r="F244" i="4"/>
  <c r="AH243" i="4"/>
  <c r="AA243" i="4"/>
  <c r="T243" i="4"/>
  <c r="M243" i="4"/>
  <c r="F243" i="4"/>
  <c r="AH242" i="4"/>
  <c r="AA242" i="4"/>
  <c r="T242" i="4"/>
  <c r="M242" i="4"/>
  <c r="F242" i="4"/>
  <c r="AH241" i="4"/>
  <c r="AA241" i="4"/>
  <c r="T241" i="4"/>
  <c r="M241" i="4"/>
  <c r="F241" i="4"/>
  <c r="AH240" i="4"/>
  <c r="AA240" i="4"/>
  <c r="T240" i="4"/>
  <c r="M240" i="4"/>
  <c r="F240" i="4"/>
  <c r="AH239" i="4"/>
  <c r="AA239" i="4"/>
  <c r="T239" i="4"/>
  <c r="M239" i="4"/>
  <c r="F239" i="4"/>
  <c r="AH238" i="4"/>
  <c r="AA238" i="4"/>
  <c r="T238" i="4"/>
  <c r="M238" i="4"/>
  <c r="F238" i="4"/>
  <c r="AH237" i="4"/>
  <c r="AA237" i="4"/>
  <c r="T237" i="4"/>
  <c r="M237" i="4"/>
  <c r="F237" i="4"/>
  <c r="AH236" i="4"/>
  <c r="AA236" i="4"/>
  <c r="T236" i="4"/>
  <c r="M236" i="4"/>
  <c r="F236" i="4"/>
  <c r="AH235" i="4"/>
  <c r="AA235" i="4"/>
  <c r="T235" i="4"/>
  <c r="M235" i="4"/>
  <c r="F235" i="4"/>
  <c r="AH234" i="4"/>
  <c r="AA234" i="4"/>
  <c r="T234" i="4"/>
  <c r="M234" i="4"/>
  <c r="F234" i="4"/>
  <c r="AH233" i="4"/>
  <c r="AA233" i="4"/>
  <c r="T233" i="4"/>
  <c r="M233" i="4"/>
  <c r="F233" i="4"/>
  <c r="AH232" i="4"/>
  <c r="AA232" i="4"/>
  <c r="T232" i="4"/>
  <c r="M232" i="4"/>
  <c r="F232" i="4"/>
  <c r="AH231" i="4"/>
  <c r="AA231" i="4"/>
  <c r="T231" i="4"/>
  <c r="M231" i="4"/>
  <c r="F231" i="4"/>
  <c r="AH230" i="4"/>
  <c r="AA230" i="4"/>
  <c r="T230" i="4"/>
  <c r="M230" i="4"/>
  <c r="F230" i="4"/>
  <c r="AH229" i="4"/>
  <c r="AA229" i="4"/>
  <c r="T229" i="4"/>
  <c r="M229" i="4"/>
  <c r="F229" i="4"/>
  <c r="AH228" i="4"/>
  <c r="AA228" i="4"/>
  <c r="T228" i="4"/>
  <c r="M228" i="4"/>
  <c r="F228" i="4"/>
  <c r="AH227" i="4"/>
  <c r="AA227" i="4"/>
  <c r="T227" i="4"/>
  <c r="M227" i="4"/>
  <c r="F227" i="4"/>
  <c r="AH226" i="4"/>
  <c r="AA226" i="4"/>
  <c r="T226" i="4"/>
  <c r="M226" i="4"/>
  <c r="F226" i="4"/>
  <c r="AH225" i="4"/>
  <c r="AA225" i="4"/>
  <c r="T225" i="4"/>
  <c r="M225" i="4"/>
  <c r="F225" i="4"/>
  <c r="AH224" i="4"/>
  <c r="AA224" i="4"/>
  <c r="T224" i="4"/>
  <c r="M224" i="4"/>
  <c r="F224" i="4"/>
  <c r="AH223" i="4"/>
  <c r="AA223" i="4"/>
  <c r="T223" i="4"/>
  <c r="M223" i="4"/>
  <c r="F223" i="4"/>
  <c r="AH222" i="4"/>
  <c r="AA222" i="4"/>
  <c r="T222" i="4"/>
  <c r="M222" i="4"/>
  <c r="F222" i="4"/>
  <c r="AH221" i="4"/>
  <c r="AA221" i="4"/>
  <c r="T221" i="4"/>
  <c r="M221" i="4"/>
  <c r="F221" i="4"/>
  <c r="AH220" i="4"/>
  <c r="AA220" i="4"/>
  <c r="T220" i="4"/>
  <c r="M220" i="4"/>
  <c r="F220" i="4"/>
  <c r="AH219" i="4"/>
  <c r="AA219" i="4"/>
  <c r="T219" i="4"/>
  <c r="M219" i="4"/>
  <c r="F219" i="4"/>
  <c r="AH218" i="4"/>
  <c r="AA218" i="4"/>
  <c r="T218" i="4"/>
  <c r="M218" i="4"/>
  <c r="F218" i="4"/>
  <c r="AH217" i="4"/>
  <c r="AA217" i="4"/>
  <c r="T217" i="4"/>
  <c r="M217" i="4"/>
  <c r="F217" i="4"/>
  <c r="AH216" i="4"/>
  <c r="AA216" i="4"/>
  <c r="T216" i="4"/>
  <c r="M216" i="4"/>
  <c r="F216" i="4"/>
  <c r="AH215" i="4"/>
  <c r="AA215" i="4"/>
  <c r="T215" i="4"/>
  <c r="M215" i="4"/>
  <c r="F215" i="4"/>
  <c r="AH214" i="4"/>
  <c r="AA214" i="4"/>
  <c r="T214" i="4"/>
  <c r="M214" i="4"/>
  <c r="F214" i="4"/>
  <c r="AH213" i="4"/>
  <c r="AA213" i="4"/>
  <c r="T213" i="4"/>
  <c r="M213" i="4"/>
  <c r="F213" i="4"/>
  <c r="AH212" i="4"/>
  <c r="AA212" i="4"/>
  <c r="T212" i="4"/>
  <c r="M212" i="4"/>
  <c r="F212" i="4"/>
  <c r="AH211" i="4"/>
  <c r="AA211" i="4"/>
  <c r="T211" i="4"/>
  <c r="M211" i="4"/>
  <c r="F211" i="4"/>
  <c r="AH210" i="4"/>
  <c r="AA210" i="4"/>
  <c r="T210" i="4"/>
  <c r="M210" i="4"/>
  <c r="F210" i="4"/>
  <c r="AH209" i="4"/>
  <c r="AA209" i="4"/>
  <c r="T209" i="4"/>
  <c r="M209" i="4"/>
  <c r="F209" i="4"/>
  <c r="AH208" i="4"/>
  <c r="AA208" i="4"/>
  <c r="T208" i="4"/>
  <c r="M208" i="4"/>
  <c r="F208" i="4"/>
  <c r="AH207" i="4"/>
  <c r="AA207" i="4"/>
  <c r="T207" i="4"/>
  <c r="M207" i="4"/>
  <c r="F207" i="4"/>
  <c r="AH206" i="4"/>
  <c r="AA206" i="4"/>
  <c r="T206" i="4"/>
  <c r="M206" i="4"/>
  <c r="F206" i="4"/>
  <c r="AH205" i="4"/>
  <c r="AA205" i="4"/>
  <c r="T205" i="4"/>
  <c r="M205" i="4"/>
  <c r="F205" i="4"/>
  <c r="AH204" i="4"/>
  <c r="AA204" i="4"/>
  <c r="T204" i="4"/>
  <c r="M204" i="4"/>
  <c r="F204" i="4"/>
  <c r="AH203" i="4"/>
  <c r="AA203" i="4"/>
  <c r="T203" i="4"/>
  <c r="M203" i="4"/>
  <c r="F203" i="4"/>
  <c r="AH202" i="4"/>
  <c r="AA202" i="4"/>
  <c r="T202" i="4"/>
  <c r="M202" i="4"/>
  <c r="F202" i="4"/>
  <c r="AH201" i="4"/>
  <c r="AA201" i="4"/>
  <c r="T201" i="4"/>
  <c r="M201" i="4"/>
  <c r="F201" i="4"/>
  <c r="AH200" i="4"/>
  <c r="AA200" i="4"/>
  <c r="T200" i="4"/>
  <c r="M200" i="4"/>
  <c r="F200" i="4"/>
  <c r="AH199" i="4"/>
  <c r="AA199" i="4"/>
  <c r="T199" i="4"/>
  <c r="M199" i="4"/>
  <c r="F199" i="4"/>
  <c r="AH198" i="4"/>
  <c r="AA198" i="4"/>
  <c r="T198" i="4"/>
  <c r="M198" i="4"/>
  <c r="F198" i="4"/>
  <c r="AH197" i="4"/>
  <c r="AA197" i="4"/>
  <c r="T197" i="4"/>
  <c r="M197" i="4"/>
  <c r="F197" i="4"/>
  <c r="AH196" i="4"/>
  <c r="AA196" i="4"/>
  <c r="T196" i="4"/>
  <c r="M196" i="4"/>
  <c r="F196" i="4"/>
  <c r="AH195" i="4"/>
  <c r="AA195" i="4"/>
  <c r="T195" i="4"/>
  <c r="M195" i="4"/>
  <c r="F195" i="4"/>
  <c r="AH194" i="4"/>
  <c r="AA194" i="4"/>
  <c r="T194" i="4"/>
  <c r="M194" i="4"/>
  <c r="F194" i="4"/>
  <c r="AH193" i="4"/>
  <c r="AA193" i="4"/>
  <c r="T193" i="4"/>
  <c r="M193" i="4"/>
  <c r="F193" i="4"/>
  <c r="AH192" i="4"/>
  <c r="AA192" i="4"/>
  <c r="T192" i="4"/>
  <c r="M192" i="4"/>
  <c r="F192" i="4"/>
  <c r="AH191" i="4"/>
  <c r="AA191" i="4"/>
  <c r="T191" i="4"/>
  <c r="M191" i="4"/>
  <c r="F191" i="4"/>
  <c r="AH190" i="4"/>
  <c r="AA190" i="4"/>
  <c r="T190" i="4"/>
  <c r="M190" i="4"/>
  <c r="F190" i="4"/>
  <c r="AH189" i="4"/>
  <c r="AA189" i="4"/>
  <c r="T189" i="4"/>
  <c r="M189" i="4"/>
  <c r="F189" i="4"/>
  <c r="AH188" i="4"/>
  <c r="AA188" i="4"/>
  <c r="T188" i="4"/>
  <c r="M188" i="4"/>
  <c r="F188" i="4"/>
  <c r="AH187" i="4"/>
  <c r="AA187" i="4"/>
  <c r="T187" i="4"/>
  <c r="M187" i="4"/>
  <c r="F187" i="4"/>
  <c r="AH186" i="4"/>
  <c r="AA186" i="4"/>
  <c r="T186" i="4"/>
  <c r="M186" i="4"/>
  <c r="F186" i="4"/>
  <c r="AH185" i="4"/>
  <c r="AA185" i="4"/>
  <c r="T185" i="4"/>
  <c r="M185" i="4"/>
  <c r="F185" i="4"/>
  <c r="AH184" i="4"/>
  <c r="AA184" i="4"/>
  <c r="T184" i="4"/>
  <c r="M184" i="4"/>
  <c r="F184" i="4"/>
  <c r="AH183" i="4"/>
  <c r="AA183" i="4"/>
  <c r="T183" i="4"/>
  <c r="M183" i="4"/>
  <c r="F183" i="4"/>
  <c r="AH182" i="4"/>
  <c r="AA182" i="4"/>
  <c r="T182" i="4"/>
  <c r="M182" i="4"/>
  <c r="F182" i="4"/>
  <c r="AH181" i="4"/>
  <c r="AA181" i="4"/>
  <c r="T181" i="4"/>
  <c r="M181" i="4"/>
  <c r="F181" i="4"/>
  <c r="AH180" i="4"/>
  <c r="AA180" i="4"/>
  <c r="T180" i="4"/>
  <c r="M180" i="4"/>
  <c r="F180" i="4"/>
  <c r="AH179" i="4"/>
  <c r="AA179" i="4"/>
  <c r="T179" i="4"/>
  <c r="M179" i="4"/>
  <c r="F179" i="4"/>
  <c r="AH178" i="4"/>
  <c r="AA178" i="4"/>
  <c r="T178" i="4"/>
  <c r="M178" i="4"/>
  <c r="F178" i="4"/>
  <c r="AH177" i="4"/>
  <c r="AA177" i="4"/>
  <c r="T177" i="4"/>
  <c r="M177" i="4"/>
  <c r="F177" i="4"/>
  <c r="AH176" i="4"/>
  <c r="AA176" i="4"/>
  <c r="T176" i="4"/>
  <c r="M176" i="4"/>
  <c r="F176" i="4"/>
  <c r="AH175" i="4"/>
  <c r="AA175" i="4"/>
  <c r="T175" i="4"/>
  <c r="M175" i="4"/>
  <c r="F175" i="4"/>
  <c r="AH174" i="4"/>
  <c r="AA174" i="4"/>
  <c r="T174" i="4"/>
  <c r="M174" i="4"/>
  <c r="F174" i="4"/>
  <c r="AH173" i="4"/>
  <c r="AA173" i="4"/>
  <c r="T173" i="4"/>
  <c r="M173" i="4"/>
  <c r="F173" i="4"/>
  <c r="AH172" i="4"/>
  <c r="AA172" i="4"/>
  <c r="T172" i="4"/>
  <c r="M172" i="4"/>
  <c r="F172" i="4"/>
  <c r="AH171" i="4"/>
  <c r="AA171" i="4"/>
  <c r="T171" i="4"/>
  <c r="M171" i="4"/>
  <c r="F171" i="4"/>
  <c r="AH170" i="4"/>
  <c r="AA170" i="4"/>
  <c r="T170" i="4"/>
  <c r="M170" i="4"/>
  <c r="F170" i="4"/>
  <c r="AH169" i="4"/>
  <c r="AA169" i="4"/>
  <c r="T169" i="4"/>
  <c r="M169" i="4"/>
  <c r="F169" i="4"/>
  <c r="AH168" i="4"/>
  <c r="AA168" i="4"/>
  <c r="T168" i="4"/>
  <c r="M168" i="4"/>
  <c r="F168" i="4"/>
  <c r="AH167" i="4"/>
  <c r="AA167" i="4"/>
  <c r="T167" i="4"/>
  <c r="M167" i="4"/>
  <c r="F167" i="4"/>
  <c r="AH166" i="4"/>
  <c r="AA166" i="4"/>
  <c r="T166" i="4"/>
  <c r="M166" i="4"/>
  <c r="F166" i="4"/>
  <c r="AH165" i="4"/>
  <c r="AA165" i="4"/>
  <c r="T165" i="4"/>
  <c r="M165" i="4"/>
  <c r="F165" i="4"/>
  <c r="AH164" i="4"/>
  <c r="AA164" i="4"/>
  <c r="T164" i="4"/>
  <c r="M164" i="4"/>
  <c r="F164" i="4"/>
  <c r="AH163" i="4"/>
  <c r="AA163" i="4"/>
  <c r="T163" i="4"/>
  <c r="M163" i="4"/>
  <c r="F163" i="4"/>
  <c r="AH162" i="4"/>
  <c r="AA162" i="4"/>
  <c r="T162" i="4"/>
  <c r="M162" i="4"/>
  <c r="F162" i="4"/>
  <c r="AH161" i="4"/>
  <c r="AA161" i="4"/>
  <c r="T161" i="4"/>
  <c r="M161" i="4"/>
  <c r="F161" i="4"/>
  <c r="AH160" i="4"/>
  <c r="AA160" i="4"/>
  <c r="T160" i="4"/>
  <c r="M160" i="4"/>
  <c r="F160" i="4"/>
  <c r="AH159" i="4"/>
  <c r="AA159" i="4"/>
  <c r="T159" i="4"/>
  <c r="M159" i="4"/>
  <c r="F159" i="4"/>
  <c r="AH158" i="4"/>
  <c r="AA158" i="4"/>
  <c r="T158" i="4"/>
  <c r="M158" i="4"/>
  <c r="F158" i="4"/>
  <c r="AH157" i="4"/>
  <c r="AA157" i="4"/>
  <c r="T157" i="4"/>
  <c r="M157" i="4"/>
  <c r="F157" i="4"/>
  <c r="AH156" i="4"/>
  <c r="AA156" i="4"/>
  <c r="T156" i="4"/>
  <c r="M156" i="4"/>
  <c r="F156" i="4"/>
  <c r="AH155" i="4"/>
  <c r="AA155" i="4"/>
  <c r="T155" i="4"/>
  <c r="M155" i="4"/>
  <c r="F155" i="4"/>
  <c r="AH154" i="4"/>
  <c r="AA154" i="4"/>
  <c r="T154" i="4"/>
  <c r="M154" i="4"/>
  <c r="F154" i="4"/>
  <c r="AH153" i="4"/>
  <c r="AA153" i="4"/>
  <c r="T153" i="4"/>
  <c r="M153" i="4"/>
  <c r="F153" i="4"/>
  <c r="AH152" i="4"/>
  <c r="AA152" i="4"/>
  <c r="T152" i="4"/>
  <c r="M152" i="4"/>
  <c r="F152" i="4"/>
  <c r="AH151" i="4"/>
  <c r="AA151" i="4"/>
  <c r="T151" i="4"/>
  <c r="M151" i="4"/>
  <c r="F151" i="4"/>
  <c r="AH150" i="4"/>
  <c r="AA150" i="4"/>
  <c r="T150" i="4"/>
  <c r="M150" i="4"/>
  <c r="F150" i="4"/>
  <c r="AH149" i="4"/>
  <c r="AA149" i="4"/>
  <c r="T149" i="4"/>
  <c r="M149" i="4"/>
  <c r="F149" i="4"/>
  <c r="AH148" i="4"/>
  <c r="AA148" i="4"/>
  <c r="T148" i="4"/>
  <c r="M148" i="4"/>
  <c r="F148" i="4"/>
  <c r="AH147" i="4"/>
  <c r="AA147" i="4"/>
  <c r="T147" i="4"/>
  <c r="M147" i="4"/>
  <c r="F147" i="4"/>
  <c r="AH146" i="4"/>
  <c r="AA146" i="4"/>
  <c r="T146" i="4"/>
  <c r="M146" i="4"/>
  <c r="F146" i="4"/>
  <c r="AH145" i="4"/>
  <c r="AA145" i="4"/>
  <c r="T145" i="4"/>
  <c r="M145" i="4"/>
  <c r="F145" i="4"/>
  <c r="AH144" i="4"/>
  <c r="AA144" i="4"/>
  <c r="T144" i="4"/>
  <c r="M144" i="4"/>
  <c r="F144" i="4"/>
  <c r="AH143" i="4"/>
  <c r="AA143" i="4"/>
  <c r="T143" i="4"/>
  <c r="M143" i="4"/>
  <c r="F143" i="4"/>
  <c r="AH142" i="4"/>
  <c r="AA142" i="4"/>
  <c r="T142" i="4"/>
  <c r="M142" i="4"/>
  <c r="F142" i="4"/>
  <c r="AH141" i="4"/>
  <c r="AA141" i="4"/>
  <c r="T141" i="4"/>
  <c r="M141" i="4"/>
  <c r="F141" i="4"/>
  <c r="AH140" i="4"/>
  <c r="AA140" i="4"/>
  <c r="T140" i="4"/>
  <c r="M140" i="4"/>
  <c r="F140" i="4"/>
  <c r="AH139" i="4"/>
  <c r="AA139" i="4"/>
  <c r="T139" i="4"/>
  <c r="M139" i="4"/>
  <c r="F139" i="4"/>
  <c r="AH138" i="4"/>
  <c r="AA138" i="4"/>
  <c r="T138" i="4"/>
  <c r="M138" i="4"/>
  <c r="F138" i="4"/>
  <c r="AH137" i="4"/>
  <c r="AA137" i="4"/>
  <c r="T137" i="4"/>
  <c r="M137" i="4"/>
  <c r="F137" i="4"/>
  <c r="AH136" i="4"/>
  <c r="AA136" i="4"/>
  <c r="T136" i="4"/>
  <c r="M136" i="4"/>
  <c r="F136" i="4"/>
  <c r="AH135" i="4"/>
  <c r="AA135" i="4"/>
  <c r="T135" i="4"/>
  <c r="M135" i="4"/>
  <c r="F135" i="4"/>
  <c r="AH134" i="4"/>
  <c r="AA134" i="4"/>
  <c r="T134" i="4"/>
  <c r="M134" i="4"/>
  <c r="F134" i="4"/>
  <c r="AH133" i="4"/>
  <c r="AA133" i="4"/>
  <c r="T133" i="4"/>
  <c r="M133" i="4"/>
  <c r="F133" i="4"/>
  <c r="AH132" i="4"/>
  <c r="AA132" i="4"/>
  <c r="T132" i="4"/>
  <c r="M132" i="4"/>
  <c r="F132" i="4"/>
  <c r="AH131" i="4"/>
  <c r="AA131" i="4"/>
  <c r="T131" i="4"/>
  <c r="M131" i="4"/>
  <c r="F131" i="4"/>
  <c r="AH130" i="4"/>
  <c r="AA130" i="4"/>
  <c r="T130" i="4"/>
  <c r="M130" i="4"/>
  <c r="F130" i="4"/>
  <c r="AH129" i="4"/>
  <c r="AA129" i="4"/>
  <c r="T129" i="4"/>
  <c r="M129" i="4"/>
  <c r="F129" i="4"/>
  <c r="AH128" i="4"/>
  <c r="AA128" i="4"/>
  <c r="T128" i="4"/>
  <c r="M128" i="4"/>
  <c r="F128" i="4"/>
  <c r="AH127" i="4"/>
  <c r="AA127" i="4"/>
  <c r="T127" i="4"/>
  <c r="M127" i="4"/>
  <c r="F127" i="4"/>
  <c r="AH126" i="4"/>
  <c r="AA126" i="4"/>
  <c r="T126" i="4"/>
  <c r="M126" i="4"/>
  <c r="F126" i="4"/>
  <c r="AH125" i="4"/>
  <c r="AA125" i="4"/>
  <c r="T125" i="4"/>
  <c r="M125" i="4"/>
  <c r="F125" i="4"/>
  <c r="AH124" i="4"/>
  <c r="AA124" i="4"/>
  <c r="T124" i="4"/>
  <c r="M124" i="4"/>
  <c r="F124" i="4"/>
  <c r="AH123" i="4"/>
  <c r="AA123" i="4"/>
  <c r="T123" i="4"/>
  <c r="M123" i="4"/>
  <c r="F123" i="4"/>
  <c r="AH122" i="4"/>
  <c r="AA122" i="4"/>
  <c r="T122" i="4"/>
  <c r="M122" i="4"/>
  <c r="F122" i="4"/>
  <c r="AH121" i="4"/>
  <c r="AA121" i="4"/>
  <c r="T121" i="4"/>
  <c r="M121" i="4"/>
  <c r="F121" i="4"/>
  <c r="AH120" i="4"/>
  <c r="AA120" i="4"/>
  <c r="T120" i="4"/>
  <c r="M120" i="4"/>
  <c r="F120" i="4"/>
  <c r="AH119" i="4"/>
  <c r="AA119" i="4"/>
  <c r="T119" i="4"/>
  <c r="M119" i="4"/>
  <c r="F119" i="4"/>
  <c r="AH118" i="4"/>
  <c r="AA118" i="4"/>
  <c r="T118" i="4"/>
  <c r="M118" i="4"/>
  <c r="F118" i="4"/>
  <c r="AH117" i="4"/>
  <c r="AA117" i="4"/>
  <c r="T117" i="4"/>
  <c r="M117" i="4"/>
  <c r="F117" i="4"/>
  <c r="AH116" i="4"/>
  <c r="AA116" i="4"/>
  <c r="T116" i="4"/>
  <c r="M116" i="4"/>
  <c r="F116" i="4"/>
  <c r="AH115" i="4"/>
  <c r="AA115" i="4"/>
  <c r="T115" i="4"/>
  <c r="M115" i="4"/>
  <c r="F115" i="4"/>
  <c r="AH114" i="4"/>
  <c r="AA114" i="4"/>
  <c r="T114" i="4"/>
  <c r="M114" i="4"/>
  <c r="F114" i="4"/>
  <c r="AH113" i="4"/>
  <c r="AA113" i="4"/>
  <c r="T113" i="4"/>
  <c r="M113" i="4"/>
  <c r="F113" i="4"/>
  <c r="AH112" i="4"/>
  <c r="AA112" i="4"/>
  <c r="T112" i="4"/>
  <c r="M112" i="4"/>
  <c r="F112" i="4"/>
  <c r="AH111" i="4"/>
  <c r="AA111" i="4"/>
  <c r="T111" i="4"/>
  <c r="M111" i="4"/>
  <c r="F111" i="4"/>
  <c r="AH110" i="4"/>
  <c r="AA110" i="4"/>
  <c r="T110" i="4"/>
  <c r="M110" i="4"/>
  <c r="F110" i="4"/>
  <c r="AH109" i="4"/>
  <c r="AA109" i="4"/>
  <c r="T109" i="4"/>
  <c r="M109" i="4"/>
  <c r="F109" i="4"/>
  <c r="AH108" i="4"/>
  <c r="AA108" i="4"/>
  <c r="T108" i="4"/>
  <c r="M108" i="4"/>
  <c r="F108" i="4"/>
  <c r="AH107" i="4"/>
  <c r="AA107" i="4"/>
  <c r="T107" i="4"/>
  <c r="M107" i="4"/>
  <c r="F107" i="4"/>
  <c r="AH106" i="4"/>
  <c r="AA106" i="4"/>
  <c r="T106" i="4"/>
  <c r="M106" i="4"/>
  <c r="F106" i="4"/>
  <c r="AH105" i="4"/>
  <c r="AA105" i="4"/>
  <c r="T105" i="4"/>
  <c r="M105" i="4"/>
  <c r="F105" i="4"/>
  <c r="AH104" i="4"/>
  <c r="AA104" i="4"/>
  <c r="T104" i="4"/>
  <c r="M104" i="4"/>
  <c r="F104" i="4"/>
  <c r="AH103" i="4"/>
  <c r="AA103" i="4"/>
  <c r="T103" i="4"/>
  <c r="M103" i="4"/>
  <c r="F103" i="4"/>
  <c r="AH102" i="4"/>
  <c r="AA102" i="4"/>
  <c r="T102" i="4"/>
  <c r="M102" i="4"/>
  <c r="F102" i="4"/>
  <c r="AH101" i="4"/>
  <c r="AA101" i="4"/>
  <c r="T101" i="4"/>
  <c r="M101" i="4"/>
  <c r="F101" i="4"/>
  <c r="AH100" i="4"/>
  <c r="AA100" i="4"/>
  <c r="T100" i="4"/>
  <c r="M100" i="4"/>
  <c r="F100" i="4"/>
  <c r="AH99" i="4"/>
  <c r="AA99" i="4"/>
  <c r="T99" i="4"/>
  <c r="M99" i="4"/>
  <c r="F99" i="4"/>
  <c r="AH98" i="4"/>
  <c r="AA98" i="4"/>
  <c r="T98" i="4"/>
  <c r="M98" i="4"/>
  <c r="F98" i="4"/>
  <c r="AH97" i="4"/>
  <c r="AA97" i="4"/>
  <c r="T97" i="4"/>
  <c r="M97" i="4"/>
  <c r="F97" i="4"/>
  <c r="AH96" i="4"/>
  <c r="AA96" i="4"/>
  <c r="T96" i="4"/>
  <c r="M96" i="4"/>
  <c r="F96" i="4"/>
  <c r="AH95" i="4"/>
  <c r="AA95" i="4"/>
  <c r="T95" i="4"/>
  <c r="M95" i="4"/>
  <c r="F95" i="4"/>
  <c r="AH94" i="4"/>
  <c r="AA94" i="4"/>
  <c r="T94" i="4"/>
  <c r="M94" i="4"/>
  <c r="F94" i="4"/>
  <c r="AH93" i="4"/>
  <c r="AA93" i="4"/>
  <c r="T93" i="4"/>
  <c r="M93" i="4"/>
  <c r="F93" i="4"/>
  <c r="AH92" i="4"/>
  <c r="AA92" i="4"/>
  <c r="T92" i="4"/>
  <c r="M92" i="4"/>
  <c r="F92" i="4"/>
  <c r="AH91" i="4"/>
  <c r="AA91" i="4"/>
  <c r="T91" i="4"/>
  <c r="M91" i="4"/>
  <c r="F91" i="4"/>
  <c r="AH90" i="4"/>
  <c r="AA90" i="4"/>
  <c r="T90" i="4"/>
  <c r="M90" i="4"/>
  <c r="F90" i="4"/>
  <c r="AH89" i="4"/>
  <c r="AA89" i="4"/>
  <c r="T89" i="4"/>
  <c r="M89" i="4"/>
  <c r="F89" i="4"/>
  <c r="AH88" i="4"/>
  <c r="AA88" i="4"/>
  <c r="T88" i="4"/>
  <c r="M88" i="4"/>
  <c r="F88" i="4"/>
  <c r="AH87" i="4"/>
  <c r="AA87" i="4"/>
  <c r="T87" i="4"/>
  <c r="M87" i="4"/>
  <c r="F87" i="4"/>
  <c r="AH86" i="4"/>
  <c r="AA86" i="4"/>
  <c r="T86" i="4"/>
  <c r="M86" i="4"/>
  <c r="F86" i="4"/>
  <c r="AH85" i="4"/>
  <c r="AA85" i="4"/>
  <c r="T85" i="4"/>
  <c r="M85" i="4"/>
  <c r="F85" i="4"/>
  <c r="AH84" i="4"/>
  <c r="AA84" i="4"/>
  <c r="T84" i="4"/>
  <c r="M84" i="4"/>
  <c r="F84" i="4"/>
  <c r="AH83" i="4"/>
  <c r="AA83" i="4"/>
  <c r="T83" i="4"/>
  <c r="M83" i="4"/>
  <c r="F83" i="4"/>
  <c r="AH82" i="4"/>
  <c r="AA82" i="4"/>
  <c r="T82" i="4"/>
  <c r="M82" i="4"/>
  <c r="F82" i="4"/>
  <c r="AH81" i="4"/>
  <c r="AA81" i="4"/>
  <c r="T81" i="4"/>
  <c r="M81" i="4"/>
  <c r="F81" i="4"/>
  <c r="AH80" i="4"/>
  <c r="AA80" i="4"/>
  <c r="T80" i="4"/>
  <c r="M80" i="4"/>
  <c r="F80" i="4"/>
  <c r="AH79" i="4"/>
  <c r="AA79" i="4"/>
  <c r="T79" i="4"/>
  <c r="M79" i="4"/>
  <c r="F79" i="4"/>
  <c r="AH78" i="4"/>
  <c r="AA78" i="4"/>
  <c r="T78" i="4"/>
  <c r="M78" i="4"/>
  <c r="F78" i="4"/>
  <c r="AH77" i="4"/>
  <c r="AA77" i="4"/>
  <c r="T77" i="4"/>
  <c r="M77" i="4"/>
  <c r="F77" i="4"/>
  <c r="AH76" i="4"/>
  <c r="AA76" i="4"/>
  <c r="T76" i="4"/>
  <c r="M76" i="4"/>
  <c r="F76" i="4"/>
  <c r="AH75" i="4"/>
  <c r="AA75" i="4"/>
  <c r="T75" i="4"/>
  <c r="M75" i="4"/>
  <c r="F75" i="4"/>
  <c r="AH74" i="4"/>
  <c r="AA74" i="4"/>
  <c r="T74" i="4"/>
  <c r="M74" i="4"/>
  <c r="F74" i="4"/>
  <c r="AH73" i="4"/>
  <c r="AA73" i="4"/>
  <c r="T73" i="4"/>
  <c r="M73" i="4"/>
  <c r="F73" i="4"/>
  <c r="AH72" i="4"/>
  <c r="AA72" i="4"/>
  <c r="T72" i="4"/>
  <c r="M72" i="4"/>
  <c r="F72" i="4"/>
  <c r="AH71" i="4"/>
  <c r="AA71" i="4"/>
  <c r="T71" i="4"/>
  <c r="M71" i="4"/>
  <c r="F71" i="4"/>
  <c r="AH70" i="4"/>
  <c r="AA70" i="4"/>
  <c r="T70" i="4"/>
  <c r="M70" i="4"/>
  <c r="F70" i="4"/>
  <c r="AH69" i="4"/>
  <c r="AA69" i="4"/>
  <c r="T69" i="4"/>
  <c r="M69" i="4"/>
  <c r="F69" i="4"/>
  <c r="AH68" i="4"/>
  <c r="AA68" i="4"/>
  <c r="T68" i="4"/>
  <c r="M68" i="4"/>
  <c r="F68" i="4"/>
  <c r="AH67" i="4"/>
  <c r="AA67" i="4"/>
  <c r="T67" i="4"/>
  <c r="M67" i="4"/>
  <c r="F67" i="4"/>
  <c r="AH66" i="4"/>
  <c r="AA66" i="4"/>
  <c r="T66" i="4"/>
  <c r="M66" i="4"/>
  <c r="F66" i="4"/>
  <c r="AH65" i="4"/>
  <c r="AA65" i="4"/>
  <c r="T65" i="4"/>
  <c r="M65" i="4"/>
  <c r="F65" i="4"/>
  <c r="AH64" i="4"/>
  <c r="AA64" i="4"/>
  <c r="T64" i="4"/>
  <c r="M64" i="4"/>
  <c r="F64" i="4"/>
  <c r="AH63" i="4"/>
  <c r="AA63" i="4"/>
  <c r="T63" i="4"/>
  <c r="M63" i="4"/>
  <c r="F63" i="4"/>
  <c r="AH62" i="4"/>
  <c r="AA62" i="4"/>
  <c r="T62" i="4"/>
  <c r="M62" i="4"/>
  <c r="F62" i="4"/>
  <c r="AH61" i="4"/>
  <c r="AA61" i="4"/>
  <c r="T61" i="4"/>
  <c r="M61" i="4"/>
  <c r="F61" i="4"/>
  <c r="AH60" i="4"/>
  <c r="AA60" i="4"/>
  <c r="T60" i="4"/>
  <c r="M60" i="4"/>
  <c r="F60" i="4"/>
  <c r="AH59" i="4"/>
  <c r="AA59" i="4"/>
  <c r="T59" i="4"/>
  <c r="M59" i="4"/>
  <c r="F59" i="4"/>
  <c r="AH58" i="4"/>
  <c r="AA58" i="4"/>
  <c r="T58" i="4"/>
  <c r="M58" i="4"/>
  <c r="F58" i="4"/>
  <c r="AH57" i="4"/>
  <c r="AA57" i="4"/>
  <c r="T57" i="4"/>
  <c r="M57" i="4"/>
  <c r="F57" i="4"/>
  <c r="AH56" i="4"/>
  <c r="AA56" i="4"/>
  <c r="T56" i="4"/>
  <c r="M56" i="4"/>
  <c r="F56" i="4"/>
  <c r="AH55" i="4"/>
  <c r="AA55" i="4"/>
  <c r="T55" i="4"/>
  <c r="M55" i="4"/>
  <c r="F55" i="4"/>
  <c r="AH54" i="4"/>
  <c r="AA54" i="4"/>
  <c r="T54" i="4"/>
  <c r="M54" i="4"/>
  <c r="F54" i="4"/>
  <c r="AH53" i="4"/>
  <c r="AA53" i="4"/>
  <c r="T53" i="4"/>
  <c r="M53" i="4"/>
  <c r="F53" i="4"/>
  <c r="AH52" i="4"/>
  <c r="AA52" i="4"/>
  <c r="T52" i="4"/>
  <c r="M52" i="4"/>
  <c r="F52" i="4"/>
  <c r="AH51" i="4"/>
  <c r="AA51" i="4"/>
  <c r="T51" i="4"/>
  <c r="M51" i="4"/>
  <c r="F51" i="4"/>
  <c r="AH50" i="4"/>
  <c r="AA50" i="4"/>
  <c r="T50" i="4"/>
  <c r="M50" i="4"/>
  <c r="F50" i="4"/>
  <c r="AH49" i="4"/>
  <c r="AA49" i="4"/>
  <c r="T49" i="4"/>
  <c r="M49" i="4"/>
  <c r="F49" i="4"/>
  <c r="AH48" i="4"/>
  <c r="AA48" i="4"/>
  <c r="T48" i="4"/>
  <c r="M48" i="4"/>
  <c r="F48" i="4"/>
  <c r="AH47" i="4"/>
  <c r="AA47" i="4"/>
  <c r="T47" i="4"/>
  <c r="M47" i="4"/>
  <c r="F47" i="4"/>
  <c r="AH46" i="4"/>
  <c r="AA46" i="4"/>
  <c r="T46" i="4"/>
  <c r="M46" i="4"/>
  <c r="F46" i="4"/>
  <c r="AH45" i="4"/>
  <c r="AA45" i="4"/>
  <c r="T45" i="4"/>
  <c r="M45" i="4"/>
  <c r="F45" i="4"/>
  <c r="AH44" i="4"/>
  <c r="AA44" i="4"/>
  <c r="T44" i="4"/>
  <c r="M44" i="4"/>
  <c r="F44" i="4"/>
  <c r="AH43" i="4"/>
  <c r="AA43" i="4"/>
  <c r="T43" i="4"/>
  <c r="M43" i="4"/>
  <c r="F43" i="4"/>
  <c r="AH42" i="4"/>
  <c r="AA42" i="4"/>
  <c r="T42" i="4"/>
  <c r="M42" i="4"/>
  <c r="F42" i="4"/>
  <c r="AH41" i="4"/>
  <c r="AA41" i="4"/>
  <c r="T41" i="4"/>
  <c r="M41" i="4"/>
  <c r="F41" i="4"/>
  <c r="AH40" i="4"/>
  <c r="AA40" i="4"/>
  <c r="T40" i="4"/>
  <c r="M40" i="4"/>
  <c r="F40" i="4"/>
  <c r="AH39" i="4"/>
  <c r="AA39" i="4"/>
  <c r="T39" i="4"/>
  <c r="M39" i="4"/>
  <c r="F39" i="4"/>
  <c r="AH38" i="4"/>
  <c r="AA38" i="4"/>
  <c r="T38" i="4"/>
  <c r="M38" i="4"/>
  <c r="F38" i="4"/>
  <c r="AH37" i="4"/>
  <c r="AA37" i="4"/>
  <c r="T37" i="4"/>
  <c r="M37" i="4"/>
  <c r="F37" i="4"/>
  <c r="AH36" i="4"/>
  <c r="AA36" i="4"/>
  <c r="T36" i="4"/>
  <c r="M36" i="4"/>
  <c r="F36" i="4"/>
  <c r="AH35" i="4"/>
  <c r="AA35" i="4"/>
  <c r="T35" i="4"/>
  <c r="M35" i="4"/>
  <c r="F35" i="4"/>
  <c r="AH34" i="4"/>
  <c r="AA34" i="4"/>
  <c r="T34" i="4"/>
  <c r="M34" i="4"/>
  <c r="F34" i="4"/>
  <c r="AH33" i="4"/>
  <c r="AA33" i="4"/>
  <c r="T33" i="4"/>
  <c r="M33" i="4"/>
  <c r="F33" i="4"/>
  <c r="AH32" i="4"/>
  <c r="AA32" i="4"/>
  <c r="T32" i="4"/>
  <c r="M32" i="4"/>
  <c r="F32" i="4"/>
  <c r="AH31" i="4"/>
  <c r="AA31" i="4"/>
  <c r="T31" i="4"/>
  <c r="M31" i="4"/>
  <c r="F31" i="4"/>
  <c r="AH30" i="4"/>
  <c r="AA30" i="4"/>
  <c r="T30" i="4"/>
  <c r="M30" i="4"/>
  <c r="F30" i="4"/>
  <c r="AH29" i="4"/>
  <c r="AA29" i="4"/>
  <c r="T29" i="4"/>
  <c r="M29" i="4"/>
  <c r="F29" i="4"/>
  <c r="AH28" i="4"/>
  <c r="AA28" i="4"/>
  <c r="T28" i="4"/>
  <c r="M28" i="4"/>
  <c r="F28" i="4"/>
  <c r="AH27" i="4"/>
  <c r="AA27" i="4"/>
  <c r="T27" i="4"/>
  <c r="M27" i="4"/>
  <c r="F27" i="4"/>
  <c r="AH26" i="4"/>
  <c r="AA26" i="4"/>
  <c r="T26" i="4"/>
  <c r="M26" i="4"/>
  <c r="F26" i="4"/>
  <c r="AH25" i="4"/>
  <c r="AA25" i="4"/>
  <c r="T25" i="4"/>
  <c r="M25" i="4"/>
  <c r="F25" i="4"/>
  <c r="AH24" i="4"/>
  <c r="AA24" i="4"/>
  <c r="T24" i="4"/>
  <c r="M24" i="4"/>
  <c r="F24" i="4"/>
  <c r="AH23" i="4"/>
  <c r="AA23" i="4"/>
  <c r="T23" i="4"/>
  <c r="M23" i="4"/>
  <c r="F23" i="4"/>
  <c r="AH22" i="4"/>
  <c r="AA22" i="4"/>
  <c r="T22" i="4"/>
  <c r="M22" i="4"/>
  <c r="F22" i="4"/>
  <c r="AH21" i="4"/>
  <c r="AA21" i="4"/>
  <c r="T21" i="4"/>
  <c r="M21" i="4"/>
  <c r="F21" i="4"/>
  <c r="AH20" i="4"/>
  <c r="AA20" i="4"/>
  <c r="T20" i="4"/>
  <c r="M20" i="4"/>
  <c r="F20" i="4"/>
  <c r="AH19" i="4"/>
  <c r="AA19" i="4"/>
  <c r="T19" i="4"/>
  <c r="M19" i="4"/>
  <c r="F19" i="4"/>
  <c r="AH18" i="4"/>
  <c r="AA18" i="4"/>
  <c r="T18" i="4"/>
  <c r="M18" i="4"/>
  <c r="F18" i="4"/>
  <c r="AH17" i="4"/>
  <c r="AA17" i="4"/>
  <c r="T17" i="4"/>
  <c r="M17" i="4"/>
  <c r="F17" i="4"/>
  <c r="AH16" i="4"/>
  <c r="AA16" i="4"/>
  <c r="T16" i="4"/>
  <c r="M16" i="4"/>
  <c r="F16" i="4"/>
  <c r="AH15" i="4"/>
  <c r="AA15" i="4"/>
  <c r="T15" i="4"/>
  <c r="M15" i="4"/>
  <c r="F15" i="4"/>
  <c r="AH14" i="4"/>
  <c r="AA14" i="4"/>
  <c r="T14" i="4"/>
  <c r="M14" i="4"/>
  <c r="F14" i="4"/>
  <c r="AH13" i="4"/>
  <c r="AA13" i="4"/>
  <c r="T13" i="4"/>
  <c r="M13" i="4"/>
  <c r="F13" i="4"/>
  <c r="AH12" i="4"/>
  <c r="AA12" i="4"/>
  <c r="T12" i="4"/>
  <c r="M12" i="4"/>
  <c r="F12" i="4"/>
  <c r="B51" i="3"/>
  <c r="B52" i="3" s="1"/>
  <c r="B47" i="3"/>
  <c r="B46" i="3"/>
  <c r="B42" i="3"/>
  <c r="B39" i="3"/>
  <c r="B35" i="3"/>
  <c r="C27" i="3"/>
  <c r="B27" i="3"/>
  <c r="B26" i="3"/>
  <c r="B23" i="3"/>
  <c r="B22" i="3"/>
  <c r="B21" i="3"/>
  <c r="B20" i="3"/>
  <c r="M10" i="3"/>
  <c r="L10" i="3"/>
  <c r="K10" i="3"/>
  <c r="J10" i="3"/>
  <c r="I10" i="3"/>
  <c r="AD132" i="4" s="1"/>
  <c r="H10" i="3"/>
  <c r="E10" i="3"/>
  <c r="C10" i="3"/>
  <c r="B10" i="3"/>
  <c r="D10" i="3" s="1"/>
  <c r="A10" i="3"/>
  <c r="M9" i="3"/>
  <c r="L9" i="3"/>
  <c r="K9" i="3"/>
  <c r="J9" i="3"/>
  <c r="I9" i="3"/>
  <c r="H9" i="3"/>
  <c r="E9" i="3"/>
  <c r="C9" i="3"/>
  <c r="B9" i="3"/>
  <c r="D9" i="3" s="1"/>
  <c r="F9" i="3" s="1"/>
  <c r="A9" i="3"/>
  <c r="M8" i="3"/>
  <c r="L8" i="3"/>
  <c r="K8" i="3"/>
  <c r="J8" i="3"/>
  <c r="I8" i="3"/>
  <c r="P27" i="4" s="1"/>
  <c r="H8" i="3"/>
  <c r="E8" i="3"/>
  <c r="C8" i="3"/>
  <c r="B8" i="3"/>
  <c r="A8" i="3"/>
  <c r="M7" i="3"/>
  <c r="L7" i="3"/>
  <c r="K7" i="3"/>
  <c r="J7" i="3"/>
  <c r="I7" i="3"/>
  <c r="H7" i="3"/>
  <c r="E7" i="3"/>
  <c r="C7" i="3"/>
  <c r="B7" i="3"/>
  <c r="D7" i="3" s="1"/>
  <c r="F7" i="3" s="1"/>
  <c r="A7" i="3"/>
  <c r="M6" i="3"/>
  <c r="L6" i="3"/>
  <c r="K6" i="3"/>
  <c r="J6" i="3"/>
  <c r="I6" i="3"/>
  <c r="H6" i="3"/>
  <c r="E6" i="3"/>
  <c r="C6" i="3"/>
  <c r="B6" i="3"/>
  <c r="D6" i="3" s="1"/>
  <c r="F6" i="3" s="1"/>
  <c r="A6" i="3"/>
  <c r="B48" i="3" l="1"/>
  <c r="B55" i="4"/>
  <c r="P12" i="4"/>
  <c r="W41" i="4"/>
  <c r="AD155" i="4"/>
  <c r="P34" i="4"/>
  <c r="B74" i="4"/>
  <c r="AD89" i="4"/>
  <c r="B56" i="4"/>
  <c r="AD179" i="4"/>
  <c r="D25" i="4"/>
  <c r="K36" i="4"/>
  <c r="R118" i="4"/>
  <c r="Y15" i="4"/>
  <c r="AD18" i="4"/>
  <c r="AD51" i="4"/>
  <c r="AD91" i="4"/>
  <c r="I23" i="4"/>
  <c r="P39" i="4"/>
  <c r="B22" i="4"/>
  <c r="W29" i="4"/>
  <c r="AD68" i="4"/>
  <c r="AD109" i="4"/>
  <c r="C22" i="4"/>
  <c r="AD82" i="4"/>
  <c r="R84" i="4"/>
  <c r="R26" i="4"/>
  <c r="Y50" i="4"/>
  <c r="AD31" i="4"/>
  <c r="AD73" i="4"/>
  <c r="R75" i="4"/>
  <c r="AD145" i="4"/>
  <c r="R176" i="4"/>
  <c r="D14" i="4"/>
  <c r="P28" i="4"/>
  <c r="K61" i="4"/>
  <c r="J71" i="4"/>
  <c r="J38" i="4"/>
  <c r="J20" i="4"/>
  <c r="J18" i="4"/>
  <c r="J99" i="4"/>
  <c r="J96" i="4"/>
  <c r="J36" i="4"/>
  <c r="J58" i="4"/>
  <c r="J59" i="4"/>
  <c r="J41" i="4"/>
  <c r="J29" i="4"/>
  <c r="J30" i="4"/>
  <c r="J14" i="4"/>
  <c r="J15" i="4"/>
  <c r="J93" i="4"/>
  <c r="J23" i="4"/>
  <c r="Q37" i="4"/>
  <c r="Q25" i="4"/>
  <c r="Q17" i="4"/>
  <c r="Q43" i="4"/>
  <c r="Q28" i="4"/>
  <c r="Q13" i="4"/>
  <c r="Q56" i="4"/>
  <c r="Q55" i="4"/>
  <c r="Q90" i="4"/>
  <c r="Q22" i="4"/>
  <c r="X242" i="4"/>
  <c r="X212" i="4"/>
  <c r="X110" i="4"/>
  <c r="X70" i="4"/>
  <c r="X54" i="4"/>
  <c r="X36" i="4"/>
  <c r="X31" i="4"/>
  <c r="X22" i="4"/>
  <c r="X15" i="4"/>
  <c r="X149" i="4"/>
  <c r="X105" i="4"/>
  <c r="X93" i="4"/>
  <c r="X73" i="4"/>
  <c r="X67" i="4"/>
  <c r="X64" i="4"/>
  <c r="X63" i="4"/>
  <c r="X32" i="4"/>
  <c r="X221" i="4"/>
  <c r="X167" i="4"/>
  <c r="X142" i="4"/>
  <c r="X128" i="4"/>
  <c r="X74" i="4"/>
  <c r="X60" i="4"/>
  <c r="X35" i="4"/>
  <c r="X34" i="4"/>
  <c r="X30" i="4"/>
  <c r="X143" i="4"/>
  <c r="X138" i="4"/>
  <c r="X98" i="4"/>
  <c r="X19" i="4"/>
  <c r="X190" i="4"/>
  <c r="X114" i="4"/>
  <c r="X107" i="4"/>
  <c r="X47" i="4"/>
  <c r="X119" i="4"/>
  <c r="X20" i="4"/>
  <c r="X150" i="4"/>
  <c r="X193" i="4"/>
  <c r="X25" i="4"/>
  <c r="X77" i="4"/>
  <c r="X44" i="4"/>
  <c r="X37" i="4"/>
  <c r="X21" i="4"/>
  <c r="X215" i="4"/>
  <c r="X80" i="4"/>
  <c r="X48" i="4"/>
  <c r="X27" i="4"/>
  <c r="X24" i="4"/>
  <c r="X53" i="4"/>
  <c r="X41" i="4"/>
  <c r="X40" i="4"/>
  <c r="X39" i="4"/>
  <c r="X153" i="4"/>
  <c r="X125" i="4"/>
  <c r="X12" i="4"/>
  <c r="Q20" i="4"/>
  <c r="D24" i="4"/>
  <c r="D79" i="4"/>
  <c r="D31" i="4"/>
  <c r="D60" i="4"/>
  <c r="D17" i="4"/>
  <c r="R96" i="4"/>
  <c r="R186" i="4"/>
  <c r="R141" i="4"/>
  <c r="R121" i="4"/>
  <c r="R184" i="4"/>
  <c r="R135" i="4"/>
  <c r="R103" i="4"/>
  <c r="R32" i="4"/>
  <c r="R20" i="4"/>
  <c r="R100" i="4"/>
  <c r="R66" i="4"/>
  <c r="R43" i="4"/>
  <c r="R36" i="4"/>
  <c r="R98" i="4"/>
  <c r="R37" i="4"/>
  <c r="R129" i="4"/>
  <c r="Y48" i="4"/>
  <c r="Y27" i="4"/>
  <c r="Y24" i="4"/>
  <c r="AF16" i="4"/>
  <c r="AF38" i="4"/>
  <c r="AF34" i="4"/>
  <c r="Y42" i="4"/>
  <c r="Q88" i="4"/>
  <c r="X99" i="4"/>
  <c r="AE14" i="4"/>
  <c r="AE23" i="4"/>
  <c r="AE26" i="4"/>
  <c r="AE45" i="4"/>
  <c r="X75" i="4"/>
  <c r="X122" i="4"/>
  <c r="R124" i="4"/>
  <c r="C120" i="4"/>
  <c r="C51" i="4"/>
  <c r="C47" i="4"/>
  <c r="C46" i="4"/>
  <c r="C14" i="4"/>
  <c r="C48" i="4"/>
  <c r="C27" i="4"/>
  <c r="C19" i="4"/>
  <c r="C64" i="4"/>
  <c r="C31" i="4"/>
  <c r="C81" i="4"/>
  <c r="C54" i="4"/>
  <c r="C39" i="4"/>
  <c r="C97" i="4"/>
  <c r="C16" i="4"/>
  <c r="C34" i="4"/>
  <c r="C77" i="4"/>
  <c r="C56" i="4"/>
  <c r="Y59" i="4"/>
  <c r="X17" i="4"/>
  <c r="R46" i="4"/>
  <c r="C17" i="4"/>
  <c r="R94" i="4"/>
  <c r="R140" i="4"/>
  <c r="X29" i="4"/>
  <c r="K58" i="4"/>
  <c r="X50" i="4"/>
  <c r="X102" i="4"/>
  <c r="X26" i="4"/>
  <c r="J33" i="4"/>
  <c r="X42" i="4"/>
  <c r="J101" i="4"/>
  <c r="D22" i="4"/>
  <c r="R33" i="4"/>
  <c r="R41" i="4"/>
  <c r="X14" i="4"/>
  <c r="R30" i="4"/>
  <c r="C37" i="4"/>
  <c r="Q40" i="4"/>
  <c r="C60" i="4"/>
  <c r="R65" i="4"/>
  <c r="D37" i="4"/>
  <c r="R40" i="4"/>
  <c r="C36" i="4"/>
  <c r="X57" i="4"/>
  <c r="X160" i="4"/>
  <c r="J44" i="4"/>
  <c r="J49" i="4"/>
  <c r="J48" i="4"/>
  <c r="R58" i="4"/>
  <c r="X79" i="4"/>
  <c r="R13" i="4"/>
  <c r="X16" i="4"/>
  <c r="AF17" i="4"/>
  <c r="J21" i="4"/>
  <c r="J24" i="4"/>
  <c r="X113" i="4"/>
  <c r="Y58" i="4"/>
  <c r="B24" i="4"/>
  <c r="B94" i="4"/>
  <c r="B16" i="4"/>
  <c r="B54" i="4"/>
  <c r="E54" i="4" s="1"/>
  <c r="G54" i="4" s="1"/>
  <c r="B42" i="4"/>
  <c r="B34" i="4"/>
  <c r="B31" i="4"/>
  <c r="B19" i="4"/>
  <c r="I65" i="4"/>
  <c r="I58" i="4"/>
  <c r="I46" i="4"/>
  <c r="I18" i="4"/>
  <c r="I51" i="4"/>
  <c r="I30" i="4"/>
  <c r="P60" i="4"/>
  <c r="P15" i="4"/>
  <c r="P43" i="4"/>
  <c r="P52" i="4"/>
  <c r="P22" i="4"/>
  <c r="S22" i="4" s="1"/>
  <c r="U22" i="4" s="1"/>
  <c r="P82" i="4"/>
  <c r="P73" i="4"/>
  <c r="P18" i="4"/>
  <c r="P66" i="4"/>
  <c r="P56" i="4"/>
  <c r="P19" i="4"/>
  <c r="P20" i="4"/>
  <c r="W21" i="4"/>
  <c r="W27" i="4"/>
  <c r="W74" i="4"/>
  <c r="W44" i="4"/>
  <c r="Z44" i="4" s="1"/>
  <c r="AB44" i="4" s="1"/>
  <c r="W12" i="4"/>
  <c r="AD93" i="4"/>
  <c r="AD74" i="4"/>
  <c r="AD61" i="4"/>
  <c r="AD52" i="4"/>
  <c r="AD112" i="4"/>
  <c r="AD71" i="4"/>
  <c r="AD26" i="4"/>
  <c r="AG26" i="4" s="1"/>
  <c r="AI26" i="4" s="1"/>
  <c r="AD129" i="4"/>
  <c r="AD117" i="4"/>
  <c r="AD39" i="4"/>
  <c r="AD124" i="4"/>
  <c r="AD25" i="4"/>
  <c r="AD23" i="4"/>
  <c r="AD88" i="4"/>
  <c r="AD144" i="4"/>
  <c r="AD53" i="4"/>
  <c r="AD49" i="4"/>
  <c r="AD40" i="4"/>
  <c r="AD220" i="4"/>
  <c r="AD106" i="4"/>
  <c r="AD86" i="4"/>
  <c r="AD72" i="4"/>
  <c r="AD30" i="4"/>
  <c r="AD15" i="4"/>
  <c r="AD13" i="4"/>
  <c r="AD181" i="4"/>
  <c r="AD166" i="4"/>
  <c r="AD16" i="4"/>
  <c r="Q45" i="4"/>
  <c r="D47" i="4"/>
  <c r="B64" i="4"/>
  <c r="R69" i="4"/>
  <c r="P78" i="4"/>
  <c r="D154" i="4"/>
  <c r="D29" i="4"/>
  <c r="D40" i="4"/>
  <c r="D100" i="4"/>
  <c r="K62" i="4"/>
  <c r="K52" i="4"/>
  <c r="K18" i="4"/>
  <c r="K39" i="4"/>
  <c r="K102" i="4"/>
  <c r="K33" i="4"/>
  <c r="R293" i="4"/>
  <c r="R130" i="4"/>
  <c r="R89" i="4"/>
  <c r="R189" i="4"/>
  <c r="R180" i="4"/>
  <c r="R139" i="4"/>
  <c r="R115" i="4"/>
  <c r="R86" i="4"/>
  <c r="R53" i="4"/>
  <c r="R16" i="4"/>
  <c r="R208" i="4"/>
  <c r="R169" i="4"/>
  <c r="R158" i="4"/>
  <c r="R90" i="4"/>
  <c r="R70" i="4"/>
  <c r="R56" i="4"/>
  <c r="R31" i="4"/>
  <c r="R23" i="4"/>
  <c r="R22" i="4"/>
  <c r="R174" i="4"/>
  <c r="R159" i="4"/>
  <c r="R106" i="4"/>
  <c r="R91" i="4"/>
  <c r="R68" i="4"/>
  <c r="R59" i="4"/>
  <c r="R50" i="4"/>
  <c r="R49" i="4"/>
  <c r="R48" i="4"/>
  <c r="R45" i="4"/>
  <c r="R42" i="4"/>
  <c r="R21" i="4"/>
  <c r="R12" i="4"/>
  <c r="Y60" i="4"/>
  <c r="Y84" i="4"/>
  <c r="Y74" i="4"/>
  <c r="Y30" i="4"/>
  <c r="Y78" i="4"/>
  <c r="Y39" i="4"/>
  <c r="AF134" i="4"/>
  <c r="AF55" i="4"/>
  <c r="AF43" i="4"/>
  <c r="AF41" i="4"/>
  <c r="AF29" i="4"/>
  <c r="AF57" i="4"/>
  <c r="AF49" i="4"/>
  <c r="AF45" i="4"/>
  <c r="AF14" i="4"/>
  <c r="K21" i="4"/>
  <c r="K24" i="4"/>
  <c r="R25" i="4"/>
  <c r="R27" i="4"/>
  <c r="R28" i="4"/>
  <c r="R38" i="4"/>
  <c r="K44" i="4"/>
  <c r="K48" i="4"/>
  <c r="R88" i="4"/>
  <c r="R157" i="4"/>
  <c r="R178" i="4"/>
  <c r="R17" i="4"/>
  <c r="R18" i="4"/>
  <c r="AF26" i="4"/>
  <c r="D34" i="4"/>
  <c r="R35" i="4"/>
  <c r="R55" i="4"/>
  <c r="R95" i="4"/>
  <c r="R109" i="4"/>
  <c r="B106" i="4"/>
  <c r="B60" i="4"/>
  <c r="E60" i="4" s="1"/>
  <c r="G60" i="4" s="1"/>
  <c r="B50" i="4"/>
  <c r="B45" i="4"/>
  <c r="B43" i="4"/>
  <c r="B28" i="4"/>
  <c r="B13" i="4"/>
  <c r="B84" i="4"/>
  <c r="B37" i="4"/>
  <c r="I41" i="4"/>
  <c r="I21" i="4"/>
  <c r="I62" i="4"/>
  <c r="I26" i="4"/>
  <c r="I38" i="4"/>
  <c r="I35" i="4"/>
  <c r="I15" i="4"/>
  <c r="P127" i="4"/>
  <c r="P80" i="4"/>
  <c r="P37" i="4"/>
  <c r="P25" i="4"/>
  <c r="P17" i="4"/>
  <c r="P115" i="4"/>
  <c r="P57" i="4"/>
  <c r="P47" i="4"/>
  <c r="P46" i="4"/>
  <c r="W24" i="4"/>
  <c r="W36" i="4"/>
  <c r="W64" i="4"/>
  <c r="W32" i="4"/>
  <c r="W76" i="4"/>
  <c r="AD296" i="4"/>
  <c r="AD118" i="4"/>
  <c r="AD35" i="4"/>
  <c r="AD34" i="4"/>
  <c r="AD204" i="4"/>
  <c r="AD103" i="4"/>
  <c r="AD94" i="4"/>
  <c r="AD58" i="4"/>
  <c r="AD48" i="4"/>
  <c r="AD33" i="4"/>
  <c r="AD21" i="4"/>
  <c r="AD14" i="4"/>
  <c r="AD183" i="4"/>
  <c r="AD147" i="4"/>
  <c r="AD126" i="4"/>
  <c r="AD121" i="4"/>
  <c r="AD97" i="4"/>
  <c r="AD87" i="4"/>
  <c r="AD59" i="4"/>
  <c r="AD46" i="4"/>
  <c r="AD43" i="4"/>
  <c r="AD41" i="4"/>
  <c r="AD29" i="4"/>
  <c r="AD28" i="4"/>
  <c r="AD148" i="4"/>
  <c r="AD69" i="4"/>
  <c r="AD62" i="4"/>
  <c r="AD38" i="4"/>
  <c r="AD24" i="4"/>
  <c r="P13" i="4"/>
  <c r="P14" i="4"/>
  <c r="R15" i="4"/>
  <c r="AD19" i="4"/>
  <c r="AD20" i="4"/>
  <c r="AF22" i="4"/>
  <c r="AF23" i="4"/>
  <c r="D26" i="4"/>
  <c r="P30" i="4"/>
  <c r="AD36" i="4"/>
  <c r="AF37" i="4"/>
  <c r="P40" i="4"/>
  <c r="S40" i="4" s="1"/>
  <c r="U40" i="4" s="1"/>
  <c r="P50" i="4"/>
  <c r="W51" i="4"/>
  <c r="R60" i="4"/>
  <c r="AD63" i="4"/>
  <c r="P76" i="4"/>
  <c r="Y82" i="4"/>
  <c r="W92" i="4"/>
  <c r="D94" i="4"/>
  <c r="P118" i="4"/>
  <c r="AD177" i="4"/>
  <c r="X58" i="4"/>
  <c r="D8" i="3"/>
  <c r="B14" i="3" s="1"/>
  <c r="B15" i="3"/>
  <c r="F10" i="3"/>
  <c r="AE1007" i="4"/>
  <c r="AE1010" i="4"/>
  <c r="AE997" i="4"/>
  <c r="AE987" i="4"/>
  <c r="AE1011" i="4"/>
  <c r="AE1000" i="4"/>
  <c r="AE990" i="4"/>
  <c r="AE1006" i="4"/>
  <c r="AE1005" i="4"/>
  <c r="AE1002" i="4"/>
  <c r="AE979" i="4"/>
  <c r="AE974" i="4"/>
  <c r="AE1008" i="4"/>
  <c r="AE1004" i="4"/>
  <c r="AE1003" i="4"/>
  <c r="AE992" i="4"/>
  <c r="AE1001" i="4"/>
  <c r="AE995" i="4"/>
  <c r="AE998" i="4"/>
  <c r="AE984" i="4"/>
  <c r="AE996" i="4"/>
  <c r="AE993" i="4"/>
  <c r="AE1009" i="4"/>
  <c r="AE969" i="4"/>
  <c r="AE964" i="4"/>
  <c r="AE959" i="4"/>
  <c r="AE954" i="4"/>
  <c r="AE949" i="4"/>
  <c r="AE994" i="4"/>
  <c r="AE967" i="4"/>
  <c r="AE999" i="4"/>
  <c r="AE982" i="4"/>
  <c r="AE991" i="4"/>
  <c r="AE989" i="4"/>
  <c r="AE988" i="4"/>
  <c r="AE977" i="4"/>
  <c r="AE973" i="4"/>
  <c r="AE953" i="4"/>
  <c r="AE952" i="4"/>
  <c r="AE950" i="4"/>
  <c r="AE945" i="4"/>
  <c r="AE940" i="4"/>
  <c r="AE935" i="4"/>
  <c r="AE930" i="4"/>
  <c r="AE925" i="4"/>
  <c r="AE968" i="4"/>
  <c r="AE958" i="4"/>
  <c r="AE957" i="4"/>
  <c r="AE955" i="4"/>
  <c r="AE951" i="4"/>
  <c r="AE983" i="4"/>
  <c r="AE981" i="4"/>
  <c r="AE971" i="4"/>
  <c r="AE963" i="4"/>
  <c r="AE962" i="4"/>
  <c r="AE960" i="4"/>
  <c r="AE956" i="4"/>
  <c r="AE978" i="4"/>
  <c r="AE965" i="4"/>
  <c r="AE961" i="4"/>
  <c r="AE986" i="4"/>
  <c r="AE975" i="4"/>
  <c r="AE985" i="4"/>
  <c r="AE972" i="4"/>
  <c r="AE970" i="4"/>
  <c r="AE980" i="4"/>
  <c r="AE976" i="4"/>
  <c r="AE966" i="4"/>
  <c r="AE948" i="4"/>
  <c r="AE947" i="4"/>
  <c r="AE946" i="4"/>
  <c r="AE924" i="4"/>
  <c r="AE923" i="4"/>
  <c r="AE921" i="4"/>
  <c r="AE919" i="4"/>
  <c r="AE914" i="4"/>
  <c r="AE909" i="4"/>
  <c r="AE904" i="4"/>
  <c r="AE899" i="4"/>
  <c r="AE929" i="4"/>
  <c r="AE928" i="4"/>
  <c r="AE926" i="4"/>
  <c r="AE922" i="4"/>
  <c r="AE934" i="4"/>
  <c r="AE939" i="4"/>
  <c r="AE938" i="4"/>
  <c r="AE936" i="4"/>
  <c r="AE932" i="4"/>
  <c r="AE944" i="4"/>
  <c r="AE943" i="4"/>
  <c r="AE941" i="4"/>
  <c r="AE937" i="4"/>
  <c r="AE913" i="4"/>
  <c r="AE912" i="4"/>
  <c r="AE910" i="4"/>
  <c r="AE906" i="4"/>
  <c r="AE933" i="4"/>
  <c r="AE918" i="4"/>
  <c r="AE917" i="4"/>
  <c r="AE915" i="4"/>
  <c r="AE911" i="4"/>
  <c r="AE896" i="4"/>
  <c r="AE890" i="4"/>
  <c r="AE885" i="4"/>
  <c r="AE880" i="4"/>
  <c r="AE875" i="4"/>
  <c r="AE870" i="4"/>
  <c r="AE865" i="4"/>
  <c r="AE860" i="4"/>
  <c r="AE855" i="4"/>
  <c r="AE931" i="4"/>
  <c r="AE927" i="4"/>
  <c r="AE920" i="4"/>
  <c r="AE916" i="4"/>
  <c r="AE942" i="4"/>
  <c r="AE908" i="4"/>
  <c r="AE907" i="4"/>
  <c r="AE905" i="4"/>
  <c r="AE889" i="4"/>
  <c r="AE888" i="4"/>
  <c r="AE886" i="4"/>
  <c r="AE882" i="4"/>
  <c r="AE845" i="4"/>
  <c r="AE840" i="4"/>
  <c r="AE894" i="4"/>
  <c r="AE893" i="4"/>
  <c r="AE891" i="4"/>
  <c r="AE887" i="4"/>
  <c r="AE901" i="4"/>
  <c r="AE898" i="4"/>
  <c r="AE892" i="4"/>
  <c r="AE895" i="4"/>
  <c r="AE900" i="4"/>
  <c r="AE897" i="4"/>
  <c r="AE903" i="4"/>
  <c r="AE902" i="4"/>
  <c r="AE883" i="4"/>
  <c r="AE868" i="4"/>
  <c r="AE866" i="4"/>
  <c r="AE864" i="4"/>
  <c r="AE844" i="4"/>
  <c r="AE843" i="4"/>
  <c r="AE834" i="4"/>
  <c r="AE829" i="4"/>
  <c r="AE824" i="4"/>
  <c r="AE819" i="4"/>
  <c r="AE814" i="4"/>
  <c r="AE809" i="4"/>
  <c r="AE804" i="4"/>
  <c r="AE799" i="4"/>
  <c r="AE872" i="4"/>
  <c r="AE862" i="4"/>
  <c r="AE853" i="4"/>
  <c r="AE846" i="4"/>
  <c r="AE839" i="4"/>
  <c r="AE874" i="4"/>
  <c r="AE850" i="4"/>
  <c r="AE884" i="4"/>
  <c r="AE876" i="4"/>
  <c r="AE857" i="4"/>
  <c r="AE859" i="4"/>
  <c r="AE851" i="4"/>
  <c r="AE848" i="4"/>
  <c r="AE842" i="4"/>
  <c r="AE835" i="4"/>
  <c r="AE881" i="4"/>
  <c r="AE877" i="4"/>
  <c r="AE873" i="4"/>
  <c r="AE871" i="4"/>
  <c r="AE869" i="4"/>
  <c r="AE863" i="4"/>
  <c r="AE861" i="4"/>
  <c r="AE833" i="4"/>
  <c r="AE830" i="4"/>
  <c r="AE827" i="4"/>
  <c r="AE796" i="4"/>
  <c r="AE792" i="4"/>
  <c r="AE787" i="4"/>
  <c r="AE782" i="4"/>
  <c r="AE858" i="4"/>
  <c r="AE852" i="4"/>
  <c r="AE836" i="4"/>
  <c r="AE838" i="4"/>
  <c r="AE847" i="4"/>
  <c r="AE828" i="4"/>
  <c r="AE803" i="4"/>
  <c r="AE802" i="4"/>
  <c r="AE798" i="4"/>
  <c r="AE831" i="4"/>
  <c r="AE808" i="4"/>
  <c r="AE807" i="4"/>
  <c r="AE805" i="4"/>
  <c r="AE854" i="4"/>
  <c r="AE797" i="4"/>
  <c r="AE794" i="4"/>
  <c r="AE788" i="4"/>
  <c r="AE776" i="4"/>
  <c r="AE771" i="4"/>
  <c r="AE766" i="4"/>
  <c r="AE761" i="4"/>
  <c r="AE756" i="4"/>
  <c r="AE751" i="4"/>
  <c r="AE746" i="4"/>
  <c r="AE741" i="4"/>
  <c r="AE736" i="4"/>
  <c r="AE731" i="4"/>
  <c r="AE867" i="4"/>
  <c r="AE837" i="4"/>
  <c r="AE821" i="4"/>
  <c r="AE795" i="4"/>
  <c r="AE879" i="4"/>
  <c r="AE825" i="4"/>
  <c r="AE784" i="4"/>
  <c r="AE856" i="4"/>
  <c r="AE849" i="4"/>
  <c r="AE822" i="4"/>
  <c r="AE801" i="4"/>
  <c r="AE783" i="4"/>
  <c r="AE777" i="4"/>
  <c r="AE772" i="4"/>
  <c r="AE841" i="4"/>
  <c r="AE786" i="4"/>
  <c r="AE816" i="4"/>
  <c r="AE806" i="4"/>
  <c r="AE781" i="4"/>
  <c r="AE780" i="4"/>
  <c r="AE775" i="4"/>
  <c r="AE750" i="4"/>
  <c r="AE749" i="4"/>
  <c r="AE747" i="4"/>
  <c r="AE743" i="4"/>
  <c r="AE737" i="4"/>
  <c r="AE730" i="4"/>
  <c r="AE725" i="4"/>
  <c r="AE720" i="4"/>
  <c r="AE715" i="4"/>
  <c r="AE710" i="4"/>
  <c r="AE705" i="4"/>
  <c r="AE700" i="4"/>
  <c r="AE695" i="4"/>
  <c r="AE690" i="4"/>
  <c r="AE685" i="4"/>
  <c r="AE680" i="4"/>
  <c r="AE779" i="4"/>
  <c r="AE778" i="4"/>
  <c r="AE755" i="4"/>
  <c r="AE754" i="4"/>
  <c r="AE752" i="4"/>
  <c r="AE748" i="4"/>
  <c r="AE813" i="4"/>
  <c r="AE800" i="4"/>
  <c r="AE760" i="4"/>
  <c r="AE759" i="4"/>
  <c r="AE757" i="4"/>
  <c r="AE753" i="4"/>
  <c r="AE820" i="4"/>
  <c r="AE791" i="4"/>
  <c r="AE789" i="4"/>
  <c r="AE769" i="4"/>
  <c r="AE763" i="4"/>
  <c r="AE758" i="4"/>
  <c r="AE823" i="4"/>
  <c r="AE812" i="4"/>
  <c r="AE793" i="4"/>
  <c r="AE732" i="4"/>
  <c r="AE726" i="4"/>
  <c r="AE826" i="4"/>
  <c r="AE818" i="4"/>
  <c r="AE785" i="4"/>
  <c r="AE774" i="4"/>
  <c r="AE767" i="4"/>
  <c r="AE764" i="4"/>
  <c r="AE691" i="4"/>
  <c r="AE676" i="4"/>
  <c r="AE671" i="4"/>
  <c r="AE666" i="4"/>
  <c r="AE661" i="4"/>
  <c r="AE656" i="4"/>
  <c r="AE651" i="4"/>
  <c r="AE646" i="4"/>
  <c r="AE641" i="4"/>
  <c r="AE636" i="4"/>
  <c r="AE631" i="4"/>
  <c r="AE626" i="4"/>
  <c r="AE770" i="4"/>
  <c r="AE762" i="4"/>
  <c r="AE724" i="4"/>
  <c r="AE694" i="4"/>
  <c r="AE815" i="4"/>
  <c r="AE811" i="4"/>
  <c r="AE790" i="4"/>
  <c r="AE745" i="4"/>
  <c r="AE832" i="4"/>
  <c r="AE739" i="4"/>
  <c r="AE728" i="4"/>
  <c r="AE704" i="4"/>
  <c r="AE703" i="4"/>
  <c r="AE701" i="4"/>
  <c r="AE679" i="4"/>
  <c r="AE740" i="4"/>
  <c r="AE738" i="4"/>
  <c r="AE709" i="4"/>
  <c r="AE708" i="4"/>
  <c r="AE706" i="4"/>
  <c r="AE702" i="4"/>
  <c r="AE697" i="4"/>
  <c r="AE693" i="4"/>
  <c r="AE686" i="4"/>
  <c r="AE714" i="4"/>
  <c r="AE713" i="4"/>
  <c r="AE711" i="4"/>
  <c r="AE707" i="4"/>
  <c r="AE727" i="4"/>
  <c r="AE719" i="4"/>
  <c r="AE689" i="4"/>
  <c r="AE670" i="4"/>
  <c r="AE655" i="4"/>
  <c r="AE654" i="4"/>
  <c r="AE652" i="4"/>
  <c r="AE648" i="4"/>
  <c r="AE628" i="4"/>
  <c r="AE721" i="4"/>
  <c r="AE696" i="4"/>
  <c r="AE688" i="4"/>
  <c r="AE687" i="4"/>
  <c r="AE673" i="4"/>
  <c r="AE660" i="4"/>
  <c r="AE659" i="4"/>
  <c r="AE657" i="4"/>
  <c r="AE653" i="4"/>
  <c r="AE621" i="4"/>
  <c r="AE817" i="4"/>
  <c r="AE723" i="4"/>
  <c r="AE717" i="4"/>
  <c r="AE681" i="4"/>
  <c r="AE665" i="4"/>
  <c r="AE664" i="4"/>
  <c r="AE662" i="4"/>
  <c r="AE810" i="4"/>
  <c r="AE768" i="4"/>
  <c r="AE773" i="4"/>
  <c r="AE735" i="4"/>
  <c r="AE729" i="4"/>
  <c r="AE683" i="4"/>
  <c r="AE718" i="4"/>
  <c r="AE716" i="4"/>
  <c r="AE677" i="4"/>
  <c r="AE663" i="4"/>
  <c r="AE649" i="4"/>
  <c r="AE640" i="4"/>
  <c r="AE618" i="4"/>
  <c r="AE606" i="4"/>
  <c r="AE601" i="4"/>
  <c r="AE596" i="4"/>
  <c r="AE591" i="4"/>
  <c r="AE634" i="4"/>
  <c r="AE611" i="4"/>
  <c r="AE684" i="4"/>
  <c r="AE722" i="4"/>
  <c r="AE678" i="4"/>
  <c r="AE733" i="4"/>
  <c r="AE742" i="4"/>
  <c r="AE668" i="4"/>
  <c r="AE667" i="4"/>
  <c r="AE647" i="4"/>
  <c r="AE637" i="4"/>
  <c r="AE633" i="4"/>
  <c r="AE630" i="4"/>
  <c r="AE638" i="4"/>
  <c r="AE604" i="4"/>
  <c r="AE597" i="4"/>
  <c r="AE584" i="4"/>
  <c r="AE579" i="4"/>
  <c r="AE574" i="4"/>
  <c r="AE569" i="4"/>
  <c r="AE564" i="4"/>
  <c r="AE559" i="4"/>
  <c r="AE554" i="4"/>
  <c r="AE549" i="4"/>
  <c r="AE544" i="4"/>
  <c r="AE539" i="4"/>
  <c r="AE534" i="4"/>
  <c r="AE529" i="4"/>
  <c r="AE639" i="4"/>
  <c r="AE619" i="4"/>
  <c r="AE600" i="4"/>
  <c r="AE744" i="4"/>
  <c r="AE675" i="4"/>
  <c r="AE624" i="4"/>
  <c r="AE615" i="4"/>
  <c r="AE612" i="4"/>
  <c r="AE593" i="4"/>
  <c r="AE698" i="4"/>
  <c r="AE674" i="4"/>
  <c r="AE650" i="4"/>
  <c r="AE635" i="4"/>
  <c r="AE620" i="4"/>
  <c r="AE616" i="4"/>
  <c r="AE603" i="4"/>
  <c r="AE599" i="4"/>
  <c r="AE592" i="4"/>
  <c r="AE585" i="4"/>
  <c r="AE580" i="4"/>
  <c r="AE878" i="4"/>
  <c r="AE625" i="4"/>
  <c r="AE608" i="4"/>
  <c r="AE590" i="4"/>
  <c r="AE699" i="4"/>
  <c r="AE658" i="4"/>
  <c r="AE582" i="4"/>
  <c r="AE576" i="4"/>
  <c r="AE570" i="4"/>
  <c r="AE567" i="4"/>
  <c r="AE551" i="4"/>
  <c r="AE545" i="4"/>
  <c r="AE542" i="4"/>
  <c r="AE521" i="4"/>
  <c r="AE516" i="4"/>
  <c r="AE511" i="4"/>
  <c r="AE506" i="4"/>
  <c r="AE501" i="4"/>
  <c r="AE496" i="4"/>
  <c r="AE491" i="4"/>
  <c r="AE486" i="4"/>
  <c r="AE481" i="4"/>
  <c r="AE476" i="4"/>
  <c r="AE471" i="4"/>
  <c r="AE466" i="4"/>
  <c r="AE461" i="4"/>
  <c r="AE456" i="4"/>
  <c r="AE451" i="4"/>
  <c r="AE446" i="4"/>
  <c r="AE441" i="4"/>
  <c r="AE436" i="4"/>
  <c r="AE431" i="4"/>
  <c r="AE426" i="4"/>
  <c r="AE692" i="4"/>
  <c r="AE682" i="4"/>
  <c r="AE623" i="4"/>
  <c r="AE602" i="4"/>
  <c r="AE581" i="4"/>
  <c r="AE578" i="4"/>
  <c r="AE558" i="4"/>
  <c r="AE531" i="4"/>
  <c r="AE527" i="4"/>
  <c r="AE672" i="4"/>
  <c r="AE629" i="4"/>
  <c r="AE614" i="4"/>
  <c r="AE605" i="4"/>
  <c r="AE595" i="4"/>
  <c r="AE561" i="4"/>
  <c r="AE555" i="4"/>
  <c r="AE552" i="4"/>
  <c r="AE524" i="4"/>
  <c r="AE519" i="4"/>
  <c r="AE514" i="4"/>
  <c r="AE509" i="4"/>
  <c r="AE622" i="4"/>
  <c r="AE607" i="4"/>
  <c r="AE577" i="4"/>
  <c r="AE568" i="4"/>
  <c r="AE543" i="4"/>
  <c r="AE530" i="4"/>
  <c r="AE734" i="4"/>
  <c r="AE644" i="4"/>
  <c r="AE613" i="4"/>
  <c r="AE609" i="4"/>
  <c r="AE571" i="4"/>
  <c r="AE565" i="4"/>
  <c r="AE562" i="4"/>
  <c r="AE546" i="4"/>
  <c r="AE533" i="4"/>
  <c r="AE522" i="4"/>
  <c r="AE517" i="4"/>
  <c r="AE512" i="4"/>
  <c r="AE507" i="4"/>
  <c r="AE502" i="4"/>
  <c r="AE497" i="4"/>
  <c r="AE492" i="4"/>
  <c r="AE765" i="4"/>
  <c r="AE632" i="4"/>
  <c r="AE617" i="4"/>
  <c r="AE610" i="4"/>
  <c r="AE594" i="4"/>
  <c r="AE573" i="4"/>
  <c r="AE548" i="4"/>
  <c r="AE535" i="4"/>
  <c r="AE572" i="4"/>
  <c r="AE526" i="4"/>
  <c r="AE494" i="4"/>
  <c r="AE488" i="4"/>
  <c r="AE482" i="4"/>
  <c r="AE479" i="4"/>
  <c r="AE463" i="4"/>
  <c r="AE433" i="4"/>
  <c r="AE429" i="4"/>
  <c r="AE422" i="4"/>
  <c r="AE587" i="4"/>
  <c r="AE575" i="4"/>
  <c r="AE538" i="4"/>
  <c r="AE536" i="4"/>
  <c r="AE523" i="4"/>
  <c r="AE493" i="4"/>
  <c r="AE470" i="4"/>
  <c r="AE425" i="4"/>
  <c r="AE420" i="4"/>
  <c r="AE415" i="4"/>
  <c r="AE410" i="4"/>
  <c r="AE405" i="4"/>
  <c r="AE400" i="4"/>
  <c r="AE395" i="4"/>
  <c r="AE390" i="4"/>
  <c r="AE385" i="4"/>
  <c r="AE598" i="4"/>
  <c r="AE556" i="4"/>
  <c r="AE540" i="4"/>
  <c r="AE520" i="4"/>
  <c r="AE508" i="4"/>
  <c r="AE505" i="4"/>
  <c r="AE489" i="4"/>
  <c r="AE473" i="4"/>
  <c r="AE467" i="4"/>
  <c r="AE464" i="4"/>
  <c r="AE443" i="4"/>
  <c r="AE712" i="4"/>
  <c r="AE669" i="4"/>
  <c r="AE643" i="4"/>
  <c r="AE627" i="4"/>
  <c r="AE586" i="4"/>
  <c r="AE553" i="4"/>
  <c r="AE547" i="4"/>
  <c r="AE480" i="4"/>
  <c r="AE435" i="4"/>
  <c r="AE550" i="4"/>
  <c r="AE532" i="4"/>
  <c r="AE504" i="4"/>
  <c r="AE483" i="4"/>
  <c r="AE477" i="4"/>
  <c r="AE474" i="4"/>
  <c r="AE450" i="4"/>
  <c r="AE449" i="4"/>
  <c r="AE447" i="4"/>
  <c r="AE442" i="4"/>
  <c r="AE428" i="4"/>
  <c r="AE424" i="4"/>
  <c r="AE645" i="4"/>
  <c r="AE642" i="4"/>
  <c r="AE589" i="4"/>
  <c r="AE588" i="4"/>
  <c r="AE557" i="4"/>
  <c r="AE528" i="4"/>
  <c r="AE515" i="4"/>
  <c r="AE485" i="4"/>
  <c r="AE460" i="4"/>
  <c r="AE440" i="4"/>
  <c r="AE417" i="4"/>
  <c r="AE412" i="4"/>
  <c r="AE407" i="4"/>
  <c r="AE402" i="4"/>
  <c r="AE397" i="4"/>
  <c r="AE392" i="4"/>
  <c r="AE387" i="4"/>
  <c r="AE382" i="4"/>
  <c r="AE513" i="4"/>
  <c r="AE472" i="4"/>
  <c r="AE454" i="4"/>
  <c r="AE452" i="4"/>
  <c r="AE406" i="4"/>
  <c r="AE403" i="4"/>
  <c r="AE518" i="4"/>
  <c r="AE499" i="4"/>
  <c r="AE566" i="4"/>
  <c r="AE478" i="4"/>
  <c r="AE475" i="4"/>
  <c r="AE525" i="4"/>
  <c r="AE487" i="4"/>
  <c r="AE484" i="4"/>
  <c r="AE458" i="4"/>
  <c r="AE444" i="4"/>
  <c r="AE419" i="4"/>
  <c r="AE409" i="4"/>
  <c r="AE394" i="4"/>
  <c r="AE370" i="4"/>
  <c r="AE360" i="4"/>
  <c r="AE350" i="4"/>
  <c r="AE462" i="4"/>
  <c r="AE438" i="4"/>
  <c r="AE421" i="4"/>
  <c r="AE411" i="4"/>
  <c r="AE373" i="4"/>
  <c r="AE363" i="4"/>
  <c r="AE353" i="4"/>
  <c r="AE343" i="4"/>
  <c r="AE337" i="4"/>
  <c r="AE332" i="4"/>
  <c r="AE327" i="4"/>
  <c r="AE322" i="4"/>
  <c r="AE317" i="4"/>
  <c r="AE312" i="4"/>
  <c r="AE307" i="4"/>
  <c r="AE302" i="4"/>
  <c r="AE297" i="4"/>
  <c r="AE292" i="4"/>
  <c r="AE287" i="4"/>
  <c r="AE282" i="4"/>
  <c r="AE277" i="4"/>
  <c r="AE272" i="4"/>
  <c r="AE267" i="4"/>
  <c r="AE262" i="4"/>
  <c r="AE257" i="4"/>
  <c r="AE252" i="4"/>
  <c r="AE247" i="4"/>
  <c r="AE242" i="4"/>
  <c r="AE563" i="4"/>
  <c r="AE495" i="4"/>
  <c r="AE457" i="4"/>
  <c r="AE434" i="4"/>
  <c r="AE386" i="4"/>
  <c r="AE383" i="4"/>
  <c r="AE376" i="4"/>
  <c r="AE366" i="4"/>
  <c r="AE356" i="4"/>
  <c r="AE346" i="4"/>
  <c r="AE448" i="4"/>
  <c r="AE439" i="4"/>
  <c r="AE430" i="4"/>
  <c r="AE413" i="4"/>
  <c r="AE404" i="4"/>
  <c r="AE398" i="4"/>
  <c r="AE389" i="4"/>
  <c r="AE369" i="4"/>
  <c r="AE359" i="4"/>
  <c r="AE349" i="4"/>
  <c r="AE340" i="4"/>
  <c r="AE335" i="4"/>
  <c r="AE330" i="4"/>
  <c r="AE325" i="4"/>
  <c r="AE320" i="4"/>
  <c r="AE315" i="4"/>
  <c r="AE310" i="4"/>
  <c r="AE305" i="4"/>
  <c r="AE583" i="4"/>
  <c r="AE510" i="4"/>
  <c r="AE503" i="4"/>
  <c r="AE500" i="4"/>
  <c r="AE498" i="4"/>
  <c r="AE469" i="4"/>
  <c r="AE372" i="4"/>
  <c r="AE362" i="4"/>
  <c r="AE352" i="4"/>
  <c r="AE342" i="4"/>
  <c r="AE560" i="4"/>
  <c r="AE541" i="4"/>
  <c r="AE468" i="4"/>
  <c r="AE453" i="4"/>
  <c r="AE537" i="4"/>
  <c r="AE459" i="4"/>
  <c r="AE437" i="4"/>
  <c r="AE418" i="4"/>
  <c r="AE414" i="4"/>
  <c r="AE391" i="4"/>
  <c r="AE388" i="4"/>
  <c r="AE377" i="4"/>
  <c r="AE367" i="4"/>
  <c r="AE357" i="4"/>
  <c r="AE347" i="4"/>
  <c r="AE375" i="4"/>
  <c r="AE334" i="4"/>
  <c r="AE316" i="4"/>
  <c r="AE313" i="4"/>
  <c r="AE304" i="4"/>
  <c r="AE266" i="4"/>
  <c r="AE265" i="4"/>
  <c r="AE263" i="4"/>
  <c r="AE259" i="4"/>
  <c r="AE237" i="4"/>
  <c r="AE227" i="4"/>
  <c r="AE217" i="4"/>
  <c r="AE213" i="4"/>
  <c r="AE208" i="4"/>
  <c r="AE203" i="4"/>
  <c r="AE198" i="4"/>
  <c r="AE193" i="4"/>
  <c r="AE188" i="4"/>
  <c r="AE183" i="4"/>
  <c r="AE178" i="4"/>
  <c r="AE173" i="4"/>
  <c r="AE168" i="4"/>
  <c r="AE163" i="4"/>
  <c r="AE158" i="4"/>
  <c r="AE153" i="4"/>
  <c r="AE148" i="4"/>
  <c r="AE143" i="4"/>
  <c r="AE354" i="4"/>
  <c r="AE331" i="4"/>
  <c r="AE328" i="4"/>
  <c r="AE319" i="4"/>
  <c r="AE271" i="4"/>
  <c r="AE270" i="4"/>
  <c r="AE268" i="4"/>
  <c r="AE264" i="4"/>
  <c r="AE230" i="4"/>
  <c r="AE220" i="4"/>
  <c r="AE365" i="4"/>
  <c r="AE339" i="4"/>
  <c r="AE336" i="4"/>
  <c r="AE445" i="4"/>
  <c r="AE380" i="4"/>
  <c r="AE378" i="4"/>
  <c r="AE333" i="4"/>
  <c r="AE311" i="4"/>
  <c r="AE308" i="4"/>
  <c r="AE281" i="4"/>
  <c r="AE280" i="4"/>
  <c r="AE278" i="4"/>
  <c r="AE274" i="4"/>
  <c r="AE399" i="4"/>
  <c r="AE396" i="4"/>
  <c r="AE368" i="4"/>
  <c r="AE355" i="4"/>
  <c r="AE341" i="4"/>
  <c r="AE326" i="4"/>
  <c r="AE323" i="4"/>
  <c r="AE314" i="4"/>
  <c r="AE286" i="4"/>
  <c r="AE285" i="4"/>
  <c r="AE283" i="4"/>
  <c r="AE279" i="4"/>
  <c r="AE455" i="4"/>
  <c r="AE432" i="4"/>
  <c r="AE401" i="4"/>
  <c r="AE393" i="4"/>
  <c r="AE371" i="4"/>
  <c r="AE490" i="4"/>
  <c r="AE416" i="4"/>
  <c r="AE374" i="4"/>
  <c r="AE465" i="4"/>
  <c r="AE427" i="4"/>
  <c r="AE423" i="4"/>
  <c r="AE408" i="4"/>
  <c r="AE384" i="4"/>
  <c r="AE381" i="4"/>
  <c r="AE379" i="4"/>
  <c r="AE364" i="4"/>
  <c r="AE351" i="4"/>
  <c r="AE261" i="4"/>
  <c r="AE260" i="4"/>
  <c r="AE258" i="4"/>
  <c r="AE254" i="4"/>
  <c r="AE234" i="4"/>
  <c r="AE224" i="4"/>
  <c r="AE338" i="4"/>
  <c r="AE309" i="4"/>
  <c r="AE306" i="4"/>
  <c r="AE295" i="4"/>
  <c r="AE293" i="4"/>
  <c r="AE291" i="4"/>
  <c r="AE276" i="4"/>
  <c r="AE256" i="4"/>
  <c r="AE243" i="4"/>
  <c r="AE228" i="4"/>
  <c r="AE205" i="4"/>
  <c r="AE199" i="4"/>
  <c r="AE196" i="4"/>
  <c r="AE171" i="4"/>
  <c r="AE164" i="4"/>
  <c r="AE150" i="4"/>
  <c r="AE146" i="4"/>
  <c r="AE289" i="4"/>
  <c r="AE273" i="4"/>
  <c r="AE239" i="4"/>
  <c r="AE232" i="4"/>
  <c r="AE219" i="4"/>
  <c r="AE212" i="4"/>
  <c r="AE187" i="4"/>
  <c r="AE167" i="4"/>
  <c r="AE142" i="4"/>
  <c r="AE138" i="4"/>
  <c r="AE133" i="4"/>
  <c r="AE128" i="4"/>
  <c r="AE123" i="4"/>
  <c r="AE118" i="4"/>
  <c r="AE113" i="4"/>
  <c r="AE108" i="4"/>
  <c r="AE103" i="4"/>
  <c r="AE98" i="4"/>
  <c r="AE93" i="4"/>
  <c r="AG93" i="4" s="1"/>
  <c r="AI93" i="4" s="1"/>
  <c r="AE269" i="4"/>
  <c r="AE246" i="4"/>
  <c r="AE221" i="4"/>
  <c r="AE215" i="4"/>
  <c r="AE209" i="4"/>
  <c r="AE206" i="4"/>
  <c r="AE190" i="4"/>
  <c r="AE160" i="4"/>
  <c r="AE361" i="4"/>
  <c r="AE301" i="4"/>
  <c r="AE299" i="4"/>
  <c r="AE250" i="4"/>
  <c r="AE248" i="4"/>
  <c r="AE236" i="4"/>
  <c r="AE223" i="4"/>
  <c r="AE197" i="4"/>
  <c r="AE152" i="4"/>
  <c r="AE136" i="4"/>
  <c r="AE345" i="4"/>
  <c r="AE303" i="4"/>
  <c r="AE290" i="4"/>
  <c r="AE288" i="4"/>
  <c r="AE251" i="4"/>
  <c r="AE249" i="4"/>
  <c r="AE238" i="4"/>
  <c r="AE225" i="4"/>
  <c r="AE200" i="4"/>
  <c r="AE194" i="4"/>
  <c r="AE191" i="4"/>
  <c r="AE170" i="4"/>
  <c r="AE166" i="4"/>
  <c r="AE159" i="4"/>
  <c r="AE145" i="4"/>
  <c r="AE141" i="4"/>
  <c r="AE348" i="4"/>
  <c r="AE344" i="4"/>
  <c r="AE329" i="4"/>
  <c r="AE358" i="4"/>
  <c r="AE324" i="4"/>
  <c r="AE321" i="4"/>
  <c r="AE318" i="4"/>
  <c r="AE244" i="4"/>
  <c r="AE226" i="4"/>
  <c r="AE202" i="4"/>
  <c r="AE157" i="4"/>
  <c r="AE140" i="4"/>
  <c r="AE135" i="4"/>
  <c r="AE130" i="4"/>
  <c r="AE125" i="4"/>
  <c r="AE120" i="4"/>
  <c r="AE115" i="4"/>
  <c r="AE110" i="4"/>
  <c r="AE105" i="4"/>
  <c r="AE100" i="4"/>
  <c r="AE95" i="4"/>
  <c r="AE90" i="4"/>
  <c r="AE85" i="4"/>
  <c r="AE80" i="4"/>
  <c r="AE75" i="4"/>
  <c r="AE296" i="4"/>
  <c r="AE233" i="4"/>
  <c r="AE222" i="4"/>
  <c r="AE189" i="4"/>
  <c r="AE180" i="4"/>
  <c r="AE169" i="4"/>
  <c r="AE119" i="4"/>
  <c r="AE116" i="4"/>
  <c r="AE107" i="4"/>
  <c r="AE70" i="4"/>
  <c r="AE60" i="4"/>
  <c r="AE50" i="4"/>
  <c r="AE15" i="4"/>
  <c r="AE241" i="4"/>
  <c r="AE184" i="4"/>
  <c r="AE172" i="4"/>
  <c r="AE162" i="4"/>
  <c r="AE149" i="4"/>
  <c r="AE137" i="4"/>
  <c r="AE131" i="4"/>
  <c r="AE122" i="4"/>
  <c r="AE74" i="4"/>
  <c r="AE73" i="4"/>
  <c r="AE63" i="4"/>
  <c r="AG63" i="4" s="1"/>
  <c r="AI63" i="4" s="1"/>
  <c r="AE53" i="4"/>
  <c r="AE40" i="4"/>
  <c r="AE35" i="4"/>
  <c r="AE30" i="4"/>
  <c r="AE25" i="4"/>
  <c r="AE20" i="4"/>
  <c r="AE66" i="4"/>
  <c r="AE298" i="4"/>
  <c r="AE210" i="4"/>
  <c r="AE186" i="4"/>
  <c r="AE151" i="4"/>
  <c r="AE99" i="4"/>
  <c r="AE96" i="4"/>
  <c r="AE79" i="4"/>
  <c r="AE78" i="4"/>
  <c r="AE76" i="4"/>
  <c r="AE300" i="4"/>
  <c r="AE284" i="4"/>
  <c r="AE255" i="4"/>
  <c r="AE245" i="4"/>
  <c r="AE240" i="4"/>
  <c r="AE229" i="4"/>
  <c r="AE218" i="4"/>
  <c r="AE207" i="4"/>
  <c r="AE201" i="4"/>
  <c r="AE114" i="4"/>
  <c r="AE111" i="4"/>
  <c r="AE102" i="4"/>
  <c r="AE84" i="4"/>
  <c r="AE83" i="4"/>
  <c r="AE81" i="4"/>
  <c r="AE77" i="4"/>
  <c r="AE69" i="4"/>
  <c r="AE59" i="4"/>
  <c r="AE204" i="4"/>
  <c r="AE181" i="4"/>
  <c r="AE179" i="4"/>
  <c r="AE177" i="4"/>
  <c r="AE165" i="4"/>
  <c r="AE129" i="4"/>
  <c r="AE126" i="4"/>
  <c r="AE117" i="4"/>
  <c r="AE89" i="4"/>
  <c r="AE88" i="4"/>
  <c r="AE86" i="4"/>
  <c r="AE82" i="4"/>
  <c r="AE72" i="4"/>
  <c r="AE253" i="4"/>
  <c r="AE235" i="4"/>
  <c r="AE275" i="4"/>
  <c r="AE214" i="4"/>
  <c r="AE231" i="4"/>
  <c r="AE216" i="4"/>
  <c r="AE195" i="4"/>
  <c r="AE192" i="4"/>
  <c r="AE294" i="4"/>
  <c r="AE211" i="4"/>
  <c r="AE182" i="4"/>
  <c r="AE139" i="4"/>
  <c r="AE134" i="4"/>
  <c r="AE104" i="4"/>
  <c r="AE101" i="4"/>
  <c r="AE92" i="4"/>
  <c r="AE67" i="4"/>
  <c r="AE57" i="4"/>
  <c r="AE47" i="4"/>
  <c r="AE42" i="4"/>
  <c r="AE37" i="4"/>
  <c r="AE32" i="4"/>
  <c r="AE27" i="4"/>
  <c r="AE22" i="4"/>
  <c r="AE17" i="4"/>
  <c r="AE12" i="4"/>
  <c r="I1009" i="4"/>
  <c r="I997" i="4"/>
  <c r="I987" i="4"/>
  <c r="I982" i="4"/>
  <c r="I1000" i="4"/>
  <c r="I990" i="4"/>
  <c r="I1011" i="4"/>
  <c r="I1007" i="4"/>
  <c r="I993" i="4"/>
  <c r="I981" i="4"/>
  <c r="I976" i="4"/>
  <c r="I1010" i="4"/>
  <c r="I996" i="4"/>
  <c r="I989" i="4"/>
  <c r="I1005" i="4"/>
  <c r="I1006" i="4"/>
  <c r="I1003" i="4"/>
  <c r="I1002" i="4"/>
  <c r="I999" i="4"/>
  <c r="I1004" i="4"/>
  <c r="I1001" i="4"/>
  <c r="I994" i="4"/>
  <c r="I984" i="4"/>
  <c r="I971" i="4"/>
  <c r="I966" i="4"/>
  <c r="I961" i="4"/>
  <c r="I956" i="4"/>
  <c r="I951" i="4"/>
  <c r="I983" i="4"/>
  <c r="I974" i="4"/>
  <c r="I969" i="4"/>
  <c r="I1008" i="4"/>
  <c r="I979" i="4"/>
  <c r="I975" i="4"/>
  <c r="I973" i="4"/>
  <c r="I995" i="4"/>
  <c r="I992" i="4"/>
  <c r="I991" i="4"/>
  <c r="I998" i="4"/>
  <c r="I988" i="4"/>
  <c r="I964" i="4"/>
  <c r="I960" i="4"/>
  <c r="I958" i="4"/>
  <c r="I957" i="4"/>
  <c r="I942" i="4"/>
  <c r="I937" i="4"/>
  <c r="I932" i="4"/>
  <c r="I927" i="4"/>
  <c r="I922" i="4"/>
  <c r="I977" i="4"/>
  <c r="I965" i="4"/>
  <c r="I963" i="4"/>
  <c r="I962" i="4"/>
  <c r="I986" i="4"/>
  <c r="I972" i="4"/>
  <c r="I978" i="4"/>
  <c r="I967" i="4"/>
  <c r="I985" i="4"/>
  <c r="I980" i="4"/>
  <c r="I970" i="4"/>
  <c r="I935" i="4"/>
  <c r="I931" i="4"/>
  <c r="I929" i="4"/>
  <c r="I928" i="4"/>
  <c r="I921" i="4"/>
  <c r="I916" i="4"/>
  <c r="I911" i="4"/>
  <c r="I906" i="4"/>
  <c r="I901" i="4"/>
  <c r="I896" i="4"/>
  <c r="I949" i="4"/>
  <c r="I940" i="4"/>
  <c r="I936" i="4"/>
  <c r="I934" i="4"/>
  <c r="I933" i="4"/>
  <c r="I953" i="4"/>
  <c r="I952" i="4"/>
  <c r="I950" i="4"/>
  <c r="I948" i="4"/>
  <c r="I947" i="4"/>
  <c r="I945" i="4"/>
  <c r="I941" i="4"/>
  <c r="I939" i="4"/>
  <c r="I938" i="4"/>
  <c r="I968" i="4"/>
  <c r="I954" i="4"/>
  <c r="I944" i="4"/>
  <c r="I943" i="4"/>
  <c r="I946" i="4"/>
  <c r="I959" i="4"/>
  <c r="I955" i="4"/>
  <c r="I920" i="4"/>
  <c r="I918" i="4"/>
  <c r="I917" i="4"/>
  <c r="I892" i="4"/>
  <c r="I887" i="4"/>
  <c r="I882" i="4"/>
  <c r="I877" i="4"/>
  <c r="I872" i="4"/>
  <c r="I867" i="4"/>
  <c r="I862" i="4"/>
  <c r="I857" i="4"/>
  <c r="I930" i="4"/>
  <c r="I926" i="4"/>
  <c r="I924" i="4"/>
  <c r="I925" i="4"/>
  <c r="I923" i="4"/>
  <c r="I919" i="4"/>
  <c r="I915" i="4"/>
  <c r="I913" i="4"/>
  <c r="I912" i="4"/>
  <c r="I909" i="4"/>
  <c r="I894" i="4"/>
  <c r="I893" i="4"/>
  <c r="I847" i="4"/>
  <c r="I842" i="4"/>
  <c r="I907" i="4"/>
  <c r="I904" i="4"/>
  <c r="I903" i="4"/>
  <c r="I855" i="4"/>
  <c r="I902" i="4"/>
  <c r="I899" i="4"/>
  <c r="I905" i="4"/>
  <c r="I914" i="4"/>
  <c r="I910" i="4"/>
  <c r="I908" i="4"/>
  <c r="I900" i="4"/>
  <c r="I898" i="4"/>
  <c r="I895" i="4"/>
  <c r="I891" i="4"/>
  <c r="I897" i="4"/>
  <c r="I879" i="4"/>
  <c r="I865" i="4"/>
  <c r="I836" i="4"/>
  <c r="I831" i="4"/>
  <c r="I826" i="4"/>
  <c r="I821" i="4"/>
  <c r="I816" i="4"/>
  <c r="I811" i="4"/>
  <c r="I806" i="4"/>
  <c r="I801" i="4"/>
  <c r="I796" i="4"/>
  <c r="I883" i="4"/>
  <c r="I873" i="4"/>
  <c r="I871" i="4"/>
  <c r="I869" i="4"/>
  <c r="I863" i="4"/>
  <c r="I854" i="4"/>
  <c r="I851" i="4"/>
  <c r="I848" i="4"/>
  <c r="I843" i="4"/>
  <c r="I880" i="4"/>
  <c r="I856" i="4"/>
  <c r="I876" i="4"/>
  <c r="I875" i="4"/>
  <c r="I860" i="4"/>
  <c r="I858" i="4"/>
  <c r="I852" i="4"/>
  <c r="I849" i="4"/>
  <c r="I888" i="4"/>
  <c r="I884" i="4"/>
  <c r="I837" i="4"/>
  <c r="I885" i="4"/>
  <c r="I881" i="4"/>
  <c r="I870" i="4"/>
  <c r="I828" i="4"/>
  <c r="I799" i="4"/>
  <c r="I794" i="4"/>
  <c r="I789" i="4"/>
  <c r="I784" i="4"/>
  <c r="I779" i="4"/>
  <c r="I861" i="4"/>
  <c r="I834" i="4"/>
  <c r="I804" i="4"/>
  <c r="I890" i="4"/>
  <c r="I841" i="4"/>
  <c r="I840" i="4"/>
  <c r="I829" i="4"/>
  <c r="I889" i="4"/>
  <c r="I886" i="4"/>
  <c r="I868" i="4"/>
  <c r="I864" i="4"/>
  <c r="I839" i="4"/>
  <c r="I832" i="4"/>
  <c r="I814" i="4"/>
  <c r="I810" i="4"/>
  <c r="I808" i="4"/>
  <c r="I807" i="4"/>
  <c r="I802" i="4"/>
  <c r="I878" i="4"/>
  <c r="I850" i="4"/>
  <c r="I845" i="4"/>
  <c r="I819" i="4"/>
  <c r="I815" i="4"/>
  <c r="I813" i="4"/>
  <c r="I812" i="4"/>
  <c r="I853" i="4"/>
  <c r="I874" i="4"/>
  <c r="I788" i="4"/>
  <c r="I781" i="4"/>
  <c r="I778" i="4"/>
  <c r="I773" i="4"/>
  <c r="I768" i="4"/>
  <c r="I763" i="4"/>
  <c r="I758" i="4"/>
  <c r="I753" i="4"/>
  <c r="I748" i="4"/>
  <c r="I743" i="4"/>
  <c r="I738" i="4"/>
  <c r="I733" i="4"/>
  <c r="I859" i="4"/>
  <c r="I800" i="4"/>
  <c r="I798" i="4"/>
  <c r="I846" i="4"/>
  <c r="I833" i="4"/>
  <c r="I825" i="4"/>
  <c r="I803" i="4"/>
  <c r="I787" i="4"/>
  <c r="I866" i="4"/>
  <c r="I835" i="4"/>
  <c r="I780" i="4"/>
  <c r="I822" i="4"/>
  <c r="I783" i="4"/>
  <c r="I774" i="4"/>
  <c r="I844" i="4"/>
  <c r="I824" i="4"/>
  <c r="I820" i="4"/>
  <c r="I757" i="4"/>
  <c r="I755" i="4"/>
  <c r="I754" i="4"/>
  <c r="I737" i="4"/>
  <c r="I727" i="4"/>
  <c r="I722" i="4"/>
  <c r="I717" i="4"/>
  <c r="I712" i="4"/>
  <c r="I707" i="4"/>
  <c r="I702" i="4"/>
  <c r="I697" i="4"/>
  <c r="I692" i="4"/>
  <c r="I687" i="4"/>
  <c r="I682" i="4"/>
  <c r="I827" i="4"/>
  <c r="I823" i="4"/>
  <c r="I776" i="4"/>
  <c r="I767" i="4"/>
  <c r="I761" i="4"/>
  <c r="I760" i="4"/>
  <c r="I759" i="4"/>
  <c r="I838" i="4"/>
  <c r="I793" i="4"/>
  <c r="I791" i="4"/>
  <c r="I782" i="4"/>
  <c r="I764" i="4"/>
  <c r="I830" i="4"/>
  <c r="I818" i="4"/>
  <c r="I795" i="4"/>
  <c r="I770" i="4"/>
  <c r="I732" i="4"/>
  <c r="I728" i="4"/>
  <c r="I817" i="4"/>
  <c r="I772" i="4"/>
  <c r="I765" i="4"/>
  <c r="I762" i="4"/>
  <c r="I805" i="4"/>
  <c r="I751" i="4"/>
  <c r="I736" i="4"/>
  <c r="I735" i="4"/>
  <c r="I725" i="4"/>
  <c r="I700" i="4"/>
  <c r="I691" i="4"/>
  <c r="I684" i="4"/>
  <c r="I680" i="4"/>
  <c r="I678" i="4"/>
  <c r="I673" i="4"/>
  <c r="I668" i="4"/>
  <c r="I663" i="4"/>
  <c r="I658" i="4"/>
  <c r="I653" i="4"/>
  <c r="I648" i="4"/>
  <c r="I643" i="4"/>
  <c r="I638" i="4"/>
  <c r="I633" i="4"/>
  <c r="I628" i="4"/>
  <c r="I766" i="4"/>
  <c r="I749" i="4"/>
  <c r="I747" i="4"/>
  <c r="I745" i="4"/>
  <c r="I734" i="4"/>
  <c r="I705" i="4"/>
  <c r="I701" i="4"/>
  <c r="I699" i="4"/>
  <c r="I698" i="4"/>
  <c r="I809" i="4"/>
  <c r="I769" i="4"/>
  <c r="I710" i="4"/>
  <c r="I706" i="4"/>
  <c r="I704" i="4"/>
  <c r="I703" i="4"/>
  <c r="I777" i="4"/>
  <c r="I715" i="4"/>
  <c r="I711" i="4"/>
  <c r="I709" i="4"/>
  <c r="I708" i="4"/>
  <c r="I683" i="4"/>
  <c r="I785" i="4"/>
  <c r="I729" i="4"/>
  <c r="I726" i="4"/>
  <c r="I720" i="4"/>
  <c r="I716" i="4"/>
  <c r="I714" i="4"/>
  <c r="I713" i="4"/>
  <c r="I686" i="4"/>
  <c r="I797" i="4"/>
  <c r="I786" i="4"/>
  <c r="I756" i="4"/>
  <c r="I746" i="4"/>
  <c r="I739" i="4"/>
  <c r="I731" i="4"/>
  <c r="I721" i="4"/>
  <c r="I719" i="4"/>
  <c r="I718" i="4"/>
  <c r="I730" i="4"/>
  <c r="I723" i="4"/>
  <c r="I674" i="4"/>
  <c r="I666" i="4"/>
  <c r="I662" i="4"/>
  <c r="I660" i="4"/>
  <c r="I659" i="4"/>
  <c r="I635" i="4"/>
  <c r="I631" i="4"/>
  <c r="I790" i="4"/>
  <c r="I667" i="4"/>
  <c r="I665" i="4"/>
  <c r="I664" i="4"/>
  <c r="I623" i="4"/>
  <c r="I775" i="4"/>
  <c r="I742" i="4"/>
  <c r="I771" i="4"/>
  <c r="I750" i="4"/>
  <c r="I741" i="4"/>
  <c r="I690" i="4"/>
  <c r="I689" i="4"/>
  <c r="I744" i="4"/>
  <c r="I740" i="4"/>
  <c r="I696" i="4"/>
  <c r="I695" i="4"/>
  <c r="I688" i="4"/>
  <c r="I752" i="4"/>
  <c r="I694" i="4"/>
  <c r="I676" i="4"/>
  <c r="I724" i="4"/>
  <c r="I671" i="4"/>
  <c r="I670" i="4"/>
  <c r="I669" i="4"/>
  <c r="I652" i="4"/>
  <c r="I650" i="4"/>
  <c r="I641" i="4"/>
  <c r="I618" i="4"/>
  <c r="I608" i="4"/>
  <c r="I603" i="4"/>
  <c r="I598" i="4"/>
  <c r="I593" i="4"/>
  <c r="I654" i="4"/>
  <c r="I632" i="4"/>
  <c r="I693" i="4"/>
  <c r="I677" i="4"/>
  <c r="I792" i="4"/>
  <c r="I661" i="4"/>
  <c r="I656" i="4"/>
  <c r="I675" i="4"/>
  <c r="I620" i="4"/>
  <c r="I597" i="4"/>
  <c r="I590" i="4"/>
  <c r="I586" i="4"/>
  <c r="I581" i="4"/>
  <c r="I576" i="4"/>
  <c r="I571" i="4"/>
  <c r="I566" i="4"/>
  <c r="I561" i="4"/>
  <c r="I556" i="4"/>
  <c r="I551" i="4"/>
  <c r="I546" i="4"/>
  <c r="I541" i="4"/>
  <c r="I536" i="4"/>
  <c r="I531" i="4"/>
  <c r="I526" i="4"/>
  <c r="I629" i="4"/>
  <c r="I626" i="4"/>
  <c r="I622" i="4"/>
  <c r="I616" i="4"/>
  <c r="I613" i="4"/>
  <c r="I604" i="4"/>
  <c r="I649" i="4"/>
  <c r="I627" i="4"/>
  <c r="I600" i="4"/>
  <c r="I596" i="4"/>
  <c r="I639" i="4"/>
  <c r="I617" i="4"/>
  <c r="I589" i="4"/>
  <c r="I672" i="4"/>
  <c r="I640" i="4"/>
  <c r="I637" i="4"/>
  <c r="I625" i="4"/>
  <c r="I621" i="4"/>
  <c r="I614" i="4"/>
  <c r="I592" i="4"/>
  <c r="I587" i="4"/>
  <c r="I582" i="4"/>
  <c r="I657" i="4"/>
  <c r="I646" i="4"/>
  <c r="I630" i="4"/>
  <c r="I594" i="4"/>
  <c r="I681" i="4"/>
  <c r="I584" i="4"/>
  <c r="I568" i="4"/>
  <c r="I565" i="4"/>
  <c r="I559" i="4"/>
  <c r="I543" i="4"/>
  <c r="I523" i="4"/>
  <c r="I518" i="4"/>
  <c r="I513" i="4"/>
  <c r="I508" i="4"/>
  <c r="I503" i="4"/>
  <c r="I498" i="4"/>
  <c r="I493" i="4"/>
  <c r="I488" i="4"/>
  <c r="I483" i="4"/>
  <c r="I478" i="4"/>
  <c r="I473" i="4"/>
  <c r="I468" i="4"/>
  <c r="I463" i="4"/>
  <c r="I458" i="4"/>
  <c r="I453" i="4"/>
  <c r="I448" i="4"/>
  <c r="I443" i="4"/>
  <c r="I438" i="4"/>
  <c r="I433" i="4"/>
  <c r="I428" i="4"/>
  <c r="I423" i="4"/>
  <c r="I645" i="4"/>
  <c r="I636" i="4"/>
  <c r="I619" i="4"/>
  <c r="I607" i="4"/>
  <c r="I602" i="4"/>
  <c r="I562" i="4"/>
  <c r="I534" i="4"/>
  <c r="I644" i="4"/>
  <c r="I611" i="4"/>
  <c r="I583" i="4"/>
  <c r="I580" i="4"/>
  <c r="I575" i="4"/>
  <c r="I569" i="4"/>
  <c r="I553" i="4"/>
  <c r="I550" i="4"/>
  <c r="I544" i="4"/>
  <c r="I527" i="4"/>
  <c r="I521" i="4"/>
  <c r="I516" i="4"/>
  <c r="I511" i="4"/>
  <c r="I609" i="4"/>
  <c r="I605" i="4"/>
  <c r="I595" i="4"/>
  <c r="I579" i="4"/>
  <c r="I572" i="4"/>
  <c r="I547" i="4"/>
  <c r="I530" i="4"/>
  <c r="I679" i="4"/>
  <c r="I642" i="4"/>
  <c r="I634" i="4"/>
  <c r="I563" i="4"/>
  <c r="I560" i="4"/>
  <c r="I554" i="4"/>
  <c r="I539" i="4"/>
  <c r="I524" i="4"/>
  <c r="I519" i="4"/>
  <c r="I514" i="4"/>
  <c r="I509" i="4"/>
  <c r="I504" i="4"/>
  <c r="I499" i="4"/>
  <c r="I494" i="4"/>
  <c r="I647" i="4"/>
  <c r="I612" i="4"/>
  <c r="I591" i="4"/>
  <c r="I588" i="4"/>
  <c r="I585" i="4"/>
  <c r="I577" i="4"/>
  <c r="I552" i="4"/>
  <c r="I535" i="4"/>
  <c r="I528" i="4"/>
  <c r="I624" i="4"/>
  <c r="I601" i="4"/>
  <c r="I578" i="4"/>
  <c r="I540" i="4"/>
  <c r="I538" i="4"/>
  <c r="I496" i="4"/>
  <c r="I480" i="4"/>
  <c r="I477" i="4"/>
  <c r="I471" i="4"/>
  <c r="I440" i="4"/>
  <c r="I436" i="4"/>
  <c r="I685" i="4"/>
  <c r="I515" i="4"/>
  <c r="I474" i="4"/>
  <c r="I429" i="4"/>
  <c r="I422" i="4"/>
  <c r="I417" i="4"/>
  <c r="I412" i="4"/>
  <c r="I407" i="4"/>
  <c r="I402" i="4"/>
  <c r="I397" i="4"/>
  <c r="I392" i="4"/>
  <c r="I387" i="4"/>
  <c r="I655" i="4"/>
  <c r="I542" i="4"/>
  <c r="I529" i="4"/>
  <c r="I512" i="4"/>
  <c r="I495" i="4"/>
  <c r="I492" i="4"/>
  <c r="I490" i="4"/>
  <c r="I487" i="4"/>
  <c r="I481" i="4"/>
  <c r="I465" i="4"/>
  <c r="I462" i="4"/>
  <c r="I451" i="4"/>
  <c r="I447" i="4"/>
  <c r="I446" i="4"/>
  <c r="I615" i="4"/>
  <c r="I574" i="4"/>
  <c r="I507" i="4"/>
  <c r="I484" i="4"/>
  <c r="I456" i="4"/>
  <c r="I452" i="4"/>
  <c r="I450" i="4"/>
  <c r="I449" i="4"/>
  <c r="I439" i="4"/>
  <c r="I420" i="4"/>
  <c r="I558" i="4"/>
  <c r="I537" i="4"/>
  <c r="I520" i="4"/>
  <c r="I506" i="4"/>
  <c r="I491" i="4"/>
  <c r="I475" i="4"/>
  <c r="I472" i="4"/>
  <c r="I466" i="4"/>
  <c r="I457" i="4"/>
  <c r="I455" i="4"/>
  <c r="I454" i="4"/>
  <c r="I442" i="4"/>
  <c r="I435" i="4"/>
  <c r="I431" i="4"/>
  <c r="I610" i="4"/>
  <c r="I651" i="4"/>
  <c r="I606" i="4"/>
  <c r="I599" i="4"/>
  <c r="I567" i="4"/>
  <c r="I548" i="4"/>
  <c r="I545" i="4"/>
  <c r="I500" i="4"/>
  <c r="I497" i="4"/>
  <c r="I489" i="4"/>
  <c r="I464" i="4"/>
  <c r="I444" i="4"/>
  <c r="I419" i="4"/>
  <c r="I414" i="4"/>
  <c r="I409" i="4"/>
  <c r="I404" i="4"/>
  <c r="I399" i="4"/>
  <c r="I394" i="4"/>
  <c r="I389" i="4"/>
  <c r="I384" i="4"/>
  <c r="I379" i="4"/>
  <c r="I525" i="4"/>
  <c r="I430" i="4"/>
  <c r="I410" i="4"/>
  <c r="I401" i="4"/>
  <c r="I505" i="4"/>
  <c r="I476" i="4"/>
  <c r="I570" i="4"/>
  <c r="I522" i="4"/>
  <c r="I510" i="4"/>
  <c r="I517" i="4"/>
  <c r="I502" i="4"/>
  <c r="I470" i="4"/>
  <c r="I437" i="4"/>
  <c r="I398" i="4"/>
  <c r="I370" i="4"/>
  <c r="I360" i="4"/>
  <c r="I350" i="4"/>
  <c r="I573" i="4"/>
  <c r="I501" i="4"/>
  <c r="I469" i="4"/>
  <c r="I425" i="4"/>
  <c r="I408" i="4"/>
  <c r="I373" i="4"/>
  <c r="I363" i="4"/>
  <c r="I353" i="4"/>
  <c r="I343" i="4"/>
  <c r="I339" i="4"/>
  <c r="I334" i="4"/>
  <c r="I329" i="4"/>
  <c r="I324" i="4"/>
  <c r="I319" i="4"/>
  <c r="I314" i="4"/>
  <c r="I309" i="4"/>
  <c r="I304" i="4"/>
  <c r="I299" i="4"/>
  <c r="I294" i="4"/>
  <c r="I289" i="4"/>
  <c r="I284" i="4"/>
  <c r="I279" i="4"/>
  <c r="I274" i="4"/>
  <c r="I269" i="4"/>
  <c r="I264" i="4"/>
  <c r="I259" i="4"/>
  <c r="I254" i="4"/>
  <c r="I249" i="4"/>
  <c r="I244" i="4"/>
  <c r="I532" i="4"/>
  <c r="I479" i="4"/>
  <c r="I461" i="4"/>
  <c r="I403" i="4"/>
  <c r="I390" i="4"/>
  <c r="I376" i="4"/>
  <c r="I366" i="4"/>
  <c r="I356" i="4"/>
  <c r="I346" i="4"/>
  <c r="I460" i="4"/>
  <c r="I421" i="4"/>
  <c r="I416" i="4"/>
  <c r="I405" i="4"/>
  <c r="I396" i="4"/>
  <c r="I393" i="4"/>
  <c r="I369" i="4"/>
  <c r="I359" i="4"/>
  <c r="I349" i="4"/>
  <c r="I337" i="4"/>
  <c r="I332" i="4"/>
  <c r="I327" i="4"/>
  <c r="I322" i="4"/>
  <c r="I317" i="4"/>
  <c r="I312" i="4"/>
  <c r="I307" i="4"/>
  <c r="I533" i="4"/>
  <c r="I467" i="4"/>
  <c r="I434" i="4"/>
  <c r="I372" i="4"/>
  <c r="I362" i="4"/>
  <c r="I352" i="4"/>
  <c r="I342" i="4"/>
  <c r="I459" i="4"/>
  <c r="I555" i="4"/>
  <c r="I485" i="4"/>
  <c r="I564" i="4"/>
  <c r="I557" i="4"/>
  <c r="I549" i="4"/>
  <c r="I406" i="4"/>
  <c r="I395" i="4"/>
  <c r="I386" i="4"/>
  <c r="I383" i="4"/>
  <c r="I377" i="4"/>
  <c r="I367" i="4"/>
  <c r="I357" i="4"/>
  <c r="I347" i="4"/>
  <c r="I445" i="4"/>
  <c r="I375" i="4"/>
  <c r="I344" i="4"/>
  <c r="I338" i="4"/>
  <c r="I335" i="4"/>
  <c r="I320" i="4"/>
  <c r="I311" i="4"/>
  <c r="I308" i="4"/>
  <c r="I277" i="4"/>
  <c r="I273" i="4"/>
  <c r="I271" i="4"/>
  <c r="I270" i="4"/>
  <c r="I237" i="4"/>
  <c r="I227" i="4"/>
  <c r="I217" i="4"/>
  <c r="I215" i="4"/>
  <c r="I210" i="4"/>
  <c r="I205" i="4"/>
  <c r="I200" i="4"/>
  <c r="I195" i="4"/>
  <c r="I190" i="4"/>
  <c r="I185" i="4"/>
  <c r="I180" i="4"/>
  <c r="I175" i="4"/>
  <c r="I170" i="4"/>
  <c r="I165" i="4"/>
  <c r="I160" i="4"/>
  <c r="I155" i="4"/>
  <c r="I150" i="4"/>
  <c r="I145" i="4"/>
  <c r="I432" i="4"/>
  <c r="I413" i="4"/>
  <c r="I391" i="4"/>
  <c r="I388" i="4"/>
  <c r="I354" i="4"/>
  <c r="I326" i="4"/>
  <c r="I323" i="4"/>
  <c r="I282" i="4"/>
  <c r="I278" i="4"/>
  <c r="I276" i="4"/>
  <c r="I275" i="4"/>
  <c r="I230" i="4"/>
  <c r="I220" i="4"/>
  <c r="I385" i="4"/>
  <c r="I382" i="4"/>
  <c r="I380" i="4"/>
  <c r="I378" i="4"/>
  <c r="I365" i="4"/>
  <c r="I340" i="4"/>
  <c r="I287" i="4"/>
  <c r="I283" i="4"/>
  <c r="I281" i="4"/>
  <c r="I280" i="4"/>
  <c r="I486" i="4"/>
  <c r="I441" i="4"/>
  <c r="I315" i="4"/>
  <c r="I306" i="4"/>
  <c r="I292" i="4"/>
  <c r="I288" i="4"/>
  <c r="I286" i="4"/>
  <c r="I285" i="4"/>
  <c r="I427" i="4"/>
  <c r="I426" i="4"/>
  <c r="I424" i="4"/>
  <c r="I368" i="4"/>
  <c r="I355" i="4"/>
  <c r="I330" i="4"/>
  <c r="I321" i="4"/>
  <c r="I318" i="4"/>
  <c r="I297" i="4"/>
  <c r="I293" i="4"/>
  <c r="I291" i="4"/>
  <c r="I290" i="4"/>
  <c r="I482" i="4"/>
  <c r="I371" i="4"/>
  <c r="I415" i="4"/>
  <c r="I411" i="4"/>
  <c r="I400" i="4"/>
  <c r="I374" i="4"/>
  <c r="I418" i="4"/>
  <c r="I381" i="4"/>
  <c r="I364" i="4"/>
  <c r="I351" i="4"/>
  <c r="I341" i="4"/>
  <c r="I305" i="4"/>
  <c r="I272" i="4"/>
  <c r="I268" i="4"/>
  <c r="I266" i="4"/>
  <c r="I265" i="4"/>
  <c r="I234" i="4"/>
  <c r="I224" i="4"/>
  <c r="I361" i="4"/>
  <c r="I245" i="4"/>
  <c r="I229" i="4"/>
  <c r="I213" i="4"/>
  <c r="I197" i="4"/>
  <c r="I194" i="4"/>
  <c r="I188" i="4"/>
  <c r="I164" i="4"/>
  <c r="I157" i="4"/>
  <c r="I153" i="4"/>
  <c r="I345" i="4"/>
  <c r="I333" i="4"/>
  <c r="I328" i="4"/>
  <c r="I325" i="4"/>
  <c r="I256" i="4"/>
  <c r="I233" i="4"/>
  <c r="I231" i="4"/>
  <c r="I218" i="4"/>
  <c r="I216" i="4"/>
  <c r="I191" i="4"/>
  <c r="I171" i="4"/>
  <c r="I146" i="4"/>
  <c r="I140" i="4"/>
  <c r="I135" i="4"/>
  <c r="I130" i="4"/>
  <c r="I125" i="4"/>
  <c r="I120" i="4"/>
  <c r="I115" i="4"/>
  <c r="I110" i="4"/>
  <c r="I105" i="4"/>
  <c r="I100" i="4"/>
  <c r="I95" i="4"/>
  <c r="I348" i="4"/>
  <c r="I303" i="4"/>
  <c r="I301" i="4"/>
  <c r="I260" i="4"/>
  <c r="I257" i="4"/>
  <c r="I240" i="4"/>
  <c r="I222" i="4"/>
  <c r="I207" i="4"/>
  <c r="I204" i="4"/>
  <c r="I198" i="4"/>
  <c r="I167" i="4"/>
  <c r="I163" i="4"/>
  <c r="I310" i="4"/>
  <c r="I247" i="4"/>
  <c r="I235" i="4"/>
  <c r="I201" i="4"/>
  <c r="I178" i="4"/>
  <c r="I174" i="4"/>
  <c r="I156" i="4"/>
  <c r="I138" i="4"/>
  <c r="I133" i="4"/>
  <c r="I358" i="4"/>
  <c r="I316" i="4"/>
  <c r="I313" i="4"/>
  <c r="I296" i="4"/>
  <c r="I261" i="4"/>
  <c r="I243" i="4"/>
  <c r="I239" i="4"/>
  <c r="I226" i="4"/>
  <c r="I214" i="4"/>
  <c r="I208" i="4"/>
  <c r="I192" i="4"/>
  <c r="I189" i="4"/>
  <c r="I183" i="4"/>
  <c r="I179" i="4"/>
  <c r="I177" i="4"/>
  <c r="I176" i="4"/>
  <c r="I173" i="4"/>
  <c r="I159" i="4"/>
  <c r="I152" i="4"/>
  <c r="I148" i="4"/>
  <c r="I336" i="4"/>
  <c r="I302" i="4"/>
  <c r="I331" i="4"/>
  <c r="I295" i="4"/>
  <c r="I263" i="4"/>
  <c r="I241" i="4"/>
  <c r="I238" i="4"/>
  <c r="I225" i="4"/>
  <c r="I206" i="4"/>
  <c r="I161" i="4"/>
  <c r="I137" i="4"/>
  <c r="I132" i="4"/>
  <c r="I127" i="4"/>
  <c r="I122" i="4"/>
  <c r="I117" i="4"/>
  <c r="I112" i="4"/>
  <c r="I107" i="4"/>
  <c r="I102" i="4"/>
  <c r="I97" i="4"/>
  <c r="I92" i="4"/>
  <c r="I87" i="4"/>
  <c r="I82" i="4"/>
  <c r="I77" i="4"/>
  <c r="I262" i="4"/>
  <c r="I255" i="4"/>
  <c r="I246" i="4"/>
  <c r="I236" i="4"/>
  <c r="I186" i="4"/>
  <c r="I169" i="4"/>
  <c r="I147" i="4"/>
  <c r="I123" i="4"/>
  <c r="I114" i="4"/>
  <c r="I111" i="4"/>
  <c r="I80" i="4"/>
  <c r="I76" i="4"/>
  <c r="I74" i="4"/>
  <c r="I70" i="4"/>
  <c r="I60" i="4"/>
  <c r="I50" i="4"/>
  <c r="I17" i="4"/>
  <c r="I12" i="4"/>
  <c r="I258" i="4"/>
  <c r="I253" i="4"/>
  <c r="I193" i="4"/>
  <c r="I158" i="4"/>
  <c r="I149" i="4"/>
  <c r="I141" i="4"/>
  <c r="I129" i="4"/>
  <c r="I126" i="4"/>
  <c r="I85" i="4"/>
  <c r="I81" i="4"/>
  <c r="I79" i="4"/>
  <c r="I78" i="4"/>
  <c r="I73" i="4"/>
  <c r="I63" i="4"/>
  <c r="I53" i="4"/>
  <c r="I42" i="4"/>
  <c r="I37" i="4"/>
  <c r="I32" i="4"/>
  <c r="I27" i="4"/>
  <c r="I22" i="4"/>
  <c r="I66" i="4"/>
  <c r="I232" i="4"/>
  <c r="I221" i="4"/>
  <c r="I196" i="4"/>
  <c r="I172" i="4"/>
  <c r="I162" i="4"/>
  <c r="I142" i="4"/>
  <c r="I103" i="4"/>
  <c r="I94" i="4"/>
  <c r="I90" i="4"/>
  <c r="I86" i="4"/>
  <c r="I84" i="4"/>
  <c r="I83" i="4"/>
  <c r="I267" i="4"/>
  <c r="I252" i="4"/>
  <c r="I228" i="4"/>
  <c r="I181" i="4"/>
  <c r="I139" i="4"/>
  <c r="I118" i="4"/>
  <c r="I109" i="4"/>
  <c r="I106" i="4"/>
  <c r="I91" i="4"/>
  <c r="I89" i="4"/>
  <c r="I88" i="4"/>
  <c r="I69" i="4"/>
  <c r="I59" i="4"/>
  <c r="L59" i="4" s="1"/>
  <c r="N59" i="4" s="1"/>
  <c r="I212" i="4"/>
  <c r="I124" i="4"/>
  <c r="I121" i="4"/>
  <c r="I72" i="4"/>
  <c r="I251" i="4"/>
  <c r="I250" i="4"/>
  <c r="I223" i="4"/>
  <c r="I242" i="4"/>
  <c r="I211" i="4"/>
  <c r="I209" i="4"/>
  <c r="I300" i="4"/>
  <c r="I298" i="4"/>
  <c r="I248" i="4"/>
  <c r="I219" i="4"/>
  <c r="I202" i="4"/>
  <c r="I199" i="4"/>
  <c r="I184" i="4"/>
  <c r="I108" i="4"/>
  <c r="I99" i="4"/>
  <c r="I96" i="4"/>
  <c r="I75" i="4"/>
  <c r="I67" i="4"/>
  <c r="I57" i="4"/>
  <c r="I47" i="4"/>
  <c r="I44" i="4"/>
  <c r="I39" i="4"/>
  <c r="I34" i="4"/>
  <c r="I29" i="4"/>
  <c r="I24" i="4"/>
  <c r="I19" i="4"/>
  <c r="I14" i="4"/>
  <c r="K1007" i="4"/>
  <c r="K1010" i="4"/>
  <c r="K1011" i="4"/>
  <c r="K1003" i="4"/>
  <c r="K996" i="4"/>
  <c r="K993" i="4"/>
  <c r="K986" i="4"/>
  <c r="K1002" i="4"/>
  <c r="K1006" i="4"/>
  <c r="K1005" i="4"/>
  <c r="K1009" i="4"/>
  <c r="K1008" i="4"/>
  <c r="K985" i="4"/>
  <c r="K979" i="4"/>
  <c r="K974" i="4"/>
  <c r="K1004" i="4"/>
  <c r="K1001" i="4"/>
  <c r="K999" i="4"/>
  <c r="K997" i="4"/>
  <c r="K994" i="4"/>
  <c r="K991" i="4"/>
  <c r="K983" i="4"/>
  <c r="K969" i="4"/>
  <c r="K964" i="4"/>
  <c r="K959" i="4"/>
  <c r="K954" i="4"/>
  <c r="K949" i="4"/>
  <c r="K975" i="4"/>
  <c r="K973" i="4"/>
  <c r="K980" i="4"/>
  <c r="K978" i="4"/>
  <c r="K977" i="4"/>
  <c r="K976" i="4"/>
  <c r="K967" i="4"/>
  <c r="K995" i="4"/>
  <c r="K992" i="4"/>
  <c r="K981" i="4"/>
  <c r="K990" i="4"/>
  <c r="K998" i="4"/>
  <c r="K989" i="4"/>
  <c r="K1000" i="4"/>
  <c r="K988" i="4"/>
  <c r="K987" i="4"/>
  <c r="K972" i="4"/>
  <c r="K961" i="4"/>
  <c r="K947" i="4"/>
  <c r="K945" i="4"/>
  <c r="K940" i="4"/>
  <c r="K935" i="4"/>
  <c r="K930" i="4"/>
  <c r="K925" i="4"/>
  <c r="K966" i="4"/>
  <c r="K970" i="4"/>
  <c r="K982" i="4"/>
  <c r="K984" i="4"/>
  <c r="K971" i="4"/>
  <c r="K965" i="4"/>
  <c r="K956" i="4"/>
  <c r="K953" i="4"/>
  <c r="K952" i="4"/>
  <c r="K950" i="4"/>
  <c r="K948" i="4"/>
  <c r="K941" i="4"/>
  <c r="K939" i="4"/>
  <c r="K938" i="4"/>
  <c r="K937" i="4"/>
  <c r="K919" i="4"/>
  <c r="K914" i="4"/>
  <c r="K909" i="4"/>
  <c r="K904" i="4"/>
  <c r="K899" i="4"/>
  <c r="K968" i="4"/>
  <c r="K957" i="4"/>
  <c r="K951" i="4"/>
  <c r="K944" i="4"/>
  <c r="K943" i="4"/>
  <c r="K942" i="4"/>
  <c r="K946" i="4"/>
  <c r="K962" i="4"/>
  <c r="K958" i="4"/>
  <c r="K955" i="4"/>
  <c r="K963" i="4"/>
  <c r="K960" i="4"/>
  <c r="K895" i="4"/>
  <c r="K890" i="4"/>
  <c r="K885" i="4"/>
  <c r="K880" i="4"/>
  <c r="K875" i="4"/>
  <c r="K870" i="4"/>
  <c r="K865" i="4"/>
  <c r="K860" i="4"/>
  <c r="K855" i="4"/>
  <c r="K934" i="4"/>
  <c r="K928" i="4"/>
  <c r="K926" i="4"/>
  <c r="K924" i="4"/>
  <c r="K922" i="4"/>
  <c r="K933" i="4"/>
  <c r="K932" i="4"/>
  <c r="K931" i="4"/>
  <c r="K929" i="4"/>
  <c r="K936" i="4"/>
  <c r="K927" i="4"/>
  <c r="K923" i="4"/>
  <c r="K921" i="4"/>
  <c r="K917" i="4"/>
  <c r="K911" i="4"/>
  <c r="K902" i="4"/>
  <c r="K856" i="4"/>
  <c r="K854" i="4"/>
  <c r="K853" i="4"/>
  <c r="K849" i="4"/>
  <c r="K845" i="4"/>
  <c r="K840" i="4"/>
  <c r="K905" i="4"/>
  <c r="K861" i="4"/>
  <c r="K859" i="4"/>
  <c r="K858" i="4"/>
  <c r="K896" i="4"/>
  <c r="K897" i="4"/>
  <c r="K901" i="4"/>
  <c r="K876" i="4"/>
  <c r="K920" i="4"/>
  <c r="K918" i="4"/>
  <c r="K912" i="4"/>
  <c r="K910" i="4"/>
  <c r="K908" i="4"/>
  <c r="K906" i="4"/>
  <c r="K916" i="4"/>
  <c r="K900" i="4"/>
  <c r="K898" i="4"/>
  <c r="K915" i="4"/>
  <c r="K913" i="4"/>
  <c r="K907" i="4"/>
  <c r="K903" i="4"/>
  <c r="K892" i="4"/>
  <c r="K867" i="4"/>
  <c r="K839" i="4"/>
  <c r="K834" i="4"/>
  <c r="K829" i="4"/>
  <c r="K824" i="4"/>
  <c r="K819" i="4"/>
  <c r="K814" i="4"/>
  <c r="K809" i="4"/>
  <c r="K804" i="4"/>
  <c r="K799" i="4"/>
  <c r="K891" i="4"/>
  <c r="K887" i="4"/>
  <c r="K893" i="4"/>
  <c r="K888" i="4"/>
  <c r="K884" i="4"/>
  <c r="K852" i="4"/>
  <c r="K881" i="4"/>
  <c r="K874" i="4"/>
  <c r="K866" i="4"/>
  <c r="K864" i="4"/>
  <c r="K841" i="4"/>
  <c r="K835" i="4"/>
  <c r="K889" i="4"/>
  <c r="K878" i="4"/>
  <c r="K877" i="4"/>
  <c r="K872" i="4"/>
  <c r="K868" i="4"/>
  <c r="K862" i="4"/>
  <c r="K873" i="4"/>
  <c r="K869" i="4"/>
  <c r="K842" i="4"/>
  <c r="K805" i="4"/>
  <c r="K803" i="4"/>
  <c r="K792" i="4"/>
  <c r="K787" i="4"/>
  <c r="K782" i="4"/>
  <c r="K886" i="4"/>
  <c r="K837" i="4"/>
  <c r="K810" i="4"/>
  <c r="K808" i="4"/>
  <c r="K807" i="4"/>
  <c r="K806" i="4"/>
  <c r="K802" i="4"/>
  <c r="K882" i="4"/>
  <c r="K857" i="4"/>
  <c r="K850" i="4"/>
  <c r="K832" i="4"/>
  <c r="K883" i="4"/>
  <c r="K879" i="4"/>
  <c r="K836" i="4"/>
  <c r="K820" i="4"/>
  <c r="K818" i="4"/>
  <c r="K817" i="4"/>
  <c r="K816" i="4"/>
  <c r="K846" i="4"/>
  <c r="K844" i="4"/>
  <c r="K833" i="4"/>
  <c r="K830" i="4"/>
  <c r="K825" i="4"/>
  <c r="K823" i="4"/>
  <c r="K822" i="4"/>
  <c r="K821" i="4"/>
  <c r="K871" i="4"/>
  <c r="K848" i="4"/>
  <c r="K847" i="4"/>
  <c r="K798" i="4"/>
  <c r="K784" i="4"/>
  <c r="K776" i="4"/>
  <c r="K771" i="4"/>
  <c r="K766" i="4"/>
  <c r="K761" i="4"/>
  <c r="K756" i="4"/>
  <c r="K751" i="4"/>
  <c r="K746" i="4"/>
  <c r="K741" i="4"/>
  <c r="K736" i="4"/>
  <c r="K731" i="4"/>
  <c r="K780" i="4"/>
  <c r="K828" i="4"/>
  <c r="K796" i="4"/>
  <c r="K783" i="4"/>
  <c r="K894" i="4"/>
  <c r="K831" i="4"/>
  <c r="K826" i="4"/>
  <c r="K786" i="4"/>
  <c r="K779" i="4"/>
  <c r="K777" i="4"/>
  <c r="K772" i="4"/>
  <c r="K838" i="4"/>
  <c r="K797" i="4"/>
  <c r="K793" i="4"/>
  <c r="K791" i="4"/>
  <c r="K790" i="4"/>
  <c r="K863" i="4"/>
  <c r="K827" i="4"/>
  <c r="K813" i="4"/>
  <c r="K789" i="4"/>
  <c r="K733" i="4"/>
  <c r="K730" i="4"/>
  <c r="K725" i="4"/>
  <c r="K720" i="4"/>
  <c r="K715" i="4"/>
  <c r="K710" i="4"/>
  <c r="K705" i="4"/>
  <c r="K700" i="4"/>
  <c r="K695" i="4"/>
  <c r="K690" i="4"/>
  <c r="K685" i="4"/>
  <c r="K680" i="4"/>
  <c r="K781" i="4"/>
  <c r="K773" i="4"/>
  <c r="K764" i="4"/>
  <c r="K770" i="4"/>
  <c r="K812" i="4"/>
  <c r="K795" i="4"/>
  <c r="K778" i="4"/>
  <c r="K768" i="4"/>
  <c r="K765" i="4"/>
  <c r="K762" i="4"/>
  <c r="K843" i="4"/>
  <c r="K811" i="4"/>
  <c r="K785" i="4"/>
  <c r="K775" i="4"/>
  <c r="K735" i="4"/>
  <c r="K801" i="4"/>
  <c r="K742" i="4"/>
  <c r="K794" i="4"/>
  <c r="K759" i="4"/>
  <c r="K753" i="4"/>
  <c r="K706" i="4"/>
  <c r="K704" i="4"/>
  <c r="K703" i="4"/>
  <c r="K702" i="4"/>
  <c r="K694" i="4"/>
  <c r="K687" i="4"/>
  <c r="K676" i="4"/>
  <c r="K671" i="4"/>
  <c r="K666" i="4"/>
  <c r="K661" i="4"/>
  <c r="K656" i="4"/>
  <c r="K651" i="4"/>
  <c r="K646" i="4"/>
  <c r="K641" i="4"/>
  <c r="K636" i="4"/>
  <c r="K631" i="4"/>
  <c r="K626" i="4"/>
  <c r="K774" i="4"/>
  <c r="K769" i="4"/>
  <c r="K711" i="4"/>
  <c r="K709" i="4"/>
  <c r="K708" i="4"/>
  <c r="K707" i="4"/>
  <c r="K683" i="4"/>
  <c r="K851" i="4"/>
  <c r="K732" i="4"/>
  <c r="K729" i="4"/>
  <c r="K726" i="4"/>
  <c r="K716" i="4"/>
  <c r="K714" i="4"/>
  <c r="K713" i="4"/>
  <c r="K712" i="4"/>
  <c r="K739" i="4"/>
  <c r="K721" i="4"/>
  <c r="K719" i="4"/>
  <c r="K718" i="4"/>
  <c r="K717" i="4"/>
  <c r="K693" i="4"/>
  <c r="K763" i="4"/>
  <c r="K744" i="4"/>
  <c r="K740" i="4"/>
  <c r="K723" i="4"/>
  <c r="K722" i="4"/>
  <c r="K696" i="4"/>
  <c r="K689" i="4"/>
  <c r="K788" i="4"/>
  <c r="K760" i="4"/>
  <c r="K754" i="4"/>
  <c r="K752" i="4"/>
  <c r="K750" i="4"/>
  <c r="K748" i="4"/>
  <c r="K738" i="4"/>
  <c r="K668" i="4"/>
  <c r="K638" i="4"/>
  <c r="K627" i="4"/>
  <c r="K757" i="4"/>
  <c r="K749" i="4"/>
  <c r="K691" i="4"/>
  <c r="K682" i="4"/>
  <c r="K678" i="4"/>
  <c r="K675" i="4"/>
  <c r="K672" i="4"/>
  <c r="K634" i="4"/>
  <c r="K621" i="4"/>
  <c r="K758" i="4"/>
  <c r="K697" i="4"/>
  <c r="K688" i="4"/>
  <c r="K743" i="4"/>
  <c r="K734" i="4"/>
  <c r="K728" i="4"/>
  <c r="K684" i="4"/>
  <c r="K681" i="4"/>
  <c r="K724" i="4"/>
  <c r="K686" i="4"/>
  <c r="K679" i="4"/>
  <c r="K737" i="4"/>
  <c r="K677" i="4"/>
  <c r="K674" i="4"/>
  <c r="K635" i="4"/>
  <c r="K614" i="4"/>
  <c r="K611" i="4"/>
  <c r="K606" i="4"/>
  <c r="K601" i="4"/>
  <c r="K596" i="4"/>
  <c r="K591" i="4"/>
  <c r="K747" i="4"/>
  <c r="K664" i="4"/>
  <c r="K660" i="4"/>
  <c r="K647" i="4"/>
  <c r="K645" i="4"/>
  <c r="K643" i="4"/>
  <c r="K639" i="4"/>
  <c r="K617" i="4"/>
  <c r="K667" i="4"/>
  <c r="K745" i="4"/>
  <c r="K727" i="4"/>
  <c r="K701" i="4"/>
  <c r="K699" i="4"/>
  <c r="K692" i="4"/>
  <c r="K663" i="4"/>
  <c r="K669" i="4"/>
  <c r="K658" i="4"/>
  <c r="K654" i="4"/>
  <c r="K632" i="4"/>
  <c r="K649" i="4"/>
  <c r="K628" i="4"/>
  <c r="K613" i="4"/>
  <c r="K600" i="4"/>
  <c r="K593" i="4"/>
  <c r="K584" i="4"/>
  <c r="K579" i="4"/>
  <c r="K574" i="4"/>
  <c r="K569" i="4"/>
  <c r="K564" i="4"/>
  <c r="K559" i="4"/>
  <c r="K554" i="4"/>
  <c r="K549" i="4"/>
  <c r="K544" i="4"/>
  <c r="K539" i="4"/>
  <c r="K534" i="4"/>
  <c r="K529" i="4"/>
  <c r="K755" i="4"/>
  <c r="K673" i="4"/>
  <c r="K589" i="4"/>
  <c r="K659" i="4"/>
  <c r="K640" i="4"/>
  <c r="K637" i="4"/>
  <c r="K625" i="4"/>
  <c r="K603" i="4"/>
  <c r="K592" i="4"/>
  <c r="K655" i="4"/>
  <c r="K650" i="4"/>
  <c r="K599" i="4"/>
  <c r="K670" i="4"/>
  <c r="K607" i="4"/>
  <c r="K602" i="4"/>
  <c r="K595" i="4"/>
  <c r="K585" i="4"/>
  <c r="K580" i="4"/>
  <c r="K653" i="4"/>
  <c r="K648" i="4"/>
  <c r="K629" i="4"/>
  <c r="K622" i="4"/>
  <c r="K616" i="4"/>
  <c r="K604" i="4"/>
  <c r="K767" i="4"/>
  <c r="K665" i="4"/>
  <c r="K644" i="4"/>
  <c r="K597" i="4"/>
  <c r="K583" i="4"/>
  <c r="K575" i="4"/>
  <c r="K553" i="4"/>
  <c r="K550" i="4"/>
  <c r="K527" i="4"/>
  <c r="K521" i="4"/>
  <c r="K516" i="4"/>
  <c r="K511" i="4"/>
  <c r="K506" i="4"/>
  <c r="K501" i="4"/>
  <c r="K496" i="4"/>
  <c r="K491" i="4"/>
  <c r="K486" i="4"/>
  <c r="K481" i="4"/>
  <c r="K476" i="4"/>
  <c r="K471" i="4"/>
  <c r="K466" i="4"/>
  <c r="K461" i="4"/>
  <c r="K456" i="4"/>
  <c r="K451" i="4"/>
  <c r="K446" i="4"/>
  <c r="K441" i="4"/>
  <c r="K436" i="4"/>
  <c r="K431" i="4"/>
  <c r="K426" i="4"/>
  <c r="K609" i="4"/>
  <c r="K605" i="4"/>
  <c r="K572" i="4"/>
  <c r="K556" i="4"/>
  <c r="K547" i="4"/>
  <c r="K530" i="4"/>
  <c r="K800" i="4"/>
  <c r="K642" i="4"/>
  <c r="K582" i="4"/>
  <c r="K581" i="4"/>
  <c r="K563" i="4"/>
  <c r="K560" i="4"/>
  <c r="K524" i="4"/>
  <c r="K519" i="4"/>
  <c r="K514" i="4"/>
  <c r="K509" i="4"/>
  <c r="K598" i="4"/>
  <c r="K578" i="4"/>
  <c r="K566" i="4"/>
  <c r="K557" i="4"/>
  <c r="K540" i="4"/>
  <c r="K538" i="4"/>
  <c r="K537" i="4"/>
  <c r="K533" i="4"/>
  <c r="K526" i="4"/>
  <c r="K633" i="4"/>
  <c r="K624" i="4"/>
  <c r="K618" i="4"/>
  <c r="K573" i="4"/>
  <c r="K570" i="4"/>
  <c r="K548" i="4"/>
  <c r="K545" i="4"/>
  <c r="K541" i="4"/>
  <c r="K522" i="4"/>
  <c r="K517" i="4"/>
  <c r="K512" i="4"/>
  <c r="K507" i="4"/>
  <c r="K502" i="4"/>
  <c r="K497" i="4"/>
  <c r="K492" i="4"/>
  <c r="K815" i="4"/>
  <c r="K698" i="4"/>
  <c r="K619" i="4"/>
  <c r="K590" i="4"/>
  <c r="K587" i="4"/>
  <c r="K586" i="4"/>
  <c r="K571" i="4"/>
  <c r="K562" i="4"/>
  <c r="K546" i="4"/>
  <c r="K531" i="4"/>
  <c r="K608" i="4"/>
  <c r="K542" i="4"/>
  <c r="K495" i="4"/>
  <c r="K490" i="4"/>
  <c r="K487" i="4"/>
  <c r="K465" i="4"/>
  <c r="K462" i="4"/>
  <c r="K447" i="4"/>
  <c r="K443" i="4"/>
  <c r="K432" i="4"/>
  <c r="K425" i="4"/>
  <c r="K662" i="4"/>
  <c r="K620" i="4"/>
  <c r="K615" i="4"/>
  <c r="K561" i="4"/>
  <c r="K523" i="4"/>
  <c r="K484" i="4"/>
  <c r="K468" i="4"/>
  <c r="K452" i="4"/>
  <c r="K450" i="4"/>
  <c r="K449" i="4"/>
  <c r="K439" i="4"/>
  <c r="K420" i="4"/>
  <c r="K415" i="4"/>
  <c r="K410" i="4"/>
  <c r="K405" i="4"/>
  <c r="K400" i="4"/>
  <c r="K395" i="4"/>
  <c r="K390" i="4"/>
  <c r="K385" i="4"/>
  <c r="K594" i="4"/>
  <c r="K577" i="4"/>
  <c r="K558" i="4"/>
  <c r="K520" i="4"/>
  <c r="K494" i="4"/>
  <c r="K493" i="4"/>
  <c r="K475" i="4"/>
  <c r="K472" i="4"/>
  <c r="K457" i="4"/>
  <c r="K455" i="4"/>
  <c r="K454" i="4"/>
  <c r="K448" i="4"/>
  <c r="K442" i="4"/>
  <c r="K652" i="4"/>
  <c r="K610" i="4"/>
  <c r="K532" i="4"/>
  <c r="K508" i="4"/>
  <c r="K478" i="4"/>
  <c r="K469" i="4"/>
  <c r="K459" i="4"/>
  <c r="K453" i="4"/>
  <c r="K424" i="4"/>
  <c r="K568" i="4"/>
  <c r="K555" i="4"/>
  <c r="K505" i="4"/>
  <c r="K485" i="4"/>
  <c r="K482" i="4"/>
  <c r="K460" i="4"/>
  <c r="K458" i="4"/>
  <c r="K445" i="4"/>
  <c r="K438" i="4"/>
  <c r="K427" i="4"/>
  <c r="K630" i="4"/>
  <c r="K657" i="4"/>
  <c r="K612" i="4"/>
  <c r="K623" i="4"/>
  <c r="K536" i="4"/>
  <c r="K515" i="4"/>
  <c r="K499" i="4"/>
  <c r="K498" i="4"/>
  <c r="K483" i="4"/>
  <c r="K474" i="4"/>
  <c r="K429" i="4"/>
  <c r="K422" i="4"/>
  <c r="K417" i="4"/>
  <c r="K412" i="4"/>
  <c r="K407" i="4"/>
  <c r="K402" i="4"/>
  <c r="K397" i="4"/>
  <c r="K392" i="4"/>
  <c r="K387" i="4"/>
  <c r="K382" i="4"/>
  <c r="K567" i="4"/>
  <c r="K551" i="4"/>
  <c r="K479" i="4"/>
  <c r="K552" i="4"/>
  <c r="K528" i="4"/>
  <c r="K504" i="4"/>
  <c r="K463" i="4"/>
  <c r="K444" i="4"/>
  <c r="K576" i="4"/>
  <c r="K525" i="4"/>
  <c r="K488" i="4"/>
  <c r="K477" i="4"/>
  <c r="K464" i="4"/>
  <c r="K503" i="4"/>
  <c r="K428" i="4"/>
  <c r="K419" i="4"/>
  <c r="K403" i="4"/>
  <c r="K401" i="4"/>
  <c r="K376" i="4"/>
  <c r="K366" i="4"/>
  <c r="K356" i="4"/>
  <c r="K346" i="4"/>
  <c r="K480" i="4"/>
  <c r="K433" i="4"/>
  <c r="K396" i="4"/>
  <c r="K393" i="4"/>
  <c r="K384" i="4"/>
  <c r="K369" i="4"/>
  <c r="K359" i="4"/>
  <c r="K349" i="4"/>
  <c r="K337" i="4"/>
  <c r="K332" i="4"/>
  <c r="K327" i="4"/>
  <c r="K322" i="4"/>
  <c r="K317" i="4"/>
  <c r="K312" i="4"/>
  <c r="K307" i="4"/>
  <c r="K302" i="4"/>
  <c r="K297" i="4"/>
  <c r="K292" i="4"/>
  <c r="K287" i="4"/>
  <c r="K282" i="4"/>
  <c r="K277" i="4"/>
  <c r="K272" i="4"/>
  <c r="K267" i="4"/>
  <c r="K262" i="4"/>
  <c r="K257" i="4"/>
  <c r="K252" i="4"/>
  <c r="K247" i="4"/>
  <c r="K242" i="4"/>
  <c r="K565" i="4"/>
  <c r="K434" i="4"/>
  <c r="K421" i="4"/>
  <c r="K416" i="4"/>
  <c r="K399" i="4"/>
  <c r="K543" i="4"/>
  <c r="K518" i="4"/>
  <c r="K467" i="4"/>
  <c r="K430" i="4"/>
  <c r="K418" i="4"/>
  <c r="K414" i="4"/>
  <c r="K375" i="4"/>
  <c r="K372" i="4"/>
  <c r="K365" i="4"/>
  <c r="K362" i="4"/>
  <c r="K355" i="4"/>
  <c r="K352" i="4"/>
  <c r="K345" i="4"/>
  <c r="K342" i="4"/>
  <c r="K340" i="4"/>
  <c r="K335" i="4"/>
  <c r="K330" i="4"/>
  <c r="K325" i="4"/>
  <c r="K320" i="4"/>
  <c r="K315" i="4"/>
  <c r="K310" i="4"/>
  <c r="K305" i="4"/>
  <c r="K513" i="4"/>
  <c r="K435" i="4"/>
  <c r="K391" i="4"/>
  <c r="K388" i="4"/>
  <c r="K381" i="4"/>
  <c r="K380" i="4"/>
  <c r="K379" i="4"/>
  <c r="K378" i="4"/>
  <c r="K368" i="4"/>
  <c r="K358" i="4"/>
  <c r="K348" i="4"/>
  <c r="K489" i="4"/>
  <c r="K535" i="4"/>
  <c r="K473" i="4"/>
  <c r="K588" i="4"/>
  <c r="K510" i="4"/>
  <c r="K500" i="4"/>
  <c r="K408" i="4"/>
  <c r="K373" i="4"/>
  <c r="K363" i="4"/>
  <c r="K353" i="4"/>
  <c r="K413" i="4"/>
  <c r="K406" i="4"/>
  <c r="K314" i="4"/>
  <c r="K283" i="4"/>
  <c r="K281" i="4"/>
  <c r="K280" i="4"/>
  <c r="K274" i="4"/>
  <c r="K233" i="4"/>
  <c r="K223" i="4"/>
  <c r="K213" i="4"/>
  <c r="K208" i="4"/>
  <c r="K203" i="4"/>
  <c r="K198" i="4"/>
  <c r="K193" i="4"/>
  <c r="K188" i="4"/>
  <c r="K183" i="4"/>
  <c r="K178" i="4"/>
  <c r="K173" i="4"/>
  <c r="K168" i="4"/>
  <c r="K163" i="4"/>
  <c r="K158" i="4"/>
  <c r="K153" i="4"/>
  <c r="K148" i="4"/>
  <c r="K143" i="4"/>
  <c r="K370" i="4"/>
  <c r="K367" i="4"/>
  <c r="K343" i="4"/>
  <c r="K329" i="4"/>
  <c r="K306" i="4"/>
  <c r="K288" i="4"/>
  <c r="K286" i="4"/>
  <c r="K285" i="4"/>
  <c r="K279" i="4"/>
  <c r="K236" i="4"/>
  <c r="K226" i="4"/>
  <c r="K470" i="4"/>
  <c r="K440" i="4"/>
  <c r="K437" i="4"/>
  <c r="K321" i="4"/>
  <c r="K318" i="4"/>
  <c r="K293" i="4"/>
  <c r="K291" i="4"/>
  <c r="K290" i="4"/>
  <c r="K284" i="4"/>
  <c r="K409" i="4"/>
  <c r="K371" i="4"/>
  <c r="K360" i="4"/>
  <c r="K357" i="4"/>
  <c r="K309" i="4"/>
  <c r="K298" i="4"/>
  <c r="K296" i="4"/>
  <c r="K295" i="4"/>
  <c r="K289" i="4"/>
  <c r="K248" i="4"/>
  <c r="K423" i="4"/>
  <c r="K334" i="4"/>
  <c r="K324" i="4"/>
  <c r="K303" i="4"/>
  <c r="K301" i="4"/>
  <c r="K300" i="4"/>
  <c r="K294" i="4"/>
  <c r="K411" i="4"/>
  <c r="K404" i="4"/>
  <c r="K374" i="4"/>
  <c r="K398" i="4"/>
  <c r="K389" i="4"/>
  <c r="K394" i="4"/>
  <c r="K386" i="4"/>
  <c r="K383" i="4"/>
  <c r="K377" i="4"/>
  <c r="K354" i="4"/>
  <c r="K326" i="4"/>
  <c r="K323" i="4"/>
  <c r="K278" i="4"/>
  <c r="K276" i="4"/>
  <c r="K275" i="4"/>
  <c r="K269" i="4"/>
  <c r="K230" i="4"/>
  <c r="K220" i="4"/>
  <c r="K311" i="4"/>
  <c r="K299" i="4"/>
  <c r="K264" i="4"/>
  <c r="K260" i="4"/>
  <c r="K240" i="4"/>
  <c r="K222" i="4"/>
  <c r="K207" i="4"/>
  <c r="K204" i="4"/>
  <c r="K167" i="4"/>
  <c r="K160" i="4"/>
  <c r="K149" i="4"/>
  <c r="K142" i="4"/>
  <c r="K350" i="4"/>
  <c r="K347" i="4"/>
  <c r="K308" i="4"/>
  <c r="K273" i="4"/>
  <c r="K244" i="4"/>
  <c r="K235" i="4"/>
  <c r="K210" i="4"/>
  <c r="K201" i="4"/>
  <c r="K174" i="4"/>
  <c r="K156" i="4"/>
  <c r="K138" i="4"/>
  <c r="K133" i="4"/>
  <c r="K128" i="4"/>
  <c r="K123" i="4"/>
  <c r="K118" i="4"/>
  <c r="K113" i="4"/>
  <c r="K108" i="4"/>
  <c r="K103" i="4"/>
  <c r="K98" i="4"/>
  <c r="K93" i="4"/>
  <c r="K351" i="4"/>
  <c r="K316" i="4"/>
  <c r="K313" i="4"/>
  <c r="K265" i="4"/>
  <c r="K261" i="4"/>
  <c r="K243" i="4"/>
  <c r="K214" i="4"/>
  <c r="K192" i="4"/>
  <c r="K189" i="4"/>
  <c r="K179" i="4"/>
  <c r="K177" i="4"/>
  <c r="K176" i="4"/>
  <c r="K170" i="4"/>
  <c r="K344" i="4"/>
  <c r="K336" i="4"/>
  <c r="K319" i="4"/>
  <c r="K250" i="4"/>
  <c r="K239" i="4"/>
  <c r="K237" i="4"/>
  <c r="K228" i="4"/>
  <c r="K211" i="4"/>
  <c r="K195" i="4"/>
  <c r="K184" i="4"/>
  <c r="K182" i="4"/>
  <c r="K181" i="4"/>
  <c r="K175" i="4"/>
  <c r="K166" i="4"/>
  <c r="K141" i="4"/>
  <c r="K136" i="4"/>
  <c r="K270" i="4"/>
  <c r="K266" i="4"/>
  <c r="K258" i="4"/>
  <c r="K253" i="4"/>
  <c r="K251" i="4"/>
  <c r="K232" i="4"/>
  <c r="K224" i="4"/>
  <c r="K202" i="4"/>
  <c r="K199" i="4"/>
  <c r="K186" i="4"/>
  <c r="K180" i="4"/>
  <c r="K169" i="4"/>
  <c r="K162" i="4"/>
  <c r="K155" i="4"/>
  <c r="K144" i="4"/>
  <c r="K364" i="4"/>
  <c r="K339" i="4"/>
  <c r="K331" i="4"/>
  <c r="K361" i="4"/>
  <c r="K341" i="4"/>
  <c r="K338" i="4"/>
  <c r="K333" i="4"/>
  <c r="K328" i="4"/>
  <c r="K256" i="4"/>
  <c r="K231" i="4"/>
  <c r="K229" i="4"/>
  <c r="K227" i="4"/>
  <c r="K218" i="4"/>
  <c r="K216" i="4"/>
  <c r="K200" i="4"/>
  <c r="K191" i="4"/>
  <c r="K171" i="4"/>
  <c r="K146" i="4"/>
  <c r="K140" i="4"/>
  <c r="K135" i="4"/>
  <c r="K130" i="4"/>
  <c r="K125" i="4"/>
  <c r="K120" i="4"/>
  <c r="K115" i="4"/>
  <c r="K110" i="4"/>
  <c r="K105" i="4"/>
  <c r="K100" i="4"/>
  <c r="K95" i="4"/>
  <c r="K90" i="4"/>
  <c r="K85" i="4"/>
  <c r="K80" i="4"/>
  <c r="K75" i="4"/>
  <c r="K254" i="4"/>
  <c r="K225" i="4"/>
  <c r="K221" i="4"/>
  <c r="K196" i="4"/>
  <c r="K172" i="4"/>
  <c r="K132" i="4"/>
  <c r="K94" i="4"/>
  <c r="K86" i="4"/>
  <c r="K84" i="4"/>
  <c r="K83" i="4"/>
  <c r="K82" i="4"/>
  <c r="K66" i="4"/>
  <c r="K56" i="4"/>
  <c r="K46" i="4"/>
  <c r="K263" i="4"/>
  <c r="K259" i="4"/>
  <c r="K245" i="4"/>
  <c r="K215" i="4"/>
  <c r="K159" i="4"/>
  <c r="K157" i="4"/>
  <c r="K139" i="4"/>
  <c r="K109" i="4"/>
  <c r="K106" i="4"/>
  <c r="K97" i="4"/>
  <c r="K91" i="4"/>
  <c r="K89" i="4"/>
  <c r="K88" i="4"/>
  <c r="K87" i="4"/>
  <c r="K69" i="4"/>
  <c r="K59" i="4"/>
  <c r="K49" i="4"/>
  <c r="K40" i="4"/>
  <c r="K35" i="4"/>
  <c r="K30" i="4"/>
  <c r="K25" i="4"/>
  <c r="K20" i="4"/>
  <c r="K15" i="4"/>
  <c r="K72" i="4"/>
  <c r="K304" i="4"/>
  <c r="K212" i="4"/>
  <c r="K165" i="4"/>
  <c r="K124" i="4"/>
  <c r="K121" i="4"/>
  <c r="K112" i="4"/>
  <c r="K271" i="4"/>
  <c r="K217" i="4"/>
  <c r="K151" i="4"/>
  <c r="K137" i="4"/>
  <c r="K134" i="4"/>
  <c r="K127" i="4"/>
  <c r="K268" i="4"/>
  <c r="K238" i="4"/>
  <c r="K209" i="4"/>
  <c r="K190" i="4"/>
  <c r="K185" i="4"/>
  <c r="K154" i="4"/>
  <c r="K152" i="4"/>
  <c r="K150" i="4"/>
  <c r="K104" i="4"/>
  <c r="K101" i="4"/>
  <c r="K92" i="4"/>
  <c r="K68" i="4"/>
  <c r="K249" i="4"/>
  <c r="K234" i="4"/>
  <c r="K219" i="4"/>
  <c r="K197" i="4"/>
  <c r="K255" i="4"/>
  <c r="K246" i="4"/>
  <c r="K241" i="4"/>
  <c r="K205" i="4"/>
  <c r="K194" i="4"/>
  <c r="K164" i="4"/>
  <c r="K129" i="4"/>
  <c r="K126" i="4"/>
  <c r="K117" i="4"/>
  <c r="K81" i="4"/>
  <c r="K79" i="4"/>
  <c r="K78" i="4"/>
  <c r="K77" i="4"/>
  <c r="K73" i="4"/>
  <c r="K70" i="4"/>
  <c r="K63" i="4"/>
  <c r="K60" i="4"/>
  <c r="K53" i="4"/>
  <c r="K50" i="4"/>
  <c r="K42" i="4"/>
  <c r="K37" i="4"/>
  <c r="K32" i="4"/>
  <c r="K27" i="4"/>
  <c r="K22" i="4"/>
  <c r="K17" i="4"/>
  <c r="K12" i="4"/>
  <c r="Q1011" i="4"/>
  <c r="Q1006" i="4"/>
  <c r="Q1009" i="4"/>
  <c r="Q1008" i="4"/>
  <c r="Q998" i="4"/>
  <c r="Q988" i="4"/>
  <c r="Q1010" i="4"/>
  <c r="Q1001" i="4"/>
  <c r="Q991" i="4"/>
  <c r="Q1000" i="4"/>
  <c r="Q997" i="4"/>
  <c r="Q983" i="4"/>
  <c r="Q978" i="4"/>
  <c r="Q973" i="4"/>
  <c r="Q987" i="4"/>
  <c r="Q1007" i="4"/>
  <c r="Q995" i="4"/>
  <c r="Q992" i="4"/>
  <c r="Q999" i="4"/>
  <c r="Q990" i="4"/>
  <c r="Q968" i="4"/>
  <c r="Q963" i="4"/>
  <c r="Q958" i="4"/>
  <c r="Q953" i="4"/>
  <c r="Q1004" i="4"/>
  <c r="Q989" i="4"/>
  <c r="Q982" i="4"/>
  <c r="Q971" i="4"/>
  <c r="Q966" i="4"/>
  <c r="Q1003" i="4"/>
  <c r="Q993" i="4"/>
  <c r="Q996" i="4"/>
  <c r="Q1005" i="4"/>
  <c r="Q1002" i="4"/>
  <c r="Q994" i="4"/>
  <c r="Q974" i="4"/>
  <c r="Q944" i="4"/>
  <c r="Q939" i="4"/>
  <c r="Q934" i="4"/>
  <c r="Q929" i="4"/>
  <c r="Q924" i="4"/>
  <c r="Q985" i="4"/>
  <c r="Q949" i="4"/>
  <c r="Q948" i="4"/>
  <c r="Q954" i="4"/>
  <c r="Q984" i="4"/>
  <c r="Q979" i="4"/>
  <c r="Q975" i="4"/>
  <c r="Q959" i="4"/>
  <c r="Q957" i="4"/>
  <c r="Q956" i="4"/>
  <c r="Q955" i="4"/>
  <c r="Q976" i="4"/>
  <c r="Q964" i="4"/>
  <c r="Q962" i="4"/>
  <c r="Q961" i="4"/>
  <c r="Q960" i="4"/>
  <c r="Q980" i="4"/>
  <c r="Q972" i="4"/>
  <c r="Q986" i="4"/>
  <c r="Q981" i="4"/>
  <c r="Q977" i="4"/>
  <c r="Q970" i="4"/>
  <c r="Q946" i="4"/>
  <c r="Q918" i="4"/>
  <c r="Q913" i="4"/>
  <c r="Q908" i="4"/>
  <c r="Q903" i="4"/>
  <c r="Q898" i="4"/>
  <c r="Q965" i="4"/>
  <c r="Q922" i="4"/>
  <c r="Q967" i="4"/>
  <c r="Q932" i="4"/>
  <c r="Q937" i="4"/>
  <c r="Q935" i="4"/>
  <c r="Q933" i="4"/>
  <c r="Q969" i="4"/>
  <c r="Q945" i="4"/>
  <c r="Q952" i="4"/>
  <c r="Q951" i="4"/>
  <c r="Q950" i="4"/>
  <c r="Q947" i="4"/>
  <c r="Q943" i="4"/>
  <c r="Q906" i="4"/>
  <c r="Q904" i="4"/>
  <c r="Q902" i="4"/>
  <c r="Q900" i="4"/>
  <c r="Q897" i="4"/>
  <c r="Q941" i="4"/>
  <c r="Q927" i="4"/>
  <c r="Q925" i="4"/>
  <c r="Q911" i="4"/>
  <c r="Q909" i="4"/>
  <c r="Q907" i="4"/>
  <c r="Q905" i="4"/>
  <c r="Q894" i="4"/>
  <c r="Q889" i="4"/>
  <c r="Q884" i="4"/>
  <c r="Q879" i="4"/>
  <c r="Q874" i="4"/>
  <c r="Q869" i="4"/>
  <c r="Q864" i="4"/>
  <c r="Q859" i="4"/>
  <c r="Q854" i="4"/>
  <c r="Q931" i="4"/>
  <c r="Q923" i="4"/>
  <c r="Q916" i="4"/>
  <c r="Q914" i="4"/>
  <c r="Q912" i="4"/>
  <c r="Q910" i="4"/>
  <c r="Q936" i="4"/>
  <c r="Q919" i="4"/>
  <c r="Q917" i="4"/>
  <c r="Q915" i="4"/>
  <c r="Q942" i="4"/>
  <c r="Q940" i="4"/>
  <c r="Q921" i="4"/>
  <c r="Q920" i="4"/>
  <c r="Q930" i="4"/>
  <c r="Q928" i="4"/>
  <c r="Q938" i="4"/>
  <c r="Q926" i="4"/>
  <c r="Q901" i="4"/>
  <c r="Q880" i="4"/>
  <c r="Q878" i="4"/>
  <c r="Q877" i="4"/>
  <c r="Q876" i="4"/>
  <c r="Q844" i="4"/>
  <c r="Q839" i="4"/>
  <c r="Q885" i="4"/>
  <c r="Q883" i="4"/>
  <c r="Q882" i="4"/>
  <c r="Q881" i="4"/>
  <c r="Q890" i="4"/>
  <c r="Q888" i="4"/>
  <c r="Q887" i="4"/>
  <c r="Q886" i="4"/>
  <c r="Q893" i="4"/>
  <c r="Q892" i="4"/>
  <c r="Q891" i="4"/>
  <c r="Q895" i="4"/>
  <c r="Q899" i="4"/>
  <c r="Q862" i="4"/>
  <c r="Q838" i="4"/>
  <c r="Q833" i="4"/>
  <c r="Q828" i="4"/>
  <c r="Q823" i="4"/>
  <c r="Q818" i="4"/>
  <c r="Q813" i="4"/>
  <c r="Q808" i="4"/>
  <c r="Q803" i="4"/>
  <c r="Q798" i="4"/>
  <c r="Q872" i="4"/>
  <c r="Q870" i="4"/>
  <c r="Q868" i="4"/>
  <c r="Q866" i="4"/>
  <c r="Q855" i="4"/>
  <c r="Q853" i="4"/>
  <c r="Q850" i="4"/>
  <c r="Q840" i="4"/>
  <c r="Q857" i="4"/>
  <c r="Q846" i="4"/>
  <c r="Q843" i="4"/>
  <c r="Q834" i="4"/>
  <c r="Q865" i="4"/>
  <c r="Q863" i="4"/>
  <c r="Q861" i="4"/>
  <c r="Q845" i="4"/>
  <c r="Q825" i="4"/>
  <c r="Q791" i="4"/>
  <c r="Q786" i="4"/>
  <c r="Q781" i="4"/>
  <c r="Q896" i="4"/>
  <c r="Q860" i="4"/>
  <c r="Q848" i="4"/>
  <c r="Q847" i="4"/>
  <c r="Q830" i="4"/>
  <c r="Q827" i="4"/>
  <c r="Q800" i="4"/>
  <c r="Q871" i="4"/>
  <c r="Q867" i="4"/>
  <c r="Q851" i="4"/>
  <c r="Q835" i="4"/>
  <c r="Q831" i="4"/>
  <c r="Q799" i="4"/>
  <c r="Q875" i="4"/>
  <c r="Q849" i="4"/>
  <c r="Q856" i="4"/>
  <c r="Q842" i="4"/>
  <c r="Q841" i="4"/>
  <c r="Q794" i="4"/>
  <c r="Q792" i="4"/>
  <c r="Q790" i="4"/>
  <c r="Q789" i="4"/>
  <c r="Q775" i="4"/>
  <c r="Q770" i="4"/>
  <c r="Q765" i="4"/>
  <c r="Q760" i="4"/>
  <c r="Q755" i="4"/>
  <c r="Q750" i="4"/>
  <c r="Q745" i="4"/>
  <c r="Q740" i="4"/>
  <c r="Q735" i="4"/>
  <c r="Q829" i="4"/>
  <c r="Q822" i="4"/>
  <c r="Q797" i="4"/>
  <c r="Q793" i="4"/>
  <c r="Q785" i="4"/>
  <c r="Q826" i="4"/>
  <c r="Q795" i="4"/>
  <c r="Q816" i="4"/>
  <c r="Q809" i="4"/>
  <c r="Q806" i="4"/>
  <c r="Q801" i="4"/>
  <c r="Q788" i="4"/>
  <c r="Q832" i="4"/>
  <c r="Q811" i="4"/>
  <c r="Q807" i="4"/>
  <c r="Q804" i="4"/>
  <c r="Q784" i="4"/>
  <c r="Q776" i="4"/>
  <c r="Q771" i="4"/>
  <c r="Q837" i="4"/>
  <c r="Q819" i="4"/>
  <c r="Q817" i="4"/>
  <c r="Q815" i="4"/>
  <c r="Q814" i="4"/>
  <c r="Q812" i="4"/>
  <c r="Q810" i="4"/>
  <c r="Q805" i="4"/>
  <c r="Q787" i="4"/>
  <c r="Q858" i="4"/>
  <c r="Q762" i="4"/>
  <c r="Q743" i="4"/>
  <c r="Q741" i="4"/>
  <c r="Q739" i="4"/>
  <c r="Q738" i="4"/>
  <c r="Q729" i="4"/>
  <c r="Q724" i="4"/>
  <c r="Q719" i="4"/>
  <c r="Q714" i="4"/>
  <c r="Q709" i="4"/>
  <c r="Q704" i="4"/>
  <c r="Q699" i="4"/>
  <c r="Q694" i="4"/>
  <c r="Q689" i="4"/>
  <c r="Q684" i="4"/>
  <c r="Q679" i="4"/>
  <c r="Q802" i="4"/>
  <c r="Q772" i="4"/>
  <c r="Q766" i="4"/>
  <c r="Q748" i="4"/>
  <c r="Q746" i="4"/>
  <c r="Q744" i="4"/>
  <c r="Q742" i="4"/>
  <c r="Q734" i="4"/>
  <c r="Q769" i="4"/>
  <c r="Q763" i="4"/>
  <c r="Q753" i="4"/>
  <c r="Q751" i="4"/>
  <c r="Q749" i="4"/>
  <c r="Q747" i="4"/>
  <c r="Q777" i="4"/>
  <c r="Q758" i="4"/>
  <c r="Q756" i="4"/>
  <c r="Q754" i="4"/>
  <c r="Q752" i="4"/>
  <c r="Q737" i="4"/>
  <c r="Q774" i="4"/>
  <c r="Q759" i="4"/>
  <c r="Q757" i="4"/>
  <c r="Q733" i="4"/>
  <c r="Q730" i="4"/>
  <c r="Q761" i="4"/>
  <c r="Q824" i="4"/>
  <c r="Q692" i="4"/>
  <c r="Q675" i="4"/>
  <c r="Q670" i="4"/>
  <c r="Q665" i="4"/>
  <c r="Q660" i="4"/>
  <c r="Q655" i="4"/>
  <c r="Q650" i="4"/>
  <c r="Q645" i="4"/>
  <c r="Q640" i="4"/>
  <c r="Q635" i="4"/>
  <c r="Q630" i="4"/>
  <c r="Q731" i="4"/>
  <c r="Q695" i="4"/>
  <c r="Q688" i="4"/>
  <c r="Q681" i="4"/>
  <c r="Q796" i="4"/>
  <c r="Q768" i="4"/>
  <c r="Q728" i="4"/>
  <c r="Q852" i="4"/>
  <c r="Q836" i="4"/>
  <c r="Q691" i="4"/>
  <c r="Q680" i="4"/>
  <c r="Q725" i="4"/>
  <c r="Q702" i="4"/>
  <c r="Q700" i="4"/>
  <c r="Q698" i="4"/>
  <c r="Q687" i="4"/>
  <c r="Q783" i="4"/>
  <c r="Q780" i="4"/>
  <c r="Q767" i="4"/>
  <c r="Q764" i="4"/>
  <c r="Q736" i="4"/>
  <c r="Q727" i="4"/>
  <c r="Q707" i="4"/>
  <c r="Q705" i="4"/>
  <c r="Q703" i="4"/>
  <c r="Q673" i="4"/>
  <c r="Q648" i="4"/>
  <c r="Q646" i="4"/>
  <c r="Q644" i="4"/>
  <c r="Q642" i="4"/>
  <c r="Q712" i="4"/>
  <c r="Q710" i="4"/>
  <c r="Q696" i="4"/>
  <c r="Q686" i="4"/>
  <c r="Q653" i="4"/>
  <c r="Q651" i="4"/>
  <c r="Q649" i="4"/>
  <c r="Q647" i="4"/>
  <c r="Q639" i="4"/>
  <c r="Q632" i="4"/>
  <c r="Q625" i="4"/>
  <c r="Q620" i="4"/>
  <c r="Q722" i="4"/>
  <c r="Q720" i="4"/>
  <c r="Q708" i="4"/>
  <c r="Q706" i="4"/>
  <c r="Q693" i="4"/>
  <c r="Q732" i="4"/>
  <c r="Q718" i="4"/>
  <c r="Q716" i="4"/>
  <c r="Q683" i="4"/>
  <c r="Q701" i="4"/>
  <c r="Q685" i="4"/>
  <c r="Q873" i="4"/>
  <c r="Q820" i="4"/>
  <c r="Q778" i="4"/>
  <c r="Q773" i="4"/>
  <c r="Q717" i="4"/>
  <c r="Q715" i="4"/>
  <c r="Q713" i="4"/>
  <c r="Q711" i="4"/>
  <c r="Q659" i="4"/>
  <c r="Q657" i="4"/>
  <c r="Q637" i="4"/>
  <c r="Q619" i="4"/>
  <c r="Q610" i="4"/>
  <c r="Q605" i="4"/>
  <c r="Q600" i="4"/>
  <c r="Q595" i="4"/>
  <c r="Q590" i="4"/>
  <c r="Q821" i="4"/>
  <c r="Q726" i="4"/>
  <c r="Q682" i="4"/>
  <c r="Q666" i="4"/>
  <c r="Q615" i="4"/>
  <c r="Q612" i="4"/>
  <c r="Q661" i="4"/>
  <c r="Q779" i="4"/>
  <c r="Q697" i="4"/>
  <c r="Q671" i="4"/>
  <c r="Q678" i="4"/>
  <c r="Q667" i="4"/>
  <c r="Q633" i="4"/>
  <c r="Q629" i="4"/>
  <c r="Q626" i="4"/>
  <c r="Q656" i="4"/>
  <c r="Q618" i="4"/>
  <c r="Q611" i="4"/>
  <c r="Q609" i="4"/>
  <c r="Q607" i="4"/>
  <c r="Q598" i="4"/>
  <c r="Q588" i="4"/>
  <c r="Q583" i="4"/>
  <c r="Q578" i="4"/>
  <c r="Q573" i="4"/>
  <c r="Q568" i="4"/>
  <c r="Q563" i="4"/>
  <c r="Q558" i="4"/>
  <c r="Q553" i="4"/>
  <c r="Q548" i="4"/>
  <c r="Q543" i="4"/>
  <c r="Q538" i="4"/>
  <c r="Q533" i="4"/>
  <c r="Q528" i="4"/>
  <c r="Q721" i="4"/>
  <c r="Q672" i="4"/>
  <c r="Q663" i="4"/>
  <c r="Q601" i="4"/>
  <c r="Q594" i="4"/>
  <c r="Q641" i="4"/>
  <c r="Q636" i="4"/>
  <c r="Q634" i="4"/>
  <c r="Q631" i="4"/>
  <c r="Q624" i="4"/>
  <c r="Q669" i="4"/>
  <c r="Q668" i="4"/>
  <c r="Q662" i="4"/>
  <c r="Q652" i="4"/>
  <c r="Q604" i="4"/>
  <c r="Q597" i="4"/>
  <c r="Q658" i="4"/>
  <c r="Q643" i="4"/>
  <c r="Q593" i="4"/>
  <c r="Q584" i="4"/>
  <c r="Q579" i="4"/>
  <c r="Q723" i="4"/>
  <c r="Q621" i="4"/>
  <c r="Q614" i="4"/>
  <c r="Q608" i="4"/>
  <c r="Q606" i="4"/>
  <c r="Q602" i="4"/>
  <c r="Q591" i="4"/>
  <c r="Q613" i="4"/>
  <c r="Q532" i="4"/>
  <c r="Q525" i="4"/>
  <c r="Q520" i="4"/>
  <c r="Q515" i="4"/>
  <c r="Q510" i="4"/>
  <c r="Q505" i="4"/>
  <c r="Q500" i="4"/>
  <c r="Q495" i="4"/>
  <c r="Q490" i="4"/>
  <c r="Q485" i="4"/>
  <c r="Q480" i="4"/>
  <c r="Q475" i="4"/>
  <c r="Q470" i="4"/>
  <c r="Q465" i="4"/>
  <c r="Q460" i="4"/>
  <c r="Q455" i="4"/>
  <c r="Q450" i="4"/>
  <c r="Q445" i="4"/>
  <c r="Q440" i="4"/>
  <c r="Q435" i="4"/>
  <c r="Q430" i="4"/>
  <c r="Q425" i="4"/>
  <c r="Q674" i="4"/>
  <c r="Q603" i="4"/>
  <c r="Q570" i="4"/>
  <c r="Q567" i="4"/>
  <c r="Q564" i="4"/>
  <c r="Q561" i="4"/>
  <c r="Q545" i="4"/>
  <c r="Q542" i="4"/>
  <c r="Q596" i="4"/>
  <c r="Q589" i="4"/>
  <c r="Q535" i="4"/>
  <c r="Q523" i="4"/>
  <c r="Q518" i="4"/>
  <c r="Q513" i="4"/>
  <c r="Q782" i="4"/>
  <c r="Q577" i="4"/>
  <c r="Q574" i="4"/>
  <c r="Q571" i="4"/>
  <c r="Q555" i="4"/>
  <c r="Q552" i="4"/>
  <c r="Q549" i="4"/>
  <c r="Q546" i="4"/>
  <c r="Q531" i="4"/>
  <c r="Q534" i="4"/>
  <c r="Q527" i="4"/>
  <c r="Q521" i="4"/>
  <c r="Q516" i="4"/>
  <c r="Q511" i="4"/>
  <c r="Q506" i="4"/>
  <c r="Q501" i="4"/>
  <c r="Q496" i="4"/>
  <c r="Q491" i="4"/>
  <c r="Q677" i="4"/>
  <c r="Q627" i="4"/>
  <c r="Q622" i="4"/>
  <c r="Q580" i="4"/>
  <c r="Q576" i="4"/>
  <c r="Q560" i="4"/>
  <c r="Q557" i="4"/>
  <c r="Q554" i="4"/>
  <c r="Q551" i="4"/>
  <c r="Q540" i="4"/>
  <c r="Q536" i="4"/>
  <c r="Q547" i="4"/>
  <c r="Q529" i="4"/>
  <c r="Q524" i="4"/>
  <c r="Q507" i="4"/>
  <c r="Q423" i="4"/>
  <c r="Q550" i="4"/>
  <c r="Q544" i="4"/>
  <c r="Q509" i="4"/>
  <c r="Q482" i="4"/>
  <c r="Q479" i="4"/>
  <c r="Q476" i="4"/>
  <c r="Q473" i="4"/>
  <c r="Q444" i="4"/>
  <c r="Q437" i="4"/>
  <c r="Q426" i="4"/>
  <c r="Q419" i="4"/>
  <c r="Q414" i="4"/>
  <c r="Q409" i="4"/>
  <c r="Q404" i="4"/>
  <c r="Q399" i="4"/>
  <c r="Q394" i="4"/>
  <c r="Q389" i="4"/>
  <c r="Q384" i="4"/>
  <c r="Q690" i="4"/>
  <c r="Q638" i="4"/>
  <c r="Q616" i="4"/>
  <c r="Q592" i="4"/>
  <c r="Q565" i="4"/>
  <c r="Q537" i="4"/>
  <c r="Q517" i="4"/>
  <c r="Q504" i="4"/>
  <c r="Q503" i="4"/>
  <c r="Q582" i="4"/>
  <c r="Q581" i="4"/>
  <c r="Q562" i="4"/>
  <c r="Q541" i="4"/>
  <c r="Q539" i="4"/>
  <c r="Q530" i="4"/>
  <c r="Q502" i="4"/>
  <c r="Q489" i="4"/>
  <c r="Q486" i="4"/>
  <c r="Q483" i="4"/>
  <c r="Q467" i="4"/>
  <c r="Q464" i="4"/>
  <c r="Q461" i="4"/>
  <c r="Q436" i="4"/>
  <c r="Q429" i="4"/>
  <c r="Q422" i="4"/>
  <c r="Q676" i="4"/>
  <c r="Q617" i="4"/>
  <c r="Q559" i="4"/>
  <c r="Q514" i="4"/>
  <c r="Q443" i="4"/>
  <c r="Q623" i="4"/>
  <c r="Q664" i="4"/>
  <c r="Q654" i="4"/>
  <c r="Q628" i="4"/>
  <c r="Q566" i="4"/>
  <c r="Q512" i="4"/>
  <c r="Q508" i="4"/>
  <c r="Q492" i="4"/>
  <c r="Q488" i="4"/>
  <c r="Q472" i="4"/>
  <c r="Q469" i="4"/>
  <c r="Q466" i="4"/>
  <c r="Q463" i="4"/>
  <c r="Q441" i="4"/>
  <c r="Q434" i="4"/>
  <c r="Q427" i="4"/>
  <c r="Q421" i="4"/>
  <c r="Q416" i="4"/>
  <c r="Q411" i="4"/>
  <c r="Q406" i="4"/>
  <c r="Q401" i="4"/>
  <c r="Q396" i="4"/>
  <c r="Q391" i="4"/>
  <c r="Q386" i="4"/>
  <c r="Q381" i="4"/>
  <c r="Q484" i="4"/>
  <c r="Q433" i="4"/>
  <c r="Q587" i="4"/>
  <c r="Q487" i="4"/>
  <c r="Q481" i="4"/>
  <c r="Q442" i="4"/>
  <c r="Q569" i="4"/>
  <c r="Q572" i="4"/>
  <c r="Q497" i="4"/>
  <c r="Q478" i="4"/>
  <c r="Q477" i="4"/>
  <c r="Q400" i="4"/>
  <c r="Q397" i="4"/>
  <c r="Q388" i="4"/>
  <c r="Q374" i="4"/>
  <c r="Q371" i="4"/>
  <c r="Q364" i="4"/>
  <c r="Q361" i="4"/>
  <c r="Q354" i="4"/>
  <c r="Q351" i="4"/>
  <c r="Q344" i="4"/>
  <c r="Q456" i="4"/>
  <c r="Q402" i="4"/>
  <c r="Q341" i="4"/>
  <c r="Q336" i="4"/>
  <c r="Q331" i="4"/>
  <c r="Q326" i="4"/>
  <c r="Q321" i="4"/>
  <c r="Q316" i="4"/>
  <c r="Q311" i="4"/>
  <c r="Q306" i="4"/>
  <c r="Q301" i="4"/>
  <c r="Q296" i="4"/>
  <c r="Q291" i="4"/>
  <c r="Q286" i="4"/>
  <c r="Q281" i="4"/>
  <c r="Q276" i="4"/>
  <c r="Q271" i="4"/>
  <c r="Q266" i="4"/>
  <c r="Q261" i="4"/>
  <c r="Q256" i="4"/>
  <c r="Q251" i="4"/>
  <c r="Q246" i="4"/>
  <c r="Q241" i="4"/>
  <c r="Q599" i="4"/>
  <c r="Q519" i="4"/>
  <c r="Q474" i="4"/>
  <c r="Q431" i="4"/>
  <c r="Q415" i="4"/>
  <c r="Q377" i="4"/>
  <c r="Q367" i="4"/>
  <c r="Q357" i="4"/>
  <c r="Q347" i="4"/>
  <c r="Q493" i="4"/>
  <c r="Q459" i="4"/>
  <c r="Q452" i="4"/>
  <c r="Q447" i="4"/>
  <c r="Q413" i="4"/>
  <c r="Q395" i="4"/>
  <c r="Q392" i="4"/>
  <c r="Q383" i="4"/>
  <c r="Q370" i="4"/>
  <c r="Q360" i="4"/>
  <c r="Q350" i="4"/>
  <c r="Q339" i="4"/>
  <c r="Q334" i="4"/>
  <c r="Q329" i="4"/>
  <c r="Q324" i="4"/>
  <c r="Q319" i="4"/>
  <c r="Q314" i="4"/>
  <c r="Q309" i="4"/>
  <c r="Q304" i="4"/>
  <c r="Q432" i="4"/>
  <c r="Q417" i="4"/>
  <c r="Q398" i="4"/>
  <c r="Q373" i="4"/>
  <c r="Q363" i="4"/>
  <c r="Q353" i="4"/>
  <c r="Q343" i="4"/>
  <c r="Q585" i="4"/>
  <c r="Q556" i="4"/>
  <c r="Q526" i="4"/>
  <c r="Q494" i="4"/>
  <c r="Q471" i="4"/>
  <c r="Q458" i="4"/>
  <c r="Q522" i="4"/>
  <c r="Q499" i="4"/>
  <c r="Q498" i="4"/>
  <c r="Q462" i="4"/>
  <c r="Q454" i="4"/>
  <c r="Q586" i="4"/>
  <c r="Q575" i="4"/>
  <c r="Q468" i="4"/>
  <c r="Q453" i="4"/>
  <c r="Q448" i="4"/>
  <c r="Q439" i="4"/>
  <c r="Q438" i="4"/>
  <c r="Q418" i="4"/>
  <c r="Q407" i="4"/>
  <c r="Q385" i="4"/>
  <c r="Q382" i="4"/>
  <c r="Q380" i="4"/>
  <c r="Q378" i="4"/>
  <c r="Q368" i="4"/>
  <c r="Q358" i="4"/>
  <c r="Q348" i="4"/>
  <c r="Q428" i="4"/>
  <c r="Q365" i="4"/>
  <c r="Q342" i="4"/>
  <c r="Q310" i="4"/>
  <c r="Q307" i="4"/>
  <c r="Q303" i="4"/>
  <c r="Q257" i="4"/>
  <c r="Q255" i="4"/>
  <c r="Q254" i="4"/>
  <c r="Q253" i="4"/>
  <c r="Q238" i="4"/>
  <c r="Q231" i="4"/>
  <c r="Q228" i="4"/>
  <c r="Q221" i="4"/>
  <c r="Q218" i="4"/>
  <c r="Q212" i="4"/>
  <c r="Q207" i="4"/>
  <c r="Q202" i="4"/>
  <c r="Q197" i="4"/>
  <c r="Q192" i="4"/>
  <c r="Q187" i="4"/>
  <c r="Q182" i="4"/>
  <c r="Q177" i="4"/>
  <c r="Q172" i="4"/>
  <c r="Q167" i="4"/>
  <c r="Q162" i="4"/>
  <c r="Q157" i="4"/>
  <c r="Q152" i="4"/>
  <c r="Q147" i="4"/>
  <c r="Q142" i="4"/>
  <c r="Q449" i="4"/>
  <c r="Q424" i="4"/>
  <c r="Q405" i="4"/>
  <c r="Q390" i="4"/>
  <c r="Q376" i="4"/>
  <c r="Q325" i="4"/>
  <c r="Q322" i="4"/>
  <c r="Q313" i="4"/>
  <c r="Q262" i="4"/>
  <c r="Q260" i="4"/>
  <c r="Q259" i="4"/>
  <c r="Q258" i="4"/>
  <c r="Q393" i="4"/>
  <c r="Q387" i="4"/>
  <c r="Q355" i="4"/>
  <c r="Q328" i="4"/>
  <c r="Q451" i="4"/>
  <c r="Q420" i="4"/>
  <c r="Q408" i="4"/>
  <c r="Q369" i="4"/>
  <c r="Q366" i="4"/>
  <c r="Q333" i="4"/>
  <c r="Q305" i="4"/>
  <c r="Q272" i="4"/>
  <c r="Q270" i="4"/>
  <c r="Q269" i="4"/>
  <c r="Q268" i="4"/>
  <c r="Q403" i="4"/>
  <c r="Q379" i="4"/>
  <c r="Q345" i="4"/>
  <c r="Q320" i="4"/>
  <c r="Q317" i="4"/>
  <c r="Q308" i="4"/>
  <c r="Q277" i="4"/>
  <c r="Q275" i="4"/>
  <c r="Q274" i="4"/>
  <c r="Q273" i="4"/>
  <c r="Q372" i="4"/>
  <c r="Q457" i="4"/>
  <c r="Q446" i="4"/>
  <c r="Q410" i="4"/>
  <c r="Q375" i="4"/>
  <c r="Q412" i="4"/>
  <c r="Q352" i="4"/>
  <c r="Q302" i="4"/>
  <c r="Q300" i="4"/>
  <c r="Q299" i="4"/>
  <c r="Q298" i="4"/>
  <c r="Q252" i="4"/>
  <c r="Q250" i="4"/>
  <c r="Q249" i="4"/>
  <c r="Q248" i="4"/>
  <c r="Q235" i="4"/>
  <c r="Q225" i="4"/>
  <c r="Q340" i="4"/>
  <c r="Q282" i="4"/>
  <c r="Q243" i="4"/>
  <c r="Q230" i="4"/>
  <c r="Q217" i="4"/>
  <c r="Q165" i="4"/>
  <c r="Q327" i="4"/>
  <c r="Q280" i="4"/>
  <c r="Q278" i="4"/>
  <c r="Q247" i="4"/>
  <c r="Q219" i="4"/>
  <c r="Q215" i="4"/>
  <c r="Q199" i="4"/>
  <c r="Q196" i="4"/>
  <c r="Q193" i="4"/>
  <c r="Q190" i="4"/>
  <c r="Q168" i="4"/>
  <c r="Q161" i="4"/>
  <c r="Q154" i="4"/>
  <c r="Q143" i="4"/>
  <c r="Q137" i="4"/>
  <c r="Q132" i="4"/>
  <c r="Q127" i="4"/>
  <c r="S127" i="4" s="1"/>
  <c r="U127" i="4" s="1"/>
  <c r="Q122" i="4"/>
  <c r="Q117" i="4"/>
  <c r="Q112" i="4"/>
  <c r="Q107" i="4"/>
  <c r="Q102" i="4"/>
  <c r="Q97" i="4"/>
  <c r="Q92" i="4"/>
  <c r="Q294" i="4"/>
  <c r="Q292" i="4"/>
  <c r="Q290" i="4"/>
  <c r="Q288" i="4"/>
  <c r="Q284" i="4"/>
  <c r="Q242" i="4"/>
  <c r="Q236" i="4"/>
  <c r="Q234" i="4"/>
  <c r="Q232" i="4"/>
  <c r="Q335" i="4"/>
  <c r="Q267" i="4"/>
  <c r="Q223" i="4"/>
  <c r="Q209" i="4"/>
  <c r="Q206" i="4"/>
  <c r="Q203" i="4"/>
  <c r="Q200" i="4"/>
  <c r="Q171" i="4"/>
  <c r="Q164" i="4"/>
  <c r="Q153" i="4"/>
  <c r="Q146" i="4"/>
  <c r="Q140" i="4"/>
  <c r="Q135" i="4"/>
  <c r="Q356" i="4"/>
  <c r="Q323" i="4"/>
  <c r="Q318" i="4"/>
  <c r="Q315" i="4"/>
  <c r="Q312" i="4"/>
  <c r="Q263" i="4"/>
  <c r="Q227" i="4"/>
  <c r="Q160" i="4"/>
  <c r="Q362" i="4"/>
  <c r="Q338" i="4"/>
  <c r="Q337" i="4"/>
  <c r="Q359" i="4"/>
  <c r="Q349" i="4"/>
  <c r="Q346" i="4"/>
  <c r="Q332" i="4"/>
  <c r="Q330" i="4"/>
  <c r="Q265" i="4"/>
  <c r="Q239" i="4"/>
  <c r="Q214" i="4"/>
  <c r="Q211" i="4"/>
  <c r="Q208" i="4"/>
  <c r="Q205" i="4"/>
  <c r="Q189" i="4"/>
  <c r="Q186" i="4"/>
  <c r="Q185" i="4"/>
  <c r="Q184" i="4"/>
  <c r="Q169" i="4"/>
  <c r="Q158" i="4"/>
  <c r="Q151" i="4"/>
  <c r="Q144" i="4"/>
  <c r="Q139" i="4"/>
  <c r="Q134" i="4"/>
  <c r="Q129" i="4"/>
  <c r="Q124" i="4"/>
  <c r="Q119" i="4"/>
  <c r="Q114" i="4"/>
  <c r="Q109" i="4"/>
  <c r="Q104" i="4"/>
  <c r="Q99" i="4"/>
  <c r="Q94" i="4"/>
  <c r="Q89" i="4"/>
  <c r="Q84" i="4"/>
  <c r="Q79" i="4"/>
  <c r="Q74" i="4"/>
  <c r="Q264" i="4"/>
  <c r="Q201" i="4"/>
  <c r="Q175" i="4"/>
  <c r="Q170" i="4"/>
  <c r="Q150" i="4"/>
  <c r="Q113" i="4"/>
  <c r="Q110" i="4"/>
  <c r="Q101" i="4"/>
  <c r="Q71" i="4"/>
  <c r="Q61" i="4"/>
  <c r="Q51" i="4"/>
  <c r="Q14" i="4"/>
  <c r="Q279" i="4"/>
  <c r="Q244" i="4"/>
  <c r="Q224" i="4"/>
  <c r="Q220" i="4"/>
  <c r="Q204" i="4"/>
  <c r="Q198" i="4"/>
  <c r="Q183" i="4"/>
  <c r="Q181" i="4"/>
  <c r="Q179" i="4"/>
  <c r="Q173" i="4"/>
  <c r="Q163" i="4"/>
  <c r="Q128" i="4"/>
  <c r="Q125" i="4"/>
  <c r="Q116" i="4"/>
  <c r="Q67" i="4"/>
  <c r="Q64" i="4"/>
  <c r="Q57" i="4"/>
  <c r="Q54" i="4"/>
  <c r="Q47" i="4"/>
  <c r="Q44" i="4"/>
  <c r="Q39" i="4"/>
  <c r="Q34" i="4"/>
  <c r="S34" i="4" s="1"/>
  <c r="U34" i="4" s="1"/>
  <c r="Q29" i="4"/>
  <c r="Q24" i="4"/>
  <c r="Q19" i="4"/>
  <c r="Q293" i="4"/>
  <c r="Q195" i="4"/>
  <c r="Q136" i="4"/>
  <c r="Q133" i="4"/>
  <c r="Q131" i="4"/>
  <c r="Q93" i="4"/>
  <c r="Q216" i="4"/>
  <c r="Q108" i="4"/>
  <c r="Q105" i="4"/>
  <c r="Q96" i="4"/>
  <c r="Q77" i="4"/>
  <c r="Q75" i="4"/>
  <c r="Q70" i="4"/>
  <c r="Q60" i="4"/>
  <c r="S60" i="4" s="1"/>
  <c r="U60" i="4" s="1"/>
  <c r="Q295" i="4"/>
  <c r="Q213" i="4"/>
  <c r="Q166" i="4"/>
  <c r="Q156" i="4"/>
  <c r="Q145" i="4"/>
  <c r="Q123" i="4"/>
  <c r="Q120" i="4"/>
  <c r="Q111" i="4"/>
  <c r="Q82" i="4"/>
  <c r="Q80" i="4"/>
  <c r="Q78" i="4"/>
  <c r="Q76" i="4"/>
  <c r="Q73" i="4"/>
  <c r="Q283" i="4"/>
  <c r="Q237" i="4"/>
  <c r="Q297" i="4"/>
  <c r="Q233" i="4"/>
  <c r="Q226" i="4"/>
  <c r="Q222" i="4"/>
  <c r="Q210" i="4"/>
  <c r="Q287" i="4"/>
  <c r="Q285" i="4"/>
  <c r="Q245" i="4"/>
  <c r="Q229" i="4"/>
  <c r="Q289" i="4"/>
  <c r="Q240" i="4"/>
  <c r="Q98" i="4"/>
  <c r="Q95" i="4"/>
  <c r="Q68" i="4"/>
  <c r="Q58" i="4"/>
  <c r="Q48" i="4"/>
  <c r="Q41" i="4"/>
  <c r="Q36" i="4"/>
  <c r="Q31" i="4"/>
  <c r="Q26" i="4"/>
  <c r="Q21" i="4"/>
  <c r="Q16" i="4"/>
  <c r="W1010" i="4"/>
  <c r="W1005" i="4"/>
  <c r="W1011" i="4"/>
  <c r="W983" i="4"/>
  <c r="W999" i="4"/>
  <c r="W996" i="4"/>
  <c r="W989" i="4"/>
  <c r="W986" i="4"/>
  <c r="W1008" i="4"/>
  <c r="W1007" i="4"/>
  <c r="W1009" i="4"/>
  <c r="W977" i="4"/>
  <c r="W972" i="4"/>
  <c r="W993" i="4"/>
  <c r="W985" i="4"/>
  <c r="W997" i="4"/>
  <c r="W994" i="4"/>
  <c r="W1006" i="4"/>
  <c r="W988" i="4"/>
  <c r="W987" i="4"/>
  <c r="W967" i="4"/>
  <c r="W962" i="4"/>
  <c r="W957" i="4"/>
  <c r="W952" i="4"/>
  <c r="W1003" i="4"/>
  <c r="W998" i="4"/>
  <c r="W984" i="4"/>
  <c r="W975" i="4"/>
  <c r="W974" i="4"/>
  <c r="W973" i="4"/>
  <c r="W1000" i="4"/>
  <c r="W980" i="4"/>
  <c r="W979" i="4"/>
  <c r="W978" i="4"/>
  <c r="W976" i="4"/>
  <c r="W970" i="4"/>
  <c r="W1002" i="4"/>
  <c r="W981" i="4"/>
  <c r="W1004" i="4"/>
  <c r="W1001" i="4"/>
  <c r="W995" i="4"/>
  <c r="W992" i="4"/>
  <c r="W990" i="4"/>
  <c r="W991" i="4"/>
  <c r="W964" i="4"/>
  <c r="W943" i="4"/>
  <c r="W938" i="4"/>
  <c r="W933" i="4"/>
  <c r="W928" i="4"/>
  <c r="W923" i="4"/>
  <c r="W982" i="4"/>
  <c r="W966" i="4"/>
  <c r="W969" i="4"/>
  <c r="W971" i="4"/>
  <c r="W965" i="4"/>
  <c r="W963" i="4"/>
  <c r="W941" i="4"/>
  <c r="W940" i="4"/>
  <c r="W939" i="4"/>
  <c r="W937" i="4"/>
  <c r="W917" i="4"/>
  <c r="W912" i="4"/>
  <c r="W907" i="4"/>
  <c r="W902" i="4"/>
  <c r="W897" i="4"/>
  <c r="W959" i="4"/>
  <c r="W945" i="4"/>
  <c r="W944" i="4"/>
  <c r="W942" i="4"/>
  <c r="W960" i="4"/>
  <c r="W956" i="4"/>
  <c r="W951" i="4"/>
  <c r="W950" i="4"/>
  <c r="W948" i="4"/>
  <c r="W953" i="4"/>
  <c r="W949" i="4"/>
  <c r="W947" i="4"/>
  <c r="W946" i="4"/>
  <c r="W968" i="4"/>
  <c r="W961" i="4"/>
  <c r="W958" i="4"/>
  <c r="W954" i="4"/>
  <c r="W955" i="4"/>
  <c r="W895" i="4"/>
  <c r="W936" i="4"/>
  <c r="W893" i="4"/>
  <c r="W888" i="4"/>
  <c r="W883" i="4"/>
  <c r="W878" i="4"/>
  <c r="W873" i="4"/>
  <c r="W868" i="4"/>
  <c r="W863" i="4"/>
  <c r="W858" i="4"/>
  <c r="W853" i="4"/>
  <c r="W930" i="4"/>
  <c r="W926" i="4"/>
  <c r="W924" i="4"/>
  <c r="W922" i="4"/>
  <c r="W934" i="4"/>
  <c r="W932" i="4"/>
  <c r="W931" i="4"/>
  <c r="W929" i="4"/>
  <c r="W927" i="4"/>
  <c r="W925" i="4"/>
  <c r="W935" i="4"/>
  <c r="W921" i="4"/>
  <c r="W920" i="4"/>
  <c r="W918" i="4"/>
  <c r="W856" i="4"/>
  <c r="W854" i="4"/>
  <c r="W852" i="4"/>
  <c r="W843" i="4"/>
  <c r="W916" i="4"/>
  <c r="W861" i="4"/>
  <c r="W859" i="4"/>
  <c r="W857" i="4"/>
  <c r="W855" i="4"/>
  <c r="W903" i="4"/>
  <c r="W896" i="4"/>
  <c r="W904" i="4"/>
  <c r="W899" i="4"/>
  <c r="W915" i="4"/>
  <c r="W913" i="4"/>
  <c r="W876" i="4"/>
  <c r="W911" i="4"/>
  <c r="W909" i="4"/>
  <c r="W905" i="4"/>
  <c r="W919" i="4"/>
  <c r="W901" i="4"/>
  <c r="W900" i="4"/>
  <c r="W898" i="4"/>
  <c r="W914" i="4"/>
  <c r="W910" i="4"/>
  <c r="W908" i="4"/>
  <c r="W906" i="4"/>
  <c r="W885" i="4"/>
  <c r="W871" i="4"/>
  <c r="W869" i="4"/>
  <c r="W851" i="4"/>
  <c r="W837" i="4"/>
  <c r="W832" i="4"/>
  <c r="W827" i="4"/>
  <c r="W822" i="4"/>
  <c r="W817" i="4"/>
  <c r="W812" i="4"/>
  <c r="W807" i="4"/>
  <c r="W802" i="4"/>
  <c r="W797" i="4"/>
  <c r="W886" i="4"/>
  <c r="W882" i="4"/>
  <c r="W867" i="4"/>
  <c r="W865" i="4"/>
  <c r="W842" i="4"/>
  <c r="W894" i="4"/>
  <c r="W879" i="4"/>
  <c r="W892" i="4"/>
  <c r="W890" i="4"/>
  <c r="W841" i="4"/>
  <c r="W887" i="4"/>
  <c r="W860" i="4"/>
  <c r="W849" i="4"/>
  <c r="W838" i="4"/>
  <c r="W833" i="4"/>
  <c r="W875" i="4"/>
  <c r="W866" i="4"/>
  <c r="W864" i="4"/>
  <c r="W862" i="4"/>
  <c r="W891" i="4"/>
  <c r="W877" i="4"/>
  <c r="W805" i="4"/>
  <c r="W804" i="4"/>
  <c r="W803" i="4"/>
  <c r="W795" i="4"/>
  <c r="W790" i="4"/>
  <c r="W785" i="4"/>
  <c r="W780" i="4"/>
  <c r="W810" i="4"/>
  <c r="W809" i="4"/>
  <c r="W808" i="4"/>
  <c r="W806" i="4"/>
  <c r="W798" i="4"/>
  <c r="W874" i="4"/>
  <c r="W834" i="4"/>
  <c r="W829" i="4"/>
  <c r="W870" i="4"/>
  <c r="W820" i="4"/>
  <c r="W819" i="4"/>
  <c r="W818" i="4"/>
  <c r="W816" i="4"/>
  <c r="W801" i="4"/>
  <c r="W840" i="4"/>
  <c r="W825" i="4"/>
  <c r="W824" i="4"/>
  <c r="W823" i="4"/>
  <c r="W821" i="4"/>
  <c r="W836" i="4"/>
  <c r="W844" i="4"/>
  <c r="W787" i="4"/>
  <c r="W774" i="4"/>
  <c r="W769" i="4"/>
  <c r="W764" i="4"/>
  <c r="W759" i="4"/>
  <c r="W754" i="4"/>
  <c r="W749" i="4"/>
  <c r="W744" i="4"/>
  <c r="W739" i="4"/>
  <c r="W734" i="4"/>
  <c r="W815" i="4"/>
  <c r="W814" i="4"/>
  <c r="W813" i="4"/>
  <c r="W800" i="4"/>
  <c r="W783" i="4"/>
  <c r="W872" i="4"/>
  <c r="W811" i="4"/>
  <c r="W889" i="4"/>
  <c r="W830" i="4"/>
  <c r="W796" i="4"/>
  <c r="W786" i="4"/>
  <c r="W779" i="4"/>
  <c r="W782" i="4"/>
  <c r="W775" i="4"/>
  <c r="W770" i="4"/>
  <c r="W880" i="4"/>
  <c r="W848" i="4"/>
  <c r="W793" i="4"/>
  <c r="W792" i="4"/>
  <c r="W791" i="4"/>
  <c r="W789" i="4"/>
  <c r="W850" i="4"/>
  <c r="W831" i="4"/>
  <c r="W771" i="4"/>
  <c r="W736" i="4"/>
  <c r="W728" i="4"/>
  <c r="W723" i="4"/>
  <c r="W718" i="4"/>
  <c r="W713" i="4"/>
  <c r="W708" i="4"/>
  <c r="W703" i="4"/>
  <c r="W698" i="4"/>
  <c r="W693" i="4"/>
  <c r="W688" i="4"/>
  <c r="W683" i="4"/>
  <c r="W881" i="4"/>
  <c r="W839" i="4"/>
  <c r="W788" i="4"/>
  <c r="W767" i="4"/>
  <c r="W761" i="4"/>
  <c r="W732" i="4"/>
  <c r="W794" i="4"/>
  <c r="W776" i="4"/>
  <c r="W884" i="4"/>
  <c r="W773" i="4"/>
  <c r="W735" i="4"/>
  <c r="W781" i="4"/>
  <c r="W768" i="4"/>
  <c r="W765" i="4"/>
  <c r="W731" i="4"/>
  <c r="W729" i="4"/>
  <c r="W835" i="4"/>
  <c r="W778" i="4"/>
  <c r="W762" i="4"/>
  <c r="W742" i="4"/>
  <c r="W772" i="4"/>
  <c r="W760" i="4"/>
  <c r="W737" i="4"/>
  <c r="W730" i="4"/>
  <c r="W725" i="4"/>
  <c r="W706" i="4"/>
  <c r="W705" i="4"/>
  <c r="W704" i="4"/>
  <c r="W702" i="4"/>
  <c r="W690" i="4"/>
  <c r="W674" i="4"/>
  <c r="W669" i="4"/>
  <c r="W664" i="4"/>
  <c r="W659" i="4"/>
  <c r="W654" i="4"/>
  <c r="W649" i="4"/>
  <c r="W644" i="4"/>
  <c r="W639" i="4"/>
  <c r="W634" i="4"/>
  <c r="W629" i="4"/>
  <c r="W784" i="4"/>
  <c r="W758" i="4"/>
  <c r="W727" i="4"/>
  <c r="W711" i="4"/>
  <c r="W710" i="4"/>
  <c r="W709" i="4"/>
  <c r="W707" i="4"/>
  <c r="W697" i="4"/>
  <c r="W686" i="4"/>
  <c r="W679" i="4"/>
  <c r="W847" i="4"/>
  <c r="W716" i="4"/>
  <c r="W715" i="4"/>
  <c r="W714" i="4"/>
  <c r="W712" i="4"/>
  <c r="W828" i="4"/>
  <c r="W799" i="4"/>
  <c r="W733" i="4"/>
  <c r="W721" i="4"/>
  <c r="W720" i="4"/>
  <c r="W719" i="4"/>
  <c r="W717" i="4"/>
  <c r="W696" i="4"/>
  <c r="W689" i="4"/>
  <c r="W682" i="4"/>
  <c r="W826" i="4"/>
  <c r="W757" i="4"/>
  <c r="W755" i="4"/>
  <c r="W747" i="4"/>
  <c r="W745" i="4"/>
  <c r="W743" i="4"/>
  <c r="W722" i="4"/>
  <c r="W685" i="4"/>
  <c r="W753" i="4"/>
  <c r="W751" i="4"/>
  <c r="W726" i="4"/>
  <c r="W766" i="4"/>
  <c r="W724" i="4"/>
  <c r="W692" i="4"/>
  <c r="W668" i="4"/>
  <c r="W752" i="4"/>
  <c r="W680" i="4"/>
  <c r="W637" i="4"/>
  <c r="W630" i="4"/>
  <c r="W624" i="4"/>
  <c r="W738" i="4"/>
  <c r="W701" i="4"/>
  <c r="W700" i="4"/>
  <c r="W699" i="4"/>
  <c r="W678" i="4"/>
  <c r="W675" i="4"/>
  <c r="W846" i="4"/>
  <c r="W691" i="4"/>
  <c r="W777" i="4"/>
  <c r="W746" i="4"/>
  <c r="W684" i="4"/>
  <c r="W676" i="4"/>
  <c r="W681" i="4"/>
  <c r="W672" i="4"/>
  <c r="W665" i="4"/>
  <c r="W661" i="4"/>
  <c r="W658" i="4"/>
  <c r="W656" i="4"/>
  <c r="W652" i="4"/>
  <c r="W650" i="4"/>
  <c r="W648" i="4"/>
  <c r="W635" i="4"/>
  <c r="W632" i="4"/>
  <c r="W617" i="4"/>
  <c r="W609" i="4"/>
  <c r="W604" i="4"/>
  <c r="W599" i="4"/>
  <c r="W594" i="4"/>
  <c r="W589" i="4"/>
  <c r="W673" i="4"/>
  <c r="W641" i="4"/>
  <c r="W748" i="4"/>
  <c r="W671" i="4"/>
  <c r="W670" i="4"/>
  <c r="W845" i="4"/>
  <c r="W763" i="4"/>
  <c r="W660" i="4"/>
  <c r="W756" i="4"/>
  <c r="W750" i="4"/>
  <c r="W741" i="4"/>
  <c r="W646" i="4"/>
  <c r="W638" i="4"/>
  <c r="W627" i="4"/>
  <c r="W647" i="4"/>
  <c r="W645" i="4"/>
  <c r="W643" i="4"/>
  <c r="W631" i="4"/>
  <c r="W623" i="4"/>
  <c r="W613" i="4"/>
  <c r="W596" i="4"/>
  <c r="W587" i="4"/>
  <c r="W582" i="4"/>
  <c r="W577" i="4"/>
  <c r="W572" i="4"/>
  <c r="W567" i="4"/>
  <c r="W562" i="4"/>
  <c r="W557" i="4"/>
  <c r="W552" i="4"/>
  <c r="W547" i="4"/>
  <c r="W542" i="4"/>
  <c r="W537" i="4"/>
  <c r="W532" i="4"/>
  <c r="W527" i="4"/>
  <c r="W662" i="4"/>
  <c r="W657" i="4"/>
  <c r="W622" i="4"/>
  <c r="W616" i="4"/>
  <c r="W603" i="4"/>
  <c r="W592" i="4"/>
  <c r="W628" i="4"/>
  <c r="W677" i="4"/>
  <c r="W653" i="4"/>
  <c r="W626" i="4"/>
  <c r="W602" i="4"/>
  <c r="W595" i="4"/>
  <c r="W667" i="4"/>
  <c r="W625" i="4"/>
  <c r="W607" i="4"/>
  <c r="W606" i="4"/>
  <c r="W591" i="4"/>
  <c r="W588" i="4"/>
  <c r="W583" i="4"/>
  <c r="W578" i="4"/>
  <c r="W663" i="4"/>
  <c r="W651" i="4"/>
  <c r="W642" i="4"/>
  <c r="W633" i="4"/>
  <c r="W620" i="4"/>
  <c r="W600" i="4"/>
  <c r="W593" i="4"/>
  <c r="W666" i="4"/>
  <c r="W615" i="4"/>
  <c r="W530" i="4"/>
  <c r="W524" i="4"/>
  <c r="W519" i="4"/>
  <c r="W514" i="4"/>
  <c r="W509" i="4"/>
  <c r="W504" i="4"/>
  <c r="W499" i="4"/>
  <c r="W494" i="4"/>
  <c r="W489" i="4"/>
  <c r="W484" i="4"/>
  <c r="W479" i="4"/>
  <c r="W474" i="4"/>
  <c r="W469" i="4"/>
  <c r="W464" i="4"/>
  <c r="W459" i="4"/>
  <c r="W454" i="4"/>
  <c r="W449" i="4"/>
  <c r="W444" i="4"/>
  <c r="W439" i="4"/>
  <c r="W434" i="4"/>
  <c r="W429" i="4"/>
  <c r="W424" i="4"/>
  <c r="W694" i="4"/>
  <c r="W687" i="4"/>
  <c r="W640" i="4"/>
  <c r="W610" i="4"/>
  <c r="W608" i="4"/>
  <c r="W601" i="4"/>
  <c r="W586" i="4"/>
  <c r="W575" i="4"/>
  <c r="W559" i="4"/>
  <c r="W556" i="4"/>
  <c r="W553" i="4"/>
  <c r="W550" i="4"/>
  <c r="W612" i="4"/>
  <c r="W590" i="4"/>
  <c r="W585" i="4"/>
  <c r="W533" i="4"/>
  <c r="W526" i="4"/>
  <c r="W522" i="4"/>
  <c r="W517" i="4"/>
  <c r="W512" i="4"/>
  <c r="W740" i="4"/>
  <c r="W695" i="4"/>
  <c r="W584" i="4"/>
  <c r="W569" i="4"/>
  <c r="W566" i="4"/>
  <c r="W563" i="4"/>
  <c r="W560" i="4"/>
  <c r="W544" i="4"/>
  <c r="W540" i="4"/>
  <c r="W539" i="4"/>
  <c r="W538" i="4"/>
  <c r="W529" i="4"/>
  <c r="W655" i="4"/>
  <c r="W619" i="4"/>
  <c r="W614" i="4"/>
  <c r="W597" i="4"/>
  <c r="W581" i="4"/>
  <c r="W541" i="4"/>
  <c r="W536" i="4"/>
  <c r="W525" i="4"/>
  <c r="W520" i="4"/>
  <c r="W515" i="4"/>
  <c r="W510" i="4"/>
  <c r="W505" i="4"/>
  <c r="W500" i="4"/>
  <c r="W495" i="4"/>
  <c r="W574" i="4"/>
  <c r="W571" i="4"/>
  <c r="W568" i="4"/>
  <c r="W565" i="4"/>
  <c r="W549" i="4"/>
  <c r="W546" i="4"/>
  <c r="W543" i="4"/>
  <c r="W534" i="4"/>
  <c r="W621" i="4"/>
  <c r="W576" i="4"/>
  <c r="W573" i="4"/>
  <c r="W570" i="4"/>
  <c r="W535" i="4"/>
  <c r="W521" i="4"/>
  <c r="W501" i="4"/>
  <c r="W447" i="4"/>
  <c r="W518" i="4"/>
  <c r="W498" i="4"/>
  <c r="W490" i="4"/>
  <c r="W487" i="4"/>
  <c r="W471" i="4"/>
  <c r="W468" i="4"/>
  <c r="W465" i="4"/>
  <c r="W462" i="4"/>
  <c r="W452" i="4"/>
  <c r="W450" i="4"/>
  <c r="W448" i="4"/>
  <c r="W446" i="4"/>
  <c r="W442" i="4"/>
  <c r="W435" i="4"/>
  <c r="W428" i="4"/>
  <c r="W418" i="4"/>
  <c r="W413" i="4"/>
  <c r="W408" i="4"/>
  <c r="W403" i="4"/>
  <c r="W398" i="4"/>
  <c r="W393" i="4"/>
  <c r="W388" i="4"/>
  <c r="W383" i="4"/>
  <c r="W580" i="4"/>
  <c r="W528" i="4"/>
  <c r="W497" i="4"/>
  <c r="W457" i="4"/>
  <c r="W455" i="4"/>
  <c r="W453" i="4"/>
  <c r="W451" i="4"/>
  <c r="W611" i="4"/>
  <c r="W554" i="4"/>
  <c r="W551" i="4"/>
  <c r="W548" i="4"/>
  <c r="W545" i="4"/>
  <c r="W496" i="4"/>
  <c r="W481" i="4"/>
  <c r="W478" i="4"/>
  <c r="W475" i="4"/>
  <c r="W472" i="4"/>
  <c r="W458" i="4"/>
  <c r="W456" i="4"/>
  <c r="W445" i="4"/>
  <c r="W438" i="4"/>
  <c r="W427" i="4"/>
  <c r="W421" i="4"/>
  <c r="W598" i="4"/>
  <c r="W579" i="4"/>
  <c r="W523" i="4"/>
  <c r="W511" i="4"/>
  <c r="W493" i="4"/>
  <c r="W441" i="4"/>
  <c r="W618" i="4"/>
  <c r="W636" i="4"/>
  <c r="W555" i="4"/>
  <c r="W502" i="4"/>
  <c r="W486" i="4"/>
  <c r="W483" i="4"/>
  <c r="W480" i="4"/>
  <c r="W477" i="4"/>
  <c r="W461" i="4"/>
  <c r="W443" i="4"/>
  <c r="W432" i="4"/>
  <c r="W425" i="4"/>
  <c r="W420" i="4"/>
  <c r="W415" i="4"/>
  <c r="W410" i="4"/>
  <c r="W405" i="4"/>
  <c r="W400" i="4"/>
  <c r="W395" i="4"/>
  <c r="W390" i="4"/>
  <c r="W385" i="4"/>
  <c r="W380" i="4"/>
  <c r="W470" i="4"/>
  <c r="W416" i="4"/>
  <c r="W407" i="4"/>
  <c r="W404" i="4"/>
  <c r="W531" i="4"/>
  <c r="W564" i="4"/>
  <c r="W476" i="4"/>
  <c r="W558" i="4"/>
  <c r="W506" i="4"/>
  <c r="W466" i="4"/>
  <c r="W440" i="4"/>
  <c r="W417" i="4"/>
  <c r="W369" i="4"/>
  <c r="W359" i="4"/>
  <c r="W349" i="4"/>
  <c r="W513" i="4"/>
  <c r="W507" i="4"/>
  <c r="W492" i="4"/>
  <c r="W491" i="4"/>
  <c r="W488" i="4"/>
  <c r="W437" i="4"/>
  <c r="W436" i="4"/>
  <c r="W372" i="4"/>
  <c r="W362" i="4"/>
  <c r="W352" i="4"/>
  <c r="W342" i="4"/>
  <c r="W340" i="4"/>
  <c r="W335" i="4"/>
  <c r="W330" i="4"/>
  <c r="W325" i="4"/>
  <c r="W320" i="4"/>
  <c r="W315" i="4"/>
  <c r="W310" i="4"/>
  <c r="W305" i="4"/>
  <c r="W300" i="4"/>
  <c r="W295" i="4"/>
  <c r="W290" i="4"/>
  <c r="W285" i="4"/>
  <c r="W280" i="4"/>
  <c r="W275" i="4"/>
  <c r="W270" i="4"/>
  <c r="W265" i="4"/>
  <c r="W260" i="4"/>
  <c r="W255" i="4"/>
  <c r="W250" i="4"/>
  <c r="W245" i="4"/>
  <c r="W240" i="4"/>
  <c r="W508" i="4"/>
  <c r="W485" i="4"/>
  <c r="W473" i="4"/>
  <c r="W463" i="4"/>
  <c r="W401" i="4"/>
  <c r="W396" i="4"/>
  <c r="W387" i="4"/>
  <c r="W384" i="4"/>
  <c r="W482" i="4"/>
  <c r="W419" i="4"/>
  <c r="W412" i="4"/>
  <c r="W399" i="4"/>
  <c r="W378" i="4"/>
  <c r="W375" i="4"/>
  <c r="W368" i="4"/>
  <c r="W365" i="4"/>
  <c r="W358" i="4"/>
  <c r="W355" i="4"/>
  <c r="W348" i="4"/>
  <c r="W345" i="4"/>
  <c r="W338" i="4"/>
  <c r="W333" i="4"/>
  <c r="W328" i="4"/>
  <c r="W323" i="4"/>
  <c r="W318" i="4"/>
  <c r="W313" i="4"/>
  <c r="W308" i="4"/>
  <c r="W605" i="4"/>
  <c r="W381" i="4"/>
  <c r="W379" i="4"/>
  <c r="W371" i="4"/>
  <c r="W361" i="4"/>
  <c r="W351" i="4"/>
  <c r="W503" i="4"/>
  <c r="W516" i="4"/>
  <c r="W561" i="4"/>
  <c r="W426" i="4"/>
  <c r="W423" i="4"/>
  <c r="W406" i="4"/>
  <c r="W392" i="4"/>
  <c r="W389" i="4"/>
  <c r="W376" i="4"/>
  <c r="W366" i="4"/>
  <c r="W356" i="4"/>
  <c r="W346" i="4"/>
  <c r="W422" i="4"/>
  <c r="W411" i="4"/>
  <c r="W353" i="4"/>
  <c r="W350" i="4"/>
  <c r="W344" i="4"/>
  <c r="W326" i="4"/>
  <c r="W314" i="4"/>
  <c r="W283" i="4"/>
  <c r="W281" i="4"/>
  <c r="W279" i="4"/>
  <c r="W277" i="4"/>
  <c r="W236" i="4"/>
  <c r="W226" i="4"/>
  <c r="W216" i="4"/>
  <c r="W211" i="4"/>
  <c r="W206" i="4"/>
  <c r="W201" i="4"/>
  <c r="W196" i="4"/>
  <c r="W191" i="4"/>
  <c r="W186" i="4"/>
  <c r="W181" i="4"/>
  <c r="W176" i="4"/>
  <c r="W171" i="4"/>
  <c r="W166" i="4"/>
  <c r="W161" i="4"/>
  <c r="W156" i="4"/>
  <c r="W151" i="4"/>
  <c r="W146" i="4"/>
  <c r="W141" i="4"/>
  <c r="W364" i="4"/>
  <c r="W329" i="4"/>
  <c r="W317" i="4"/>
  <c r="W288" i="4"/>
  <c r="W286" i="4"/>
  <c r="W284" i="4"/>
  <c r="W282" i="4"/>
  <c r="W229" i="4"/>
  <c r="W219" i="4"/>
  <c r="W377" i="4"/>
  <c r="W306" i="4"/>
  <c r="W293" i="4"/>
  <c r="W291" i="4"/>
  <c r="W289" i="4"/>
  <c r="W287" i="4"/>
  <c r="W414" i="4"/>
  <c r="W354" i="4"/>
  <c r="W343" i="4"/>
  <c r="W332" i="4"/>
  <c r="W321" i="4"/>
  <c r="W309" i="4"/>
  <c r="W298" i="4"/>
  <c r="W296" i="4"/>
  <c r="W294" i="4"/>
  <c r="W292" i="4"/>
  <c r="W248" i="4"/>
  <c r="W397" i="4"/>
  <c r="W394" i="4"/>
  <c r="W367" i="4"/>
  <c r="W324" i="4"/>
  <c r="W312" i="4"/>
  <c r="W303" i="4"/>
  <c r="W301" i="4"/>
  <c r="W299" i="4"/>
  <c r="W297" i="4"/>
  <c r="W402" i="4"/>
  <c r="W391" i="4"/>
  <c r="W386" i="4"/>
  <c r="W433" i="4"/>
  <c r="W430" i="4"/>
  <c r="W373" i="4"/>
  <c r="W370" i="4"/>
  <c r="W467" i="4"/>
  <c r="W431" i="4"/>
  <c r="W382" i="4"/>
  <c r="W460" i="4"/>
  <c r="W409" i="4"/>
  <c r="W374" i="4"/>
  <c r="W341" i="4"/>
  <c r="W311" i="4"/>
  <c r="W278" i="4"/>
  <c r="W276" i="4"/>
  <c r="W274" i="4"/>
  <c r="W272" i="4"/>
  <c r="W233" i="4"/>
  <c r="W223" i="4"/>
  <c r="W271" i="4"/>
  <c r="W263" i="4"/>
  <c r="W262" i="4"/>
  <c r="W254" i="4"/>
  <c r="W163" i="4"/>
  <c r="W357" i="4"/>
  <c r="W339" i="4"/>
  <c r="W307" i="4"/>
  <c r="W304" i="4"/>
  <c r="W302" i="4"/>
  <c r="W267" i="4"/>
  <c r="W259" i="4"/>
  <c r="W231" i="4"/>
  <c r="W227" i="4"/>
  <c r="W218" i="4"/>
  <c r="W213" i="4"/>
  <c r="W210" i="4"/>
  <c r="W207" i="4"/>
  <c r="W204" i="4"/>
  <c r="W188" i="4"/>
  <c r="W174" i="4"/>
  <c r="W170" i="4"/>
  <c r="W159" i="4"/>
  <c r="W152" i="4"/>
  <c r="W145" i="4"/>
  <c r="W136" i="4"/>
  <c r="W131" i="4"/>
  <c r="W126" i="4"/>
  <c r="W121" i="4"/>
  <c r="W116" i="4"/>
  <c r="W111" i="4"/>
  <c r="W106" i="4"/>
  <c r="W101" i="4"/>
  <c r="W96" i="4"/>
  <c r="W331" i="4"/>
  <c r="W268" i="4"/>
  <c r="W220" i="4"/>
  <c r="W179" i="4"/>
  <c r="W177" i="4"/>
  <c r="W175" i="4"/>
  <c r="W173" i="4"/>
  <c r="W363" i="4"/>
  <c r="W334" i="4"/>
  <c r="W264" i="4"/>
  <c r="W256" i="4"/>
  <c r="W244" i="4"/>
  <c r="W235" i="4"/>
  <c r="W222" i="4"/>
  <c r="W214" i="4"/>
  <c r="W198" i="4"/>
  <c r="W195" i="4"/>
  <c r="W192" i="4"/>
  <c r="W189" i="4"/>
  <c r="W184" i="4"/>
  <c r="W182" i="4"/>
  <c r="W180" i="4"/>
  <c r="W178" i="4"/>
  <c r="W169" i="4"/>
  <c r="W162" i="4"/>
  <c r="W155" i="4"/>
  <c r="W144" i="4"/>
  <c r="W139" i="4"/>
  <c r="W134" i="4"/>
  <c r="W243" i="4"/>
  <c r="W239" i="4"/>
  <c r="W224" i="4"/>
  <c r="W185" i="4"/>
  <c r="W183" i="4"/>
  <c r="W158" i="4"/>
  <c r="W337" i="4"/>
  <c r="W316" i="4"/>
  <c r="W360" i="4"/>
  <c r="W347" i="4"/>
  <c r="W327" i="4"/>
  <c r="W322" i="4"/>
  <c r="W319" i="4"/>
  <c r="W336" i="4"/>
  <c r="W252" i="4"/>
  <c r="W241" i="4"/>
  <c r="W238" i="4"/>
  <c r="W225" i="4"/>
  <c r="W203" i="4"/>
  <c r="W200" i="4"/>
  <c r="W197" i="4"/>
  <c r="W194" i="4"/>
  <c r="W167" i="4"/>
  <c r="W160" i="4"/>
  <c r="Z160" i="4" s="1"/>
  <c r="W149" i="4"/>
  <c r="W142" i="4"/>
  <c r="Z142" i="4" s="1"/>
  <c r="AB142" i="4" s="1"/>
  <c r="W138" i="4"/>
  <c r="W133" i="4"/>
  <c r="W128" i="4"/>
  <c r="W123" i="4"/>
  <c r="W118" i="4"/>
  <c r="W113" i="4"/>
  <c r="Z113" i="4" s="1"/>
  <c r="AB113" i="4" s="1"/>
  <c r="W108" i="4"/>
  <c r="W103" i="4"/>
  <c r="W98" i="4"/>
  <c r="W93" i="4"/>
  <c r="W88" i="4"/>
  <c r="W83" i="4"/>
  <c r="W78" i="4"/>
  <c r="W217" i="4"/>
  <c r="W187" i="4"/>
  <c r="W168" i="4"/>
  <c r="W129" i="4"/>
  <c r="W120" i="4"/>
  <c r="W117" i="4"/>
  <c r="W86" i="4"/>
  <c r="W85" i="4"/>
  <c r="W84" i="4"/>
  <c r="W82" i="4"/>
  <c r="W69" i="4"/>
  <c r="W59" i="4"/>
  <c r="W49" i="4"/>
  <c r="W13" i="4"/>
  <c r="W269" i="4"/>
  <c r="W251" i="4"/>
  <c r="W234" i="4"/>
  <c r="W148" i="4"/>
  <c r="W147" i="4"/>
  <c r="W94" i="4"/>
  <c r="W91" i="4"/>
  <c r="W90" i="4"/>
  <c r="W89" i="4"/>
  <c r="W87" i="4"/>
  <c r="W72" i="4"/>
  <c r="W62" i="4"/>
  <c r="W52" i="4"/>
  <c r="W43" i="4"/>
  <c r="W38" i="4"/>
  <c r="W33" i="4"/>
  <c r="W28" i="4"/>
  <c r="W23" i="4"/>
  <c r="W65" i="4"/>
  <c r="W249" i="4"/>
  <c r="W242" i="4"/>
  <c r="W237" i="4"/>
  <c r="W135" i="4"/>
  <c r="W132" i="4"/>
  <c r="W109" i="4"/>
  <c r="W100" i="4"/>
  <c r="W97" i="4"/>
  <c r="W208" i="4"/>
  <c r="W205" i="4"/>
  <c r="W202" i="4"/>
  <c r="W199" i="4"/>
  <c r="W164" i="4"/>
  <c r="W124" i="4"/>
  <c r="W115" i="4"/>
  <c r="W112" i="4"/>
  <c r="W247" i="4"/>
  <c r="W246" i="4"/>
  <c r="W230" i="4"/>
  <c r="W172" i="4"/>
  <c r="W157" i="4"/>
  <c r="W140" i="4"/>
  <c r="W130" i="4"/>
  <c r="W127" i="4"/>
  <c r="W71" i="4"/>
  <c r="W68" i="4"/>
  <c r="W261" i="4"/>
  <c r="W221" i="4"/>
  <c r="Z221" i="4" s="1"/>
  <c r="W215" i="4"/>
  <c r="Z215" i="4" s="1"/>
  <c r="W258" i="4"/>
  <c r="W257" i="4"/>
  <c r="W253" i="4"/>
  <c r="W232" i="4"/>
  <c r="W212" i="4"/>
  <c r="W273" i="4"/>
  <c r="W228" i="4"/>
  <c r="W193" i="4"/>
  <c r="W266" i="4"/>
  <c r="W209" i="4"/>
  <c r="W190" i="4"/>
  <c r="Z190" i="4" s="1"/>
  <c r="W114" i="4"/>
  <c r="W105" i="4"/>
  <c r="W102" i="4"/>
  <c r="W81" i="4"/>
  <c r="W80" i="4"/>
  <c r="Z80" i="4" s="1"/>
  <c r="AB80" i="4" s="1"/>
  <c r="W79" i="4"/>
  <c r="Z79" i="4" s="1"/>
  <c r="AB79" i="4" s="1"/>
  <c r="W77" i="4"/>
  <c r="W73" i="4"/>
  <c r="W66" i="4"/>
  <c r="W63" i="4"/>
  <c r="W56" i="4"/>
  <c r="W53" i="4"/>
  <c r="Z53" i="4" s="1"/>
  <c r="AB53" i="4" s="1"/>
  <c r="W46" i="4"/>
  <c r="W40" i="4"/>
  <c r="Z40" i="4" s="1"/>
  <c r="AB40" i="4" s="1"/>
  <c r="W35" i="4"/>
  <c r="Z35" i="4" s="1"/>
  <c r="AB35" i="4" s="1"/>
  <c r="W30" i="4"/>
  <c r="Z30" i="4" s="1"/>
  <c r="AB30" i="4" s="1"/>
  <c r="W25" i="4"/>
  <c r="Z25" i="4" s="1"/>
  <c r="AB25" i="4" s="1"/>
  <c r="W20" i="4"/>
  <c r="Z20" i="4" s="1"/>
  <c r="AB20" i="4" s="1"/>
  <c r="W15" i="4"/>
  <c r="W18" i="4"/>
  <c r="K13" i="4"/>
  <c r="B14" i="4"/>
  <c r="E14" i="4" s="1"/>
  <c r="G14" i="4" s="1"/>
  <c r="K16" i="4"/>
  <c r="Y19" i="4"/>
  <c r="D20" i="4"/>
  <c r="Y22" i="4"/>
  <c r="B23" i="4"/>
  <c r="Q23" i="4"/>
  <c r="C26" i="4"/>
  <c r="C29" i="4"/>
  <c r="P29" i="4"/>
  <c r="AE29" i="4"/>
  <c r="AG29" i="4" s="1"/>
  <c r="AI29" i="4" s="1"/>
  <c r="D32" i="4"/>
  <c r="Q32" i="4"/>
  <c r="AF32" i="4"/>
  <c r="I33" i="4"/>
  <c r="Q35" i="4"/>
  <c r="I36" i="4"/>
  <c r="AE38" i="4"/>
  <c r="J39" i="4"/>
  <c r="W39" i="4"/>
  <c r="D41" i="4"/>
  <c r="AE41" i="4"/>
  <c r="W42" i="4"/>
  <c r="Z42" i="4" s="1"/>
  <c r="AB42" i="4" s="1"/>
  <c r="AC42" i="4" s="1"/>
  <c r="D44" i="4"/>
  <c r="B47" i="4"/>
  <c r="AF47" i="4"/>
  <c r="I48" i="4"/>
  <c r="D49" i="4"/>
  <c r="Q49" i="4"/>
  <c r="AE49" i="4"/>
  <c r="AG49" i="4" s="1"/>
  <c r="AI49" i="4" s="1"/>
  <c r="B51" i="4"/>
  <c r="AF51" i="4"/>
  <c r="J52" i="4"/>
  <c r="D53" i="4"/>
  <c r="AF54" i="4"/>
  <c r="AE55" i="4"/>
  <c r="AE56" i="4"/>
  <c r="K57" i="4"/>
  <c r="Y57" i="4"/>
  <c r="W58" i="4"/>
  <c r="J61" i="4"/>
  <c r="D63" i="4"/>
  <c r="D72" i="4"/>
  <c r="B77" i="4"/>
  <c r="E77" i="4" s="1"/>
  <c r="G77" i="4" s="1"/>
  <c r="C79" i="4"/>
  <c r="B81" i="4"/>
  <c r="E81" i="4" s="1"/>
  <c r="G81" i="4" s="1"/>
  <c r="D85" i="4"/>
  <c r="Q86" i="4"/>
  <c r="D87" i="4"/>
  <c r="P88" i="4"/>
  <c r="D89" i="4"/>
  <c r="P90" i="4"/>
  <c r="S90" i="4" s="1"/>
  <c r="U90" i="4" s="1"/>
  <c r="V90" i="4" s="1"/>
  <c r="C91" i="4"/>
  <c r="I93" i="4"/>
  <c r="I101" i="4"/>
  <c r="Q103" i="4"/>
  <c r="I104" i="4"/>
  <c r="Y108" i="4"/>
  <c r="Y113" i="4"/>
  <c r="B121" i="4"/>
  <c r="C124" i="4"/>
  <c r="B126" i="4"/>
  <c r="C129" i="4"/>
  <c r="B132" i="4"/>
  <c r="AF132" i="4"/>
  <c r="W137" i="4"/>
  <c r="D142" i="4"/>
  <c r="AF144" i="4"/>
  <c r="I154" i="4"/>
  <c r="AF161" i="4"/>
  <c r="D163" i="4"/>
  <c r="P166" i="4"/>
  <c r="P167" i="4"/>
  <c r="K187" i="4"/>
  <c r="Q188" i="4"/>
  <c r="B100" i="4"/>
  <c r="J104" i="4"/>
  <c r="B105" i="4"/>
  <c r="J107" i="4"/>
  <c r="AE121" i="4"/>
  <c r="W122" i="4"/>
  <c r="D124" i="4"/>
  <c r="AE124" i="4"/>
  <c r="AG124" i="4" s="1"/>
  <c r="C132" i="4"/>
  <c r="P141" i="4"/>
  <c r="AE147" i="4"/>
  <c r="W150" i="4"/>
  <c r="J154" i="4"/>
  <c r="J155" i="4"/>
  <c r="C158" i="4"/>
  <c r="B160" i="4"/>
  <c r="AE176" i="4"/>
  <c r="D179" i="4"/>
  <c r="Q194" i="4"/>
  <c r="I203" i="4"/>
  <c r="Y63" i="4"/>
  <c r="AE87" i="4"/>
  <c r="AG87" i="4" s="1"/>
  <c r="AI87" i="4" s="1"/>
  <c r="AG89" i="4"/>
  <c r="AI89" i="4" s="1"/>
  <c r="C94" i="4"/>
  <c r="K96" i="4"/>
  <c r="B97" i="4"/>
  <c r="E97" i="4" s="1"/>
  <c r="K99" i="4"/>
  <c r="C100" i="4"/>
  <c r="K107" i="4"/>
  <c r="P112" i="4"/>
  <c r="W119" i="4"/>
  <c r="AF121" i="4"/>
  <c r="AF124" i="4"/>
  <c r="W125" i="4"/>
  <c r="Z125" i="4" s="1"/>
  <c r="AB125" i="4" s="1"/>
  <c r="C127" i="4"/>
  <c r="AE127" i="4"/>
  <c r="D130" i="4"/>
  <c r="AF130" i="4"/>
  <c r="P135" i="4"/>
  <c r="I136" i="4"/>
  <c r="B137" i="4"/>
  <c r="Q141" i="4"/>
  <c r="I143" i="4"/>
  <c r="I144" i="4"/>
  <c r="AF147" i="4"/>
  <c r="W153" i="4"/>
  <c r="D159" i="4"/>
  <c r="C160" i="4"/>
  <c r="AF168" i="4"/>
  <c r="D170" i="4"/>
  <c r="AE175" i="4"/>
  <c r="Q180" i="4"/>
  <c r="Q191" i="4"/>
  <c r="J206" i="4"/>
  <c r="AE43" i="4"/>
  <c r="AE97" i="4"/>
  <c r="Y117" i="4"/>
  <c r="P120" i="4"/>
  <c r="Y122" i="4"/>
  <c r="P123" i="4"/>
  <c r="D127" i="4"/>
  <c r="AF127" i="4"/>
  <c r="Y128" i="4"/>
  <c r="J136" i="4"/>
  <c r="C137" i="4"/>
  <c r="P142" i="4"/>
  <c r="J144" i="4"/>
  <c r="K145" i="4"/>
  <c r="Y150" i="4"/>
  <c r="Y151" i="4"/>
  <c r="Q155" i="4"/>
  <c r="D160" i="4"/>
  <c r="J161" i="4"/>
  <c r="W165" i="4"/>
  <c r="AE174" i="4"/>
  <c r="C177" i="4"/>
  <c r="AF182" i="4"/>
  <c r="Y187" i="4"/>
  <c r="K206" i="4"/>
  <c r="I64" i="4"/>
  <c r="K65" i="4"/>
  <c r="AE65" i="4"/>
  <c r="C74" i="4"/>
  <c r="B80" i="4"/>
  <c r="Y80" i="4"/>
  <c r="B82" i="4"/>
  <c r="C84" i="4"/>
  <c r="D88" i="4"/>
  <c r="C90" i="4"/>
  <c r="P91" i="4"/>
  <c r="AE94" i="4"/>
  <c r="W95" i="4"/>
  <c r="D97" i="4"/>
  <c r="AF97" i="4"/>
  <c r="AF100" i="4"/>
  <c r="D103" i="4"/>
  <c r="I113" i="4"/>
  <c r="Q115" i="4"/>
  <c r="S115" i="4" s="1"/>
  <c r="U115" i="4" s="1"/>
  <c r="I116" i="4"/>
  <c r="Q118" i="4"/>
  <c r="Y125" i="4"/>
  <c r="P126" i="4"/>
  <c r="D134" i="4"/>
  <c r="D137" i="4"/>
  <c r="D138" i="4"/>
  <c r="K147" i="4"/>
  <c r="Y153" i="4"/>
  <c r="P156" i="4"/>
  <c r="K161" i="4"/>
  <c r="D177" i="4"/>
  <c r="P178" i="4"/>
  <c r="AG181" i="4"/>
  <c r="AI181" i="4" s="1"/>
  <c r="J209" i="4"/>
  <c r="Y212" i="4"/>
  <c r="AE61" i="4"/>
  <c r="AE31" i="4"/>
  <c r="AF61" i="4"/>
  <c r="B1011" i="4"/>
  <c r="B1006" i="4"/>
  <c r="B1001" i="4"/>
  <c r="B996" i="4"/>
  <c r="B991" i="4"/>
  <c r="B986" i="4"/>
  <c r="B999" i="4"/>
  <c r="B989" i="4"/>
  <c r="B983" i="4"/>
  <c r="B1009" i="4"/>
  <c r="B1008" i="4"/>
  <c r="B1007" i="4"/>
  <c r="B1010" i="4"/>
  <c r="B977" i="4"/>
  <c r="B995" i="4"/>
  <c r="B1000" i="4"/>
  <c r="B998" i="4"/>
  <c r="B992" i="4"/>
  <c r="B987" i="4"/>
  <c r="B984" i="4"/>
  <c r="B980" i="4"/>
  <c r="B976" i="4"/>
  <c r="B974" i="4"/>
  <c r="B973" i="4"/>
  <c r="B969" i="4"/>
  <c r="B964" i="4"/>
  <c r="B959" i="4"/>
  <c r="B954" i="4"/>
  <c r="B949" i="4"/>
  <c r="B1003" i="4"/>
  <c r="B990" i="4"/>
  <c r="B981" i="4"/>
  <c r="B979" i="4"/>
  <c r="B978" i="4"/>
  <c r="B988" i="4"/>
  <c r="B985" i="4"/>
  <c r="B982" i="4"/>
  <c r="B1005" i="4"/>
  <c r="B1002" i="4"/>
  <c r="B993" i="4"/>
  <c r="B1004" i="4"/>
  <c r="B994" i="4"/>
  <c r="B997" i="4"/>
  <c r="B975" i="4"/>
  <c r="B970" i="4"/>
  <c r="B943" i="4"/>
  <c r="B938" i="4"/>
  <c r="B933" i="4"/>
  <c r="B928" i="4"/>
  <c r="B923" i="4"/>
  <c r="B968" i="4"/>
  <c r="B946" i="4"/>
  <c r="B971" i="4"/>
  <c r="B953" i="4"/>
  <c r="B952" i="4"/>
  <c r="B950" i="4"/>
  <c r="B972" i="4"/>
  <c r="B967" i="4"/>
  <c r="B917" i="4"/>
  <c r="B912" i="4"/>
  <c r="B907" i="4"/>
  <c r="B902" i="4"/>
  <c r="B960" i="4"/>
  <c r="B956" i="4"/>
  <c r="B966" i="4"/>
  <c r="B957" i="4"/>
  <c r="B951" i="4"/>
  <c r="B948" i="4"/>
  <c r="B961" i="4"/>
  <c r="B947" i="4"/>
  <c r="B962" i="4"/>
  <c r="B958" i="4"/>
  <c r="B965" i="4"/>
  <c r="B963" i="4"/>
  <c r="B955" i="4"/>
  <c r="B945" i="4"/>
  <c r="B944" i="4"/>
  <c r="B936" i="4"/>
  <c r="B895" i="4"/>
  <c r="B890" i="4"/>
  <c r="B885" i="4"/>
  <c r="B880" i="4"/>
  <c r="B875" i="4"/>
  <c r="B870" i="4"/>
  <c r="B865" i="4"/>
  <c r="B860" i="4"/>
  <c r="B855" i="4"/>
  <c r="B850" i="4"/>
  <c r="B931" i="4"/>
  <c r="B900" i="4"/>
  <c r="B929" i="4"/>
  <c r="B942" i="4"/>
  <c r="B940" i="4"/>
  <c r="B937" i="4"/>
  <c r="B927" i="4"/>
  <c r="B925" i="4"/>
  <c r="B910" i="4"/>
  <c r="B906" i="4"/>
  <c r="B904" i="4"/>
  <c r="B903" i="4"/>
  <c r="B915" i="4"/>
  <c r="B911" i="4"/>
  <c r="B909" i="4"/>
  <c r="B908" i="4"/>
  <c r="B941" i="4"/>
  <c r="B921" i="4"/>
  <c r="B934" i="4"/>
  <c r="B930" i="4"/>
  <c r="B926" i="4"/>
  <c r="B932" i="4"/>
  <c r="B922" i="4"/>
  <c r="B939" i="4"/>
  <c r="B935" i="4"/>
  <c r="B924" i="4"/>
  <c r="B897" i="4"/>
  <c r="B869" i="4"/>
  <c r="B868" i="4"/>
  <c r="B866" i="4"/>
  <c r="B862" i="4"/>
  <c r="B852" i="4"/>
  <c r="B874" i="4"/>
  <c r="B873" i="4"/>
  <c r="B871" i="4"/>
  <c r="B867" i="4"/>
  <c r="B848" i="4"/>
  <c r="B913" i="4"/>
  <c r="B898" i="4"/>
  <c r="B879" i="4"/>
  <c r="B878" i="4"/>
  <c r="B884" i="4"/>
  <c r="B883" i="4"/>
  <c r="B881" i="4"/>
  <c r="B877" i="4"/>
  <c r="B919" i="4"/>
  <c r="B889" i="4"/>
  <c r="B888" i="4"/>
  <c r="B886" i="4"/>
  <c r="B882" i="4"/>
  <c r="B905" i="4"/>
  <c r="B920" i="4"/>
  <c r="B914" i="4"/>
  <c r="B899" i="4"/>
  <c r="B918" i="4"/>
  <c r="B916" i="4"/>
  <c r="B896" i="4"/>
  <c r="B901" i="4"/>
  <c r="B872" i="4"/>
  <c r="B842" i="4"/>
  <c r="B892" i="4"/>
  <c r="B864" i="4"/>
  <c r="B853" i="4"/>
  <c r="B837" i="4"/>
  <c r="B832" i="4"/>
  <c r="B827" i="4"/>
  <c r="B822" i="4"/>
  <c r="B817" i="4"/>
  <c r="B812" i="4"/>
  <c r="B807" i="4"/>
  <c r="B835" i="4"/>
  <c r="B830" i="4"/>
  <c r="B893" i="4"/>
  <c r="B891" i="4"/>
  <c r="B887" i="4"/>
  <c r="B859" i="4"/>
  <c r="B857" i="4"/>
  <c r="B846" i="4"/>
  <c r="B861" i="4"/>
  <c r="B894" i="4"/>
  <c r="B820" i="4"/>
  <c r="B816" i="4"/>
  <c r="B814" i="4"/>
  <c r="B813" i="4"/>
  <c r="B798" i="4"/>
  <c r="B856" i="4"/>
  <c r="B833" i="4"/>
  <c r="B825" i="4"/>
  <c r="B821" i="4"/>
  <c r="B819" i="4"/>
  <c r="B818" i="4"/>
  <c r="B795" i="4"/>
  <c r="B790" i="4"/>
  <c r="B858" i="4"/>
  <c r="B849" i="4"/>
  <c r="B843" i="4"/>
  <c r="B838" i="4"/>
  <c r="B826" i="4"/>
  <c r="B824" i="4"/>
  <c r="B823" i="4"/>
  <c r="B797" i="4"/>
  <c r="B854" i="4"/>
  <c r="B863" i="4"/>
  <c r="B834" i="4"/>
  <c r="B829" i="4"/>
  <c r="B783" i="4"/>
  <c r="B851" i="4"/>
  <c r="B799" i="4"/>
  <c r="B774" i="4"/>
  <c r="B769" i="4"/>
  <c r="B764" i="4"/>
  <c r="B759" i="4"/>
  <c r="B754" i="4"/>
  <c r="B749" i="4"/>
  <c r="B744" i="4"/>
  <c r="B739" i="4"/>
  <c r="B810" i="4"/>
  <c r="B805" i="4"/>
  <c r="B801" i="4"/>
  <c r="B793" i="4"/>
  <c r="B786" i="4"/>
  <c r="B847" i="4"/>
  <c r="B841" i="4"/>
  <c r="B840" i="4"/>
  <c r="B815" i="4"/>
  <c r="B809" i="4"/>
  <c r="B808" i="4"/>
  <c r="B806" i="4"/>
  <c r="B794" i="4"/>
  <c r="B792" i="4"/>
  <c r="B791" i="4"/>
  <c r="B782" i="4"/>
  <c r="B777" i="4"/>
  <c r="B772" i="4"/>
  <c r="B767" i="4"/>
  <c r="B762" i="4"/>
  <c r="B836" i="4"/>
  <c r="B811" i="4"/>
  <c r="B804" i="4"/>
  <c r="B789" i="4"/>
  <c r="B845" i="4"/>
  <c r="B828" i="4"/>
  <c r="B800" i="4"/>
  <c r="B788" i="4"/>
  <c r="B775" i="4"/>
  <c r="B768" i="4"/>
  <c r="B765" i="4"/>
  <c r="B732" i="4"/>
  <c r="B728" i="4"/>
  <c r="B723" i="4"/>
  <c r="B718" i="4"/>
  <c r="B713" i="4"/>
  <c r="B708" i="4"/>
  <c r="B703" i="4"/>
  <c r="B796" i="4"/>
  <c r="B766" i="4"/>
  <c r="B747" i="4"/>
  <c r="B743" i="4"/>
  <c r="B741" i="4"/>
  <c r="B740" i="4"/>
  <c r="B731" i="4"/>
  <c r="B726" i="4"/>
  <c r="B876" i="4"/>
  <c r="B831" i="4"/>
  <c r="B771" i="4"/>
  <c r="B763" i="4"/>
  <c r="B752" i="4"/>
  <c r="B748" i="4"/>
  <c r="B746" i="4"/>
  <c r="B745" i="4"/>
  <c r="B738" i="4"/>
  <c r="B839" i="4"/>
  <c r="B803" i="4"/>
  <c r="B781" i="4"/>
  <c r="B757" i="4"/>
  <c r="B753" i="4"/>
  <c r="B751" i="4"/>
  <c r="B750" i="4"/>
  <c r="B742" i="4"/>
  <c r="B721" i="4"/>
  <c r="B717" i="4"/>
  <c r="B715" i="4"/>
  <c r="B714" i="4"/>
  <c r="B697" i="4"/>
  <c r="B686" i="4"/>
  <c r="B780" i="4"/>
  <c r="B770" i="4"/>
  <c r="B722" i="4"/>
  <c r="B720" i="4"/>
  <c r="B719" i="4"/>
  <c r="B693" i="4"/>
  <c r="B679" i="4"/>
  <c r="B674" i="4"/>
  <c r="B669" i="4"/>
  <c r="B664" i="4"/>
  <c r="B659" i="4"/>
  <c r="B654" i="4"/>
  <c r="B649" i="4"/>
  <c r="B644" i="4"/>
  <c r="B779" i="4"/>
  <c r="B755" i="4"/>
  <c r="B802" i="4"/>
  <c r="B737" i="4"/>
  <c r="B734" i="4"/>
  <c r="B724" i="4"/>
  <c r="B685" i="4"/>
  <c r="B677" i="4"/>
  <c r="B672" i="4"/>
  <c r="B778" i="4"/>
  <c r="B773" i="4"/>
  <c r="B761" i="4"/>
  <c r="B735" i="4"/>
  <c r="B730" i="4"/>
  <c r="B692" i="4"/>
  <c r="B736" i="4"/>
  <c r="B733" i="4"/>
  <c r="B727" i="4"/>
  <c r="B712" i="4"/>
  <c r="B710" i="4"/>
  <c r="B694" i="4"/>
  <c r="B681" i="4"/>
  <c r="B637" i="4"/>
  <c r="B630" i="4"/>
  <c r="B621" i="4"/>
  <c r="B616" i="4"/>
  <c r="B756" i="4"/>
  <c r="B676" i="4"/>
  <c r="B642" i="4"/>
  <c r="B626" i="4"/>
  <c r="B701" i="4"/>
  <c r="B673" i="4"/>
  <c r="B670" i="4"/>
  <c r="B711" i="4"/>
  <c r="B702" i="4"/>
  <c r="B699" i="4"/>
  <c r="B787" i="4"/>
  <c r="B758" i="4"/>
  <c r="B729" i="4"/>
  <c r="B725" i="4"/>
  <c r="B707" i="4"/>
  <c r="B705" i="4"/>
  <c r="B700" i="4"/>
  <c r="B698" i="4"/>
  <c r="B683" i="4"/>
  <c r="B784" i="4"/>
  <c r="B776" i="4"/>
  <c r="B709" i="4"/>
  <c r="B785" i="4"/>
  <c r="B662" i="4"/>
  <c r="B653" i="4"/>
  <c r="B651" i="4"/>
  <c r="B640" i="4"/>
  <c r="B629" i="4"/>
  <c r="B625" i="4"/>
  <c r="B624" i="4"/>
  <c r="B622" i="4"/>
  <c r="B620" i="4"/>
  <c r="B617" i="4"/>
  <c r="B696" i="4"/>
  <c r="B690" i="4"/>
  <c r="B689" i="4"/>
  <c r="B688" i="4"/>
  <c r="B666" i="4"/>
  <c r="B655" i="4"/>
  <c r="B623" i="4"/>
  <c r="B609" i="4"/>
  <c r="B695" i="4"/>
  <c r="B684" i="4"/>
  <c r="B844" i="4"/>
  <c r="B675" i="4"/>
  <c r="B665" i="4"/>
  <c r="B680" i="4"/>
  <c r="B671" i="4"/>
  <c r="B661" i="4"/>
  <c r="B663" i="4"/>
  <c r="B657" i="4"/>
  <c r="B633" i="4"/>
  <c r="B656" i="4"/>
  <c r="B652" i="4"/>
  <c r="B636" i="4"/>
  <c r="B635" i="4"/>
  <c r="B632" i="4"/>
  <c r="B614" i="4"/>
  <c r="B603" i="4"/>
  <c r="B592" i="4"/>
  <c r="B760" i="4"/>
  <c r="B691" i="4"/>
  <c r="B687" i="4"/>
  <c r="B682" i="4"/>
  <c r="B667" i="4"/>
  <c r="B643" i="4"/>
  <c r="B607" i="4"/>
  <c r="B599" i="4"/>
  <c r="B587" i="4"/>
  <c r="B582" i="4"/>
  <c r="B577" i="4"/>
  <c r="B572" i="4"/>
  <c r="B567" i="4"/>
  <c r="B562" i="4"/>
  <c r="B557" i="4"/>
  <c r="B552" i="4"/>
  <c r="B547" i="4"/>
  <c r="B542" i="4"/>
  <c r="B537" i="4"/>
  <c r="B648" i="4"/>
  <c r="B647" i="4"/>
  <c r="B646" i="4"/>
  <c r="B645" i="4"/>
  <c r="B634" i="4"/>
  <c r="B631" i="4"/>
  <c r="B618" i="4"/>
  <c r="B608" i="4"/>
  <c r="B606" i="4"/>
  <c r="B602" i="4"/>
  <c r="B595" i="4"/>
  <c r="B619" i="4"/>
  <c r="B615" i="4"/>
  <c r="B611" i="4"/>
  <c r="B610" i="4"/>
  <c r="B591" i="4"/>
  <c r="B585" i="4"/>
  <c r="B580" i="4"/>
  <c r="B706" i="4"/>
  <c r="B658" i="4"/>
  <c r="B612" i="4"/>
  <c r="B605" i="4"/>
  <c r="B598" i="4"/>
  <c r="B678" i="4"/>
  <c r="B668" i="4"/>
  <c r="B596" i="4"/>
  <c r="B589" i="4"/>
  <c r="B584" i="4"/>
  <c r="B579" i="4"/>
  <c r="B574" i="4"/>
  <c r="B569" i="4"/>
  <c r="B564" i="4"/>
  <c r="B559" i="4"/>
  <c r="B554" i="4"/>
  <c r="B549" i="4"/>
  <c r="B544" i="4"/>
  <c r="B650" i="4"/>
  <c r="B639" i="4"/>
  <c r="B594" i="4"/>
  <c r="B540" i="4"/>
  <c r="B576" i="4"/>
  <c r="B573" i="4"/>
  <c r="B570" i="4"/>
  <c r="B551" i="4"/>
  <c r="B548" i="4"/>
  <c r="B545" i="4"/>
  <c r="B541" i="4"/>
  <c r="B539" i="4"/>
  <c r="B538" i="4"/>
  <c r="B533" i="4"/>
  <c r="B526" i="4"/>
  <c r="B524" i="4"/>
  <c r="B519" i="4"/>
  <c r="B514" i="4"/>
  <c r="B509" i="4"/>
  <c r="B504" i="4"/>
  <c r="B499" i="4"/>
  <c r="B494" i="4"/>
  <c r="B489" i="4"/>
  <c r="B484" i="4"/>
  <c r="B479" i="4"/>
  <c r="B474" i="4"/>
  <c r="B469" i="4"/>
  <c r="B464" i="4"/>
  <c r="B638" i="4"/>
  <c r="B604" i="4"/>
  <c r="B590" i="4"/>
  <c r="B588" i="4"/>
  <c r="B529" i="4"/>
  <c r="B628" i="4"/>
  <c r="B597" i="4"/>
  <c r="B561" i="4"/>
  <c r="B558" i="4"/>
  <c r="B555" i="4"/>
  <c r="B536" i="4"/>
  <c r="B522" i="4"/>
  <c r="B517" i="4"/>
  <c r="B512" i="4"/>
  <c r="B507" i="4"/>
  <c r="B502" i="4"/>
  <c r="B497" i="4"/>
  <c r="B492" i="4"/>
  <c r="B627" i="4"/>
  <c r="B586" i="4"/>
  <c r="B532" i="4"/>
  <c r="B601" i="4"/>
  <c r="B566" i="4"/>
  <c r="B563" i="4"/>
  <c r="B560" i="4"/>
  <c r="B530" i="4"/>
  <c r="B521" i="4"/>
  <c r="B516" i="4"/>
  <c r="B511" i="4"/>
  <c r="B506" i="4"/>
  <c r="B501" i="4"/>
  <c r="B496" i="4"/>
  <c r="B491" i="4"/>
  <c r="B486" i="4"/>
  <c r="B481" i="4"/>
  <c r="B476" i="4"/>
  <c r="B471" i="4"/>
  <c r="B466" i="4"/>
  <c r="B461" i="4"/>
  <c r="B456" i="4"/>
  <c r="B451" i="4"/>
  <c r="B510" i="4"/>
  <c r="B459" i="4"/>
  <c r="B457" i="4"/>
  <c r="B453" i="4"/>
  <c r="B442" i="4"/>
  <c r="B435" i="4"/>
  <c r="B428" i="4"/>
  <c r="B420" i="4"/>
  <c r="B415" i="4"/>
  <c r="B410" i="4"/>
  <c r="B405" i="4"/>
  <c r="B400" i="4"/>
  <c r="B395" i="4"/>
  <c r="B390" i="4"/>
  <c r="B385" i="4"/>
  <c r="B380" i="4"/>
  <c r="B375" i="4"/>
  <c r="B370" i="4"/>
  <c r="B365" i="4"/>
  <c r="B360" i="4"/>
  <c r="B355" i="4"/>
  <c r="B350" i="4"/>
  <c r="B345" i="4"/>
  <c r="B600" i="4"/>
  <c r="B528" i="4"/>
  <c r="B503" i="4"/>
  <c r="B488" i="4"/>
  <c r="B485" i="4"/>
  <c r="B482" i="4"/>
  <c r="B463" i="4"/>
  <c r="B460" i="4"/>
  <c r="B458" i="4"/>
  <c r="B431" i="4"/>
  <c r="B424" i="4"/>
  <c r="B704" i="4"/>
  <c r="B575" i="4"/>
  <c r="B518" i="4"/>
  <c r="B500" i="4"/>
  <c r="B445" i="4"/>
  <c r="B641" i="4"/>
  <c r="B578" i="4"/>
  <c r="B515" i="4"/>
  <c r="B473" i="4"/>
  <c r="B470" i="4"/>
  <c r="B467" i="4"/>
  <c r="B441" i="4"/>
  <c r="B434" i="4"/>
  <c r="B583" i="4"/>
  <c r="B556" i="4"/>
  <c r="B531" i="4"/>
  <c r="B498" i="4"/>
  <c r="B437" i="4"/>
  <c r="B430" i="4"/>
  <c r="B423" i="4"/>
  <c r="B421" i="4"/>
  <c r="B716" i="4"/>
  <c r="B660" i="4"/>
  <c r="B613" i="4"/>
  <c r="B543" i="4"/>
  <c r="B535" i="4"/>
  <c r="B525" i="4"/>
  <c r="B513" i="4"/>
  <c r="B505" i="4"/>
  <c r="B478" i="4"/>
  <c r="B475" i="4"/>
  <c r="B472" i="4"/>
  <c r="B455" i="4"/>
  <c r="B454" i="4"/>
  <c r="B452" i="4"/>
  <c r="B448" i="4"/>
  <c r="B446" i="4"/>
  <c r="B439" i="4"/>
  <c r="B546" i="4"/>
  <c r="B477" i="4"/>
  <c r="B449" i="4"/>
  <c r="B417" i="4"/>
  <c r="B581" i="4"/>
  <c r="B508" i="4"/>
  <c r="B593" i="4"/>
  <c r="B568" i="4"/>
  <c r="B493" i="4"/>
  <c r="B483" i="4"/>
  <c r="B465" i="4"/>
  <c r="B527" i="4"/>
  <c r="B409" i="4"/>
  <c r="B407" i="4"/>
  <c r="B388" i="4"/>
  <c r="B337" i="4"/>
  <c r="B332" i="4"/>
  <c r="B327" i="4"/>
  <c r="B322" i="4"/>
  <c r="B317" i="4"/>
  <c r="B312" i="4"/>
  <c r="B307" i="4"/>
  <c r="B302" i="4"/>
  <c r="B297" i="4"/>
  <c r="B292" i="4"/>
  <c r="B287" i="4"/>
  <c r="B282" i="4"/>
  <c r="B277" i="4"/>
  <c r="B272" i="4"/>
  <c r="B267" i="4"/>
  <c r="B262" i="4"/>
  <c r="B257" i="4"/>
  <c r="B252" i="4"/>
  <c r="B247" i="4"/>
  <c r="B242" i="4"/>
  <c r="B237" i="4"/>
  <c r="B232" i="4"/>
  <c r="B227" i="4"/>
  <c r="B222" i="4"/>
  <c r="B217" i="4"/>
  <c r="B553" i="4"/>
  <c r="B462" i="4"/>
  <c r="B436" i="4"/>
  <c r="B394" i="4"/>
  <c r="B391" i="4"/>
  <c r="B379" i="4"/>
  <c r="B372" i="4"/>
  <c r="B362" i="4"/>
  <c r="B352" i="4"/>
  <c r="B342" i="4"/>
  <c r="B523" i="4"/>
  <c r="B432" i="4"/>
  <c r="B427" i="4"/>
  <c r="B413" i="4"/>
  <c r="B411" i="4"/>
  <c r="B404" i="4"/>
  <c r="B402" i="4"/>
  <c r="B397" i="4"/>
  <c r="B382" i="4"/>
  <c r="B381" i="4"/>
  <c r="B378" i="4"/>
  <c r="B368" i="4"/>
  <c r="B358" i="4"/>
  <c r="B348" i="4"/>
  <c r="B480" i="4"/>
  <c r="B443" i="4"/>
  <c r="B406" i="4"/>
  <c r="B383" i="4"/>
  <c r="B571" i="4"/>
  <c r="B565" i="4"/>
  <c r="B550" i="4"/>
  <c r="B433" i="4"/>
  <c r="B398" i="4"/>
  <c r="B389" i="4"/>
  <c r="B386" i="4"/>
  <c r="B374" i="4"/>
  <c r="B371" i="4"/>
  <c r="B364" i="4"/>
  <c r="B361" i="4"/>
  <c r="B354" i="4"/>
  <c r="B351" i="4"/>
  <c r="B344" i="4"/>
  <c r="B338" i="4"/>
  <c r="B333" i="4"/>
  <c r="B468" i="4"/>
  <c r="B520" i="4"/>
  <c r="B534" i="4"/>
  <c r="B495" i="4"/>
  <c r="B487" i="4"/>
  <c r="B447" i="4"/>
  <c r="B444" i="4"/>
  <c r="B440" i="4"/>
  <c r="B426" i="4"/>
  <c r="B422" i="4"/>
  <c r="B414" i="4"/>
  <c r="B376" i="4"/>
  <c r="B369" i="4"/>
  <c r="B366" i="4"/>
  <c r="B359" i="4"/>
  <c r="B356" i="4"/>
  <c r="B349" i="4"/>
  <c r="B346" i="4"/>
  <c r="B392" i="4"/>
  <c r="B387" i="4"/>
  <c r="B336" i="4"/>
  <c r="B334" i="4"/>
  <c r="B324" i="4"/>
  <c r="B296" i="4"/>
  <c r="B295" i="4"/>
  <c r="B293" i="4"/>
  <c r="B289" i="4"/>
  <c r="B246" i="4"/>
  <c r="B245" i="4"/>
  <c r="B243" i="4"/>
  <c r="B490" i="4"/>
  <c r="B418" i="4"/>
  <c r="B316" i="4"/>
  <c r="B310" i="4"/>
  <c r="B301" i="4"/>
  <c r="B300" i="4"/>
  <c r="B298" i="4"/>
  <c r="B294" i="4"/>
  <c r="B251" i="4"/>
  <c r="B250" i="4"/>
  <c r="B248" i="4"/>
  <c r="B244" i="4"/>
  <c r="B239" i="4"/>
  <c r="B229" i="4"/>
  <c r="B219" i="4"/>
  <c r="B216" i="4"/>
  <c r="B211" i="4"/>
  <c r="B206" i="4"/>
  <c r="B201" i="4"/>
  <c r="B196" i="4"/>
  <c r="B191" i="4"/>
  <c r="B377" i="4"/>
  <c r="B341" i="4"/>
  <c r="B339" i="4"/>
  <c r="B331" i="4"/>
  <c r="B325" i="4"/>
  <c r="B313" i="4"/>
  <c r="B303" i="4"/>
  <c r="B299" i="4"/>
  <c r="B438" i="4"/>
  <c r="B328" i="4"/>
  <c r="B319" i="4"/>
  <c r="B304" i="4"/>
  <c r="B261" i="4"/>
  <c r="B260" i="4"/>
  <c r="B258" i="4"/>
  <c r="B254" i="4"/>
  <c r="B429" i="4"/>
  <c r="B367" i="4"/>
  <c r="B311" i="4"/>
  <c r="B305" i="4"/>
  <c r="B266" i="4"/>
  <c r="B265" i="4"/>
  <c r="B263" i="4"/>
  <c r="B259" i="4"/>
  <c r="B373" i="4"/>
  <c r="B425" i="4"/>
  <c r="B416" i="4"/>
  <c r="B412" i="4"/>
  <c r="B401" i="4"/>
  <c r="B399" i="4"/>
  <c r="B396" i="4"/>
  <c r="B450" i="4"/>
  <c r="B393" i="4"/>
  <c r="B419" i="4"/>
  <c r="B408" i="4"/>
  <c r="B403" i="4"/>
  <c r="B384" i="4"/>
  <c r="B353" i="4"/>
  <c r="B330" i="4"/>
  <c r="B318" i="4"/>
  <c r="B309" i="4"/>
  <c r="B291" i="4"/>
  <c r="B290" i="4"/>
  <c r="B288" i="4"/>
  <c r="B284" i="4"/>
  <c r="B241" i="4"/>
  <c r="B240" i="4"/>
  <c r="B236" i="4"/>
  <c r="B233" i="4"/>
  <c r="B226" i="4"/>
  <c r="B223" i="4"/>
  <c r="B213" i="4"/>
  <c r="B208" i="4"/>
  <c r="B203" i="4"/>
  <c r="B198" i="4"/>
  <c r="B193" i="4"/>
  <c r="B188" i="4"/>
  <c r="B183" i="4"/>
  <c r="B178" i="4"/>
  <c r="B323" i="4"/>
  <c r="B315" i="4"/>
  <c r="B275" i="4"/>
  <c r="B253" i="4"/>
  <c r="B230" i="4"/>
  <c r="B228" i="4"/>
  <c r="B182" i="4"/>
  <c r="B181" i="4"/>
  <c r="B179" i="4"/>
  <c r="B175" i="4"/>
  <c r="B170" i="4"/>
  <c r="B159" i="4"/>
  <c r="B152" i="4"/>
  <c r="B145" i="4"/>
  <c r="B138" i="4"/>
  <c r="B133" i="4"/>
  <c r="B128" i="4"/>
  <c r="B123" i="4"/>
  <c r="B118" i="4"/>
  <c r="B113" i="4"/>
  <c r="B108" i="4"/>
  <c r="B103" i="4"/>
  <c r="B98" i="4"/>
  <c r="B93" i="4"/>
  <c r="B88" i="4"/>
  <c r="B83" i="4"/>
  <c r="B78" i="4"/>
  <c r="B73" i="4"/>
  <c r="B68" i="4"/>
  <c r="B63" i="4"/>
  <c r="B58" i="4"/>
  <c r="B53" i="4"/>
  <c r="B48" i="4"/>
  <c r="E48" i="4" s="1"/>
  <c r="G48" i="4" s="1"/>
  <c r="B320" i="4"/>
  <c r="B268" i="4"/>
  <c r="B255" i="4"/>
  <c r="B221" i="4"/>
  <c r="B205" i="4"/>
  <c r="B202" i="4"/>
  <c r="B199" i="4"/>
  <c r="B186" i="4"/>
  <c r="B184" i="4"/>
  <c r="B180" i="4"/>
  <c r="B173" i="4"/>
  <c r="B166" i="4"/>
  <c r="B148" i="4"/>
  <c r="B306" i="4"/>
  <c r="B276" i="4"/>
  <c r="B185" i="4"/>
  <c r="B169" i="4"/>
  <c r="B162" i="4"/>
  <c r="B314" i="4"/>
  <c r="B308" i="4"/>
  <c r="B283" i="4"/>
  <c r="B281" i="4"/>
  <c r="B264" i="4"/>
  <c r="B256" i="4"/>
  <c r="B234" i="4"/>
  <c r="B225" i="4"/>
  <c r="B215" i="4"/>
  <c r="B212" i="4"/>
  <c r="B209" i="4"/>
  <c r="B190" i="4"/>
  <c r="B187" i="4"/>
  <c r="B158" i="4"/>
  <c r="B151" i="4"/>
  <c r="B347" i="4"/>
  <c r="B285" i="4"/>
  <c r="B279" i="4"/>
  <c r="B238" i="4"/>
  <c r="B172" i="4"/>
  <c r="B165" i="4"/>
  <c r="B154" i="4"/>
  <c r="B147" i="4"/>
  <c r="B139" i="4"/>
  <c r="B340" i="4"/>
  <c r="B343" i="4"/>
  <c r="B357" i="4"/>
  <c r="B335" i="4"/>
  <c r="B326" i="4"/>
  <c r="B363" i="4"/>
  <c r="B329" i="4"/>
  <c r="B321" i="4"/>
  <c r="B286" i="4"/>
  <c r="B278" i="4"/>
  <c r="B271" i="4"/>
  <c r="B249" i="4"/>
  <c r="B224" i="4"/>
  <c r="B214" i="4"/>
  <c r="B195" i="4"/>
  <c r="B192" i="4"/>
  <c r="B189" i="4"/>
  <c r="B177" i="4"/>
  <c r="B176" i="4"/>
  <c r="B174" i="4"/>
  <c r="B163" i="4"/>
  <c r="B156" i="4"/>
  <c r="B194" i="4"/>
  <c r="B130" i="4"/>
  <c r="B101" i="4"/>
  <c r="B92" i="4"/>
  <c r="B72" i="4"/>
  <c r="B69" i="4"/>
  <c r="B62" i="4"/>
  <c r="B59" i="4"/>
  <c r="B52" i="4"/>
  <c r="B49" i="4"/>
  <c r="B40" i="4"/>
  <c r="B35" i="4"/>
  <c r="B30" i="4"/>
  <c r="B25" i="4"/>
  <c r="B20" i="4"/>
  <c r="B15" i="4"/>
  <c r="B171" i="4"/>
  <c r="B155" i="4"/>
  <c r="B144" i="4"/>
  <c r="B136" i="4"/>
  <c r="B116" i="4"/>
  <c r="B107" i="4"/>
  <c r="B104" i="4"/>
  <c r="B95" i="4"/>
  <c r="B65" i="4"/>
  <c r="B164" i="4"/>
  <c r="B131" i="4"/>
  <c r="B122" i="4"/>
  <c r="B119" i="4"/>
  <c r="B110" i="4"/>
  <c r="B218" i="4"/>
  <c r="B146" i="4"/>
  <c r="B125" i="4"/>
  <c r="B96" i="4"/>
  <c r="B71" i="4"/>
  <c r="B61" i="4"/>
  <c r="B273" i="4"/>
  <c r="B235" i="4"/>
  <c r="B210" i="4"/>
  <c r="B157" i="4"/>
  <c r="B111" i="4"/>
  <c r="B102" i="4"/>
  <c r="B99" i="4"/>
  <c r="B274" i="4"/>
  <c r="B270" i="4"/>
  <c r="B280" i="4"/>
  <c r="B269" i="4"/>
  <c r="B231" i="4"/>
  <c r="B220" i="4"/>
  <c r="B200" i="4"/>
  <c r="B197" i="4"/>
  <c r="B161" i="4"/>
  <c r="B153" i="4"/>
  <c r="B134" i="4"/>
  <c r="B127" i="4"/>
  <c r="B124" i="4"/>
  <c r="B115" i="4"/>
  <c r="B90" i="4"/>
  <c r="B89" i="4"/>
  <c r="AF1011" i="4"/>
  <c r="AF1006" i="4"/>
  <c r="AF1001" i="4"/>
  <c r="AF996" i="4"/>
  <c r="AF991" i="4"/>
  <c r="AF986" i="4"/>
  <c r="AF1000" i="4"/>
  <c r="AF990" i="4"/>
  <c r="AF1010" i="4"/>
  <c r="AF1003" i="4"/>
  <c r="AF993" i="4"/>
  <c r="AF983" i="4"/>
  <c r="AF999" i="4"/>
  <c r="AF1002" i="4"/>
  <c r="AF1008" i="4"/>
  <c r="AF1004" i="4"/>
  <c r="AF992" i="4"/>
  <c r="AF987" i="4"/>
  <c r="AF995" i="4"/>
  <c r="AF988" i="4"/>
  <c r="AF977" i="4"/>
  <c r="AF972" i="4"/>
  <c r="AF998" i="4"/>
  <c r="AF989" i="4"/>
  <c r="AF1007" i="4"/>
  <c r="AF1009" i="4"/>
  <c r="AF969" i="4"/>
  <c r="AF964" i="4"/>
  <c r="AF959" i="4"/>
  <c r="AF954" i="4"/>
  <c r="AF949" i="4"/>
  <c r="AF994" i="4"/>
  <c r="AF1005" i="4"/>
  <c r="AF982" i="4"/>
  <c r="AF997" i="4"/>
  <c r="AF973" i="4"/>
  <c r="AF968" i="4"/>
  <c r="AF958" i="4"/>
  <c r="AF957" i="4"/>
  <c r="AF955" i="4"/>
  <c r="AF951" i="4"/>
  <c r="AF981" i="4"/>
  <c r="AF971" i="4"/>
  <c r="AF963" i="4"/>
  <c r="AF962" i="4"/>
  <c r="AF960" i="4"/>
  <c r="AF956" i="4"/>
  <c r="AF947" i="4"/>
  <c r="AF943" i="4"/>
  <c r="AF938" i="4"/>
  <c r="AF933" i="4"/>
  <c r="AF928" i="4"/>
  <c r="AF923" i="4"/>
  <c r="AF978" i="4"/>
  <c r="AF974" i="4"/>
  <c r="AF965" i="4"/>
  <c r="AF961" i="4"/>
  <c r="AF975" i="4"/>
  <c r="AF966" i="4"/>
  <c r="AF985" i="4"/>
  <c r="AF979" i="4"/>
  <c r="AF970" i="4"/>
  <c r="AF980" i="4"/>
  <c r="AF976" i="4"/>
  <c r="AF984" i="4"/>
  <c r="AF953" i="4"/>
  <c r="AF929" i="4"/>
  <c r="AF926" i="4"/>
  <c r="AF925" i="4"/>
  <c r="AF922" i="4"/>
  <c r="AF934" i="4"/>
  <c r="AF931" i="4"/>
  <c r="AF930" i="4"/>
  <c r="AF927" i="4"/>
  <c r="AF917" i="4"/>
  <c r="AF912" i="4"/>
  <c r="AF907" i="4"/>
  <c r="AF902" i="4"/>
  <c r="AF897" i="4"/>
  <c r="AF939" i="4"/>
  <c r="AF936" i="4"/>
  <c r="AF935" i="4"/>
  <c r="AF944" i="4"/>
  <c r="AF941" i="4"/>
  <c r="AF940" i="4"/>
  <c r="AF937" i="4"/>
  <c r="AF942" i="4"/>
  <c r="AF945" i="4"/>
  <c r="AF967" i="4"/>
  <c r="AF952" i="4"/>
  <c r="AF950" i="4"/>
  <c r="AF948" i="4"/>
  <c r="AF946" i="4"/>
  <c r="AF918" i="4"/>
  <c r="AF915" i="4"/>
  <c r="AF914" i="4"/>
  <c r="AF911" i="4"/>
  <c r="AF896" i="4"/>
  <c r="AF890" i="4"/>
  <c r="AF885" i="4"/>
  <c r="AF880" i="4"/>
  <c r="AF875" i="4"/>
  <c r="AF870" i="4"/>
  <c r="AF865" i="4"/>
  <c r="AF860" i="4"/>
  <c r="AF855" i="4"/>
  <c r="AF850" i="4"/>
  <c r="AF920" i="4"/>
  <c r="AF919" i="4"/>
  <c r="AF916" i="4"/>
  <c r="AF932" i="4"/>
  <c r="AF921" i="4"/>
  <c r="AF924" i="4"/>
  <c r="AF913" i="4"/>
  <c r="AF910" i="4"/>
  <c r="AF909" i="4"/>
  <c r="AF906" i="4"/>
  <c r="AF904" i="4"/>
  <c r="AF894" i="4"/>
  <c r="AF893" i="4"/>
  <c r="AF891" i="4"/>
  <c r="AF887" i="4"/>
  <c r="AF901" i="4"/>
  <c r="AF898" i="4"/>
  <c r="AF892" i="4"/>
  <c r="AF849" i="4"/>
  <c r="AF843" i="4"/>
  <c r="AF905" i="4"/>
  <c r="AF895" i="4"/>
  <c r="AF900" i="4"/>
  <c r="AF908" i="4"/>
  <c r="AF899" i="4"/>
  <c r="AF903" i="4"/>
  <c r="AF872" i="4"/>
  <c r="AF862" i="4"/>
  <c r="AF853" i="4"/>
  <c r="AF846" i="4"/>
  <c r="AF845" i="4"/>
  <c r="AF839" i="4"/>
  <c r="AF874" i="4"/>
  <c r="AF847" i="4"/>
  <c r="AF837" i="4"/>
  <c r="AF832" i="4"/>
  <c r="AF827" i="4"/>
  <c r="AF822" i="4"/>
  <c r="AF817" i="4"/>
  <c r="AF812" i="4"/>
  <c r="AF807" i="4"/>
  <c r="AF802" i="4"/>
  <c r="AF884" i="4"/>
  <c r="AF876" i="4"/>
  <c r="AF857" i="4"/>
  <c r="AF888" i="4"/>
  <c r="AF859" i="4"/>
  <c r="AF851" i="4"/>
  <c r="AF848" i="4"/>
  <c r="AF842" i="4"/>
  <c r="AF835" i="4"/>
  <c r="AF830" i="4"/>
  <c r="AF881" i="4"/>
  <c r="AF877" i="4"/>
  <c r="AF873" i="4"/>
  <c r="AF871" i="4"/>
  <c r="AF869" i="4"/>
  <c r="AF863" i="4"/>
  <c r="AF861" i="4"/>
  <c r="AF889" i="4"/>
  <c r="AF878" i="4"/>
  <c r="AF854" i="4"/>
  <c r="AF858" i="4"/>
  <c r="AF852" i="4"/>
  <c r="AF840" i="4"/>
  <c r="AF836" i="4"/>
  <c r="AF799" i="4"/>
  <c r="AF866" i="4"/>
  <c r="AF838" i="4"/>
  <c r="AF795" i="4"/>
  <c r="AF790" i="4"/>
  <c r="AF844" i="4"/>
  <c r="AF828" i="4"/>
  <c r="AF831" i="4"/>
  <c r="AF808" i="4"/>
  <c r="AF805" i="4"/>
  <c r="AF804" i="4"/>
  <c r="AF813" i="4"/>
  <c r="AF810" i="4"/>
  <c r="AF809" i="4"/>
  <c r="AF806" i="4"/>
  <c r="AF868" i="4"/>
  <c r="AF882" i="4"/>
  <c r="AF867" i="4"/>
  <c r="AF821" i="4"/>
  <c r="AF879" i="4"/>
  <c r="AF825" i="4"/>
  <c r="AF784" i="4"/>
  <c r="AF780" i="4"/>
  <c r="AF774" i="4"/>
  <c r="AF769" i="4"/>
  <c r="AF764" i="4"/>
  <c r="AF759" i="4"/>
  <c r="AF754" i="4"/>
  <c r="AF749" i="4"/>
  <c r="AF744" i="4"/>
  <c r="AF739" i="4"/>
  <c r="AF886" i="4"/>
  <c r="AF856" i="4"/>
  <c r="AF787" i="4"/>
  <c r="AF883" i="4"/>
  <c r="AF833" i="4"/>
  <c r="AF801" i="4"/>
  <c r="AF783" i="4"/>
  <c r="AF777" i="4"/>
  <c r="AF772" i="4"/>
  <c r="AF767" i="4"/>
  <c r="AF762" i="4"/>
  <c r="AF864" i="4"/>
  <c r="AF841" i="4"/>
  <c r="AF786" i="4"/>
  <c r="AF829" i="4"/>
  <c r="AF826" i="4"/>
  <c r="AF823" i="4"/>
  <c r="AF818" i="4"/>
  <c r="AF815" i="4"/>
  <c r="AF798" i="4"/>
  <c r="AF834" i="4"/>
  <c r="AF794" i="4"/>
  <c r="AF782" i="4"/>
  <c r="AF779" i="4"/>
  <c r="AF778" i="4"/>
  <c r="AF755" i="4"/>
  <c r="AF752" i="4"/>
  <c r="AF751" i="4"/>
  <c r="AF748" i="4"/>
  <c r="AF814" i="4"/>
  <c r="AF800" i="4"/>
  <c r="AF766" i="4"/>
  <c r="AF760" i="4"/>
  <c r="AF757" i="4"/>
  <c r="AF756" i="4"/>
  <c r="AF753" i="4"/>
  <c r="AF733" i="4"/>
  <c r="AF728" i="4"/>
  <c r="AF723" i="4"/>
  <c r="AF718" i="4"/>
  <c r="AF713" i="4"/>
  <c r="AF708" i="4"/>
  <c r="AF703" i="4"/>
  <c r="AF698" i="4"/>
  <c r="AF820" i="4"/>
  <c r="AF791" i="4"/>
  <c r="AF789" i="4"/>
  <c r="AF763" i="4"/>
  <c r="AF758" i="4"/>
  <c r="AF803" i="4"/>
  <c r="AF796" i="4"/>
  <c r="AF793" i="4"/>
  <c r="AF732" i="4"/>
  <c r="AF726" i="4"/>
  <c r="AF824" i="4"/>
  <c r="AF819" i="4"/>
  <c r="AF785" i="4"/>
  <c r="AF771" i="4"/>
  <c r="AF735" i="4"/>
  <c r="AF761" i="4"/>
  <c r="AF797" i="4"/>
  <c r="AF788" i="4"/>
  <c r="AF770" i="4"/>
  <c r="AF724" i="4"/>
  <c r="AF694" i="4"/>
  <c r="AF680" i="4"/>
  <c r="AF811" i="4"/>
  <c r="AF775" i="4"/>
  <c r="AF745" i="4"/>
  <c r="AF731" i="4"/>
  <c r="AF699" i="4"/>
  <c r="AF687" i="4"/>
  <c r="AF683" i="4"/>
  <c r="AF674" i="4"/>
  <c r="AF669" i="4"/>
  <c r="AF664" i="4"/>
  <c r="AF659" i="4"/>
  <c r="AF654" i="4"/>
  <c r="AF649" i="4"/>
  <c r="AF644" i="4"/>
  <c r="AF781" i="4"/>
  <c r="AF747" i="4"/>
  <c r="AF743" i="4"/>
  <c r="AF704" i="4"/>
  <c r="AF740" i="4"/>
  <c r="AF738" i="4"/>
  <c r="AF709" i="4"/>
  <c r="AF706" i="4"/>
  <c r="AF705" i="4"/>
  <c r="AF702" i="4"/>
  <c r="AF697" i="4"/>
  <c r="AF693" i="4"/>
  <c r="AF686" i="4"/>
  <c r="AF677" i="4"/>
  <c r="AF672" i="4"/>
  <c r="AF792" i="4"/>
  <c r="AF741" i="4"/>
  <c r="AF730" i="4"/>
  <c r="AF725" i="4"/>
  <c r="AF714" i="4"/>
  <c r="AF711" i="4"/>
  <c r="AF710" i="4"/>
  <c r="AF707" i="4"/>
  <c r="AF689" i="4"/>
  <c r="AF816" i="4"/>
  <c r="AF773" i="4"/>
  <c r="AF742" i="4"/>
  <c r="AF737" i="4"/>
  <c r="AF719" i="4"/>
  <c r="AF716" i="4"/>
  <c r="AF715" i="4"/>
  <c r="AF712" i="4"/>
  <c r="AF721" i="4"/>
  <c r="AF696" i="4"/>
  <c r="AF688" i="4"/>
  <c r="AF679" i="4"/>
  <c r="AF673" i="4"/>
  <c r="AF660" i="4"/>
  <c r="AF657" i="4"/>
  <c r="AF656" i="4"/>
  <c r="AF653" i="4"/>
  <c r="AF631" i="4"/>
  <c r="AF621" i="4"/>
  <c r="AF616" i="4"/>
  <c r="AF611" i="4"/>
  <c r="AF717" i="4"/>
  <c r="AF690" i="4"/>
  <c r="AF681" i="4"/>
  <c r="AF665" i="4"/>
  <c r="AF662" i="4"/>
  <c r="AF661" i="4"/>
  <c r="AF658" i="4"/>
  <c r="AF638" i="4"/>
  <c r="AF634" i="4"/>
  <c r="AF627" i="4"/>
  <c r="AF768" i="4"/>
  <c r="AF695" i="4"/>
  <c r="AF667" i="4"/>
  <c r="AF666" i="4"/>
  <c r="AF663" i="4"/>
  <c r="AF746" i="4"/>
  <c r="AF729" i="4"/>
  <c r="AF736" i="4"/>
  <c r="AF685" i="4"/>
  <c r="AF734" i="4"/>
  <c r="AF720" i="4"/>
  <c r="AF692" i="4"/>
  <c r="AF651" i="4"/>
  <c r="AF684" i="4"/>
  <c r="AF642" i="4"/>
  <c r="AF614" i="4"/>
  <c r="AF609" i="4"/>
  <c r="AF722" i="4"/>
  <c r="AF678" i="4"/>
  <c r="AF776" i="4"/>
  <c r="AF727" i="4"/>
  <c r="AF691" i="4"/>
  <c r="AF676" i="4"/>
  <c r="AF655" i="4"/>
  <c r="AF640" i="4"/>
  <c r="AF668" i="4"/>
  <c r="AF639" i="4"/>
  <c r="AF626" i="4"/>
  <c r="AF619" i="4"/>
  <c r="AF600" i="4"/>
  <c r="AF701" i="4"/>
  <c r="AF675" i="4"/>
  <c r="AF624" i="4"/>
  <c r="AF615" i="4"/>
  <c r="AF612" i="4"/>
  <c r="AF593" i="4"/>
  <c r="AF589" i="4"/>
  <c r="AF587" i="4"/>
  <c r="AF582" i="4"/>
  <c r="AF577" i="4"/>
  <c r="AF572" i="4"/>
  <c r="AF567" i="4"/>
  <c r="AF562" i="4"/>
  <c r="AF557" i="4"/>
  <c r="AF552" i="4"/>
  <c r="AF547" i="4"/>
  <c r="AF542" i="4"/>
  <c r="AF537" i="4"/>
  <c r="AF650" i="4"/>
  <c r="AF637" i="4"/>
  <c r="AF636" i="4"/>
  <c r="AF596" i="4"/>
  <c r="AF635" i="4"/>
  <c r="AF620" i="4"/>
  <c r="AF603" i="4"/>
  <c r="AF599" i="4"/>
  <c r="AF592" i="4"/>
  <c r="AF585" i="4"/>
  <c r="AF580" i="4"/>
  <c r="AF682" i="4"/>
  <c r="AF641" i="4"/>
  <c r="AF632" i="4"/>
  <c r="AF613" i="4"/>
  <c r="AF595" i="4"/>
  <c r="AF700" i="4"/>
  <c r="AF670" i="4"/>
  <c r="AF648" i="4"/>
  <c r="AF628" i="4"/>
  <c r="AF618" i="4"/>
  <c r="AF604" i="4"/>
  <c r="AF597" i="4"/>
  <c r="AF584" i="4"/>
  <c r="AF579" i="4"/>
  <c r="AF574" i="4"/>
  <c r="AF569" i="4"/>
  <c r="AF564" i="4"/>
  <c r="AF559" i="4"/>
  <c r="AF554" i="4"/>
  <c r="AF549" i="4"/>
  <c r="AF544" i="4"/>
  <c r="AF671" i="4"/>
  <c r="AF623" i="4"/>
  <c r="AF602" i="4"/>
  <c r="AF581" i="4"/>
  <c r="AF578" i="4"/>
  <c r="AF558" i="4"/>
  <c r="AF531" i="4"/>
  <c r="AF527" i="4"/>
  <c r="AF630" i="4"/>
  <c r="AF629" i="4"/>
  <c r="AF605" i="4"/>
  <c r="AF561" i="4"/>
  <c r="AF555" i="4"/>
  <c r="AF534" i="4"/>
  <c r="AF524" i="4"/>
  <c r="AF519" i="4"/>
  <c r="AF514" i="4"/>
  <c r="AF509" i="4"/>
  <c r="AF504" i="4"/>
  <c r="AF499" i="4"/>
  <c r="AF494" i="4"/>
  <c r="AF489" i="4"/>
  <c r="AF484" i="4"/>
  <c r="AF479" i="4"/>
  <c r="AF474" i="4"/>
  <c r="AF469" i="4"/>
  <c r="AF464" i="4"/>
  <c r="AF459" i="4"/>
  <c r="AF652" i="4"/>
  <c r="AF622" i="4"/>
  <c r="AF607" i="4"/>
  <c r="AF568" i="4"/>
  <c r="AF543" i="4"/>
  <c r="AF530" i="4"/>
  <c r="AF647" i="4"/>
  <c r="AF646" i="4"/>
  <c r="AF571" i="4"/>
  <c r="AF565" i="4"/>
  <c r="AF546" i="4"/>
  <c r="AF533" i="4"/>
  <c r="AF522" i="4"/>
  <c r="AF517" i="4"/>
  <c r="AF512" i="4"/>
  <c r="AF507" i="4"/>
  <c r="AF502" i="4"/>
  <c r="AF497" i="4"/>
  <c r="AF492" i="4"/>
  <c r="AF645" i="4"/>
  <c r="AF598" i="4"/>
  <c r="AF588" i="4"/>
  <c r="AF553" i="4"/>
  <c r="AF526" i="4"/>
  <c r="AF765" i="4"/>
  <c r="AF750" i="4"/>
  <c r="AF608" i="4"/>
  <c r="AF576" i="4"/>
  <c r="AF570" i="4"/>
  <c r="AF551" i="4"/>
  <c r="AF545" i="4"/>
  <c r="AF521" i="4"/>
  <c r="AF516" i="4"/>
  <c r="AF511" i="4"/>
  <c r="AF506" i="4"/>
  <c r="AF501" i="4"/>
  <c r="AF496" i="4"/>
  <c r="AF491" i="4"/>
  <c r="AF486" i="4"/>
  <c r="AF481" i="4"/>
  <c r="AF476" i="4"/>
  <c r="AF471" i="4"/>
  <c r="AF466" i="4"/>
  <c r="AF461" i="4"/>
  <c r="AF456" i="4"/>
  <c r="AF451" i="4"/>
  <c r="AF446" i="4"/>
  <c r="AF575" i="4"/>
  <c r="AF538" i="4"/>
  <c r="AF536" i="4"/>
  <c r="AF523" i="4"/>
  <c r="AF493" i="4"/>
  <c r="AF470" i="4"/>
  <c r="AF436" i="4"/>
  <c r="AF425" i="4"/>
  <c r="AF420" i="4"/>
  <c r="AF415" i="4"/>
  <c r="AF410" i="4"/>
  <c r="AF405" i="4"/>
  <c r="AF400" i="4"/>
  <c r="AF395" i="4"/>
  <c r="AF390" i="4"/>
  <c r="AF385" i="4"/>
  <c r="AF380" i="4"/>
  <c r="AF375" i="4"/>
  <c r="AF370" i="4"/>
  <c r="AF365" i="4"/>
  <c r="AF360" i="4"/>
  <c r="AF355" i="4"/>
  <c r="AF350" i="4"/>
  <c r="AF345" i="4"/>
  <c r="AF617" i="4"/>
  <c r="AF556" i="4"/>
  <c r="AF548" i="4"/>
  <c r="AF540" i="4"/>
  <c r="AF520" i="4"/>
  <c r="AF508" i="4"/>
  <c r="AF505" i="4"/>
  <c r="AF473" i="4"/>
  <c r="AF467" i="4"/>
  <c r="AF443" i="4"/>
  <c r="AF439" i="4"/>
  <c r="AF432" i="4"/>
  <c r="AF643" i="4"/>
  <c r="AF586" i="4"/>
  <c r="AF529" i="4"/>
  <c r="AF480" i="4"/>
  <c r="AF550" i="4"/>
  <c r="AF532" i="4"/>
  <c r="AF483" i="4"/>
  <c r="AF477" i="4"/>
  <c r="AF450" i="4"/>
  <c r="AF449" i="4"/>
  <c r="AF447" i="4"/>
  <c r="AF442" i="4"/>
  <c r="AF428" i="4"/>
  <c r="AF424" i="4"/>
  <c r="AF606" i="4"/>
  <c r="AF601" i="4"/>
  <c r="AF566" i="4"/>
  <c r="AF563" i="4"/>
  <c r="AF513" i="4"/>
  <c r="AF503" i="4"/>
  <c r="AF500" i="4"/>
  <c r="AF490" i="4"/>
  <c r="AF465" i="4"/>
  <c r="AF455" i="4"/>
  <c r="AF454" i="4"/>
  <c r="AF452" i="4"/>
  <c r="AF448" i="4"/>
  <c r="AF445" i="4"/>
  <c r="AF431" i="4"/>
  <c r="AF421" i="4"/>
  <c r="AF633" i="4"/>
  <c r="AF625" i="4"/>
  <c r="AF610" i="4"/>
  <c r="AF590" i="4"/>
  <c r="AF488" i="4"/>
  <c r="AF482" i="4"/>
  <c r="AF463" i="4"/>
  <c r="AF433" i="4"/>
  <c r="AF429" i="4"/>
  <c r="AF422" i="4"/>
  <c r="AF591" i="4"/>
  <c r="AF518" i="4"/>
  <c r="AF441" i="4"/>
  <c r="AF418" i="4"/>
  <c r="AF409" i="4"/>
  <c r="AF573" i="4"/>
  <c r="AF535" i="4"/>
  <c r="AF515" i="4"/>
  <c r="AF485" i="4"/>
  <c r="AF458" i="4"/>
  <c r="AF583" i="4"/>
  <c r="AF510" i="4"/>
  <c r="AF539" i="4"/>
  <c r="AF472" i="4"/>
  <c r="AF462" i="4"/>
  <c r="AF438" i="4"/>
  <c r="AF411" i="4"/>
  <c r="AF407" i="4"/>
  <c r="AF397" i="4"/>
  <c r="AF373" i="4"/>
  <c r="AF363" i="4"/>
  <c r="AF353" i="4"/>
  <c r="AF343" i="4"/>
  <c r="AF337" i="4"/>
  <c r="AF332" i="4"/>
  <c r="AF327" i="4"/>
  <c r="AF322" i="4"/>
  <c r="AF317" i="4"/>
  <c r="AF312" i="4"/>
  <c r="AF307" i="4"/>
  <c r="AF302" i="4"/>
  <c r="AF297" i="4"/>
  <c r="AF292" i="4"/>
  <c r="AF287" i="4"/>
  <c r="AF282" i="4"/>
  <c r="AF277" i="4"/>
  <c r="AF272" i="4"/>
  <c r="AF267" i="4"/>
  <c r="AF262" i="4"/>
  <c r="AF257" i="4"/>
  <c r="AF252" i="4"/>
  <c r="AF247" i="4"/>
  <c r="AF242" i="4"/>
  <c r="AF237" i="4"/>
  <c r="AF232" i="4"/>
  <c r="AF227" i="4"/>
  <c r="AF222" i="4"/>
  <c r="AF217" i="4"/>
  <c r="AF495" i="4"/>
  <c r="AF457" i="4"/>
  <c r="AF434" i="4"/>
  <c r="AF386" i="4"/>
  <c r="AF383" i="4"/>
  <c r="AF376" i="4"/>
  <c r="AF366" i="4"/>
  <c r="AF356" i="4"/>
  <c r="AF346" i="4"/>
  <c r="AF430" i="4"/>
  <c r="AF413" i="4"/>
  <c r="AF404" i="4"/>
  <c r="AF402" i="4"/>
  <c r="AF398" i="4"/>
  <c r="AF389" i="4"/>
  <c r="AF369" i="4"/>
  <c r="AF359" i="4"/>
  <c r="AF349" i="4"/>
  <c r="AF498" i="4"/>
  <c r="AF435" i="4"/>
  <c r="AF406" i="4"/>
  <c r="AF392" i="4"/>
  <c r="AF372" i="4"/>
  <c r="AF362" i="4"/>
  <c r="AF352" i="4"/>
  <c r="AF342" i="4"/>
  <c r="AF560" i="4"/>
  <c r="AF541" i="4"/>
  <c r="AF468" i="4"/>
  <c r="AF453" i="4"/>
  <c r="AF417" i="4"/>
  <c r="AF408" i="4"/>
  <c r="AF338" i="4"/>
  <c r="AF333" i="4"/>
  <c r="AF460" i="4"/>
  <c r="AF478" i="4"/>
  <c r="AF475" i="4"/>
  <c r="AF594" i="4"/>
  <c r="AF528" i="4"/>
  <c r="AF525" i="4"/>
  <c r="AF487" i="4"/>
  <c r="AF444" i="4"/>
  <c r="AF419" i="4"/>
  <c r="AF394" i="4"/>
  <c r="AF382" i="4"/>
  <c r="AF354" i="4"/>
  <c r="AF331" i="4"/>
  <c r="AF328" i="4"/>
  <c r="AF325" i="4"/>
  <c r="AF319" i="4"/>
  <c r="AF271" i="4"/>
  <c r="AF270" i="4"/>
  <c r="AF268" i="4"/>
  <c r="AF264" i="4"/>
  <c r="AF230" i="4"/>
  <c r="AF220" i="4"/>
  <c r="AF414" i="4"/>
  <c r="AF367" i="4"/>
  <c r="AF339" i="4"/>
  <c r="AF336" i="4"/>
  <c r="AF276" i="4"/>
  <c r="AF275" i="4"/>
  <c r="AF273" i="4"/>
  <c r="AF269" i="4"/>
  <c r="AF233" i="4"/>
  <c r="AF223" i="4"/>
  <c r="AF211" i="4"/>
  <c r="AF206" i="4"/>
  <c r="AF201" i="4"/>
  <c r="AF196" i="4"/>
  <c r="AF191" i="4"/>
  <c r="AF186" i="4"/>
  <c r="AF378" i="4"/>
  <c r="AF311" i="4"/>
  <c r="AF308" i="4"/>
  <c r="AF305" i="4"/>
  <c r="AF281" i="4"/>
  <c r="AF280" i="4"/>
  <c r="AF278" i="4"/>
  <c r="AF399" i="4"/>
  <c r="AF396" i="4"/>
  <c r="AF391" i="4"/>
  <c r="AF388" i="4"/>
  <c r="AF368" i="4"/>
  <c r="AF357" i="4"/>
  <c r="AF341" i="4"/>
  <c r="AF326" i="4"/>
  <c r="AF323" i="4"/>
  <c r="AF320" i="4"/>
  <c r="AF314" i="4"/>
  <c r="AF286" i="4"/>
  <c r="AF285" i="4"/>
  <c r="AF283" i="4"/>
  <c r="AF279" i="4"/>
  <c r="AF401" i="4"/>
  <c r="AF393" i="4"/>
  <c r="AF371" i="4"/>
  <c r="AF329" i="4"/>
  <c r="AF291" i="4"/>
  <c r="AF290" i="4"/>
  <c r="AF288" i="4"/>
  <c r="AF284" i="4"/>
  <c r="AF416" i="4"/>
  <c r="AF412" i="4"/>
  <c r="AF437" i="4"/>
  <c r="AF374" i="4"/>
  <c r="AF440" i="4"/>
  <c r="AF427" i="4"/>
  <c r="AF423" i="4"/>
  <c r="AF387" i="4"/>
  <c r="AF384" i="4"/>
  <c r="AF426" i="4"/>
  <c r="AF403" i="4"/>
  <c r="AF381" i="4"/>
  <c r="AF379" i="4"/>
  <c r="AF377" i="4"/>
  <c r="AF334" i="4"/>
  <c r="AF316" i="4"/>
  <c r="AF313" i="4"/>
  <c r="AF310" i="4"/>
  <c r="AF304" i="4"/>
  <c r="AF266" i="4"/>
  <c r="AF265" i="4"/>
  <c r="AF263" i="4"/>
  <c r="AF259" i="4"/>
  <c r="AF213" i="4"/>
  <c r="AF208" i="4"/>
  <c r="AF203" i="4"/>
  <c r="AF198" i="4"/>
  <c r="AF193" i="4"/>
  <c r="AF188" i="4"/>
  <c r="AF183" i="4"/>
  <c r="AF178" i="4"/>
  <c r="AF173" i="4"/>
  <c r="AF289" i="4"/>
  <c r="AF260" i="4"/>
  <c r="AF239" i="4"/>
  <c r="AF219" i="4"/>
  <c r="AF212" i="4"/>
  <c r="AF187" i="4"/>
  <c r="AF167" i="4"/>
  <c r="AF153" i="4"/>
  <c r="AF142" i="4"/>
  <c r="AF138" i="4"/>
  <c r="AF133" i="4"/>
  <c r="AF128" i="4"/>
  <c r="AF123" i="4"/>
  <c r="AF118" i="4"/>
  <c r="AF113" i="4"/>
  <c r="AF108" i="4"/>
  <c r="AF103" i="4"/>
  <c r="AF98" i="4"/>
  <c r="AF93" i="4"/>
  <c r="AF88" i="4"/>
  <c r="AF83" i="4"/>
  <c r="AF78" i="4"/>
  <c r="AF73" i="4"/>
  <c r="AF68" i="4"/>
  <c r="AF63" i="4"/>
  <c r="AF58" i="4"/>
  <c r="AF53" i="4"/>
  <c r="AF48" i="4"/>
  <c r="AF364" i="4"/>
  <c r="AF246" i="4"/>
  <c r="AF221" i="4"/>
  <c r="AF215" i="4"/>
  <c r="AF209" i="4"/>
  <c r="AF190" i="4"/>
  <c r="AF160" i="4"/>
  <c r="AF156" i="4"/>
  <c r="AF149" i="4"/>
  <c r="AF361" i="4"/>
  <c r="AF301" i="4"/>
  <c r="AF299" i="4"/>
  <c r="AF261" i="4"/>
  <c r="AF250" i="4"/>
  <c r="AF248" i="4"/>
  <c r="AF236" i="4"/>
  <c r="AF197" i="4"/>
  <c r="AF163" i="4"/>
  <c r="AF330" i="4"/>
  <c r="AF303" i="4"/>
  <c r="AF251" i="4"/>
  <c r="AF249" i="4"/>
  <c r="AF238" i="4"/>
  <c r="AF234" i="4"/>
  <c r="AF225" i="4"/>
  <c r="AF200" i="4"/>
  <c r="AF194" i="4"/>
  <c r="AF170" i="4"/>
  <c r="AF166" i="4"/>
  <c r="AF159" i="4"/>
  <c r="AF145" i="4"/>
  <c r="AF141" i="4"/>
  <c r="AF340" i="4"/>
  <c r="AF296" i="4"/>
  <c r="AF274" i="4"/>
  <c r="AF245" i="4"/>
  <c r="AF241" i="4"/>
  <c r="AF229" i="4"/>
  <c r="AF216" i="4"/>
  <c r="AF207" i="4"/>
  <c r="AF177" i="4"/>
  <c r="AF176" i="4"/>
  <c r="AF174" i="4"/>
  <c r="AF162" i="4"/>
  <c r="AF148" i="4"/>
  <c r="AF139" i="4"/>
  <c r="AF348" i="4"/>
  <c r="AF347" i="4"/>
  <c r="AF344" i="4"/>
  <c r="AF358" i="4"/>
  <c r="AF324" i="4"/>
  <c r="AF300" i="4"/>
  <c r="AF351" i="4"/>
  <c r="AF321" i="4"/>
  <c r="AF318" i="4"/>
  <c r="AF315" i="4"/>
  <c r="AF335" i="4"/>
  <c r="AF309" i="4"/>
  <c r="AF306" i="4"/>
  <c r="AF295" i="4"/>
  <c r="AF293" i="4"/>
  <c r="AF256" i="4"/>
  <c r="AF243" i="4"/>
  <c r="AF228" i="4"/>
  <c r="AF224" i="4"/>
  <c r="AF205" i="4"/>
  <c r="AF199" i="4"/>
  <c r="AF171" i="4"/>
  <c r="AF164" i="4"/>
  <c r="AF150" i="4"/>
  <c r="AF146" i="4"/>
  <c r="AF184" i="4"/>
  <c r="AF172" i="4"/>
  <c r="AF137" i="4"/>
  <c r="AF131" i="4"/>
  <c r="AF122" i="4"/>
  <c r="AF110" i="4"/>
  <c r="AF74" i="4"/>
  <c r="AF40" i="4"/>
  <c r="AF35" i="4"/>
  <c r="AF30" i="4"/>
  <c r="AF25" i="4"/>
  <c r="AF20" i="4"/>
  <c r="AF15" i="4"/>
  <c r="AF298" i="4"/>
  <c r="AF226" i="4"/>
  <c r="AF210" i="4"/>
  <c r="AF202" i="4"/>
  <c r="AF151" i="4"/>
  <c r="AF125" i="4"/>
  <c r="AF99" i="4"/>
  <c r="AF96" i="4"/>
  <c r="AF79" i="4"/>
  <c r="AF76" i="4"/>
  <c r="AF75" i="4"/>
  <c r="AF66" i="4"/>
  <c r="AF56" i="4"/>
  <c r="AF46" i="4"/>
  <c r="AF69" i="4"/>
  <c r="AF255" i="4"/>
  <c r="AF240" i="4"/>
  <c r="AF218" i="4"/>
  <c r="AF152" i="4"/>
  <c r="AF136" i="4"/>
  <c r="AF114" i="4"/>
  <c r="AF111" i="4"/>
  <c r="AF102" i="4"/>
  <c r="AF84" i="4"/>
  <c r="AF81" i="4"/>
  <c r="AF80" i="4"/>
  <c r="AF77" i="4"/>
  <c r="AF204" i="4"/>
  <c r="AF181" i="4"/>
  <c r="AF179" i="4"/>
  <c r="AF165" i="4"/>
  <c r="AF129" i="4"/>
  <c r="AF126" i="4"/>
  <c r="AF117" i="4"/>
  <c r="AF105" i="4"/>
  <c r="AF89" i="4"/>
  <c r="AF86" i="4"/>
  <c r="AF85" i="4"/>
  <c r="AF82" i="4"/>
  <c r="AF72" i="4"/>
  <c r="AF62" i="4"/>
  <c r="AF258" i="4"/>
  <c r="AF254" i="4"/>
  <c r="AF253" i="4"/>
  <c r="AF235" i="4"/>
  <c r="AF175" i="4"/>
  <c r="AF154" i="4"/>
  <c r="AF120" i="4"/>
  <c r="AF94" i="4"/>
  <c r="AF91" i="4"/>
  <c r="AF90" i="4"/>
  <c r="AF87" i="4"/>
  <c r="AF244" i="4"/>
  <c r="AF214" i="4"/>
  <c r="AF231" i="4"/>
  <c r="AF195" i="4"/>
  <c r="AF192" i="4"/>
  <c r="AF294" i="4"/>
  <c r="AF189" i="4"/>
  <c r="AF180" i="4"/>
  <c r="AF169" i="4"/>
  <c r="AF158" i="4"/>
  <c r="AF157" i="4"/>
  <c r="AF140" i="4"/>
  <c r="AF119" i="4"/>
  <c r="AF116" i="4"/>
  <c r="AF107" i="4"/>
  <c r="AF95" i="4"/>
  <c r="AF70" i="4"/>
  <c r="AF60" i="4"/>
  <c r="AF50" i="4"/>
  <c r="AE13" i="4"/>
  <c r="AG13" i="4" s="1"/>
  <c r="AI13" i="4" s="1"/>
  <c r="W14" i="4"/>
  <c r="Z14" i="4" s="1"/>
  <c r="AB14" i="4" s="1"/>
  <c r="D16" i="4"/>
  <c r="AE16" i="4"/>
  <c r="AG16" i="4" s="1"/>
  <c r="AI16" i="4" s="1"/>
  <c r="AJ16" i="4" s="1"/>
  <c r="W17" i="4"/>
  <c r="D19" i="4"/>
  <c r="AF19" i="4"/>
  <c r="I20" i="4"/>
  <c r="L20" i="4" s="1"/>
  <c r="N20" i="4" s="1"/>
  <c r="J26" i="4"/>
  <c r="L26" i="4" s="1"/>
  <c r="N26" i="4" s="1"/>
  <c r="W26" i="4"/>
  <c r="Z26" i="4" s="1"/>
  <c r="AB26" i="4" s="1"/>
  <c r="B27" i="4"/>
  <c r="AF28" i="4"/>
  <c r="K29" i="4"/>
  <c r="AF31" i="4"/>
  <c r="P33" i="4"/>
  <c r="J35" i="4"/>
  <c r="Y35" i="4"/>
  <c r="B36" i="4"/>
  <c r="E36" i="4" s="1"/>
  <c r="G36" i="4" s="1"/>
  <c r="K38" i="4"/>
  <c r="B39" i="4"/>
  <c r="E39" i="4" s="1"/>
  <c r="G39" i="4" s="1"/>
  <c r="K41" i="4"/>
  <c r="C42" i="4"/>
  <c r="E42" i="4" s="1"/>
  <c r="G42" i="4" s="1"/>
  <c r="P42" i="4"/>
  <c r="Y44" i="4"/>
  <c r="B46" i="4"/>
  <c r="Q46" i="4"/>
  <c r="AE46" i="4"/>
  <c r="AG46" i="4" s="1"/>
  <c r="AI46" i="4" s="1"/>
  <c r="J47" i="4"/>
  <c r="W47" i="4"/>
  <c r="Z47" i="4" s="1"/>
  <c r="AE48" i="4"/>
  <c r="AG48" i="4" s="1"/>
  <c r="AI48" i="4" s="1"/>
  <c r="I49" i="4"/>
  <c r="Y49" i="4"/>
  <c r="C50" i="4"/>
  <c r="E50" i="4" s="1"/>
  <c r="G50" i="4" s="1"/>
  <c r="Q50" i="4"/>
  <c r="S50" i="4" s="1"/>
  <c r="U50" i="4" s="1"/>
  <c r="V50" i="4" s="1"/>
  <c r="J51" i="4"/>
  <c r="L51" i="4" s="1"/>
  <c r="N51" i="4" s="1"/>
  <c r="Y51" i="4"/>
  <c r="D52" i="4"/>
  <c r="Q52" i="4"/>
  <c r="S52" i="4" s="1"/>
  <c r="U52" i="4" s="1"/>
  <c r="AF52" i="4"/>
  <c r="Y56" i="4"/>
  <c r="B57" i="4"/>
  <c r="AE58" i="4"/>
  <c r="AG58" i="4" s="1"/>
  <c r="AI58" i="4" s="1"/>
  <c r="W60" i="4"/>
  <c r="Z60" i="4" s="1"/>
  <c r="AB60" i="4" s="1"/>
  <c r="AC60" i="4" s="1"/>
  <c r="AE62" i="4"/>
  <c r="AG62" i="4" s="1"/>
  <c r="AI62" i="4" s="1"/>
  <c r="J64" i="4"/>
  <c r="AE64" i="4"/>
  <c r="AF65" i="4"/>
  <c r="Q66" i="4"/>
  <c r="S66" i="4" s="1"/>
  <c r="U66" i="4" s="1"/>
  <c r="V66" i="4" s="1"/>
  <c r="W67" i="4"/>
  <c r="Z67" i="4" s="1"/>
  <c r="AB67" i="4" s="1"/>
  <c r="I68" i="4"/>
  <c r="AE68" i="4"/>
  <c r="Q69" i="4"/>
  <c r="B70" i="4"/>
  <c r="D78" i="4"/>
  <c r="C80" i="4"/>
  <c r="P81" i="4"/>
  <c r="C82" i="4"/>
  <c r="P83" i="4"/>
  <c r="D84" i="4"/>
  <c r="B86" i="4"/>
  <c r="D90" i="4"/>
  <c r="Q91" i="4"/>
  <c r="D92" i="4"/>
  <c r="AF92" i="4"/>
  <c r="J108" i="4"/>
  <c r="B109" i="4"/>
  <c r="K111" i="4"/>
  <c r="B112" i="4"/>
  <c r="J113" i="4"/>
  <c r="J116" i="4"/>
  <c r="I119" i="4"/>
  <c r="Y120" i="4"/>
  <c r="Q121" i="4"/>
  <c r="J122" i="4"/>
  <c r="Q126" i="4"/>
  <c r="P132" i="4"/>
  <c r="J133" i="4"/>
  <c r="B140" i="4"/>
  <c r="W143" i="4"/>
  <c r="B149" i="4"/>
  <c r="B150" i="4"/>
  <c r="W154" i="4"/>
  <c r="Q159" i="4"/>
  <c r="B168" i="4"/>
  <c r="D175" i="4"/>
  <c r="Q178" i="4"/>
  <c r="Y196" i="4"/>
  <c r="D198" i="4"/>
  <c r="AE34" i="4"/>
  <c r="D42" i="4"/>
  <c r="Q42" i="4"/>
  <c r="AF42" i="4"/>
  <c r="I43" i="4"/>
  <c r="D50" i="4"/>
  <c r="K51" i="4"/>
  <c r="W54" i="4"/>
  <c r="Z54" i="4" s="1"/>
  <c r="AB54" i="4" s="1"/>
  <c r="W55" i="4"/>
  <c r="C57" i="4"/>
  <c r="C61" i="4"/>
  <c r="P62" i="4"/>
  <c r="K64" i="4"/>
  <c r="AF64" i="4"/>
  <c r="Q65" i="4"/>
  <c r="B67" i="4"/>
  <c r="J68" i="4"/>
  <c r="C70" i="4"/>
  <c r="W70" i="4"/>
  <c r="Z70" i="4" s="1"/>
  <c r="AB70" i="4" s="1"/>
  <c r="I71" i="4"/>
  <c r="L71" i="4" s="1"/>
  <c r="N71" i="4" s="1"/>
  <c r="AE71" i="4"/>
  <c r="P72" i="4"/>
  <c r="C73" i="4"/>
  <c r="Y73" i="4"/>
  <c r="K74" i="4"/>
  <c r="B76" i="4"/>
  <c r="D80" i="4"/>
  <c r="Q81" i="4"/>
  <c r="D82" i="4"/>
  <c r="Q83" i="4"/>
  <c r="P85" i="4"/>
  <c r="C86" i="4"/>
  <c r="P87" i="4"/>
  <c r="Y93" i="4"/>
  <c r="W99" i="4"/>
  <c r="AG103" i="4"/>
  <c r="AI103" i="4" s="1"/>
  <c r="W104" i="4"/>
  <c r="AE106" i="4"/>
  <c r="AG106" i="4" s="1"/>
  <c r="AI106" i="4" s="1"/>
  <c r="C109" i="4"/>
  <c r="C112" i="4"/>
  <c r="B114" i="4"/>
  <c r="K116" i="4"/>
  <c r="B117" i="4"/>
  <c r="J119" i="4"/>
  <c r="K122" i="4"/>
  <c r="B135" i="4"/>
  <c r="D139" i="4"/>
  <c r="C140" i="4"/>
  <c r="Y142" i="4"/>
  <c r="P145" i="4"/>
  <c r="C150" i="4"/>
  <c r="D151" i="4"/>
  <c r="D152" i="4"/>
  <c r="C153" i="4"/>
  <c r="B167" i="4"/>
  <c r="P176" i="4"/>
  <c r="AE185" i="4"/>
  <c r="Y193" i="4"/>
  <c r="AE91" i="4"/>
  <c r="AG91" i="4" s="1"/>
  <c r="AI91" i="4" s="1"/>
  <c r="AE19" i="4"/>
  <c r="AG19" i="4" s="1"/>
  <c r="AI19" i="4" s="1"/>
  <c r="AE28" i="4"/>
  <c r="AE52" i="4"/>
  <c r="AG52" i="4" s="1"/>
  <c r="AI52" i="4" s="1"/>
  <c r="K23" i="4"/>
  <c r="AE39" i="4"/>
  <c r="AG39" i="4" s="1"/>
  <c r="AI39" i="4" s="1"/>
  <c r="Y14" i="4"/>
  <c r="D15" i="4"/>
  <c r="C21" i="4"/>
  <c r="C24" i="4"/>
  <c r="P24" i="4"/>
  <c r="AE24" i="4"/>
  <c r="AG24" i="4" s="1"/>
  <c r="AI24" i="4" s="1"/>
  <c r="D27" i="4"/>
  <c r="Q27" i="4"/>
  <c r="S27" i="4" s="1"/>
  <c r="U27" i="4" s="1"/>
  <c r="AF27" i="4"/>
  <c r="I28" i="4"/>
  <c r="Q30" i="4"/>
  <c r="S30" i="4" s="1"/>
  <c r="U30" i="4" s="1"/>
  <c r="V30" i="4" s="1"/>
  <c r="I31" i="4"/>
  <c r="AE33" i="4"/>
  <c r="AG33" i="4" s="1"/>
  <c r="AI33" i="4" s="1"/>
  <c r="J34" i="4"/>
  <c r="W34" i="4"/>
  <c r="Z34" i="4" s="1"/>
  <c r="AB34" i="4" s="1"/>
  <c r="D36" i="4"/>
  <c r="AE36" i="4"/>
  <c r="W37" i="4"/>
  <c r="Z37" i="4" s="1"/>
  <c r="AB37" i="4" s="1"/>
  <c r="D39" i="4"/>
  <c r="AF39" i="4"/>
  <c r="I40" i="4"/>
  <c r="J43" i="4"/>
  <c r="AE44" i="4"/>
  <c r="I45" i="4"/>
  <c r="W45" i="4"/>
  <c r="Y47" i="4"/>
  <c r="I54" i="4"/>
  <c r="C58" i="4"/>
  <c r="Q62" i="4"/>
  <c r="P63" i="4"/>
  <c r="B66" i="4"/>
  <c r="D70" i="4"/>
  <c r="AF71" i="4"/>
  <c r="Q72" i="4"/>
  <c r="D73" i="4"/>
  <c r="W75" i="4"/>
  <c r="Q85" i="4"/>
  <c r="Q87" i="4"/>
  <c r="AG88" i="4"/>
  <c r="AI88" i="4" s="1"/>
  <c r="AF106" i="4"/>
  <c r="W107" i="4"/>
  <c r="Z107" i="4" s="1"/>
  <c r="AB107" i="4" s="1"/>
  <c r="D109" i="4"/>
  <c r="AE109" i="4"/>
  <c r="AG109" i="4" s="1"/>
  <c r="AI109" i="4" s="1"/>
  <c r="W110" i="4"/>
  <c r="D112" i="4"/>
  <c r="AE112" i="4"/>
  <c r="K119" i="4"/>
  <c r="B120" i="4"/>
  <c r="E120" i="4" s="1"/>
  <c r="G120" i="4" s="1"/>
  <c r="Q130" i="4"/>
  <c r="I131" i="4"/>
  <c r="I134" i="4"/>
  <c r="C135" i="4"/>
  <c r="AF135" i="4"/>
  <c r="D140" i="4"/>
  <c r="D153" i="4"/>
  <c r="AE154" i="4"/>
  <c r="AE155" i="4"/>
  <c r="AG155" i="4" s="1"/>
  <c r="AI155" i="4" s="1"/>
  <c r="AE156" i="4"/>
  <c r="I168" i="4"/>
  <c r="Q176" i="4"/>
  <c r="AG179" i="4"/>
  <c r="AI179" i="4" s="1"/>
  <c r="I182" i="4"/>
  <c r="AF185" i="4"/>
  <c r="B204" i="4"/>
  <c r="Y1008" i="4"/>
  <c r="Y1011" i="4"/>
  <c r="Y1002" i="4"/>
  <c r="Y999" i="4"/>
  <c r="Y992" i="4"/>
  <c r="Y989" i="4"/>
  <c r="Y995" i="4"/>
  <c r="Y985" i="4"/>
  <c r="Y1007" i="4"/>
  <c r="Y1006" i="4"/>
  <c r="Y1009" i="4"/>
  <c r="Y1001" i="4"/>
  <c r="Y996" i="4"/>
  <c r="Y990" i="4"/>
  <c r="Y980" i="4"/>
  <c r="Y975" i="4"/>
  <c r="Y997" i="4"/>
  <c r="Y994" i="4"/>
  <c r="Y991" i="4"/>
  <c r="Y1010" i="4"/>
  <c r="Y1005" i="4"/>
  <c r="Y1004" i="4"/>
  <c r="Y1003" i="4"/>
  <c r="Y986" i="4"/>
  <c r="Y974" i="4"/>
  <c r="Y973" i="4"/>
  <c r="Y1000" i="4"/>
  <c r="Y998" i="4"/>
  <c r="Y993" i="4"/>
  <c r="Y984" i="4"/>
  <c r="Y979" i="4"/>
  <c r="Y978" i="4"/>
  <c r="Y976" i="4"/>
  <c r="Y972" i="4"/>
  <c r="Y970" i="4"/>
  <c r="Y965" i="4"/>
  <c r="Y960" i="4"/>
  <c r="Y955" i="4"/>
  <c r="Y950" i="4"/>
  <c r="Y983" i="4"/>
  <c r="Y981" i="4"/>
  <c r="Y977" i="4"/>
  <c r="Y968" i="4"/>
  <c r="Y988" i="4"/>
  <c r="Y987" i="4"/>
  <c r="Y969" i="4"/>
  <c r="Y946" i="4"/>
  <c r="Y941" i="4"/>
  <c r="Y936" i="4"/>
  <c r="Y931" i="4"/>
  <c r="Y926" i="4"/>
  <c r="Y921" i="4"/>
  <c r="Y967" i="4"/>
  <c r="Y948" i="4"/>
  <c r="Y971" i="4"/>
  <c r="Y982" i="4"/>
  <c r="Y966" i="4"/>
  <c r="Y943" i="4"/>
  <c r="Y920" i="4"/>
  <c r="Y915" i="4"/>
  <c r="Y910" i="4"/>
  <c r="Y905" i="4"/>
  <c r="Y900" i="4"/>
  <c r="Y895" i="4"/>
  <c r="Y956" i="4"/>
  <c r="Y951" i="4"/>
  <c r="Y953" i="4"/>
  <c r="Y952" i="4"/>
  <c r="Y949" i="4"/>
  <c r="Y964" i="4"/>
  <c r="Y961" i="4"/>
  <c r="Y957" i="4"/>
  <c r="Y947" i="4"/>
  <c r="Y958" i="4"/>
  <c r="Y954" i="4"/>
  <c r="Y962" i="4"/>
  <c r="Y963" i="4"/>
  <c r="Y959" i="4"/>
  <c r="Y945" i="4"/>
  <c r="Y944" i="4"/>
  <c r="Y942" i="4"/>
  <c r="Y930" i="4"/>
  <c r="Y924" i="4"/>
  <c r="Y922" i="4"/>
  <c r="Y891" i="4"/>
  <c r="Y886" i="4"/>
  <c r="Y881" i="4"/>
  <c r="Y876" i="4"/>
  <c r="Y871" i="4"/>
  <c r="Y866" i="4"/>
  <c r="Y861" i="4"/>
  <c r="Y856" i="4"/>
  <c r="Y940" i="4"/>
  <c r="Y937" i="4"/>
  <c r="Y928" i="4"/>
  <c r="Y904" i="4"/>
  <c r="Y903" i="4"/>
  <c r="Y901" i="4"/>
  <c r="Y934" i="4"/>
  <c r="Y909" i="4"/>
  <c r="Y908" i="4"/>
  <c r="Y906" i="4"/>
  <c r="Y933" i="4"/>
  <c r="Y932" i="4"/>
  <c r="Y929" i="4"/>
  <c r="Y938" i="4"/>
  <c r="Y927" i="4"/>
  <c r="Y925" i="4"/>
  <c r="Y935" i="4"/>
  <c r="Y939" i="4"/>
  <c r="Y923" i="4"/>
  <c r="Y896" i="4"/>
  <c r="Y864" i="4"/>
  <c r="Y862" i="4"/>
  <c r="Y860" i="4"/>
  <c r="Y858" i="4"/>
  <c r="Y846" i="4"/>
  <c r="Y841" i="4"/>
  <c r="Y899" i="4"/>
  <c r="Y869" i="4"/>
  <c r="Y867" i="4"/>
  <c r="Y865" i="4"/>
  <c r="Y863" i="4"/>
  <c r="Y851" i="4"/>
  <c r="Y848" i="4"/>
  <c r="Y913" i="4"/>
  <c r="Y902" i="4"/>
  <c r="Y897" i="4"/>
  <c r="Y911" i="4"/>
  <c r="Y879" i="4"/>
  <c r="Y877" i="4"/>
  <c r="Y875" i="4"/>
  <c r="Y919" i="4"/>
  <c r="Y917" i="4"/>
  <c r="Y907" i="4"/>
  <c r="Y884" i="4"/>
  <c r="Y882" i="4"/>
  <c r="Y880" i="4"/>
  <c r="Y878" i="4"/>
  <c r="Y898" i="4"/>
  <c r="Y914" i="4"/>
  <c r="Y918" i="4"/>
  <c r="Y916" i="4"/>
  <c r="Y912" i="4"/>
  <c r="Y894" i="4"/>
  <c r="Y873" i="4"/>
  <c r="Y835" i="4"/>
  <c r="Y830" i="4"/>
  <c r="Y825" i="4"/>
  <c r="Y820" i="4"/>
  <c r="Y815" i="4"/>
  <c r="Y810" i="4"/>
  <c r="Y805" i="4"/>
  <c r="Y800" i="4"/>
  <c r="Y892" i="4"/>
  <c r="Y890" i="4"/>
  <c r="Y854" i="4"/>
  <c r="Y852" i="4"/>
  <c r="Y887" i="4"/>
  <c r="Y883" i="4"/>
  <c r="Y849" i="4"/>
  <c r="Y872" i="4"/>
  <c r="Y840" i="4"/>
  <c r="Y836" i="4"/>
  <c r="Y870" i="4"/>
  <c r="Y868" i="4"/>
  <c r="Y834" i="4"/>
  <c r="Y829" i="4"/>
  <c r="Y814" i="4"/>
  <c r="Y813" i="4"/>
  <c r="Y811" i="4"/>
  <c r="Y807" i="4"/>
  <c r="Y793" i="4"/>
  <c r="Y788" i="4"/>
  <c r="Y783" i="4"/>
  <c r="Y874" i="4"/>
  <c r="Y853" i="4"/>
  <c r="Y842" i="4"/>
  <c r="Y837" i="4"/>
  <c r="Y832" i="4"/>
  <c r="Y819" i="4"/>
  <c r="Y818" i="4"/>
  <c r="Y816" i="4"/>
  <c r="Y812" i="4"/>
  <c r="Y801" i="4"/>
  <c r="Y859" i="4"/>
  <c r="Y824" i="4"/>
  <c r="Y823" i="4"/>
  <c r="Y821" i="4"/>
  <c r="Y893" i="4"/>
  <c r="Y826" i="4"/>
  <c r="Y822" i="4"/>
  <c r="Y839" i="4"/>
  <c r="Y845" i="4"/>
  <c r="Y844" i="4"/>
  <c r="Y885" i="4"/>
  <c r="Y838" i="4"/>
  <c r="Y808" i="4"/>
  <c r="Y806" i="4"/>
  <c r="Y804" i="4"/>
  <c r="Y777" i="4"/>
  <c r="Y772" i="4"/>
  <c r="Y767" i="4"/>
  <c r="Y762" i="4"/>
  <c r="Y757" i="4"/>
  <c r="Y752" i="4"/>
  <c r="Y747" i="4"/>
  <c r="Y742" i="4"/>
  <c r="Y737" i="4"/>
  <c r="Y732" i="4"/>
  <c r="Y889" i="4"/>
  <c r="Y827" i="4"/>
  <c r="Y817" i="4"/>
  <c r="Y798" i="4"/>
  <c r="Y796" i="4"/>
  <c r="Y786" i="4"/>
  <c r="Y779" i="4"/>
  <c r="Y855" i="4"/>
  <c r="Y843" i="4"/>
  <c r="Y803" i="4"/>
  <c r="Y782" i="4"/>
  <c r="Y792" i="4"/>
  <c r="Y791" i="4"/>
  <c r="Y789" i="4"/>
  <c r="Y857" i="4"/>
  <c r="Y850" i="4"/>
  <c r="Y847" i="4"/>
  <c r="Y799" i="4"/>
  <c r="Y794" i="4"/>
  <c r="Y790" i="4"/>
  <c r="Y785" i="4"/>
  <c r="Y778" i="4"/>
  <c r="Y773" i="4"/>
  <c r="Y833" i="4"/>
  <c r="Y802" i="4"/>
  <c r="Y797" i="4"/>
  <c r="Y888" i="4"/>
  <c r="Y776" i="4"/>
  <c r="Y764" i="4"/>
  <c r="Y726" i="4"/>
  <c r="Y721" i="4"/>
  <c r="Y716" i="4"/>
  <c r="Y711" i="4"/>
  <c r="Y706" i="4"/>
  <c r="Y701" i="4"/>
  <c r="Y696" i="4"/>
  <c r="Y691" i="4"/>
  <c r="Y686" i="4"/>
  <c r="Y681" i="4"/>
  <c r="Y735" i="4"/>
  <c r="Y809" i="4"/>
  <c r="Y781" i="4"/>
  <c r="Y768" i="4"/>
  <c r="Y770" i="4"/>
  <c r="Y765" i="4"/>
  <c r="Y741" i="4"/>
  <c r="Y740" i="4"/>
  <c r="Y738" i="4"/>
  <c r="Y780" i="4"/>
  <c r="Y746" i="4"/>
  <c r="Y745" i="4"/>
  <c r="Y743" i="4"/>
  <c r="Y739" i="4"/>
  <c r="Y734" i="4"/>
  <c r="Y727" i="4"/>
  <c r="Y784" i="4"/>
  <c r="Y775" i="4"/>
  <c r="Y766" i="4"/>
  <c r="Y751" i="4"/>
  <c r="Y750" i="4"/>
  <c r="Y748" i="4"/>
  <c r="Y744" i="4"/>
  <c r="Y715" i="4"/>
  <c r="Y714" i="4"/>
  <c r="Y712" i="4"/>
  <c r="Y708" i="4"/>
  <c r="Y693" i="4"/>
  <c r="Y677" i="4"/>
  <c r="Y672" i="4"/>
  <c r="Y667" i="4"/>
  <c r="Y662" i="4"/>
  <c r="Y657" i="4"/>
  <c r="Y652" i="4"/>
  <c r="Y647" i="4"/>
  <c r="Y642" i="4"/>
  <c r="Y637" i="4"/>
  <c r="Y632" i="4"/>
  <c r="Y627" i="4"/>
  <c r="Y787" i="4"/>
  <c r="Y771" i="4"/>
  <c r="Y733" i="4"/>
  <c r="Y720" i="4"/>
  <c r="Y719" i="4"/>
  <c r="Y717" i="4"/>
  <c r="Y713" i="4"/>
  <c r="Y689" i="4"/>
  <c r="Y682" i="4"/>
  <c r="Y831" i="4"/>
  <c r="Y828" i="4"/>
  <c r="Y755" i="4"/>
  <c r="Y736" i="4"/>
  <c r="Y722" i="4"/>
  <c r="Y718" i="4"/>
  <c r="Y753" i="4"/>
  <c r="Y729" i="4"/>
  <c r="Y723" i="4"/>
  <c r="Y692" i="4"/>
  <c r="Y759" i="4"/>
  <c r="Y749" i="4"/>
  <c r="Y695" i="4"/>
  <c r="Y688" i="4"/>
  <c r="Y702" i="4"/>
  <c r="Y700" i="4"/>
  <c r="Y699" i="4"/>
  <c r="Y678" i="4"/>
  <c r="Y626" i="4"/>
  <c r="Y760" i="4"/>
  <c r="Y698" i="4"/>
  <c r="Y675" i="4"/>
  <c r="Y633" i="4"/>
  <c r="Y622" i="4"/>
  <c r="Y731" i="4"/>
  <c r="Y669" i="4"/>
  <c r="Y761" i="4"/>
  <c r="Y754" i="4"/>
  <c r="Y697" i="4"/>
  <c r="Y684" i="4"/>
  <c r="Y769" i="4"/>
  <c r="Y730" i="4"/>
  <c r="Y705" i="4"/>
  <c r="Y687" i="4"/>
  <c r="Y763" i="4"/>
  <c r="Y756" i="4"/>
  <c r="Y709" i="4"/>
  <c r="Y707" i="4"/>
  <c r="Y703" i="4"/>
  <c r="Y690" i="4"/>
  <c r="Y679" i="4"/>
  <c r="Y671" i="4"/>
  <c r="Y654" i="4"/>
  <c r="Y639" i="4"/>
  <c r="Y628" i="4"/>
  <c r="Y620" i="4"/>
  <c r="Y613" i="4"/>
  <c r="Y607" i="4"/>
  <c r="Y602" i="4"/>
  <c r="Y597" i="4"/>
  <c r="Y592" i="4"/>
  <c r="Y704" i="4"/>
  <c r="Y676" i="4"/>
  <c r="Y674" i="4"/>
  <c r="Y670" i="4"/>
  <c r="Y660" i="4"/>
  <c r="Y645" i="4"/>
  <c r="Y643" i="4"/>
  <c r="Y636" i="4"/>
  <c r="Y625" i="4"/>
  <c r="Y623" i="4"/>
  <c r="Y621" i="4"/>
  <c r="Y774" i="4"/>
  <c r="Y685" i="4"/>
  <c r="Y668" i="4"/>
  <c r="Y795" i="4"/>
  <c r="Y728" i="4"/>
  <c r="Y680" i="4"/>
  <c r="Y663" i="4"/>
  <c r="Y673" i="4"/>
  <c r="Y641" i="4"/>
  <c r="Y724" i="4"/>
  <c r="Y646" i="4"/>
  <c r="Y630" i="4"/>
  <c r="Y629" i="4"/>
  <c r="Y599" i="4"/>
  <c r="Y585" i="4"/>
  <c r="Y580" i="4"/>
  <c r="Y575" i="4"/>
  <c r="Y570" i="4"/>
  <c r="Y565" i="4"/>
  <c r="Y560" i="4"/>
  <c r="Y555" i="4"/>
  <c r="Y550" i="4"/>
  <c r="Y545" i="4"/>
  <c r="Y540" i="4"/>
  <c r="Y535" i="4"/>
  <c r="Y530" i="4"/>
  <c r="Y525" i="4"/>
  <c r="Y758" i="4"/>
  <c r="Y653" i="4"/>
  <c r="Y595" i="4"/>
  <c r="Y658" i="4"/>
  <c r="Y648" i="4"/>
  <c r="Y617" i="4"/>
  <c r="Y606" i="4"/>
  <c r="Y725" i="4"/>
  <c r="Y664" i="4"/>
  <c r="Y618" i="4"/>
  <c r="Y610" i="4"/>
  <c r="Y608" i="4"/>
  <c r="Y605" i="4"/>
  <c r="Y598" i="4"/>
  <c r="Y710" i="4"/>
  <c r="Y694" i="4"/>
  <c r="Y661" i="4"/>
  <c r="Y649" i="4"/>
  <c r="Y640" i="4"/>
  <c r="Y614" i="4"/>
  <c r="Y611" i="4"/>
  <c r="Y609" i="4"/>
  <c r="Y601" i="4"/>
  <c r="Y594" i="4"/>
  <c r="Y586" i="4"/>
  <c r="Y581" i="4"/>
  <c r="Y665" i="4"/>
  <c r="Y644" i="4"/>
  <c r="Y634" i="4"/>
  <c r="Y616" i="4"/>
  <c r="Y603" i="4"/>
  <c r="Y612" i="4"/>
  <c r="Y596" i="4"/>
  <c r="Y590" i="4"/>
  <c r="Y589" i="4"/>
  <c r="Y562" i="4"/>
  <c r="Y533" i="4"/>
  <c r="Y526" i="4"/>
  <c r="Y522" i="4"/>
  <c r="Y517" i="4"/>
  <c r="Y512" i="4"/>
  <c r="Y507" i="4"/>
  <c r="Y502" i="4"/>
  <c r="Y497" i="4"/>
  <c r="Y492" i="4"/>
  <c r="Y487" i="4"/>
  <c r="Y482" i="4"/>
  <c r="Y477" i="4"/>
  <c r="Y472" i="4"/>
  <c r="Y467" i="4"/>
  <c r="Y462" i="4"/>
  <c r="Y457" i="4"/>
  <c r="Y452" i="4"/>
  <c r="Y447" i="4"/>
  <c r="Y442" i="4"/>
  <c r="Y437" i="4"/>
  <c r="Y432" i="4"/>
  <c r="Y427" i="4"/>
  <c r="Y422" i="4"/>
  <c r="Y659" i="4"/>
  <c r="Y604" i="4"/>
  <c r="Y591" i="4"/>
  <c r="Y587" i="4"/>
  <c r="Y584" i="4"/>
  <c r="Y569" i="4"/>
  <c r="Y566" i="4"/>
  <c r="Y563" i="4"/>
  <c r="Y544" i="4"/>
  <c r="Y539" i="4"/>
  <c r="Y538" i="4"/>
  <c r="Y529" i="4"/>
  <c r="Y655" i="4"/>
  <c r="Y583" i="4"/>
  <c r="Y572" i="4"/>
  <c r="Y547" i="4"/>
  <c r="Y541" i="4"/>
  <c r="Y537" i="4"/>
  <c r="Y536" i="4"/>
  <c r="Y520" i="4"/>
  <c r="Y515" i="4"/>
  <c r="Y510" i="4"/>
  <c r="Y656" i="4"/>
  <c r="Y651" i="4"/>
  <c r="Y650" i="4"/>
  <c r="Y631" i="4"/>
  <c r="Y619" i="4"/>
  <c r="Y576" i="4"/>
  <c r="Y573" i="4"/>
  <c r="Y554" i="4"/>
  <c r="Y551" i="4"/>
  <c r="Y548" i="4"/>
  <c r="Y532" i="4"/>
  <c r="Y638" i="4"/>
  <c r="Y582" i="4"/>
  <c r="Y579" i="4"/>
  <c r="Y557" i="4"/>
  <c r="Y528" i="4"/>
  <c r="Y523" i="4"/>
  <c r="Y518" i="4"/>
  <c r="Y513" i="4"/>
  <c r="Y508" i="4"/>
  <c r="Y503" i="4"/>
  <c r="Y498" i="4"/>
  <c r="Y493" i="4"/>
  <c r="Y635" i="4"/>
  <c r="Y624" i="4"/>
  <c r="Y588" i="4"/>
  <c r="Y559" i="4"/>
  <c r="Y556" i="4"/>
  <c r="Y553" i="4"/>
  <c r="Y549" i="4"/>
  <c r="Y546" i="4"/>
  <c r="Y474" i="4"/>
  <c r="Y455" i="4"/>
  <c r="Y453" i="4"/>
  <c r="Y451" i="4"/>
  <c r="Y449" i="4"/>
  <c r="Y431" i="4"/>
  <c r="Y424" i="4"/>
  <c r="Y683" i="4"/>
  <c r="Y552" i="4"/>
  <c r="Y543" i="4"/>
  <c r="Y514" i="4"/>
  <c r="Y499" i="4"/>
  <c r="Y496" i="4"/>
  <c r="Y481" i="4"/>
  <c r="Y478" i="4"/>
  <c r="Y475" i="4"/>
  <c r="Y458" i="4"/>
  <c r="Y456" i="4"/>
  <c r="Y454" i="4"/>
  <c r="Y445" i="4"/>
  <c r="Y438" i="4"/>
  <c r="Y421" i="4"/>
  <c r="Y416" i="4"/>
  <c r="Y411" i="4"/>
  <c r="Y406" i="4"/>
  <c r="Y401" i="4"/>
  <c r="Y396" i="4"/>
  <c r="Y391" i="4"/>
  <c r="Y386" i="4"/>
  <c r="Y666" i="4"/>
  <c r="Y511" i="4"/>
  <c r="Y495" i="4"/>
  <c r="Y484" i="4"/>
  <c r="Y459" i="4"/>
  <c r="Y441" i="4"/>
  <c r="Y567" i="4"/>
  <c r="Y564" i="4"/>
  <c r="Y531" i="4"/>
  <c r="Y488" i="4"/>
  <c r="Y485" i="4"/>
  <c r="Y466" i="4"/>
  <c r="Y463" i="4"/>
  <c r="Y460" i="4"/>
  <c r="Y430" i="4"/>
  <c r="Y423" i="4"/>
  <c r="Y419" i="4"/>
  <c r="Y600" i="4"/>
  <c r="Y561" i="4"/>
  <c r="Y519" i="4"/>
  <c r="Y494" i="4"/>
  <c r="Y491" i="4"/>
  <c r="Y469" i="4"/>
  <c r="Y444" i="4"/>
  <c r="Y426" i="4"/>
  <c r="Y615" i="4"/>
  <c r="Y500" i="4"/>
  <c r="Y490" i="4"/>
  <c r="Y471" i="4"/>
  <c r="Y468" i="4"/>
  <c r="Y465" i="4"/>
  <c r="Y450" i="4"/>
  <c r="Y448" i="4"/>
  <c r="Y446" i="4"/>
  <c r="Y435" i="4"/>
  <c r="Y428" i="4"/>
  <c r="Y418" i="4"/>
  <c r="Y413" i="4"/>
  <c r="Y408" i="4"/>
  <c r="Y403" i="4"/>
  <c r="Y398" i="4"/>
  <c r="Y393" i="4"/>
  <c r="Y388" i="4"/>
  <c r="Y383" i="4"/>
  <c r="Y378" i="4"/>
  <c r="Y486" i="4"/>
  <c r="Y483" i="4"/>
  <c r="Y429" i="4"/>
  <c r="Y571" i="4"/>
  <c r="Y489" i="4"/>
  <c r="Y480" i="4"/>
  <c r="Y443" i="4"/>
  <c r="Y574" i="4"/>
  <c r="Y558" i="4"/>
  <c r="Y542" i="4"/>
  <c r="Y504" i="4"/>
  <c r="Y470" i="4"/>
  <c r="Y524" i="4"/>
  <c r="Y387" i="4"/>
  <c r="Y384" i="4"/>
  <c r="Y534" i="4"/>
  <c r="Y473" i="4"/>
  <c r="Y412" i="4"/>
  <c r="Y410" i="4"/>
  <c r="Y399" i="4"/>
  <c r="Y390" i="4"/>
  <c r="Y375" i="4"/>
  <c r="Y365" i="4"/>
  <c r="Y355" i="4"/>
  <c r="Y345" i="4"/>
  <c r="Y338" i="4"/>
  <c r="Y333" i="4"/>
  <c r="Y328" i="4"/>
  <c r="Y323" i="4"/>
  <c r="Y318" i="4"/>
  <c r="Y313" i="4"/>
  <c r="Y308" i="4"/>
  <c r="Y303" i="4"/>
  <c r="Y298" i="4"/>
  <c r="Y293" i="4"/>
  <c r="Y288" i="4"/>
  <c r="Y283" i="4"/>
  <c r="Y278" i="4"/>
  <c r="Y273" i="4"/>
  <c r="Y268" i="4"/>
  <c r="Y263" i="4"/>
  <c r="Y258" i="4"/>
  <c r="Y253" i="4"/>
  <c r="Y248" i="4"/>
  <c r="Y243" i="4"/>
  <c r="Y568" i="4"/>
  <c r="Y464" i="4"/>
  <c r="Y381" i="4"/>
  <c r="Y379" i="4"/>
  <c r="Y371" i="4"/>
  <c r="Y368" i="4"/>
  <c r="Y361" i="4"/>
  <c r="Y358" i="4"/>
  <c r="Y351" i="4"/>
  <c r="Y348" i="4"/>
  <c r="Y577" i="4"/>
  <c r="Y433" i="4"/>
  <c r="Y414" i="4"/>
  <c r="Y405" i="4"/>
  <c r="Y382" i="4"/>
  <c r="Y380" i="4"/>
  <c r="Y374" i="4"/>
  <c r="Y364" i="4"/>
  <c r="Y354" i="4"/>
  <c r="Y344" i="4"/>
  <c r="Y341" i="4"/>
  <c r="Y336" i="4"/>
  <c r="Y331" i="4"/>
  <c r="Y326" i="4"/>
  <c r="Y321" i="4"/>
  <c r="Y316" i="4"/>
  <c r="Y311" i="4"/>
  <c r="Y306" i="4"/>
  <c r="Y521" i="4"/>
  <c r="Y420" i="4"/>
  <c r="Y409" i="4"/>
  <c r="Y407" i="4"/>
  <c r="Y397" i="4"/>
  <c r="Y394" i="4"/>
  <c r="Y385" i="4"/>
  <c r="Y377" i="4"/>
  <c r="Y367" i="4"/>
  <c r="Y357" i="4"/>
  <c r="Y347" i="4"/>
  <c r="Y578" i="4"/>
  <c r="Y516" i="4"/>
  <c r="Y509" i="4"/>
  <c r="Y593" i="4"/>
  <c r="Y527" i="4"/>
  <c r="Y461" i="4"/>
  <c r="Y505" i="4"/>
  <c r="Y501" i="4"/>
  <c r="Y506" i="4"/>
  <c r="Y436" i="4"/>
  <c r="Y372" i="4"/>
  <c r="Y362" i="4"/>
  <c r="Y352" i="4"/>
  <c r="Y479" i="4"/>
  <c r="Y404" i="4"/>
  <c r="Y366" i="4"/>
  <c r="Y335" i="4"/>
  <c r="Y291" i="4"/>
  <c r="Y289" i="4"/>
  <c r="Y287" i="4"/>
  <c r="Y285" i="4"/>
  <c r="Y241" i="4"/>
  <c r="Y239" i="4"/>
  <c r="Y214" i="4"/>
  <c r="Y209" i="4"/>
  <c r="Y204" i="4"/>
  <c r="Y199" i="4"/>
  <c r="Y194" i="4"/>
  <c r="Y189" i="4"/>
  <c r="Y184" i="4"/>
  <c r="Y179" i="4"/>
  <c r="Y174" i="4"/>
  <c r="Y169" i="4"/>
  <c r="Y164" i="4"/>
  <c r="Y159" i="4"/>
  <c r="Y154" i="4"/>
  <c r="Y149" i="4"/>
  <c r="Y144" i="4"/>
  <c r="Y415" i="4"/>
  <c r="Y400" i="4"/>
  <c r="Y395" i="4"/>
  <c r="Y369" i="4"/>
  <c r="Y332" i="4"/>
  <c r="Y309" i="4"/>
  <c r="Y296" i="4"/>
  <c r="Y294" i="4"/>
  <c r="Y292" i="4"/>
  <c r="Y290" i="4"/>
  <c r="Y246" i="4"/>
  <c r="Y244" i="4"/>
  <c r="Y242" i="4"/>
  <c r="Y240" i="4"/>
  <c r="Y232" i="4"/>
  <c r="Y222" i="4"/>
  <c r="Y392" i="4"/>
  <c r="Y389" i="4"/>
  <c r="Y356" i="4"/>
  <c r="Y343" i="4"/>
  <c r="Y340" i="4"/>
  <c r="Y324" i="4"/>
  <c r="Y315" i="4"/>
  <c r="Y312" i="4"/>
  <c r="Y301" i="4"/>
  <c r="Y299" i="4"/>
  <c r="Y297" i="4"/>
  <c r="Y295" i="4"/>
  <c r="Y402" i="4"/>
  <c r="Y359" i="4"/>
  <c r="Y337" i="4"/>
  <c r="Y334" i="4"/>
  <c r="Y330" i="4"/>
  <c r="Y327" i="4"/>
  <c r="Y302" i="4"/>
  <c r="Y300" i="4"/>
  <c r="Y256" i="4"/>
  <c r="Y254" i="4"/>
  <c r="Y252" i="4"/>
  <c r="Y250" i="4"/>
  <c r="Y370" i="4"/>
  <c r="Y346" i="4"/>
  <c r="Y304" i="4"/>
  <c r="Y261" i="4"/>
  <c r="Y259" i="4"/>
  <c r="Y257" i="4"/>
  <c r="Y255" i="4"/>
  <c r="Y373" i="4"/>
  <c r="Y476" i="4"/>
  <c r="Y434" i="4"/>
  <c r="Y417" i="4"/>
  <c r="Y439" i="4"/>
  <c r="Y376" i="4"/>
  <c r="Y440" i="4"/>
  <c r="Y425" i="4"/>
  <c r="Y353" i="4"/>
  <c r="Y329" i="4"/>
  <c r="Y320" i="4"/>
  <c r="Y317" i="4"/>
  <c r="Y286" i="4"/>
  <c r="Y284" i="4"/>
  <c r="Y282" i="4"/>
  <c r="Y280" i="4"/>
  <c r="Y229" i="4"/>
  <c r="Y219" i="4"/>
  <c r="Y275" i="4"/>
  <c r="Y216" i="4"/>
  <c r="Y191" i="4"/>
  <c r="Y177" i="4"/>
  <c r="Y175" i="4"/>
  <c r="Y173" i="4"/>
  <c r="Y166" i="4"/>
  <c r="Y148" i="4"/>
  <c r="Y141" i="4"/>
  <c r="Y264" i="4"/>
  <c r="Y220" i="4"/>
  <c r="Y198" i="4"/>
  <c r="Y195" i="4"/>
  <c r="Y192" i="4"/>
  <c r="Y182" i="4"/>
  <c r="Y180" i="4"/>
  <c r="Y178" i="4"/>
  <c r="Y176" i="4"/>
  <c r="Y162" i="4"/>
  <c r="Y155" i="4"/>
  <c r="Y139" i="4"/>
  <c r="Y134" i="4"/>
  <c r="Y129" i="4"/>
  <c r="Y124" i="4"/>
  <c r="Y119" i="4"/>
  <c r="Y114" i="4"/>
  <c r="Y109" i="4"/>
  <c r="Y104" i="4"/>
  <c r="Y99" i="4"/>
  <c r="Y94" i="4"/>
  <c r="Y363" i="4"/>
  <c r="Y342" i="4"/>
  <c r="Y272" i="4"/>
  <c r="Y235" i="4"/>
  <c r="Y233" i="4"/>
  <c r="Y224" i="4"/>
  <c r="Y201" i="4"/>
  <c r="Y185" i="4"/>
  <c r="Y183" i="4"/>
  <c r="Y181" i="4"/>
  <c r="Y279" i="4"/>
  <c r="Y276" i="4"/>
  <c r="Y260" i="4"/>
  <c r="Y237" i="4"/>
  <c r="Y228" i="4"/>
  <c r="Y208" i="4"/>
  <c r="Y205" i="4"/>
  <c r="Y202" i="4"/>
  <c r="Y172" i="4"/>
  <c r="Y165" i="4"/>
  <c r="Y147" i="4"/>
  <c r="Y137" i="4"/>
  <c r="Y132" i="4"/>
  <c r="Y281" i="4"/>
  <c r="Y226" i="4"/>
  <c r="Y211" i="4"/>
  <c r="Y186" i="4"/>
  <c r="Y168" i="4"/>
  <c r="Y161" i="4"/>
  <c r="Y143" i="4"/>
  <c r="Y325" i="4"/>
  <c r="Y314" i="4"/>
  <c r="Y360" i="4"/>
  <c r="Y322" i="4"/>
  <c r="Y319" i="4"/>
  <c r="Y349" i="4"/>
  <c r="Y350" i="4"/>
  <c r="Y305" i="4"/>
  <c r="Y339" i="4"/>
  <c r="Y307" i="4"/>
  <c r="Y267" i="4"/>
  <c r="Y245" i="4"/>
  <c r="Y231" i="4"/>
  <c r="Y227" i="4"/>
  <c r="Y218" i="4"/>
  <c r="Y213" i="4"/>
  <c r="Y210" i="4"/>
  <c r="Y207" i="4"/>
  <c r="Y188" i="4"/>
  <c r="Y170" i="4"/>
  <c r="Y152" i="4"/>
  <c r="Y145" i="4"/>
  <c r="Y136" i="4"/>
  <c r="Y131" i="4"/>
  <c r="Y126" i="4"/>
  <c r="Y121" i="4"/>
  <c r="Y116" i="4"/>
  <c r="Y111" i="4"/>
  <c r="Y106" i="4"/>
  <c r="Y101" i="4"/>
  <c r="Y96" i="4"/>
  <c r="Y91" i="4"/>
  <c r="Y86" i="4"/>
  <c r="Y81" i="4"/>
  <c r="Y76" i="4"/>
  <c r="Y277" i="4"/>
  <c r="Y251" i="4"/>
  <c r="Y203" i="4"/>
  <c r="Y200" i="4"/>
  <c r="Y171" i="4"/>
  <c r="Y146" i="4"/>
  <c r="Y135" i="4"/>
  <c r="Y100" i="4"/>
  <c r="Y97" i="4"/>
  <c r="Y88" i="4"/>
  <c r="Y65" i="4"/>
  <c r="Y55" i="4"/>
  <c r="Y45" i="4"/>
  <c r="Y249" i="4"/>
  <c r="Y223" i="4"/>
  <c r="Y206" i="4"/>
  <c r="Y197" i="4"/>
  <c r="Y115" i="4"/>
  <c r="Y112" i="4"/>
  <c r="Y103" i="4"/>
  <c r="Y41" i="4"/>
  <c r="Y36" i="4"/>
  <c r="Y31" i="4"/>
  <c r="Y26" i="4"/>
  <c r="Y21" i="4"/>
  <c r="Y68" i="4"/>
  <c r="Y157" i="4"/>
  <c r="Y156" i="4"/>
  <c r="Y140" i="4"/>
  <c r="Y130" i="4"/>
  <c r="Y127" i="4"/>
  <c r="Y118" i="4"/>
  <c r="Y247" i="4"/>
  <c r="Y230" i="4"/>
  <c r="Y158" i="4"/>
  <c r="Y95" i="4"/>
  <c r="Y92" i="4"/>
  <c r="Y71" i="4"/>
  <c r="Y64" i="4"/>
  <c r="Y61" i="4"/>
  <c r="Y54" i="4"/>
  <c r="Y221" i="4"/>
  <c r="Y215" i="4"/>
  <c r="Y167" i="4"/>
  <c r="Y138" i="4"/>
  <c r="Y110" i="4"/>
  <c r="Y107" i="4"/>
  <c r="Y98" i="4"/>
  <c r="Y67" i="4"/>
  <c r="Y236" i="4"/>
  <c r="Y225" i="4"/>
  <c r="Y310" i="4"/>
  <c r="Y266" i="4"/>
  <c r="Y262" i="4"/>
  <c r="Y190" i="4"/>
  <c r="Y274" i="4"/>
  <c r="Y265" i="4"/>
  <c r="Y217" i="4"/>
  <c r="Y271" i="4"/>
  <c r="Y270" i="4"/>
  <c r="Y269" i="4"/>
  <c r="Y238" i="4"/>
  <c r="Y234" i="4"/>
  <c r="Y163" i="4"/>
  <c r="Y123" i="4"/>
  <c r="Y90" i="4"/>
  <c r="Y89" i="4"/>
  <c r="Y87" i="4"/>
  <c r="Y83" i="4"/>
  <c r="Y72" i="4"/>
  <c r="Y62" i="4"/>
  <c r="Y52" i="4"/>
  <c r="Y43" i="4"/>
  <c r="Y38" i="4"/>
  <c r="Y33" i="4"/>
  <c r="Y28" i="4"/>
  <c r="Y23" i="4"/>
  <c r="Y18" i="4"/>
  <c r="Y13" i="4"/>
  <c r="Y16" i="4"/>
  <c r="B31" i="3"/>
  <c r="B30" i="3"/>
  <c r="B32" i="3"/>
  <c r="Y12" i="4"/>
  <c r="B12" i="4"/>
  <c r="AF13" i="4"/>
  <c r="K14" i="4"/>
  <c r="K26" i="4"/>
  <c r="Y29" i="4"/>
  <c r="D30" i="4"/>
  <c r="Y32" i="4"/>
  <c r="Q33" i="4"/>
  <c r="K47" i="4"/>
  <c r="Y17" i="4"/>
  <c r="B18" i="4"/>
  <c r="Q18" i="4"/>
  <c r="S18" i="4" s="1"/>
  <c r="U18" i="4" s="1"/>
  <c r="V18" i="4" s="1"/>
  <c r="J1008" i="4"/>
  <c r="J1003" i="4"/>
  <c r="J998" i="4"/>
  <c r="J993" i="4"/>
  <c r="J988" i="4"/>
  <c r="J1000" i="4"/>
  <c r="J990" i="4"/>
  <c r="J1011" i="4"/>
  <c r="J999" i="4"/>
  <c r="J1007" i="4"/>
  <c r="J1002" i="4"/>
  <c r="J1010" i="4"/>
  <c r="J996" i="4"/>
  <c r="J989" i="4"/>
  <c r="J1005" i="4"/>
  <c r="J985" i="4"/>
  <c r="J979" i="4"/>
  <c r="J974" i="4"/>
  <c r="J1006" i="4"/>
  <c r="J1004" i="4"/>
  <c r="J1001" i="4"/>
  <c r="J997" i="4"/>
  <c r="J1009" i="4"/>
  <c r="J994" i="4"/>
  <c r="J984" i="4"/>
  <c r="J971" i="4"/>
  <c r="J966" i="4"/>
  <c r="J961" i="4"/>
  <c r="J956" i="4"/>
  <c r="J951" i="4"/>
  <c r="J983" i="4"/>
  <c r="J975" i="4"/>
  <c r="J973" i="4"/>
  <c r="J980" i="4"/>
  <c r="J978" i="4"/>
  <c r="J977" i="4"/>
  <c r="J976" i="4"/>
  <c r="J995" i="4"/>
  <c r="J992" i="4"/>
  <c r="J991" i="4"/>
  <c r="J987" i="4"/>
  <c r="J969" i="4"/>
  <c r="J965" i="4"/>
  <c r="J963" i="4"/>
  <c r="J962" i="4"/>
  <c r="J986" i="4"/>
  <c r="J981" i="4"/>
  <c r="J972" i="4"/>
  <c r="J947" i="4"/>
  <c r="J945" i="4"/>
  <c r="J940" i="4"/>
  <c r="J935" i="4"/>
  <c r="J930" i="4"/>
  <c r="J925" i="4"/>
  <c r="J967" i="4"/>
  <c r="J970" i="4"/>
  <c r="J982" i="4"/>
  <c r="J964" i="4"/>
  <c r="J949" i="4"/>
  <c r="J936" i="4"/>
  <c r="J934" i="4"/>
  <c r="J933" i="4"/>
  <c r="J932" i="4"/>
  <c r="J953" i="4"/>
  <c r="J952" i="4"/>
  <c r="J950" i="4"/>
  <c r="J948" i="4"/>
  <c r="J941" i="4"/>
  <c r="J939" i="4"/>
  <c r="J938" i="4"/>
  <c r="J937" i="4"/>
  <c r="J919" i="4"/>
  <c r="J914" i="4"/>
  <c r="J909" i="4"/>
  <c r="J904" i="4"/>
  <c r="J899" i="4"/>
  <c r="J968" i="4"/>
  <c r="J957" i="4"/>
  <c r="J954" i="4"/>
  <c r="J944" i="4"/>
  <c r="J943" i="4"/>
  <c r="J942" i="4"/>
  <c r="J946" i="4"/>
  <c r="J958" i="4"/>
  <c r="J959" i="4"/>
  <c r="J955" i="4"/>
  <c r="J960" i="4"/>
  <c r="J921" i="4"/>
  <c r="J896" i="4"/>
  <c r="J892" i="4"/>
  <c r="J887" i="4"/>
  <c r="J882" i="4"/>
  <c r="J877" i="4"/>
  <c r="J872" i="4"/>
  <c r="J867" i="4"/>
  <c r="J862" i="4"/>
  <c r="J857" i="4"/>
  <c r="J852" i="4"/>
  <c r="J928" i="4"/>
  <c r="J926" i="4"/>
  <c r="J924" i="4"/>
  <c r="J922" i="4"/>
  <c r="J931" i="4"/>
  <c r="J929" i="4"/>
  <c r="J927" i="4"/>
  <c r="J923" i="4"/>
  <c r="J920" i="4"/>
  <c r="J918" i="4"/>
  <c r="J917" i="4"/>
  <c r="J916" i="4"/>
  <c r="J915" i="4"/>
  <c r="J913" i="4"/>
  <c r="J907" i="4"/>
  <c r="J903" i="4"/>
  <c r="J855" i="4"/>
  <c r="J911" i="4"/>
  <c r="J902" i="4"/>
  <c r="J860" i="4"/>
  <c r="J856" i="4"/>
  <c r="J854" i="4"/>
  <c r="J853" i="4"/>
  <c r="J849" i="4"/>
  <c r="J845" i="4"/>
  <c r="J905" i="4"/>
  <c r="J897" i="4"/>
  <c r="J912" i="4"/>
  <c r="J910" i="4"/>
  <c r="J908" i="4"/>
  <c r="J906" i="4"/>
  <c r="J900" i="4"/>
  <c r="J898" i="4"/>
  <c r="J894" i="4"/>
  <c r="J893" i="4"/>
  <c r="J883" i="4"/>
  <c r="J873" i="4"/>
  <c r="J871" i="4"/>
  <c r="J869" i="4"/>
  <c r="J863" i="4"/>
  <c r="J851" i="4"/>
  <c r="J848" i="4"/>
  <c r="J843" i="4"/>
  <c r="J880" i="4"/>
  <c r="J839" i="4"/>
  <c r="J834" i="4"/>
  <c r="J829" i="4"/>
  <c r="J824" i="4"/>
  <c r="J819" i="4"/>
  <c r="J814" i="4"/>
  <c r="J809" i="4"/>
  <c r="J804" i="4"/>
  <c r="J895" i="4"/>
  <c r="J891" i="4"/>
  <c r="J876" i="4"/>
  <c r="J875" i="4"/>
  <c r="J858" i="4"/>
  <c r="J888" i="4"/>
  <c r="J884" i="4"/>
  <c r="J842" i="4"/>
  <c r="J837" i="4"/>
  <c r="J832" i="4"/>
  <c r="J827" i="4"/>
  <c r="J901" i="4"/>
  <c r="J885" i="4"/>
  <c r="J881" i="4"/>
  <c r="J870" i="4"/>
  <c r="J874" i="4"/>
  <c r="J866" i="4"/>
  <c r="J864" i="4"/>
  <c r="J861" i="4"/>
  <c r="J890" i="4"/>
  <c r="J865" i="4"/>
  <c r="J841" i="4"/>
  <c r="J840" i="4"/>
  <c r="J805" i="4"/>
  <c r="J803" i="4"/>
  <c r="J792" i="4"/>
  <c r="J889" i="4"/>
  <c r="J886" i="4"/>
  <c r="J868" i="4"/>
  <c r="J878" i="4"/>
  <c r="J850" i="4"/>
  <c r="J815" i="4"/>
  <c r="J813" i="4"/>
  <c r="J812" i="4"/>
  <c r="J811" i="4"/>
  <c r="J798" i="4"/>
  <c r="J795" i="4"/>
  <c r="J879" i="4"/>
  <c r="J836" i="4"/>
  <c r="J820" i="4"/>
  <c r="J818" i="4"/>
  <c r="J817" i="4"/>
  <c r="J816" i="4"/>
  <c r="J846" i="4"/>
  <c r="J844" i="4"/>
  <c r="J859" i="4"/>
  <c r="J847" i="4"/>
  <c r="J821" i="4"/>
  <c r="J800" i="4"/>
  <c r="J833" i="4"/>
  <c r="J825" i="4"/>
  <c r="J787" i="4"/>
  <c r="J784" i="4"/>
  <c r="J776" i="4"/>
  <c r="J771" i="4"/>
  <c r="J766" i="4"/>
  <c r="J761" i="4"/>
  <c r="J756" i="4"/>
  <c r="J751" i="4"/>
  <c r="J746" i="4"/>
  <c r="J741" i="4"/>
  <c r="J835" i="4"/>
  <c r="J828" i="4"/>
  <c r="J822" i="4"/>
  <c r="J802" i="4"/>
  <c r="J796" i="4"/>
  <c r="J783" i="4"/>
  <c r="J774" i="4"/>
  <c r="J769" i="4"/>
  <c r="J764" i="4"/>
  <c r="J831" i="4"/>
  <c r="J826" i="4"/>
  <c r="J799" i="4"/>
  <c r="J786" i="4"/>
  <c r="J823" i="4"/>
  <c r="J767" i="4"/>
  <c r="J760" i="4"/>
  <c r="J759" i="4"/>
  <c r="J758" i="4"/>
  <c r="J838" i="4"/>
  <c r="J793" i="4"/>
  <c r="J791" i="4"/>
  <c r="J789" i="4"/>
  <c r="J782" i="4"/>
  <c r="J736" i="4"/>
  <c r="J733" i="4"/>
  <c r="J730" i="4"/>
  <c r="J725" i="4"/>
  <c r="J720" i="4"/>
  <c r="J715" i="4"/>
  <c r="J710" i="4"/>
  <c r="J705" i="4"/>
  <c r="J700" i="4"/>
  <c r="J830" i="4"/>
  <c r="J781" i="4"/>
  <c r="J780" i="4"/>
  <c r="J779" i="4"/>
  <c r="J773" i="4"/>
  <c r="J770" i="4"/>
  <c r="J732" i="4"/>
  <c r="J728" i="4"/>
  <c r="J778" i="4"/>
  <c r="J772" i="4"/>
  <c r="J768" i="4"/>
  <c r="J765" i="4"/>
  <c r="J762" i="4"/>
  <c r="J810" i="4"/>
  <c r="J790" i="4"/>
  <c r="J785" i="4"/>
  <c r="J775" i="4"/>
  <c r="J757" i="4"/>
  <c r="J755" i="4"/>
  <c r="J749" i="4"/>
  <c r="J747" i="4"/>
  <c r="J745" i="4"/>
  <c r="J743" i="4"/>
  <c r="J734" i="4"/>
  <c r="J727" i="4"/>
  <c r="J701" i="4"/>
  <c r="J699" i="4"/>
  <c r="J698" i="4"/>
  <c r="J794" i="4"/>
  <c r="J753" i="4"/>
  <c r="J706" i="4"/>
  <c r="J704" i="4"/>
  <c r="J703" i="4"/>
  <c r="J702" i="4"/>
  <c r="J694" i="4"/>
  <c r="J690" i="4"/>
  <c r="J687" i="4"/>
  <c r="J676" i="4"/>
  <c r="J671" i="4"/>
  <c r="J666" i="4"/>
  <c r="J661" i="4"/>
  <c r="J656" i="4"/>
  <c r="J651" i="4"/>
  <c r="J646" i="4"/>
  <c r="J641" i="4"/>
  <c r="J806" i="4"/>
  <c r="J777" i="4"/>
  <c r="J711" i="4"/>
  <c r="J709" i="4"/>
  <c r="J708" i="4"/>
  <c r="J707" i="4"/>
  <c r="J729" i="4"/>
  <c r="J726" i="4"/>
  <c r="J716" i="4"/>
  <c r="J714" i="4"/>
  <c r="J713" i="4"/>
  <c r="J712" i="4"/>
  <c r="J697" i="4"/>
  <c r="J686" i="4"/>
  <c r="J679" i="4"/>
  <c r="J674" i="4"/>
  <c r="J669" i="4"/>
  <c r="J797" i="4"/>
  <c r="J739" i="4"/>
  <c r="J731" i="4"/>
  <c r="J721" i="4"/>
  <c r="J719" i="4"/>
  <c r="J718" i="4"/>
  <c r="J717" i="4"/>
  <c r="J693" i="4"/>
  <c r="J763" i="4"/>
  <c r="J744" i="4"/>
  <c r="J742" i="4"/>
  <c r="J740" i="4"/>
  <c r="J723" i="4"/>
  <c r="J722" i="4"/>
  <c r="J748" i="4"/>
  <c r="J737" i="4"/>
  <c r="J680" i="4"/>
  <c r="J667" i="4"/>
  <c r="J665" i="4"/>
  <c r="J664" i="4"/>
  <c r="J663" i="4"/>
  <c r="J623" i="4"/>
  <c r="J618" i="4"/>
  <c r="J613" i="4"/>
  <c r="J668" i="4"/>
  <c r="J638" i="4"/>
  <c r="J627" i="4"/>
  <c r="J750" i="4"/>
  <c r="J735" i="4"/>
  <c r="J691" i="4"/>
  <c r="J689" i="4"/>
  <c r="J682" i="4"/>
  <c r="J678" i="4"/>
  <c r="J675" i="4"/>
  <c r="J672" i="4"/>
  <c r="J696" i="4"/>
  <c r="J695" i="4"/>
  <c r="J688" i="4"/>
  <c r="J807" i="4"/>
  <c r="J752" i="4"/>
  <c r="J788" i="4"/>
  <c r="J684" i="4"/>
  <c r="J681" i="4"/>
  <c r="J801" i="4"/>
  <c r="J658" i="4"/>
  <c r="J654" i="4"/>
  <c r="J632" i="4"/>
  <c r="J738" i="4"/>
  <c r="J683" i="4"/>
  <c r="J677" i="4"/>
  <c r="J635" i="4"/>
  <c r="J614" i="4"/>
  <c r="J611" i="4"/>
  <c r="J606" i="4"/>
  <c r="J808" i="4"/>
  <c r="J754" i="4"/>
  <c r="J724" i="4"/>
  <c r="J670" i="4"/>
  <c r="J652" i="4"/>
  <c r="J650" i="4"/>
  <c r="J648" i="4"/>
  <c r="J653" i="4"/>
  <c r="J629" i="4"/>
  <c r="J626" i="4"/>
  <c r="J622" i="4"/>
  <c r="J616" i="4"/>
  <c r="J604" i="4"/>
  <c r="J649" i="4"/>
  <c r="J628" i="4"/>
  <c r="J600" i="4"/>
  <c r="J596" i="4"/>
  <c r="J593" i="4"/>
  <c r="J584" i="4"/>
  <c r="J579" i="4"/>
  <c r="J574" i="4"/>
  <c r="J569" i="4"/>
  <c r="J564" i="4"/>
  <c r="J559" i="4"/>
  <c r="J554" i="4"/>
  <c r="J549" i="4"/>
  <c r="J544" i="4"/>
  <c r="J539" i="4"/>
  <c r="J673" i="4"/>
  <c r="J639" i="4"/>
  <c r="J617" i="4"/>
  <c r="J692" i="4"/>
  <c r="J660" i="4"/>
  <c r="J659" i="4"/>
  <c r="J640" i="4"/>
  <c r="J637" i="4"/>
  <c r="J625" i="4"/>
  <c r="J621" i="4"/>
  <c r="J603" i="4"/>
  <c r="J592" i="4"/>
  <c r="J587" i="4"/>
  <c r="J582" i="4"/>
  <c r="J655" i="4"/>
  <c r="J636" i="4"/>
  <c r="J599" i="4"/>
  <c r="J620" i="4"/>
  <c r="J597" i="4"/>
  <c r="J590" i="4"/>
  <c r="J586" i="4"/>
  <c r="J581" i="4"/>
  <c r="J576" i="4"/>
  <c r="J571" i="4"/>
  <c r="J566" i="4"/>
  <c r="J561" i="4"/>
  <c r="J556" i="4"/>
  <c r="J551" i="4"/>
  <c r="J546" i="4"/>
  <c r="J645" i="4"/>
  <c r="J619" i="4"/>
  <c r="J607" i="4"/>
  <c r="J602" i="4"/>
  <c r="J562" i="4"/>
  <c r="J534" i="4"/>
  <c r="J531" i="4"/>
  <c r="J644" i="4"/>
  <c r="J583" i="4"/>
  <c r="J580" i="4"/>
  <c r="J575" i="4"/>
  <c r="J553" i="4"/>
  <c r="J550" i="4"/>
  <c r="J527" i="4"/>
  <c r="J521" i="4"/>
  <c r="J516" i="4"/>
  <c r="J511" i="4"/>
  <c r="J506" i="4"/>
  <c r="J501" i="4"/>
  <c r="J496" i="4"/>
  <c r="J491" i="4"/>
  <c r="J486" i="4"/>
  <c r="J481" i="4"/>
  <c r="J476" i="4"/>
  <c r="J471" i="4"/>
  <c r="J466" i="4"/>
  <c r="J461" i="4"/>
  <c r="J643" i="4"/>
  <c r="J609" i="4"/>
  <c r="J605" i="4"/>
  <c r="J595" i="4"/>
  <c r="J572" i="4"/>
  <c r="J547" i="4"/>
  <c r="J530" i="4"/>
  <c r="J642" i="4"/>
  <c r="J634" i="4"/>
  <c r="J563" i="4"/>
  <c r="J560" i="4"/>
  <c r="J524" i="4"/>
  <c r="J519" i="4"/>
  <c r="J514" i="4"/>
  <c r="J509" i="4"/>
  <c r="J504" i="4"/>
  <c r="J499" i="4"/>
  <c r="J494" i="4"/>
  <c r="J598" i="4"/>
  <c r="J578" i="4"/>
  <c r="J557" i="4"/>
  <c r="J540" i="4"/>
  <c r="J538" i="4"/>
  <c r="J537" i="4"/>
  <c r="J533" i="4"/>
  <c r="J529" i="4"/>
  <c r="J526" i="4"/>
  <c r="J662" i="4"/>
  <c r="J568" i="4"/>
  <c r="J565" i="4"/>
  <c r="J543" i="4"/>
  <c r="J523" i="4"/>
  <c r="J518" i="4"/>
  <c r="J513" i="4"/>
  <c r="J508" i="4"/>
  <c r="J503" i="4"/>
  <c r="J498" i="4"/>
  <c r="J493" i="4"/>
  <c r="J488" i="4"/>
  <c r="J483" i="4"/>
  <c r="J478" i="4"/>
  <c r="J473" i="4"/>
  <c r="J468" i="4"/>
  <c r="J463" i="4"/>
  <c r="J458" i="4"/>
  <c r="J453" i="4"/>
  <c r="J448" i="4"/>
  <c r="J685" i="4"/>
  <c r="J585" i="4"/>
  <c r="J536" i="4"/>
  <c r="J515" i="4"/>
  <c r="J474" i="4"/>
  <c r="J429" i="4"/>
  <c r="J422" i="4"/>
  <c r="J417" i="4"/>
  <c r="J412" i="4"/>
  <c r="J407" i="4"/>
  <c r="J402" i="4"/>
  <c r="J397" i="4"/>
  <c r="J392" i="4"/>
  <c r="J387" i="4"/>
  <c r="J382" i="4"/>
  <c r="J377" i="4"/>
  <c r="J372" i="4"/>
  <c r="J367" i="4"/>
  <c r="J362" i="4"/>
  <c r="J357" i="4"/>
  <c r="J352" i="4"/>
  <c r="J347" i="4"/>
  <c r="J342" i="4"/>
  <c r="J633" i="4"/>
  <c r="J608" i="4"/>
  <c r="J542" i="4"/>
  <c r="J512" i="4"/>
  <c r="J495" i="4"/>
  <c r="J492" i="4"/>
  <c r="J490" i="4"/>
  <c r="J487" i="4"/>
  <c r="J465" i="4"/>
  <c r="J462" i="4"/>
  <c r="J451" i="4"/>
  <c r="J447" i="4"/>
  <c r="J446" i="4"/>
  <c r="J443" i="4"/>
  <c r="J432" i="4"/>
  <c r="J425" i="4"/>
  <c r="J615" i="4"/>
  <c r="J507" i="4"/>
  <c r="J484" i="4"/>
  <c r="J456" i="4"/>
  <c r="J452" i="4"/>
  <c r="J450" i="4"/>
  <c r="J449" i="4"/>
  <c r="J594" i="4"/>
  <c r="J577" i="4"/>
  <c r="J558" i="4"/>
  <c r="J520" i="4"/>
  <c r="J475" i="4"/>
  <c r="J472" i="4"/>
  <c r="J457" i="4"/>
  <c r="J455" i="4"/>
  <c r="J454" i="4"/>
  <c r="J442" i="4"/>
  <c r="J435" i="4"/>
  <c r="J431" i="4"/>
  <c r="J428" i="4"/>
  <c r="J610" i="4"/>
  <c r="J532" i="4"/>
  <c r="J517" i="4"/>
  <c r="J469" i="4"/>
  <c r="J459" i="4"/>
  <c r="J424" i="4"/>
  <c r="J630" i="4"/>
  <c r="J647" i="4"/>
  <c r="J657" i="4"/>
  <c r="J631" i="4"/>
  <c r="J612" i="4"/>
  <c r="J624" i="4"/>
  <c r="J601" i="4"/>
  <c r="J528" i="4"/>
  <c r="J480" i="4"/>
  <c r="J477" i="4"/>
  <c r="J440" i="4"/>
  <c r="J436" i="4"/>
  <c r="J433" i="4"/>
  <c r="J541" i="4"/>
  <c r="J505" i="4"/>
  <c r="J497" i="4"/>
  <c r="J441" i="4"/>
  <c r="J423" i="4"/>
  <c r="J421" i="4"/>
  <c r="J420" i="4"/>
  <c r="J416" i="4"/>
  <c r="J413" i="4"/>
  <c r="J404" i="4"/>
  <c r="J567" i="4"/>
  <c r="J479" i="4"/>
  <c r="J460" i="4"/>
  <c r="J570" i="4"/>
  <c r="J591" i="4"/>
  <c r="J485" i="4"/>
  <c r="J482" i="4"/>
  <c r="J467" i="4"/>
  <c r="J573" i="4"/>
  <c r="J510" i="4"/>
  <c r="J500" i="4"/>
  <c r="J410" i="4"/>
  <c r="J408" i="4"/>
  <c r="J373" i="4"/>
  <c r="J363" i="4"/>
  <c r="J353" i="4"/>
  <c r="J343" i="4"/>
  <c r="J339" i="4"/>
  <c r="J334" i="4"/>
  <c r="J329" i="4"/>
  <c r="J324" i="4"/>
  <c r="J319" i="4"/>
  <c r="J314" i="4"/>
  <c r="J309" i="4"/>
  <c r="J304" i="4"/>
  <c r="J299" i="4"/>
  <c r="J294" i="4"/>
  <c r="J289" i="4"/>
  <c r="J284" i="4"/>
  <c r="J279" i="4"/>
  <c r="J274" i="4"/>
  <c r="J269" i="4"/>
  <c r="J264" i="4"/>
  <c r="J259" i="4"/>
  <c r="J254" i="4"/>
  <c r="J249" i="4"/>
  <c r="J244" i="4"/>
  <c r="J239" i="4"/>
  <c r="J234" i="4"/>
  <c r="J229" i="4"/>
  <c r="J224" i="4"/>
  <c r="J219" i="4"/>
  <c r="J589" i="4"/>
  <c r="J438" i="4"/>
  <c r="J419" i="4"/>
  <c r="J403" i="4"/>
  <c r="J401" i="4"/>
  <c r="J390" i="4"/>
  <c r="J376" i="4"/>
  <c r="J366" i="4"/>
  <c r="J356" i="4"/>
  <c r="J346" i="4"/>
  <c r="J405" i="4"/>
  <c r="J396" i="4"/>
  <c r="J393" i="4"/>
  <c r="J384" i="4"/>
  <c r="J369" i="4"/>
  <c r="J359" i="4"/>
  <c r="J349" i="4"/>
  <c r="J434" i="4"/>
  <c r="J399" i="4"/>
  <c r="J445" i="4"/>
  <c r="J439" i="4"/>
  <c r="J430" i="4"/>
  <c r="J418" i="4"/>
  <c r="J414" i="4"/>
  <c r="J385" i="4"/>
  <c r="J375" i="4"/>
  <c r="J365" i="4"/>
  <c r="J355" i="4"/>
  <c r="J345" i="4"/>
  <c r="J340" i="4"/>
  <c r="J335" i="4"/>
  <c r="J555" i="4"/>
  <c r="J525" i="4"/>
  <c r="J548" i="4"/>
  <c r="J489" i="4"/>
  <c r="J464" i="4"/>
  <c r="J545" i="4"/>
  <c r="J535" i="4"/>
  <c r="J588" i="4"/>
  <c r="J552" i="4"/>
  <c r="J522" i="4"/>
  <c r="J502" i="4"/>
  <c r="J470" i="4"/>
  <c r="J437" i="4"/>
  <c r="J398" i="4"/>
  <c r="J389" i="4"/>
  <c r="J370" i="4"/>
  <c r="J360" i="4"/>
  <c r="J350" i="4"/>
  <c r="J394" i="4"/>
  <c r="J391" i="4"/>
  <c r="J388" i="4"/>
  <c r="J386" i="4"/>
  <c r="J383" i="4"/>
  <c r="J354" i="4"/>
  <c r="J332" i="4"/>
  <c r="J326" i="4"/>
  <c r="J323" i="4"/>
  <c r="J282" i="4"/>
  <c r="J278" i="4"/>
  <c r="J276" i="4"/>
  <c r="J275" i="4"/>
  <c r="J230" i="4"/>
  <c r="J220" i="4"/>
  <c r="J406" i="4"/>
  <c r="J380" i="4"/>
  <c r="J378" i="4"/>
  <c r="J287" i="4"/>
  <c r="J283" i="4"/>
  <c r="J281" i="4"/>
  <c r="J280" i="4"/>
  <c r="J233" i="4"/>
  <c r="J223" i="4"/>
  <c r="J213" i="4"/>
  <c r="J208" i="4"/>
  <c r="J203" i="4"/>
  <c r="J198" i="4"/>
  <c r="J193" i="4"/>
  <c r="J188" i="4"/>
  <c r="J337" i="4"/>
  <c r="J315" i="4"/>
  <c r="J312" i="4"/>
  <c r="J306" i="4"/>
  <c r="J292" i="4"/>
  <c r="J288" i="4"/>
  <c r="J286" i="4"/>
  <c r="J285" i="4"/>
  <c r="J427" i="4"/>
  <c r="J426" i="4"/>
  <c r="J368" i="4"/>
  <c r="J330" i="4"/>
  <c r="J327" i="4"/>
  <c r="J321" i="4"/>
  <c r="J318" i="4"/>
  <c r="J297" i="4"/>
  <c r="J293" i="4"/>
  <c r="J291" i="4"/>
  <c r="J290" i="4"/>
  <c r="J247" i="4"/>
  <c r="J409" i="4"/>
  <c r="J371" i="4"/>
  <c r="J302" i="4"/>
  <c r="J298" i="4"/>
  <c r="J296" i="4"/>
  <c r="J295" i="4"/>
  <c r="J415" i="4"/>
  <c r="J411" i="4"/>
  <c r="J400" i="4"/>
  <c r="J395" i="4"/>
  <c r="J379" i="4"/>
  <c r="J374" i="4"/>
  <c r="J444" i="4"/>
  <c r="J381" i="4"/>
  <c r="J344" i="4"/>
  <c r="J338" i="4"/>
  <c r="J320" i="4"/>
  <c r="J317" i="4"/>
  <c r="J311" i="4"/>
  <c r="J308" i="4"/>
  <c r="J277" i="4"/>
  <c r="J273" i="4"/>
  <c r="J271" i="4"/>
  <c r="J270" i="4"/>
  <c r="J237" i="4"/>
  <c r="J227" i="4"/>
  <c r="J217" i="4"/>
  <c r="J215" i="4"/>
  <c r="J210" i="4"/>
  <c r="J205" i="4"/>
  <c r="J200" i="4"/>
  <c r="J195" i="4"/>
  <c r="J190" i="4"/>
  <c r="J185" i="4"/>
  <c r="J180" i="4"/>
  <c r="J175" i="4"/>
  <c r="J341" i="4"/>
  <c r="J333" i="4"/>
  <c r="J328" i="4"/>
  <c r="J325" i="4"/>
  <c r="J256" i="4"/>
  <c r="J231" i="4"/>
  <c r="J218" i="4"/>
  <c r="J216" i="4"/>
  <c r="J191" i="4"/>
  <c r="J171" i="4"/>
  <c r="J146" i="4"/>
  <c r="J140" i="4"/>
  <c r="J135" i="4"/>
  <c r="J130" i="4"/>
  <c r="J125" i="4"/>
  <c r="J120" i="4"/>
  <c r="J115" i="4"/>
  <c r="J110" i="4"/>
  <c r="J105" i="4"/>
  <c r="J100" i="4"/>
  <c r="J95" i="4"/>
  <c r="J90" i="4"/>
  <c r="J85" i="4"/>
  <c r="J80" i="4"/>
  <c r="J75" i="4"/>
  <c r="J70" i="4"/>
  <c r="J65" i="4"/>
  <c r="L65" i="4" s="1"/>
  <c r="N65" i="4" s="1"/>
  <c r="J60" i="4"/>
  <c r="J55" i="4"/>
  <c r="J50" i="4"/>
  <c r="J45" i="4"/>
  <c r="J348" i="4"/>
  <c r="J322" i="4"/>
  <c r="J303" i="4"/>
  <c r="J301" i="4"/>
  <c r="J260" i="4"/>
  <c r="J257" i="4"/>
  <c r="J240" i="4"/>
  <c r="J222" i="4"/>
  <c r="J207" i="4"/>
  <c r="J204" i="4"/>
  <c r="J167" i="4"/>
  <c r="J163" i="4"/>
  <c r="J160" i="4"/>
  <c r="J149" i="4"/>
  <c r="J142" i="4"/>
  <c r="J310" i="4"/>
  <c r="J235" i="4"/>
  <c r="J201" i="4"/>
  <c r="J178" i="4"/>
  <c r="J174" i="4"/>
  <c r="J358" i="4"/>
  <c r="J351" i="4"/>
  <c r="J316" i="4"/>
  <c r="J313" i="4"/>
  <c r="J305" i="4"/>
  <c r="J265" i="4"/>
  <c r="J261" i="4"/>
  <c r="J243" i="4"/>
  <c r="J226" i="4"/>
  <c r="J214" i="4"/>
  <c r="J192" i="4"/>
  <c r="J189" i="4"/>
  <c r="J183" i="4"/>
  <c r="J179" i="4"/>
  <c r="J177" i="4"/>
  <c r="J176" i="4"/>
  <c r="J173" i="4"/>
  <c r="J170" i="4"/>
  <c r="J159" i="4"/>
  <c r="J152" i="4"/>
  <c r="J148" i="4"/>
  <c r="J145" i="4"/>
  <c r="J336" i="4"/>
  <c r="J307" i="4"/>
  <c r="J262" i="4"/>
  <c r="J250" i="4"/>
  <c r="J248" i="4"/>
  <c r="J228" i="4"/>
  <c r="J211" i="4"/>
  <c r="J184" i="4"/>
  <c r="J182" i="4"/>
  <c r="J181" i="4"/>
  <c r="J166" i="4"/>
  <c r="J141" i="4"/>
  <c r="J300" i="4"/>
  <c r="J364" i="4"/>
  <c r="J331" i="4"/>
  <c r="J361" i="4"/>
  <c r="J272" i="4"/>
  <c r="J268" i="4"/>
  <c r="J245" i="4"/>
  <c r="J197" i="4"/>
  <c r="J194" i="4"/>
  <c r="J164" i="4"/>
  <c r="J157" i="4"/>
  <c r="J153" i="4"/>
  <c r="J150" i="4"/>
  <c r="J258" i="4"/>
  <c r="J253" i="4"/>
  <c r="J158" i="4"/>
  <c r="J129" i="4"/>
  <c r="J126" i="4"/>
  <c r="J117" i="4"/>
  <c r="J81" i="4"/>
  <c r="J79" i="4"/>
  <c r="J78" i="4"/>
  <c r="J77" i="4"/>
  <c r="J73" i="4"/>
  <c r="J63" i="4"/>
  <c r="J53" i="4"/>
  <c r="J42" i="4"/>
  <c r="J37" i="4"/>
  <c r="J32" i="4"/>
  <c r="J27" i="4"/>
  <c r="J22" i="4"/>
  <c r="J17" i="4"/>
  <c r="J12" i="4"/>
  <c r="J232" i="4"/>
  <c r="J225" i="4"/>
  <c r="J221" i="4"/>
  <c r="J196" i="4"/>
  <c r="J172" i="4"/>
  <c r="J162" i="4"/>
  <c r="J132" i="4"/>
  <c r="J103" i="4"/>
  <c r="J94" i="4"/>
  <c r="J86" i="4"/>
  <c r="J84" i="4"/>
  <c r="J83" i="4"/>
  <c r="J82" i="4"/>
  <c r="J66" i="4"/>
  <c r="J56" i="4"/>
  <c r="J46" i="4"/>
  <c r="L46" i="4" s="1"/>
  <c r="N46" i="4" s="1"/>
  <c r="O46" i="4" s="1"/>
  <c r="J69" i="4"/>
  <c r="J267" i="4"/>
  <c r="J266" i="4"/>
  <c r="J263" i="4"/>
  <c r="J252" i="4"/>
  <c r="J139" i="4"/>
  <c r="J138" i="4"/>
  <c r="J118" i="4"/>
  <c r="J109" i="4"/>
  <c r="J106" i="4"/>
  <c r="J97" i="4"/>
  <c r="J91" i="4"/>
  <c r="J89" i="4"/>
  <c r="J88" i="4"/>
  <c r="J87" i="4"/>
  <c r="J212" i="4"/>
  <c r="J165" i="4"/>
  <c r="J124" i="4"/>
  <c r="J121" i="4"/>
  <c r="J112" i="4"/>
  <c r="J72" i="4"/>
  <c r="J62" i="4"/>
  <c r="L62" i="4" s="1"/>
  <c r="N62" i="4" s="1"/>
  <c r="O62" i="4" s="1"/>
  <c r="J251" i="4"/>
  <c r="J151" i="4"/>
  <c r="J143" i="4"/>
  <c r="J137" i="4"/>
  <c r="J134" i="4"/>
  <c r="J127" i="4"/>
  <c r="J98" i="4"/>
  <c r="J242" i="4"/>
  <c r="J238" i="4"/>
  <c r="J202" i="4"/>
  <c r="J199" i="4"/>
  <c r="J255" i="4"/>
  <c r="J246" i="4"/>
  <c r="J241" i="4"/>
  <c r="J236" i="4"/>
  <c r="J186" i="4"/>
  <c r="J169" i="4"/>
  <c r="J156" i="4"/>
  <c r="J147" i="4"/>
  <c r="J123" i="4"/>
  <c r="J114" i="4"/>
  <c r="J111" i="4"/>
  <c r="J102" i="4"/>
  <c r="J76" i="4"/>
  <c r="J74" i="4"/>
  <c r="P1011" i="4"/>
  <c r="P1007" i="4"/>
  <c r="S1007" i="4" s="1"/>
  <c r="U1007" i="4" s="1"/>
  <c r="P1002" i="4"/>
  <c r="S1002" i="4" s="1"/>
  <c r="U1002" i="4" s="1"/>
  <c r="P997" i="4"/>
  <c r="P992" i="4"/>
  <c r="S992" i="4" s="1"/>
  <c r="U992" i="4" s="1"/>
  <c r="P987" i="4"/>
  <c r="P1006" i="4"/>
  <c r="P1009" i="4"/>
  <c r="P1008" i="4"/>
  <c r="S1008" i="4" s="1"/>
  <c r="U1008" i="4" s="1"/>
  <c r="P998" i="4"/>
  <c r="P988" i="4"/>
  <c r="P1010" i="4"/>
  <c r="S1010" i="4" s="1"/>
  <c r="U1010" i="4" s="1"/>
  <c r="P1004" i="4"/>
  <c r="P1001" i="4"/>
  <c r="P986" i="4"/>
  <c r="S986" i="4" s="1"/>
  <c r="U986" i="4" s="1"/>
  <c r="P982" i="4"/>
  <c r="S982" i="4" s="1"/>
  <c r="U982" i="4" s="1"/>
  <c r="P983" i="4"/>
  <c r="P978" i="4"/>
  <c r="P973" i="4"/>
  <c r="S973" i="4" s="1"/>
  <c r="U973" i="4" s="1"/>
  <c r="P1000" i="4"/>
  <c r="P995" i="4"/>
  <c r="S995" i="4" s="1"/>
  <c r="U995" i="4" s="1"/>
  <c r="P984" i="4"/>
  <c r="S984" i="4" s="1"/>
  <c r="U984" i="4" s="1"/>
  <c r="P980" i="4"/>
  <c r="P970" i="4"/>
  <c r="P965" i="4"/>
  <c r="S965" i="4" s="1"/>
  <c r="U965" i="4" s="1"/>
  <c r="P960" i="4"/>
  <c r="S960" i="4" s="1"/>
  <c r="U960" i="4" s="1"/>
  <c r="P955" i="4"/>
  <c r="P950" i="4"/>
  <c r="S950" i="4" s="1"/>
  <c r="U950" i="4" s="1"/>
  <c r="P999" i="4"/>
  <c r="S999" i="4" s="1"/>
  <c r="U999" i="4" s="1"/>
  <c r="P990" i="4"/>
  <c r="P991" i="4"/>
  <c r="P989" i="4"/>
  <c r="S989" i="4" s="1"/>
  <c r="U989" i="4" s="1"/>
  <c r="P1003" i="4"/>
  <c r="S1003" i="4" s="1"/>
  <c r="U1003" i="4" s="1"/>
  <c r="P993" i="4"/>
  <c r="P996" i="4"/>
  <c r="P1005" i="4"/>
  <c r="P994" i="4"/>
  <c r="P974" i="4"/>
  <c r="S974" i="4" s="1"/>
  <c r="U974" i="4" s="1"/>
  <c r="P944" i="4"/>
  <c r="S944" i="4" s="1"/>
  <c r="U944" i="4" s="1"/>
  <c r="P939" i="4"/>
  <c r="S939" i="4" s="1"/>
  <c r="U939" i="4" s="1"/>
  <c r="P934" i="4"/>
  <c r="P929" i="4"/>
  <c r="S929" i="4" s="1"/>
  <c r="U929" i="4" s="1"/>
  <c r="P924" i="4"/>
  <c r="P985" i="4"/>
  <c r="P968" i="4"/>
  <c r="S968" i="4" s="1"/>
  <c r="U968" i="4" s="1"/>
  <c r="P953" i="4"/>
  <c r="P971" i="4"/>
  <c r="S971" i="4" s="1"/>
  <c r="U971" i="4" s="1"/>
  <c r="P958" i="4"/>
  <c r="P954" i="4"/>
  <c r="P952" i="4"/>
  <c r="P951" i="4"/>
  <c r="S951" i="4" s="1"/>
  <c r="U951" i="4" s="1"/>
  <c r="P979" i="4"/>
  <c r="S979" i="4" s="1"/>
  <c r="U979" i="4" s="1"/>
  <c r="P975" i="4"/>
  <c r="P963" i="4"/>
  <c r="P959" i="4"/>
  <c r="P957" i="4"/>
  <c r="S957" i="4" s="1"/>
  <c r="U957" i="4" s="1"/>
  <c r="P956" i="4"/>
  <c r="P976" i="4"/>
  <c r="P972" i="4"/>
  <c r="S972" i="4" s="1"/>
  <c r="U972" i="4" s="1"/>
  <c r="P981" i="4"/>
  <c r="P977" i="4"/>
  <c r="S977" i="4" s="1"/>
  <c r="U977" i="4" s="1"/>
  <c r="P967" i="4"/>
  <c r="S967" i="4" s="1"/>
  <c r="U967" i="4" s="1"/>
  <c r="P962" i="4"/>
  <c r="P946" i="4"/>
  <c r="P918" i="4"/>
  <c r="S918" i="4" s="1"/>
  <c r="U918" i="4" s="1"/>
  <c r="P913" i="4"/>
  <c r="S913" i="4" s="1"/>
  <c r="U913" i="4" s="1"/>
  <c r="P908" i="4"/>
  <c r="S908" i="4" s="1"/>
  <c r="U908" i="4" s="1"/>
  <c r="P903" i="4"/>
  <c r="P898" i="4"/>
  <c r="S898" i="4" s="1"/>
  <c r="U898" i="4" s="1"/>
  <c r="P966" i="4"/>
  <c r="P964" i="4"/>
  <c r="S964" i="4" s="1"/>
  <c r="U964" i="4" s="1"/>
  <c r="P969" i="4"/>
  <c r="S969" i="4" s="1"/>
  <c r="U969" i="4" s="1"/>
  <c r="P948" i="4"/>
  <c r="S948" i="4" s="1"/>
  <c r="U948" i="4" s="1"/>
  <c r="P945" i="4"/>
  <c r="P961" i="4"/>
  <c r="S961" i="4" s="1"/>
  <c r="U961" i="4" s="1"/>
  <c r="P949" i="4"/>
  <c r="P947" i="4"/>
  <c r="P901" i="4"/>
  <c r="P899" i="4"/>
  <c r="S899" i="4" s="1"/>
  <c r="U899" i="4" s="1"/>
  <c r="P891" i="4"/>
  <c r="P886" i="4"/>
  <c r="S886" i="4" s="1"/>
  <c r="U886" i="4" s="1"/>
  <c r="P881" i="4"/>
  <c r="S881" i="4" s="1"/>
  <c r="U881" i="4" s="1"/>
  <c r="P876" i="4"/>
  <c r="S876" i="4" s="1"/>
  <c r="U876" i="4" s="1"/>
  <c r="P871" i="4"/>
  <c r="S871" i="4" s="1"/>
  <c r="U871" i="4" s="1"/>
  <c r="P866" i="4"/>
  <c r="S866" i="4" s="1"/>
  <c r="U866" i="4" s="1"/>
  <c r="P861" i="4"/>
  <c r="S861" i="4" s="1"/>
  <c r="U861" i="4" s="1"/>
  <c r="P856" i="4"/>
  <c r="S856" i="4" s="1"/>
  <c r="U856" i="4" s="1"/>
  <c r="P851" i="4"/>
  <c r="P943" i="4"/>
  <c r="P935" i="4"/>
  <c r="P906" i="4"/>
  <c r="S906" i="4" s="1"/>
  <c r="U906" i="4" s="1"/>
  <c r="P904" i="4"/>
  <c r="S904" i="4" s="1"/>
  <c r="U904" i="4" s="1"/>
  <c r="P902" i="4"/>
  <c r="P900" i="4"/>
  <c r="S900" i="4" s="1"/>
  <c r="U900" i="4" s="1"/>
  <c r="P897" i="4"/>
  <c r="S897" i="4" s="1"/>
  <c r="U897" i="4" s="1"/>
  <c r="P941" i="4"/>
  <c r="P927" i="4"/>
  <c r="P925" i="4"/>
  <c r="S925" i="4" s="1"/>
  <c r="U925" i="4" s="1"/>
  <c r="P911" i="4"/>
  <c r="S911" i="4" s="1"/>
  <c r="U911" i="4" s="1"/>
  <c r="P909" i="4"/>
  <c r="P907" i="4"/>
  <c r="S907" i="4" s="1"/>
  <c r="U907" i="4" s="1"/>
  <c r="P931" i="4"/>
  <c r="S931" i="4" s="1"/>
  <c r="U931" i="4" s="1"/>
  <c r="P923" i="4"/>
  <c r="P916" i="4"/>
  <c r="S916" i="4" s="1"/>
  <c r="U916" i="4" s="1"/>
  <c r="P914" i="4"/>
  <c r="S914" i="4" s="1"/>
  <c r="U914" i="4" s="1"/>
  <c r="P912" i="4"/>
  <c r="P910" i="4"/>
  <c r="P936" i="4"/>
  <c r="S936" i="4" s="1"/>
  <c r="U936" i="4" s="1"/>
  <c r="P919" i="4"/>
  <c r="S919" i="4" s="1"/>
  <c r="U919" i="4" s="1"/>
  <c r="P917" i="4"/>
  <c r="P915" i="4"/>
  <c r="S915" i="4" s="1"/>
  <c r="U915" i="4" s="1"/>
  <c r="P942" i="4"/>
  <c r="S942" i="4" s="1"/>
  <c r="U942" i="4" s="1"/>
  <c r="P940" i="4"/>
  <c r="P937" i="4"/>
  <c r="P921" i="4"/>
  <c r="S921" i="4" s="1"/>
  <c r="U921" i="4" s="1"/>
  <c r="P930" i="4"/>
  <c r="P922" i="4"/>
  <c r="P928" i="4"/>
  <c r="P938" i="4"/>
  <c r="P933" i="4"/>
  <c r="S933" i="4" s="1"/>
  <c r="U933" i="4" s="1"/>
  <c r="P932" i="4"/>
  <c r="S932" i="4" s="1"/>
  <c r="U932" i="4" s="1"/>
  <c r="P926" i="4"/>
  <c r="S926" i="4" s="1"/>
  <c r="U926" i="4" s="1"/>
  <c r="P879" i="4"/>
  <c r="P875" i="4"/>
  <c r="P873" i="4"/>
  <c r="S873" i="4" s="1"/>
  <c r="U873" i="4" s="1"/>
  <c r="P872" i="4"/>
  <c r="P884" i="4"/>
  <c r="S884" i="4" s="1"/>
  <c r="U884" i="4" s="1"/>
  <c r="P880" i="4"/>
  <c r="P878" i="4"/>
  <c r="P877" i="4"/>
  <c r="S877" i="4" s="1"/>
  <c r="U877" i="4" s="1"/>
  <c r="P844" i="4"/>
  <c r="P920" i="4"/>
  <c r="S920" i="4" s="1"/>
  <c r="U920" i="4" s="1"/>
  <c r="P889" i="4"/>
  <c r="S889" i="4" s="1"/>
  <c r="U889" i="4" s="1"/>
  <c r="P885" i="4"/>
  <c r="S885" i="4" s="1"/>
  <c r="U885" i="4" s="1"/>
  <c r="P883" i="4"/>
  <c r="S883" i="4" s="1"/>
  <c r="U883" i="4" s="1"/>
  <c r="P882" i="4"/>
  <c r="P894" i="4"/>
  <c r="P890" i="4"/>
  <c r="P888" i="4"/>
  <c r="P887" i="4"/>
  <c r="S887" i="4" s="1"/>
  <c r="U887" i="4" s="1"/>
  <c r="P893" i="4"/>
  <c r="P892" i="4"/>
  <c r="P896" i="4"/>
  <c r="S896" i="4" s="1"/>
  <c r="U896" i="4" s="1"/>
  <c r="P905" i="4"/>
  <c r="P864" i="4"/>
  <c r="P841" i="4"/>
  <c r="S841" i="4" s="1"/>
  <c r="U841" i="4" s="1"/>
  <c r="P862" i="4"/>
  <c r="P838" i="4"/>
  <c r="P833" i="4"/>
  <c r="P828" i="4"/>
  <c r="S828" i="4" s="1"/>
  <c r="U828" i="4" s="1"/>
  <c r="P823" i="4"/>
  <c r="S823" i="4" s="1"/>
  <c r="U823" i="4" s="1"/>
  <c r="P818" i="4"/>
  <c r="S818" i="4" s="1"/>
  <c r="U818" i="4" s="1"/>
  <c r="P813" i="4"/>
  <c r="P808" i="4"/>
  <c r="S808" i="4" s="1"/>
  <c r="U808" i="4" s="1"/>
  <c r="P803" i="4"/>
  <c r="S803" i="4" s="1"/>
  <c r="U803" i="4" s="1"/>
  <c r="P874" i="4"/>
  <c r="S874" i="4" s="1"/>
  <c r="U874" i="4" s="1"/>
  <c r="P870" i="4"/>
  <c r="P868" i="4"/>
  <c r="P855" i="4"/>
  <c r="S855" i="4" s="1"/>
  <c r="U855" i="4" s="1"/>
  <c r="P853" i="4"/>
  <c r="S853" i="4" s="1"/>
  <c r="U853" i="4" s="1"/>
  <c r="P850" i="4"/>
  <c r="P857" i="4"/>
  <c r="P847" i="4"/>
  <c r="P845" i="4"/>
  <c r="P836" i="4"/>
  <c r="S836" i="4" s="1"/>
  <c r="U836" i="4" s="1"/>
  <c r="P831" i="4"/>
  <c r="P859" i="4"/>
  <c r="S859" i="4" s="1"/>
  <c r="U859" i="4" s="1"/>
  <c r="P846" i="4"/>
  <c r="P843" i="4"/>
  <c r="P869" i="4"/>
  <c r="P854" i="4"/>
  <c r="S854" i="4" s="1"/>
  <c r="U854" i="4" s="1"/>
  <c r="P826" i="4"/>
  <c r="P824" i="4"/>
  <c r="P822" i="4"/>
  <c r="P820" i="4"/>
  <c r="S820" i="4" s="1"/>
  <c r="U820" i="4" s="1"/>
  <c r="P797" i="4"/>
  <c r="S797" i="4" s="1"/>
  <c r="U797" i="4" s="1"/>
  <c r="P825" i="4"/>
  <c r="P791" i="4"/>
  <c r="P860" i="4"/>
  <c r="S860" i="4" s="1"/>
  <c r="U860" i="4" s="1"/>
  <c r="P848" i="4"/>
  <c r="P830" i="4"/>
  <c r="S830" i="4" s="1"/>
  <c r="U830" i="4" s="1"/>
  <c r="P827" i="4"/>
  <c r="S827" i="4" s="1"/>
  <c r="U827" i="4" s="1"/>
  <c r="P863" i="4"/>
  <c r="P796" i="4"/>
  <c r="P867" i="4"/>
  <c r="S867" i="4" s="1"/>
  <c r="U867" i="4" s="1"/>
  <c r="P835" i="4"/>
  <c r="P849" i="4"/>
  <c r="S849" i="4" s="1"/>
  <c r="U849" i="4" s="1"/>
  <c r="P840" i="4"/>
  <c r="P839" i="4"/>
  <c r="S839" i="4" s="1"/>
  <c r="U839" i="4" s="1"/>
  <c r="P799" i="4"/>
  <c r="P782" i="4"/>
  <c r="P794" i="4"/>
  <c r="P792" i="4"/>
  <c r="S792" i="4" s="1"/>
  <c r="U792" i="4" s="1"/>
  <c r="P790" i="4"/>
  <c r="P789" i="4"/>
  <c r="P775" i="4"/>
  <c r="P770" i="4"/>
  <c r="P765" i="4"/>
  <c r="S765" i="4" s="1"/>
  <c r="U765" i="4" s="1"/>
  <c r="P760" i="4"/>
  <c r="P755" i="4"/>
  <c r="P750" i="4"/>
  <c r="S750" i="4" s="1"/>
  <c r="U750" i="4" s="1"/>
  <c r="P745" i="4"/>
  <c r="P740" i="4"/>
  <c r="S740" i="4" s="1"/>
  <c r="U740" i="4" s="1"/>
  <c r="P829" i="4"/>
  <c r="P793" i="4"/>
  <c r="S793" i="4" s="1"/>
  <c r="U793" i="4" s="1"/>
  <c r="P785" i="4"/>
  <c r="S785" i="4" s="1"/>
  <c r="U785" i="4" s="1"/>
  <c r="P795" i="4"/>
  <c r="P781" i="4"/>
  <c r="P778" i="4"/>
  <c r="S778" i="4" s="1"/>
  <c r="U778" i="4" s="1"/>
  <c r="P773" i="4"/>
  <c r="P768" i="4"/>
  <c r="S768" i="4" s="1"/>
  <c r="U768" i="4" s="1"/>
  <c r="P763" i="4"/>
  <c r="S763" i="4" s="1"/>
  <c r="U763" i="4" s="1"/>
  <c r="P834" i="4"/>
  <c r="S834" i="4" s="1"/>
  <c r="U834" i="4" s="1"/>
  <c r="P816" i="4"/>
  <c r="P809" i="4"/>
  <c r="P806" i="4"/>
  <c r="P801" i="4"/>
  <c r="P788" i="4"/>
  <c r="P895" i="4"/>
  <c r="P832" i="4"/>
  <c r="S832" i="4" s="1"/>
  <c r="U832" i="4" s="1"/>
  <c r="P811" i="4"/>
  <c r="S811" i="4" s="1"/>
  <c r="U811" i="4" s="1"/>
  <c r="P807" i="4"/>
  <c r="S807" i="4" s="1"/>
  <c r="U807" i="4" s="1"/>
  <c r="P804" i="4"/>
  <c r="P842" i="4"/>
  <c r="P812" i="4"/>
  <c r="S812" i="4" s="1"/>
  <c r="U812" i="4" s="1"/>
  <c r="P787" i="4"/>
  <c r="S787" i="4" s="1"/>
  <c r="U787" i="4" s="1"/>
  <c r="P783" i="4"/>
  <c r="S783" i="4" s="1"/>
  <c r="U783" i="4" s="1"/>
  <c r="P779" i="4"/>
  <c r="P731" i="4"/>
  <c r="S731" i="4" s="1"/>
  <c r="U731" i="4" s="1"/>
  <c r="P858" i="4"/>
  <c r="S858" i="4" s="1"/>
  <c r="U858" i="4" s="1"/>
  <c r="P798" i="4"/>
  <c r="S798" i="4" s="1"/>
  <c r="U798" i="4" s="1"/>
  <c r="P762" i="4"/>
  <c r="S762" i="4" s="1"/>
  <c r="U762" i="4" s="1"/>
  <c r="P743" i="4"/>
  <c r="S743" i="4" s="1"/>
  <c r="U743" i="4" s="1"/>
  <c r="P741" i="4"/>
  <c r="P739" i="4"/>
  <c r="S739" i="4" s="1"/>
  <c r="U739" i="4" s="1"/>
  <c r="P738" i="4"/>
  <c r="S738" i="4" s="1"/>
  <c r="U738" i="4" s="1"/>
  <c r="P729" i="4"/>
  <c r="S729" i="4" s="1"/>
  <c r="U729" i="4" s="1"/>
  <c r="P724" i="4"/>
  <c r="P719" i="4"/>
  <c r="S719" i="4" s="1"/>
  <c r="U719" i="4" s="1"/>
  <c r="P714" i="4"/>
  <c r="P709" i="4"/>
  <c r="S709" i="4" s="1"/>
  <c r="U709" i="4" s="1"/>
  <c r="P704" i="4"/>
  <c r="S704" i="4" s="1"/>
  <c r="U704" i="4" s="1"/>
  <c r="P699" i="4"/>
  <c r="S699" i="4" s="1"/>
  <c r="U699" i="4" s="1"/>
  <c r="P802" i="4"/>
  <c r="P772" i="4"/>
  <c r="S772" i="4" s="1"/>
  <c r="U772" i="4" s="1"/>
  <c r="P766" i="4"/>
  <c r="S766" i="4" s="1"/>
  <c r="U766" i="4" s="1"/>
  <c r="P748" i="4"/>
  <c r="P746" i="4"/>
  <c r="P744" i="4"/>
  <c r="S744" i="4" s="1"/>
  <c r="U744" i="4" s="1"/>
  <c r="P817" i="4"/>
  <c r="P810" i="4"/>
  <c r="P769" i="4"/>
  <c r="S769" i="4" s="1"/>
  <c r="U769" i="4" s="1"/>
  <c r="P753" i="4"/>
  <c r="P751" i="4"/>
  <c r="S751" i="4" s="1"/>
  <c r="U751" i="4" s="1"/>
  <c r="P749" i="4"/>
  <c r="S749" i="4" s="1"/>
  <c r="U749" i="4" s="1"/>
  <c r="P747" i="4"/>
  <c r="P727" i="4"/>
  <c r="S727" i="4" s="1"/>
  <c r="U727" i="4" s="1"/>
  <c r="P777" i="4"/>
  <c r="P771" i="4"/>
  <c r="S771" i="4" s="1"/>
  <c r="U771" i="4" s="1"/>
  <c r="P758" i="4"/>
  <c r="S758" i="4" s="1"/>
  <c r="U758" i="4" s="1"/>
  <c r="P756" i="4"/>
  <c r="P754" i="4"/>
  <c r="S754" i="4" s="1"/>
  <c r="U754" i="4" s="1"/>
  <c r="P752" i="4"/>
  <c r="S752" i="4" s="1"/>
  <c r="U752" i="4" s="1"/>
  <c r="P737" i="4"/>
  <c r="P815" i="4"/>
  <c r="S815" i="4" s="1"/>
  <c r="U815" i="4" s="1"/>
  <c r="P774" i="4"/>
  <c r="P759" i="4"/>
  <c r="P757" i="4"/>
  <c r="S757" i="4" s="1"/>
  <c r="U757" i="4" s="1"/>
  <c r="P821" i="4"/>
  <c r="S821" i="4" s="1"/>
  <c r="U821" i="4" s="1"/>
  <c r="P726" i="4"/>
  <c r="S726" i="4" s="1"/>
  <c r="U726" i="4" s="1"/>
  <c r="P723" i="4"/>
  <c r="S723" i="4" s="1"/>
  <c r="U723" i="4" s="1"/>
  <c r="P721" i="4"/>
  <c r="P696" i="4"/>
  <c r="P685" i="4"/>
  <c r="P692" i="4"/>
  <c r="S692" i="4" s="1"/>
  <c r="U692" i="4" s="1"/>
  <c r="P675" i="4"/>
  <c r="S675" i="4" s="1"/>
  <c r="U675" i="4" s="1"/>
  <c r="P670" i="4"/>
  <c r="S670" i="4" s="1"/>
  <c r="U670" i="4" s="1"/>
  <c r="P665" i="4"/>
  <c r="P660" i="4"/>
  <c r="S660" i="4" s="1"/>
  <c r="U660" i="4" s="1"/>
  <c r="P655" i="4"/>
  <c r="P650" i="4"/>
  <c r="S650" i="4" s="1"/>
  <c r="U650" i="4" s="1"/>
  <c r="P645" i="4"/>
  <c r="S645" i="4" s="1"/>
  <c r="U645" i="4" s="1"/>
  <c r="P640" i="4"/>
  <c r="S640" i="4" s="1"/>
  <c r="U640" i="4" s="1"/>
  <c r="P865" i="4"/>
  <c r="P814" i="4"/>
  <c r="S814" i="4" s="1"/>
  <c r="U814" i="4" s="1"/>
  <c r="P786" i="4"/>
  <c r="S786" i="4" s="1"/>
  <c r="U786" i="4" s="1"/>
  <c r="P784" i="4"/>
  <c r="P776" i="4"/>
  <c r="S776" i="4" s="1"/>
  <c r="U776" i="4" s="1"/>
  <c r="P742" i="4"/>
  <c r="P728" i="4"/>
  <c r="P684" i="4"/>
  <c r="S684" i="4" s="1"/>
  <c r="U684" i="4" s="1"/>
  <c r="P678" i="4"/>
  <c r="S678" i="4" s="1"/>
  <c r="U678" i="4" s="1"/>
  <c r="P673" i="4"/>
  <c r="S673" i="4" s="1"/>
  <c r="U673" i="4" s="1"/>
  <c r="P852" i="4"/>
  <c r="P819" i="4"/>
  <c r="P730" i="4"/>
  <c r="P691" i="4"/>
  <c r="P837" i="4"/>
  <c r="P733" i="4"/>
  <c r="S733" i="4" s="1"/>
  <c r="U733" i="4" s="1"/>
  <c r="P725" i="4"/>
  <c r="S725" i="4" s="1"/>
  <c r="U725" i="4" s="1"/>
  <c r="P735" i="4"/>
  <c r="S735" i="4" s="1"/>
  <c r="U735" i="4" s="1"/>
  <c r="P734" i="4"/>
  <c r="S734" i="4" s="1"/>
  <c r="U734" i="4" s="1"/>
  <c r="P695" i="4"/>
  <c r="P694" i="4"/>
  <c r="P689" i="4"/>
  <c r="S689" i="4" s="1"/>
  <c r="U689" i="4" s="1"/>
  <c r="P676" i="4"/>
  <c r="P643" i="4"/>
  <c r="S643" i="4" s="1"/>
  <c r="U643" i="4" s="1"/>
  <c r="P641" i="4"/>
  <c r="S641" i="4" s="1"/>
  <c r="U641" i="4" s="1"/>
  <c r="P636" i="4"/>
  <c r="S636" i="4" s="1"/>
  <c r="U636" i="4" s="1"/>
  <c r="P629" i="4"/>
  <c r="P622" i="4"/>
  <c r="P617" i="4"/>
  <c r="S617" i="4" s="1"/>
  <c r="U617" i="4" s="1"/>
  <c r="P612" i="4"/>
  <c r="S612" i="4" s="1"/>
  <c r="U612" i="4" s="1"/>
  <c r="P780" i="4"/>
  <c r="P681" i="4"/>
  <c r="S681" i="4" s="1"/>
  <c r="U681" i="4" s="1"/>
  <c r="P679" i="4"/>
  <c r="S679" i="4" s="1"/>
  <c r="U679" i="4" s="1"/>
  <c r="P648" i="4"/>
  <c r="S648" i="4" s="1"/>
  <c r="U648" i="4" s="1"/>
  <c r="P646" i="4"/>
  <c r="P644" i="4"/>
  <c r="P642" i="4"/>
  <c r="S642" i="4" s="1"/>
  <c r="U642" i="4" s="1"/>
  <c r="P712" i="4"/>
  <c r="S712" i="4" s="1"/>
  <c r="U712" i="4" s="1"/>
  <c r="P710" i="4"/>
  <c r="S710" i="4" s="1"/>
  <c r="U710" i="4" s="1"/>
  <c r="P686" i="4"/>
  <c r="S686" i="4" s="1"/>
  <c r="U686" i="4" s="1"/>
  <c r="P722" i="4"/>
  <c r="P720" i="4"/>
  <c r="S720" i="4" s="1"/>
  <c r="U720" i="4" s="1"/>
  <c r="P708" i="4"/>
  <c r="S708" i="4" s="1"/>
  <c r="U708" i="4" s="1"/>
  <c r="P706" i="4"/>
  <c r="P693" i="4"/>
  <c r="P805" i="4"/>
  <c r="S805" i="4" s="1"/>
  <c r="U805" i="4" s="1"/>
  <c r="P800" i="4"/>
  <c r="P767" i="4"/>
  <c r="P732" i="4"/>
  <c r="S732" i="4" s="1"/>
  <c r="U732" i="4" s="1"/>
  <c r="P718" i="4"/>
  <c r="P716" i="4"/>
  <c r="P702" i="4"/>
  <c r="P683" i="4"/>
  <c r="S683" i="4" s="1"/>
  <c r="U683" i="4" s="1"/>
  <c r="P761" i="4"/>
  <c r="P701" i="4"/>
  <c r="P700" i="4"/>
  <c r="S700" i="4" s="1"/>
  <c r="U700" i="4" s="1"/>
  <c r="P698" i="4"/>
  <c r="P680" i="4"/>
  <c r="S680" i="4" s="1"/>
  <c r="U680" i="4" s="1"/>
  <c r="P677" i="4"/>
  <c r="S677" i="4" s="1"/>
  <c r="U677" i="4" s="1"/>
  <c r="P667" i="4"/>
  <c r="P633" i="4"/>
  <c r="P626" i="4"/>
  <c r="S626" i="4" s="1"/>
  <c r="U626" i="4" s="1"/>
  <c r="P616" i="4"/>
  <c r="S616" i="4" s="1"/>
  <c r="U616" i="4" s="1"/>
  <c r="P717" i="4"/>
  <c r="P715" i="4"/>
  <c r="P713" i="4"/>
  <c r="P711" i="4"/>
  <c r="S711" i="4" s="1"/>
  <c r="U711" i="4" s="1"/>
  <c r="P703" i="4"/>
  <c r="P659" i="4"/>
  <c r="S659" i="4" s="1"/>
  <c r="U659" i="4" s="1"/>
  <c r="P657" i="4"/>
  <c r="P637" i="4"/>
  <c r="S637" i="4" s="1"/>
  <c r="U637" i="4" s="1"/>
  <c r="P630" i="4"/>
  <c r="S630" i="4" s="1"/>
  <c r="U630" i="4" s="1"/>
  <c r="P619" i="4"/>
  <c r="S619" i="4" s="1"/>
  <c r="U619" i="4" s="1"/>
  <c r="P610" i="4"/>
  <c r="P682" i="4"/>
  <c r="P666" i="4"/>
  <c r="S666" i="4" s="1"/>
  <c r="U666" i="4" s="1"/>
  <c r="P705" i="4"/>
  <c r="P662" i="4"/>
  <c r="S662" i="4" s="1"/>
  <c r="U662" i="4" s="1"/>
  <c r="P661" i="4"/>
  <c r="S661" i="4" s="1"/>
  <c r="U661" i="4" s="1"/>
  <c r="P687" i="4"/>
  <c r="S687" i="4" s="1"/>
  <c r="U687" i="4" s="1"/>
  <c r="P663" i="4"/>
  <c r="P653" i="4"/>
  <c r="S653" i="4" s="1"/>
  <c r="U653" i="4" s="1"/>
  <c r="P651" i="4"/>
  <c r="P649" i="4"/>
  <c r="S649" i="4" s="1"/>
  <c r="U649" i="4" s="1"/>
  <c r="P624" i="4"/>
  <c r="S624" i="4" s="1"/>
  <c r="U624" i="4" s="1"/>
  <c r="P623" i="4"/>
  <c r="P621" i="4"/>
  <c r="P614" i="4"/>
  <c r="S614" i="4" s="1"/>
  <c r="U614" i="4" s="1"/>
  <c r="P608" i="4"/>
  <c r="S608" i="4" s="1"/>
  <c r="U608" i="4" s="1"/>
  <c r="P606" i="4"/>
  <c r="P602" i="4"/>
  <c r="S602" i="4" s="1"/>
  <c r="U602" i="4" s="1"/>
  <c r="P591" i="4"/>
  <c r="S591" i="4" s="1"/>
  <c r="U591" i="4" s="1"/>
  <c r="P671" i="4"/>
  <c r="S671" i="4" s="1"/>
  <c r="U671" i="4" s="1"/>
  <c r="P656" i="4"/>
  <c r="P618" i="4"/>
  <c r="P615" i="4"/>
  <c r="P611" i="4"/>
  <c r="S611" i="4" s="1"/>
  <c r="U611" i="4" s="1"/>
  <c r="P609" i="4"/>
  <c r="P607" i="4"/>
  <c r="S607" i="4" s="1"/>
  <c r="U607" i="4" s="1"/>
  <c r="P605" i="4"/>
  <c r="S605" i="4" s="1"/>
  <c r="U605" i="4" s="1"/>
  <c r="P598" i="4"/>
  <c r="S598" i="4" s="1"/>
  <c r="U598" i="4" s="1"/>
  <c r="P588" i="4"/>
  <c r="S588" i="4" s="1"/>
  <c r="U588" i="4" s="1"/>
  <c r="P583" i="4"/>
  <c r="P578" i="4"/>
  <c r="P573" i="4"/>
  <c r="S573" i="4" s="1"/>
  <c r="U573" i="4" s="1"/>
  <c r="P568" i="4"/>
  <c r="S568" i="4" s="1"/>
  <c r="U568" i="4" s="1"/>
  <c r="P563" i="4"/>
  <c r="P558" i="4"/>
  <c r="S558" i="4" s="1"/>
  <c r="U558" i="4" s="1"/>
  <c r="P553" i="4"/>
  <c r="S553" i="4" s="1"/>
  <c r="U553" i="4" s="1"/>
  <c r="P548" i="4"/>
  <c r="P543" i="4"/>
  <c r="S543" i="4" s="1"/>
  <c r="U543" i="4" s="1"/>
  <c r="P538" i="4"/>
  <c r="S538" i="4" s="1"/>
  <c r="U538" i="4" s="1"/>
  <c r="P688" i="4"/>
  <c r="P672" i="4"/>
  <c r="P635" i="4"/>
  <c r="P632" i="4"/>
  <c r="P601" i="4"/>
  <c r="S601" i="4" s="1"/>
  <c r="U601" i="4" s="1"/>
  <c r="P594" i="4"/>
  <c r="P707" i="4"/>
  <c r="P697" i="4"/>
  <c r="P634" i="4"/>
  <c r="P631" i="4"/>
  <c r="P590" i="4"/>
  <c r="S590" i="4" s="1"/>
  <c r="U590" i="4" s="1"/>
  <c r="P586" i="4"/>
  <c r="S586" i="4" s="1"/>
  <c r="U586" i="4" s="1"/>
  <c r="P581" i="4"/>
  <c r="P669" i="4"/>
  <c r="P668" i="4"/>
  <c r="S668" i="4" s="1"/>
  <c r="U668" i="4" s="1"/>
  <c r="P652" i="4"/>
  <c r="S652" i="4" s="1"/>
  <c r="U652" i="4" s="1"/>
  <c r="P620" i="4"/>
  <c r="S620" i="4" s="1"/>
  <c r="U620" i="4" s="1"/>
  <c r="P604" i="4"/>
  <c r="P597" i="4"/>
  <c r="P674" i="4"/>
  <c r="P638" i="4"/>
  <c r="P625" i="4"/>
  <c r="S625" i="4" s="1"/>
  <c r="U625" i="4" s="1"/>
  <c r="P595" i="4"/>
  <c r="P585" i="4"/>
  <c r="S585" i="4" s="1"/>
  <c r="U585" i="4" s="1"/>
  <c r="P580" i="4"/>
  <c r="S580" i="4" s="1"/>
  <c r="U580" i="4" s="1"/>
  <c r="P575" i="4"/>
  <c r="S575" i="4" s="1"/>
  <c r="U575" i="4" s="1"/>
  <c r="P570" i="4"/>
  <c r="S570" i="4" s="1"/>
  <c r="U570" i="4" s="1"/>
  <c r="P565" i="4"/>
  <c r="S565" i="4" s="1"/>
  <c r="U565" i="4" s="1"/>
  <c r="P560" i="4"/>
  <c r="P555" i="4"/>
  <c r="S555" i="4" s="1"/>
  <c r="U555" i="4" s="1"/>
  <c r="P550" i="4"/>
  <c r="S550" i="4" s="1"/>
  <c r="U550" i="4" s="1"/>
  <c r="P545" i="4"/>
  <c r="S545" i="4" s="1"/>
  <c r="U545" i="4" s="1"/>
  <c r="P627" i="4"/>
  <c r="P593" i="4"/>
  <c r="S593" i="4" s="1"/>
  <c r="U593" i="4" s="1"/>
  <c r="P576" i="4"/>
  <c r="S576" i="4" s="1"/>
  <c r="U576" i="4" s="1"/>
  <c r="P557" i="4"/>
  <c r="S557" i="4" s="1"/>
  <c r="U557" i="4" s="1"/>
  <c r="P554" i="4"/>
  <c r="P551" i="4"/>
  <c r="S551" i="4" s="1"/>
  <c r="U551" i="4" s="1"/>
  <c r="P540" i="4"/>
  <c r="P536" i="4"/>
  <c r="P613" i="4"/>
  <c r="P532" i="4"/>
  <c r="P525" i="4"/>
  <c r="S525" i="4" s="1"/>
  <c r="U525" i="4" s="1"/>
  <c r="P520" i="4"/>
  <c r="S520" i="4" s="1"/>
  <c r="U520" i="4" s="1"/>
  <c r="P515" i="4"/>
  <c r="P510" i="4"/>
  <c r="S510" i="4" s="1"/>
  <c r="U510" i="4" s="1"/>
  <c r="P505" i="4"/>
  <c r="S505" i="4" s="1"/>
  <c r="U505" i="4" s="1"/>
  <c r="P500" i="4"/>
  <c r="P495" i="4"/>
  <c r="S495" i="4" s="1"/>
  <c r="U495" i="4" s="1"/>
  <c r="P490" i="4"/>
  <c r="S490" i="4" s="1"/>
  <c r="U490" i="4" s="1"/>
  <c r="P485" i="4"/>
  <c r="P480" i="4"/>
  <c r="P475" i="4"/>
  <c r="S475" i="4" s="1"/>
  <c r="U475" i="4" s="1"/>
  <c r="P470" i="4"/>
  <c r="S470" i="4" s="1"/>
  <c r="U470" i="4" s="1"/>
  <c r="P465" i="4"/>
  <c r="P460" i="4"/>
  <c r="S460" i="4" s="1"/>
  <c r="U460" i="4" s="1"/>
  <c r="P603" i="4"/>
  <c r="S603" i="4" s="1"/>
  <c r="U603" i="4" s="1"/>
  <c r="P567" i="4"/>
  <c r="P564" i="4"/>
  <c r="P561" i="4"/>
  <c r="S561" i="4" s="1"/>
  <c r="U561" i="4" s="1"/>
  <c r="P542" i="4"/>
  <c r="P528" i="4"/>
  <c r="P658" i="4"/>
  <c r="S658" i="4" s="1"/>
  <c r="U658" i="4" s="1"/>
  <c r="P596" i="4"/>
  <c r="S596" i="4" s="1"/>
  <c r="U596" i="4" s="1"/>
  <c r="P589" i="4"/>
  <c r="P535" i="4"/>
  <c r="S535" i="4" s="1"/>
  <c r="U535" i="4" s="1"/>
  <c r="P523" i="4"/>
  <c r="S523" i="4" s="1"/>
  <c r="U523" i="4" s="1"/>
  <c r="P518" i="4"/>
  <c r="S518" i="4" s="1"/>
  <c r="U518" i="4" s="1"/>
  <c r="P513" i="4"/>
  <c r="P508" i="4"/>
  <c r="P503" i="4"/>
  <c r="S503" i="4" s="1"/>
  <c r="U503" i="4" s="1"/>
  <c r="P498" i="4"/>
  <c r="P493" i="4"/>
  <c r="S493" i="4" s="1"/>
  <c r="U493" i="4" s="1"/>
  <c r="P577" i="4"/>
  <c r="S577" i="4" s="1"/>
  <c r="U577" i="4" s="1"/>
  <c r="P574" i="4"/>
  <c r="S574" i="4" s="1"/>
  <c r="U574" i="4" s="1"/>
  <c r="P571" i="4"/>
  <c r="P552" i="4"/>
  <c r="P549" i="4"/>
  <c r="S549" i="4" s="1"/>
  <c r="U549" i="4" s="1"/>
  <c r="P546" i="4"/>
  <c r="P531" i="4"/>
  <c r="P764" i="4"/>
  <c r="S764" i="4" s="1"/>
  <c r="U764" i="4" s="1"/>
  <c r="P664" i="4"/>
  <c r="P582" i="4"/>
  <c r="S582" i="4" s="1"/>
  <c r="U582" i="4" s="1"/>
  <c r="P579" i="4"/>
  <c r="P541" i="4"/>
  <c r="P539" i="4"/>
  <c r="P537" i="4"/>
  <c r="S537" i="4" s="1"/>
  <c r="U537" i="4" s="1"/>
  <c r="P529" i="4"/>
  <c r="P522" i="4"/>
  <c r="P517" i="4"/>
  <c r="P512" i="4"/>
  <c r="P507" i="4"/>
  <c r="S507" i="4" s="1"/>
  <c r="U507" i="4" s="1"/>
  <c r="P502" i="4"/>
  <c r="P497" i="4"/>
  <c r="P492" i="4"/>
  <c r="P487" i="4"/>
  <c r="P482" i="4"/>
  <c r="S482" i="4" s="1"/>
  <c r="U482" i="4" s="1"/>
  <c r="P477" i="4"/>
  <c r="S477" i="4" s="1"/>
  <c r="U477" i="4" s="1"/>
  <c r="P472" i="4"/>
  <c r="S472" i="4" s="1"/>
  <c r="U472" i="4" s="1"/>
  <c r="P467" i="4"/>
  <c r="S467" i="4" s="1"/>
  <c r="U467" i="4" s="1"/>
  <c r="P462" i="4"/>
  <c r="S462" i="4" s="1"/>
  <c r="U462" i="4" s="1"/>
  <c r="P457" i="4"/>
  <c r="S457" i="4" s="1"/>
  <c r="U457" i="4" s="1"/>
  <c r="P452" i="4"/>
  <c r="P447" i="4"/>
  <c r="S447" i="4" s="1"/>
  <c r="U447" i="4" s="1"/>
  <c r="P566" i="4"/>
  <c r="S566" i="4" s="1"/>
  <c r="U566" i="4" s="1"/>
  <c r="P506" i="4"/>
  <c r="S506" i="4" s="1"/>
  <c r="U506" i="4" s="1"/>
  <c r="P491" i="4"/>
  <c r="S491" i="4" s="1"/>
  <c r="U491" i="4" s="1"/>
  <c r="P488" i="4"/>
  <c r="P469" i="4"/>
  <c r="P466" i="4"/>
  <c r="P463" i="4"/>
  <c r="S463" i="4" s="1"/>
  <c r="U463" i="4" s="1"/>
  <c r="P441" i="4"/>
  <c r="P434" i="4"/>
  <c r="P427" i="4"/>
  <c r="P421" i="4"/>
  <c r="S421" i="4" s="1"/>
  <c r="U421" i="4" s="1"/>
  <c r="P416" i="4"/>
  <c r="P411" i="4"/>
  <c r="S411" i="4" s="1"/>
  <c r="U411" i="4" s="1"/>
  <c r="P406" i="4"/>
  <c r="S406" i="4" s="1"/>
  <c r="U406" i="4" s="1"/>
  <c r="P401" i="4"/>
  <c r="P396" i="4"/>
  <c r="P391" i="4"/>
  <c r="S391" i="4" s="1"/>
  <c r="U391" i="4" s="1"/>
  <c r="P386" i="4"/>
  <c r="P381" i="4"/>
  <c r="P376" i="4"/>
  <c r="P371" i="4"/>
  <c r="S371" i="4" s="1"/>
  <c r="U371" i="4" s="1"/>
  <c r="P366" i="4"/>
  <c r="P361" i="4"/>
  <c r="S361" i="4" s="1"/>
  <c r="U361" i="4" s="1"/>
  <c r="P356" i="4"/>
  <c r="P351" i="4"/>
  <c r="P346" i="4"/>
  <c r="S346" i="4" s="1"/>
  <c r="U346" i="4" s="1"/>
  <c r="P547" i="4"/>
  <c r="P527" i="4"/>
  <c r="P524" i="4"/>
  <c r="S524" i="4" s="1"/>
  <c r="U524" i="4" s="1"/>
  <c r="P430" i="4"/>
  <c r="S430" i="4" s="1"/>
  <c r="U430" i="4" s="1"/>
  <c r="P423" i="4"/>
  <c r="P544" i="4"/>
  <c r="P521" i="4"/>
  <c r="S521" i="4" s="1"/>
  <c r="U521" i="4" s="1"/>
  <c r="P509" i="4"/>
  <c r="S509" i="4" s="1"/>
  <c r="U509" i="4" s="1"/>
  <c r="P479" i="4"/>
  <c r="P476" i="4"/>
  <c r="S476" i="4" s="1"/>
  <c r="U476" i="4" s="1"/>
  <c r="P473" i="4"/>
  <c r="S473" i="4" s="1"/>
  <c r="U473" i="4" s="1"/>
  <c r="P444" i="4"/>
  <c r="S444" i="4" s="1"/>
  <c r="U444" i="4" s="1"/>
  <c r="P690" i="4"/>
  <c r="P592" i="4"/>
  <c r="P504" i="4"/>
  <c r="P501" i="4"/>
  <c r="P440" i="4"/>
  <c r="S440" i="4" s="1"/>
  <c r="U440" i="4" s="1"/>
  <c r="P433" i="4"/>
  <c r="S433" i="4" s="1"/>
  <c r="U433" i="4" s="1"/>
  <c r="P639" i="4"/>
  <c r="P562" i="4"/>
  <c r="P530" i="4"/>
  <c r="P489" i="4"/>
  <c r="P486" i="4"/>
  <c r="P483" i="4"/>
  <c r="P464" i="4"/>
  <c r="S464" i="4" s="1"/>
  <c r="U464" i="4" s="1"/>
  <c r="P461" i="4"/>
  <c r="P436" i="4"/>
  <c r="S436" i="4" s="1"/>
  <c r="U436" i="4" s="1"/>
  <c r="P429" i="4"/>
  <c r="P422" i="4"/>
  <c r="P647" i="4"/>
  <c r="P654" i="4"/>
  <c r="S654" i="4" s="1"/>
  <c r="U654" i="4" s="1"/>
  <c r="P736" i="4"/>
  <c r="S736" i="4" s="1"/>
  <c r="U736" i="4" s="1"/>
  <c r="P628" i="4"/>
  <c r="S628" i="4" s="1"/>
  <c r="U628" i="4" s="1"/>
  <c r="P584" i="4"/>
  <c r="S584" i="4" s="1"/>
  <c r="U584" i="4" s="1"/>
  <c r="P569" i="4"/>
  <c r="P534" i="4"/>
  <c r="P516" i="4"/>
  <c r="S516" i="4" s="1"/>
  <c r="U516" i="4" s="1"/>
  <c r="P494" i="4"/>
  <c r="P459" i="4"/>
  <c r="S459" i="4" s="1"/>
  <c r="U459" i="4" s="1"/>
  <c r="P458" i="4"/>
  <c r="S458" i="4" s="1"/>
  <c r="U458" i="4" s="1"/>
  <c r="P445" i="4"/>
  <c r="S445" i="4" s="1"/>
  <c r="U445" i="4" s="1"/>
  <c r="P438" i="4"/>
  <c r="P599" i="4"/>
  <c r="S599" i="4" s="1"/>
  <c r="U599" i="4" s="1"/>
  <c r="P468" i="4"/>
  <c r="P484" i="4"/>
  <c r="P587" i="4"/>
  <c r="P600" i="4"/>
  <c r="S600" i="4" s="1"/>
  <c r="U600" i="4" s="1"/>
  <c r="P526" i="4"/>
  <c r="S526" i="4" s="1"/>
  <c r="U526" i="4" s="1"/>
  <c r="P471" i="4"/>
  <c r="P453" i="4"/>
  <c r="S453" i="4" s="1"/>
  <c r="U453" i="4" s="1"/>
  <c r="P448" i="4"/>
  <c r="S448" i="4" s="1"/>
  <c r="U448" i="4" s="1"/>
  <c r="P439" i="4"/>
  <c r="S439" i="4" s="1"/>
  <c r="U439" i="4" s="1"/>
  <c r="P418" i="4"/>
  <c r="S418" i="4" s="1"/>
  <c r="U418" i="4" s="1"/>
  <c r="P409" i="4"/>
  <c r="S409" i="4" s="1"/>
  <c r="U409" i="4" s="1"/>
  <c r="P407" i="4"/>
  <c r="P394" i="4"/>
  <c r="P385" i="4"/>
  <c r="S385" i="4" s="1"/>
  <c r="U385" i="4" s="1"/>
  <c r="P382" i="4"/>
  <c r="S382" i="4" s="1"/>
  <c r="U382" i="4" s="1"/>
  <c r="P380" i="4"/>
  <c r="P378" i="4"/>
  <c r="S378" i="4" s="1"/>
  <c r="U378" i="4" s="1"/>
  <c r="P368" i="4"/>
  <c r="S368" i="4" s="1"/>
  <c r="U368" i="4" s="1"/>
  <c r="P358" i="4"/>
  <c r="S358" i="4" s="1"/>
  <c r="U358" i="4" s="1"/>
  <c r="P348" i="4"/>
  <c r="P338" i="4"/>
  <c r="S338" i="4" s="1"/>
  <c r="U338" i="4" s="1"/>
  <c r="P333" i="4"/>
  <c r="P328" i="4"/>
  <c r="S328" i="4" s="1"/>
  <c r="U328" i="4" s="1"/>
  <c r="P323" i="4"/>
  <c r="S323" i="4" s="1"/>
  <c r="U323" i="4" s="1"/>
  <c r="P318" i="4"/>
  <c r="S318" i="4" s="1"/>
  <c r="U318" i="4" s="1"/>
  <c r="P313" i="4"/>
  <c r="P308" i="4"/>
  <c r="P303" i="4"/>
  <c r="P298" i="4"/>
  <c r="P293" i="4"/>
  <c r="S293" i="4" s="1"/>
  <c r="U293" i="4" s="1"/>
  <c r="V293" i="4" s="1"/>
  <c r="P288" i="4"/>
  <c r="P283" i="4"/>
  <c r="P278" i="4"/>
  <c r="P273" i="4"/>
  <c r="S273" i="4" s="1"/>
  <c r="U273" i="4" s="1"/>
  <c r="P268" i="4"/>
  <c r="P263" i="4"/>
  <c r="S263" i="4" s="1"/>
  <c r="U263" i="4" s="1"/>
  <c r="P258" i="4"/>
  <c r="S258" i="4" s="1"/>
  <c r="U258" i="4" s="1"/>
  <c r="P253" i="4"/>
  <c r="S253" i="4" s="1"/>
  <c r="U253" i="4" s="1"/>
  <c r="P248" i="4"/>
  <c r="P243" i="4"/>
  <c r="P238" i="4"/>
  <c r="S238" i="4" s="1"/>
  <c r="U238" i="4" s="1"/>
  <c r="P233" i="4"/>
  <c r="S233" i="4" s="1"/>
  <c r="U233" i="4" s="1"/>
  <c r="P228" i="4"/>
  <c r="P223" i="4"/>
  <c r="S223" i="4" s="1"/>
  <c r="U223" i="4" s="1"/>
  <c r="P218" i="4"/>
  <c r="S218" i="4" s="1"/>
  <c r="U218" i="4" s="1"/>
  <c r="P478" i="4"/>
  <c r="P442" i="4"/>
  <c r="S442" i="4" s="1"/>
  <c r="U442" i="4" s="1"/>
  <c r="P435" i="4"/>
  <c r="P400" i="4"/>
  <c r="P397" i="4"/>
  <c r="P388" i="4"/>
  <c r="P374" i="4"/>
  <c r="S374" i="4" s="1"/>
  <c r="U374" i="4" s="1"/>
  <c r="P364" i="4"/>
  <c r="P354" i="4"/>
  <c r="P344" i="4"/>
  <c r="S344" i="4" s="1"/>
  <c r="U344" i="4" s="1"/>
  <c r="P533" i="4"/>
  <c r="P456" i="4"/>
  <c r="P426" i="4"/>
  <c r="P404" i="4"/>
  <c r="S404" i="4" s="1"/>
  <c r="U404" i="4" s="1"/>
  <c r="P402" i="4"/>
  <c r="P559" i="4"/>
  <c r="P519" i="4"/>
  <c r="S519" i="4" s="1"/>
  <c r="U519" i="4" s="1"/>
  <c r="P514" i="4"/>
  <c r="P474" i="4"/>
  <c r="P455" i="4"/>
  <c r="P431" i="4"/>
  <c r="S431" i="4" s="1"/>
  <c r="U431" i="4" s="1"/>
  <c r="P415" i="4"/>
  <c r="P389" i="4"/>
  <c r="S389" i="4" s="1"/>
  <c r="U389" i="4" s="1"/>
  <c r="P377" i="4"/>
  <c r="P367" i="4"/>
  <c r="P357" i="4"/>
  <c r="S357" i="4" s="1"/>
  <c r="U357" i="4" s="1"/>
  <c r="P347" i="4"/>
  <c r="P413" i="4"/>
  <c r="S413" i="4" s="1"/>
  <c r="U413" i="4" s="1"/>
  <c r="P395" i="4"/>
  <c r="P392" i="4"/>
  <c r="S392" i="4" s="1"/>
  <c r="U392" i="4" s="1"/>
  <c r="P383" i="4"/>
  <c r="P370" i="4"/>
  <c r="P360" i="4"/>
  <c r="S360" i="4" s="1"/>
  <c r="U360" i="4" s="1"/>
  <c r="P350" i="4"/>
  <c r="P339" i="4"/>
  <c r="S339" i="4" s="1"/>
  <c r="U339" i="4" s="1"/>
  <c r="P334" i="4"/>
  <c r="S334" i="4" s="1"/>
  <c r="U334" i="4" s="1"/>
  <c r="P572" i="4"/>
  <c r="P556" i="4"/>
  <c r="S556" i="4" s="1"/>
  <c r="U556" i="4" s="1"/>
  <c r="P496" i="4"/>
  <c r="S496" i="4" s="1"/>
  <c r="U496" i="4" s="1"/>
  <c r="P481" i="4"/>
  <c r="S481" i="4" s="1"/>
  <c r="U481" i="4" s="1"/>
  <c r="P511" i="4"/>
  <c r="P499" i="4"/>
  <c r="P450" i="4"/>
  <c r="S450" i="4" s="1"/>
  <c r="U450" i="4" s="1"/>
  <c r="P414" i="4"/>
  <c r="P405" i="4"/>
  <c r="S405" i="4" s="1"/>
  <c r="U405" i="4" s="1"/>
  <c r="P379" i="4"/>
  <c r="S379" i="4" s="1"/>
  <c r="U379" i="4" s="1"/>
  <c r="P375" i="4"/>
  <c r="P365" i="4"/>
  <c r="S365" i="4" s="1"/>
  <c r="U365" i="4" s="1"/>
  <c r="P355" i="4"/>
  <c r="S355" i="4" s="1"/>
  <c r="U355" i="4" s="1"/>
  <c r="P412" i="4"/>
  <c r="P363" i="4"/>
  <c r="P352" i="4"/>
  <c r="P302" i="4"/>
  <c r="P300" i="4"/>
  <c r="P299" i="4"/>
  <c r="P256" i="4"/>
  <c r="P252" i="4"/>
  <c r="S252" i="4" s="1"/>
  <c r="U252" i="4" s="1"/>
  <c r="P250" i="4"/>
  <c r="S250" i="4" s="1"/>
  <c r="U250" i="4" s="1"/>
  <c r="P249" i="4"/>
  <c r="P235" i="4"/>
  <c r="P225" i="4"/>
  <c r="P428" i="4"/>
  <c r="P342" i="4"/>
  <c r="S342" i="4" s="1"/>
  <c r="U342" i="4" s="1"/>
  <c r="P316" i="4"/>
  <c r="P310" i="4"/>
  <c r="P307" i="4"/>
  <c r="P304" i="4"/>
  <c r="S304" i="4" s="1"/>
  <c r="U304" i="4" s="1"/>
  <c r="P261" i="4"/>
  <c r="S261" i="4" s="1"/>
  <c r="U261" i="4" s="1"/>
  <c r="P257" i="4"/>
  <c r="S257" i="4" s="1"/>
  <c r="U257" i="4" s="1"/>
  <c r="P255" i="4"/>
  <c r="P254" i="4"/>
  <c r="S254" i="4" s="1"/>
  <c r="U254" i="4" s="1"/>
  <c r="P231" i="4"/>
  <c r="S231" i="4" s="1"/>
  <c r="U231" i="4" s="1"/>
  <c r="P221" i="4"/>
  <c r="P212" i="4"/>
  <c r="S212" i="4" s="1"/>
  <c r="U212" i="4" s="1"/>
  <c r="P207" i="4"/>
  <c r="P202" i="4"/>
  <c r="P197" i="4"/>
  <c r="S197" i="4" s="1"/>
  <c r="U197" i="4" s="1"/>
  <c r="P192" i="4"/>
  <c r="S192" i="4" s="1"/>
  <c r="U192" i="4" s="1"/>
  <c r="P187" i="4"/>
  <c r="P449" i="4"/>
  <c r="P425" i="4"/>
  <c r="P424" i="4"/>
  <c r="S424" i="4" s="1"/>
  <c r="U424" i="4" s="1"/>
  <c r="P390" i="4"/>
  <c r="P384" i="4"/>
  <c r="S384" i="4" s="1"/>
  <c r="U384" i="4" s="1"/>
  <c r="P353" i="4"/>
  <c r="S353" i="4" s="1"/>
  <c r="U353" i="4" s="1"/>
  <c r="P336" i="4"/>
  <c r="S336" i="4" s="1"/>
  <c r="U336" i="4" s="1"/>
  <c r="P331" i="4"/>
  <c r="S331" i="4" s="1"/>
  <c r="U331" i="4" s="1"/>
  <c r="P325" i="4"/>
  <c r="S325" i="4" s="1"/>
  <c r="U325" i="4" s="1"/>
  <c r="P322" i="4"/>
  <c r="S322" i="4" s="1"/>
  <c r="U322" i="4" s="1"/>
  <c r="P319" i="4"/>
  <c r="P443" i="4"/>
  <c r="S443" i="4" s="1"/>
  <c r="U443" i="4" s="1"/>
  <c r="P398" i="4"/>
  <c r="S398" i="4" s="1"/>
  <c r="U398" i="4" s="1"/>
  <c r="P393" i="4"/>
  <c r="S393" i="4" s="1"/>
  <c r="U393" i="4" s="1"/>
  <c r="P387" i="4"/>
  <c r="P271" i="4"/>
  <c r="S271" i="4" s="1"/>
  <c r="U271" i="4" s="1"/>
  <c r="P267" i="4"/>
  <c r="P265" i="4"/>
  <c r="P264" i="4"/>
  <c r="P454" i="4"/>
  <c r="S454" i="4" s="1"/>
  <c r="U454" i="4" s="1"/>
  <c r="P451" i="4"/>
  <c r="P420" i="4"/>
  <c r="P419" i="4"/>
  <c r="S419" i="4" s="1"/>
  <c r="U419" i="4" s="1"/>
  <c r="P408" i="4"/>
  <c r="S408" i="4" s="1"/>
  <c r="U408" i="4" s="1"/>
  <c r="P369" i="4"/>
  <c r="S369" i="4" s="1"/>
  <c r="U369" i="4" s="1"/>
  <c r="P341" i="4"/>
  <c r="S341" i="4" s="1"/>
  <c r="U341" i="4" s="1"/>
  <c r="P311" i="4"/>
  <c r="S311" i="4" s="1"/>
  <c r="U311" i="4" s="1"/>
  <c r="P305" i="4"/>
  <c r="P276" i="4"/>
  <c r="P272" i="4"/>
  <c r="S272" i="4" s="1"/>
  <c r="U272" i="4" s="1"/>
  <c r="P270" i="4"/>
  <c r="S270" i="4" s="1"/>
  <c r="U270" i="4" s="1"/>
  <c r="P269" i="4"/>
  <c r="P403" i="4"/>
  <c r="S403" i="4" s="1"/>
  <c r="U403" i="4" s="1"/>
  <c r="P372" i="4"/>
  <c r="S372" i="4" s="1"/>
  <c r="U372" i="4" s="1"/>
  <c r="P446" i="4"/>
  <c r="S446" i="4" s="1"/>
  <c r="U446" i="4" s="1"/>
  <c r="P410" i="4"/>
  <c r="P432" i="4"/>
  <c r="P417" i="4"/>
  <c r="S417" i="4" s="1"/>
  <c r="U417" i="4" s="1"/>
  <c r="P373" i="4"/>
  <c r="S373" i="4" s="1"/>
  <c r="U373" i="4" s="1"/>
  <c r="P437" i="4"/>
  <c r="S437" i="4" s="1"/>
  <c r="U437" i="4" s="1"/>
  <c r="P399" i="4"/>
  <c r="S399" i="4" s="1"/>
  <c r="U399" i="4" s="1"/>
  <c r="P330" i="4"/>
  <c r="S330" i="4" s="1"/>
  <c r="U330" i="4" s="1"/>
  <c r="P327" i="4"/>
  <c r="P324" i="4"/>
  <c r="S324" i="4" s="1"/>
  <c r="U324" i="4" s="1"/>
  <c r="P301" i="4"/>
  <c r="S301" i="4" s="1"/>
  <c r="U301" i="4" s="1"/>
  <c r="P297" i="4"/>
  <c r="P295" i="4"/>
  <c r="S295" i="4" s="1"/>
  <c r="U295" i="4" s="1"/>
  <c r="P294" i="4"/>
  <c r="P251" i="4"/>
  <c r="S251" i="4" s="1"/>
  <c r="U251" i="4" s="1"/>
  <c r="P247" i="4"/>
  <c r="S247" i="4" s="1"/>
  <c r="U247" i="4" s="1"/>
  <c r="P245" i="4"/>
  <c r="S245" i="4" s="1"/>
  <c r="U245" i="4" s="1"/>
  <c r="P244" i="4"/>
  <c r="P232" i="4"/>
  <c r="P222" i="4"/>
  <c r="S222" i="4" s="1"/>
  <c r="U222" i="4" s="1"/>
  <c r="P214" i="4"/>
  <c r="S214" i="4" s="1"/>
  <c r="U214" i="4" s="1"/>
  <c r="P209" i="4"/>
  <c r="P204" i="4"/>
  <c r="P199" i="4"/>
  <c r="P194" i="4"/>
  <c r="P189" i="4"/>
  <c r="S189" i="4" s="1"/>
  <c r="U189" i="4" s="1"/>
  <c r="V189" i="4" s="1"/>
  <c r="P184" i="4"/>
  <c r="S184" i="4" s="1"/>
  <c r="U184" i="4" s="1"/>
  <c r="V184" i="4" s="1"/>
  <c r="P179" i="4"/>
  <c r="P174" i="4"/>
  <c r="P359" i="4"/>
  <c r="S359" i="4" s="1"/>
  <c r="U359" i="4" s="1"/>
  <c r="P349" i="4"/>
  <c r="S349" i="4" s="1"/>
  <c r="U349" i="4" s="1"/>
  <c r="P332" i="4"/>
  <c r="P274" i="4"/>
  <c r="S274" i="4" s="1"/>
  <c r="U274" i="4" s="1"/>
  <c r="P239" i="4"/>
  <c r="S239" i="4" s="1"/>
  <c r="U239" i="4" s="1"/>
  <c r="P211" i="4"/>
  <c r="S211" i="4" s="1"/>
  <c r="U211" i="4" s="1"/>
  <c r="P208" i="4"/>
  <c r="S208" i="4" s="1"/>
  <c r="U208" i="4" s="1"/>
  <c r="V208" i="4" s="1"/>
  <c r="P205" i="4"/>
  <c r="P186" i="4"/>
  <c r="P185" i="4"/>
  <c r="P169" i="4"/>
  <c r="S169" i="4" s="1"/>
  <c r="U169" i="4" s="1"/>
  <c r="V169" i="4" s="1"/>
  <c r="P158" i="4"/>
  <c r="P151" i="4"/>
  <c r="P144" i="4"/>
  <c r="S144" i="4" s="1"/>
  <c r="U144" i="4" s="1"/>
  <c r="P139" i="4"/>
  <c r="P134" i="4"/>
  <c r="P129" i="4"/>
  <c r="S129" i="4" s="1"/>
  <c r="U129" i="4" s="1"/>
  <c r="V129" i="4" s="1"/>
  <c r="P124" i="4"/>
  <c r="P119" i="4"/>
  <c r="P114" i="4"/>
  <c r="S114" i="4" s="1"/>
  <c r="U114" i="4" s="1"/>
  <c r="P109" i="4"/>
  <c r="S109" i="4" s="1"/>
  <c r="U109" i="4" s="1"/>
  <c r="V109" i="4" s="1"/>
  <c r="P104" i="4"/>
  <c r="P99" i="4"/>
  <c r="P94" i="4"/>
  <c r="S94" i="4" s="1"/>
  <c r="U94" i="4" s="1"/>
  <c r="V94" i="4" s="1"/>
  <c r="P89" i="4"/>
  <c r="P84" i="4"/>
  <c r="P79" i="4"/>
  <c r="S79" i="4" s="1"/>
  <c r="U79" i="4" s="1"/>
  <c r="P74" i="4"/>
  <c r="P69" i="4"/>
  <c r="P64" i="4"/>
  <c r="S64" i="4" s="1"/>
  <c r="U64" i="4" s="1"/>
  <c r="P59" i="4"/>
  <c r="P54" i="4"/>
  <c r="S54" i="4" s="1"/>
  <c r="U54" i="4" s="1"/>
  <c r="P49" i="4"/>
  <c r="S49" i="4" s="1"/>
  <c r="U49" i="4" s="1"/>
  <c r="V49" i="4" s="1"/>
  <c r="P340" i="4"/>
  <c r="P286" i="4"/>
  <c r="S286" i="4" s="1"/>
  <c r="U286" i="4" s="1"/>
  <c r="P282" i="4"/>
  <c r="S282" i="4" s="1"/>
  <c r="U282" i="4" s="1"/>
  <c r="P266" i="4"/>
  <c r="P230" i="4"/>
  <c r="P217" i="4"/>
  <c r="S217" i="4" s="1"/>
  <c r="U217" i="4" s="1"/>
  <c r="P172" i="4"/>
  <c r="P165" i="4"/>
  <c r="S165" i="4" s="1"/>
  <c r="U165" i="4" s="1"/>
  <c r="P147" i="4"/>
  <c r="S147" i="4" s="1"/>
  <c r="U147" i="4" s="1"/>
  <c r="P343" i="4"/>
  <c r="S343" i="4" s="1"/>
  <c r="U343" i="4" s="1"/>
  <c r="P329" i="4"/>
  <c r="S329" i="4" s="1"/>
  <c r="U329" i="4" s="1"/>
  <c r="P296" i="4"/>
  <c r="P280" i="4"/>
  <c r="S280" i="4" s="1"/>
  <c r="U280" i="4" s="1"/>
  <c r="P262" i="4"/>
  <c r="S262" i="4" s="1"/>
  <c r="U262" i="4" s="1"/>
  <c r="P246" i="4"/>
  <c r="P219" i="4"/>
  <c r="P215" i="4"/>
  <c r="P196" i="4"/>
  <c r="S196" i="4" s="1"/>
  <c r="U196" i="4" s="1"/>
  <c r="P193" i="4"/>
  <c r="S193" i="4" s="1"/>
  <c r="U193" i="4" s="1"/>
  <c r="P190" i="4"/>
  <c r="P168" i="4"/>
  <c r="S168" i="4" s="1"/>
  <c r="U168" i="4" s="1"/>
  <c r="P161" i="4"/>
  <c r="P326" i="4"/>
  <c r="P292" i="4"/>
  <c r="S292" i="4" s="1"/>
  <c r="U292" i="4" s="1"/>
  <c r="P290" i="4"/>
  <c r="P284" i="4"/>
  <c r="S284" i="4" s="1"/>
  <c r="U284" i="4" s="1"/>
  <c r="P275" i="4"/>
  <c r="P242" i="4"/>
  <c r="S242" i="4" s="1"/>
  <c r="U242" i="4" s="1"/>
  <c r="P236" i="4"/>
  <c r="P234" i="4"/>
  <c r="S234" i="4" s="1"/>
  <c r="U234" i="4" s="1"/>
  <c r="P157" i="4"/>
  <c r="P150" i="4"/>
  <c r="P335" i="4"/>
  <c r="S335" i="4" s="1"/>
  <c r="U335" i="4" s="1"/>
  <c r="P321" i="4"/>
  <c r="S321" i="4" s="1"/>
  <c r="U321" i="4" s="1"/>
  <c r="P241" i="4"/>
  <c r="P206" i="4"/>
  <c r="P203" i="4"/>
  <c r="S203" i="4" s="1"/>
  <c r="U203" i="4" s="1"/>
  <c r="P200" i="4"/>
  <c r="S200" i="4" s="1"/>
  <c r="U200" i="4" s="1"/>
  <c r="P171" i="4"/>
  <c r="P164" i="4"/>
  <c r="S164" i="4" s="1"/>
  <c r="U164" i="4" s="1"/>
  <c r="P153" i="4"/>
  <c r="P146" i="4"/>
  <c r="S146" i="4" s="1"/>
  <c r="U146" i="4" s="1"/>
  <c r="P140" i="4"/>
  <c r="S140" i="4" s="1"/>
  <c r="U140" i="4" s="1"/>
  <c r="V140" i="4" s="1"/>
  <c r="P315" i="4"/>
  <c r="S315" i="4" s="1"/>
  <c r="U315" i="4" s="1"/>
  <c r="P312" i="4"/>
  <c r="P320" i="4"/>
  <c r="P317" i="4"/>
  <c r="S317" i="4" s="1"/>
  <c r="U317" i="4" s="1"/>
  <c r="P309" i="4"/>
  <c r="P306" i="4"/>
  <c r="S306" i="4" s="1"/>
  <c r="U306" i="4" s="1"/>
  <c r="P362" i="4"/>
  <c r="P314" i="4"/>
  <c r="S314" i="4" s="1"/>
  <c r="U314" i="4" s="1"/>
  <c r="P345" i="4"/>
  <c r="S345" i="4" s="1"/>
  <c r="U345" i="4" s="1"/>
  <c r="P337" i="4"/>
  <c r="P277" i="4"/>
  <c r="S277" i="4" s="1"/>
  <c r="U277" i="4" s="1"/>
  <c r="P237" i="4"/>
  <c r="S237" i="4" s="1"/>
  <c r="U237" i="4" s="1"/>
  <c r="P226" i="4"/>
  <c r="S226" i="4" s="1"/>
  <c r="U226" i="4" s="1"/>
  <c r="P224" i="4"/>
  <c r="P183" i="4"/>
  <c r="S183" i="4" s="1"/>
  <c r="U183" i="4" s="1"/>
  <c r="P181" i="4"/>
  <c r="S181" i="4" s="1"/>
  <c r="U181" i="4" s="1"/>
  <c r="P180" i="4"/>
  <c r="P162" i="4"/>
  <c r="S162" i="4" s="1"/>
  <c r="U162" i="4" s="1"/>
  <c r="P155" i="4"/>
  <c r="P291" i="4"/>
  <c r="P289" i="4"/>
  <c r="S289" i="4" s="1"/>
  <c r="U289" i="4" s="1"/>
  <c r="P240" i="4"/>
  <c r="P177" i="4"/>
  <c r="P107" i="4"/>
  <c r="P98" i="4"/>
  <c r="S98" i="4" s="1"/>
  <c r="U98" i="4" s="1"/>
  <c r="V98" i="4" s="1"/>
  <c r="P95" i="4"/>
  <c r="S95" i="4" s="1"/>
  <c r="U95" i="4" s="1"/>
  <c r="V95" i="4" s="1"/>
  <c r="P68" i="4"/>
  <c r="P58" i="4"/>
  <c r="S58" i="4" s="1"/>
  <c r="U58" i="4" s="1"/>
  <c r="V58" i="4" s="1"/>
  <c r="P48" i="4"/>
  <c r="P41" i="4"/>
  <c r="P36" i="4"/>
  <c r="S36" i="4" s="1"/>
  <c r="U36" i="4" s="1"/>
  <c r="V36" i="4" s="1"/>
  <c r="P31" i="4"/>
  <c r="S31" i="4" s="1"/>
  <c r="U31" i="4" s="1"/>
  <c r="V31" i="4" s="1"/>
  <c r="P26" i="4"/>
  <c r="P21" i="4"/>
  <c r="S21" i="4" s="1"/>
  <c r="U21" i="4" s="1"/>
  <c r="V21" i="4" s="1"/>
  <c r="P16" i="4"/>
  <c r="S16" i="4" s="1"/>
  <c r="U16" i="4" s="1"/>
  <c r="V16" i="4" s="1"/>
  <c r="P201" i="4"/>
  <c r="P175" i="4"/>
  <c r="S175" i="4" s="1"/>
  <c r="U175" i="4" s="1"/>
  <c r="P170" i="4"/>
  <c r="S170" i="4" s="1"/>
  <c r="U170" i="4" s="1"/>
  <c r="P154" i="4"/>
  <c r="P152" i="4"/>
  <c r="P143" i="4"/>
  <c r="S143" i="4" s="1"/>
  <c r="U143" i="4" s="1"/>
  <c r="P122" i="4"/>
  <c r="P113" i="4"/>
  <c r="P110" i="4"/>
  <c r="S110" i="4" s="1"/>
  <c r="U110" i="4" s="1"/>
  <c r="P101" i="4"/>
  <c r="S101" i="4" s="1"/>
  <c r="U101" i="4" s="1"/>
  <c r="P71" i="4"/>
  <c r="S71" i="4" s="1"/>
  <c r="U71" i="4" s="1"/>
  <c r="P61" i="4"/>
  <c r="P51" i="4"/>
  <c r="S51" i="4" s="1"/>
  <c r="U51" i="4" s="1"/>
  <c r="P67" i="4"/>
  <c r="P279" i="4"/>
  <c r="P220" i="4"/>
  <c r="S220" i="4" s="1"/>
  <c r="U220" i="4" s="1"/>
  <c r="P198" i="4"/>
  <c r="P173" i="4"/>
  <c r="S173" i="4" s="1"/>
  <c r="U173" i="4" s="1"/>
  <c r="P163" i="4"/>
  <c r="P128" i="4"/>
  <c r="P125" i="4"/>
  <c r="S125" i="4" s="1"/>
  <c r="U125" i="4" s="1"/>
  <c r="P116" i="4"/>
  <c r="S116" i="4" s="1"/>
  <c r="U116" i="4" s="1"/>
  <c r="P281" i="4"/>
  <c r="S281" i="4" s="1"/>
  <c r="U281" i="4" s="1"/>
  <c r="P227" i="4"/>
  <c r="P195" i="4"/>
  <c r="S195" i="4" s="1"/>
  <c r="U195" i="4" s="1"/>
  <c r="P136" i="4"/>
  <c r="S136" i="4" s="1"/>
  <c r="U136" i="4" s="1"/>
  <c r="P133" i="4"/>
  <c r="P131" i="4"/>
  <c r="S131" i="4" s="1"/>
  <c r="U131" i="4" s="1"/>
  <c r="P102" i="4"/>
  <c r="S102" i="4" s="1"/>
  <c r="U102" i="4" s="1"/>
  <c r="P93" i="4"/>
  <c r="S93" i="4" s="1"/>
  <c r="U93" i="4" s="1"/>
  <c r="P216" i="4"/>
  <c r="P117" i="4"/>
  <c r="S117" i="4" s="1"/>
  <c r="U117" i="4" s="1"/>
  <c r="P108" i="4"/>
  <c r="P105" i="4"/>
  <c r="S105" i="4" s="1"/>
  <c r="U105" i="4" s="1"/>
  <c r="P96" i="4"/>
  <c r="P77" i="4"/>
  <c r="S77" i="4" s="1"/>
  <c r="U77" i="4" s="1"/>
  <c r="P75" i="4"/>
  <c r="S75" i="4" s="1"/>
  <c r="U75" i="4" s="1"/>
  <c r="V75" i="4" s="1"/>
  <c r="P70" i="4"/>
  <c r="P210" i="4"/>
  <c r="P191" i="4"/>
  <c r="P259" i="4"/>
  <c r="S259" i="4" s="1"/>
  <c r="U259" i="4" s="1"/>
  <c r="P287" i="4"/>
  <c r="S287" i="4" s="1"/>
  <c r="U287" i="4" s="1"/>
  <c r="P285" i="4"/>
  <c r="P260" i="4"/>
  <c r="S260" i="4" s="1"/>
  <c r="U260" i="4" s="1"/>
  <c r="P229" i="4"/>
  <c r="S229" i="4" s="1"/>
  <c r="U229" i="4" s="1"/>
  <c r="P160" i="4"/>
  <c r="S160" i="4" s="1"/>
  <c r="U160" i="4" s="1"/>
  <c r="P159" i="4"/>
  <c r="P137" i="4"/>
  <c r="P130" i="4"/>
  <c r="P121" i="4"/>
  <c r="P92" i="4"/>
  <c r="S92" i="4" s="1"/>
  <c r="U92" i="4" s="1"/>
  <c r="P65" i="4"/>
  <c r="P55" i="4"/>
  <c r="S55" i="4" s="1"/>
  <c r="U55" i="4" s="1"/>
  <c r="V55" i="4" s="1"/>
  <c r="P45" i="4"/>
  <c r="S45" i="4" s="1"/>
  <c r="U45" i="4" s="1"/>
  <c r="V45" i="4" s="1"/>
  <c r="AG15" i="4"/>
  <c r="AI15" i="4" s="1"/>
  <c r="I16" i="4"/>
  <c r="J31" i="4"/>
  <c r="W31" i="4"/>
  <c r="Z31" i="4" s="1"/>
  <c r="AB31" i="4" s="1"/>
  <c r="B32" i="4"/>
  <c r="AF33" i="4"/>
  <c r="K34" i="4"/>
  <c r="P38" i="4"/>
  <c r="J40" i="4"/>
  <c r="Y40" i="4"/>
  <c r="B41" i="4"/>
  <c r="K43" i="4"/>
  <c r="B44" i="4"/>
  <c r="AF44" i="4"/>
  <c r="K45" i="4"/>
  <c r="P53" i="4"/>
  <c r="AG53" i="4"/>
  <c r="AI53" i="4" s="1"/>
  <c r="J54" i="4"/>
  <c r="I55" i="4"/>
  <c r="I56" i="4"/>
  <c r="W57" i="4"/>
  <c r="Z57" i="4" s="1"/>
  <c r="AB57" i="4" s="1"/>
  <c r="Q59" i="4"/>
  <c r="AF59" i="4"/>
  <c r="D62" i="4"/>
  <c r="Q63" i="4"/>
  <c r="C66" i="4"/>
  <c r="Y66" i="4"/>
  <c r="J67" i="4"/>
  <c r="AF67" i="4"/>
  <c r="D69" i="4"/>
  <c r="Y69" i="4"/>
  <c r="Y70" i="4"/>
  <c r="K71" i="4"/>
  <c r="B75" i="4"/>
  <c r="K76" i="4"/>
  <c r="B85" i="4"/>
  <c r="B87" i="4"/>
  <c r="J92" i="4"/>
  <c r="P100" i="4"/>
  <c r="AF101" i="4"/>
  <c r="AF104" i="4"/>
  <c r="P106" i="4"/>
  <c r="AF109" i="4"/>
  <c r="P111" i="4"/>
  <c r="S111" i="4" s="1"/>
  <c r="U111" i="4" s="1"/>
  <c r="AF112" i="4"/>
  <c r="K114" i="4"/>
  <c r="C115" i="4"/>
  <c r="D118" i="4"/>
  <c r="D123" i="4"/>
  <c r="I128" i="4"/>
  <c r="J131" i="4"/>
  <c r="P138" i="4"/>
  <c r="B141" i="4"/>
  <c r="B142" i="4"/>
  <c r="AF143" i="4"/>
  <c r="P148" i="4"/>
  <c r="P149" i="4"/>
  <c r="AF155" i="4"/>
  <c r="Y160" i="4"/>
  <c r="I166" i="4"/>
  <c r="J168" i="4"/>
  <c r="I187" i="4"/>
  <c r="AG25" i="4"/>
  <c r="AI25" i="4" s="1"/>
  <c r="Y53" i="4"/>
  <c r="Y20" i="4"/>
  <c r="B21" i="4"/>
  <c r="B33" i="4"/>
  <c r="C1010" i="4"/>
  <c r="C983" i="4"/>
  <c r="C1009" i="4"/>
  <c r="C1008" i="4"/>
  <c r="C1007" i="4"/>
  <c r="C1006" i="4"/>
  <c r="C1005" i="4"/>
  <c r="C1002" i="4"/>
  <c r="C995" i="4"/>
  <c r="C992" i="4"/>
  <c r="C985" i="4"/>
  <c r="C998" i="4"/>
  <c r="C1004" i="4"/>
  <c r="C1001" i="4"/>
  <c r="C991" i="4"/>
  <c r="C977" i="4"/>
  <c r="C972" i="4"/>
  <c r="C986" i="4"/>
  <c r="C982" i="4"/>
  <c r="C1000" i="4"/>
  <c r="C1011" i="4"/>
  <c r="C1003" i="4"/>
  <c r="C990" i="4"/>
  <c r="C981" i="4"/>
  <c r="C979" i="4"/>
  <c r="C978" i="4"/>
  <c r="C989" i="4"/>
  <c r="C988" i="4"/>
  <c r="C967" i="4"/>
  <c r="C962" i="4"/>
  <c r="C957" i="4"/>
  <c r="C952" i="4"/>
  <c r="C993" i="4"/>
  <c r="C987" i="4"/>
  <c r="C996" i="4"/>
  <c r="C984" i="4"/>
  <c r="C970" i="4"/>
  <c r="C994" i="4"/>
  <c r="C999" i="4"/>
  <c r="C997" i="4"/>
  <c r="C943" i="4"/>
  <c r="C938" i="4"/>
  <c r="C933" i="4"/>
  <c r="C928" i="4"/>
  <c r="C923" i="4"/>
  <c r="C968" i="4"/>
  <c r="C976" i="4"/>
  <c r="C980" i="4"/>
  <c r="C971" i="4"/>
  <c r="C953" i="4"/>
  <c r="C950" i="4"/>
  <c r="C949" i="4"/>
  <c r="C958" i="4"/>
  <c r="C955" i="4"/>
  <c r="C954" i="4"/>
  <c r="C951" i="4"/>
  <c r="C948" i="4"/>
  <c r="C973" i="4"/>
  <c r="C974" i="4"/>
  <c r="C975" i="4"/>
  <c r="C917" i="4"/>
  <c r="C912" i="4"/>
  <c r="C907" i="4"/>
  <c r="C902" i="4"/>
  <c r="C897" i="4"/>
  <c r="C969" i="4"/>
  <c r="C960" i="4"/>
  <c r="C964" i="4"/>
  <c r="C956" i="4"/>
  <c r="C966" i="4"/>
  <c r="C961" i="4"/>
  <c r="C947" i="4"/>
  <c r="C965" i="4"/>
  <c r="C963" i="4"/>
  <c r="C945" i="4"/>
  <c r="C944" i="4"/>
  <c r="C959" i="4"/>
  <c r="C946" i="4"/>
  <c r="C931" i="4"/>
  <c r="C900" i="4"/>
  <c r="C929" i="4"/>
  <c r="C905" i="4"/>
  <c r="C901" i="4"/>
  <c r="C899" i="4"/>
  <c r="C898" i="4"/>
  <c r="C893" i="4"/>
  <c r="C888" i="4"/>
  <c r="C883" i="4"/>
  <c r="C878" i="4"/>
  <c r="C873" i="4"/>
  <c r="C868" i="4"/>
  <c r="C863" i="4"/>
  <c r="C858" i="4"/>
  <c r="C853" i="4"/>
  <c r="C942" i="4"/>
  <c r="C940" i="4"/>
  <c r="C937" i="4"/>
  <c r="C927" i="4"/>
  <c r="C925" i="4"/>
  <c r="C910" i="4"/>
  <c r="C906" i="4"/>
  <c r="C915" i="4"/>
  <c r="C911" i="4"/>
  <c r="C909" i="4"/>
  <c r="C908" i="4"/>
  <c r="C920" i="4"/>
  <c r="C916" i="4"/>
  <c r="C914" i="4"/>
  <c r="C913" i="4"/>
  <c r="C941" i="4"/>
  <c r="C934" i="4"/>
  <c r="C930" i="4"/>
  <c r="C926" i="4"/>
  <c r="C932" i="4"/>
  <c r="C922" i="4"/>
  <c r="C939" i="4"/>
  <c r="C935" i="4"/>
  <c r="C924" i="4"/>
  <c r="C936" i="4"/>
  <c r="C874" i="4"/>
  <c r="C871" i="4"/>
  <c r="C870" i="4"/>
  <c r="C867" i="4"/>
  <c r="C848" i="4"/>
  <c r="C843" i="4"/>
  <c r="C879" i="4"/>
  <c r="C876" i="4"/>
  <c r="C875" i="4"/>
  <c r="C872" i="4"/>
  <c r="C884" i="4"/>
  <c r="C881" i="4"/>
  <c r="C880" i="4"/>
  <c r="C919" i="4"/>
  <c r="C889" i="4"/>
  <c r="C886" i="4"/>
  <c r="C885" i="4"/>
  <c r="C882" i="4"/>
  <c r="C903" i="4"/>
  <c r="C894" i="4"/>
  <c r="C891" i="4"/>
  <c r="C890" i="4"/>
  <c r="C887" i="4"/>
  <c r="C921" i="4"/>
  <c r="C904" i="4"/>
  <c r="C918" i="4"/>
  <c r="C892" i="4"/>
  <c r="C864" i="4"/>
  <c r="C837" i="4"/>
  <c r="C832" i="4"/>
  <c r="C827" i="4"/>
  <c r="C822" i="4"/>
  <c r="C817" i="4"/>
  <c r="C812" i="4"/>
  <c r="C807" i="4"/>
  <c r="C802" i="4"/>
  <c r="C797" i="4"/>
  <c r="C866" i="4"/>
  <c r="C862" i="4"/>
  <c r="C855" i="4"/>
  <c r="C841" i="4"/>
  <c r="C896" i="4"/>
  <c r="C850" i="4"/>
  <c r="C859" i="4"/>
  <c r="C857" i="4"/>
  <c r="C846" i="4"/>
  <c r="C895" i="4"/>
  <c r="C861" i="4"/>
  <c r="C847" i="4"/>
  <c r="C845" i="4"/>
  <c r="C844" i="4"/>
  <c r="C840" i="4"/>
  <c r="C838" i="4"/>
  <c r="C869" i="4"/>
  <c r="C854" i="4"/>
  <c r="C856" i="4"/>
  <c r="C833" i="4"/>
  <c r="C830" i="4"/>
  <c r="C825" i="4"/>
  <c r="C821" i="4"/>
  <c r="C819" i="4"/>
  <c r="C818" i="4"/>
  <c r="C795" i="4"/>
  <c r="C790" i="4"/>
  <c r="C785" i="4"/>
  <c r="C780" i="4"/>
  <c r="C849" i="4"/>
  <c r="C835" i="4"/>
  <c r="C826" i="4"/>
  <c r="C824" i="4"/>
  <c r="C823" i="4"/>
  <c r="C801" i="4"/>
  <c r="C865" i="4"/>
  <c r="C800" i="4"/>
  <c r="C852" i="4"/>
  <c r="C831" i="4"/>
  <c r="C828" i="4"/>
  <c r="C842" i="4"/>
  <c r="C851" i="4"/>
  <c r="C799" i="4"/>
  <c r="C774" i="4"/>
  <c r="C769" i="4"/>
  <c r="C764" i="4"/>
  <c r="C759" i="4"/>
  <c r="C754" i="4"/>
  <c r="C749" i="4"/>
  <c r="C744" i="4"/>
  <c r="C739" i="4"/>
  <c r="C734" i="4"/>
  <c r="C877" i="4"/>
  <c r="C810" i="4"/>
  <c r="C805" i="4"/>
  <c r="C793" i="4"/>
  <c r="C786" i="4"/>
  <c r="C779" i="4"/>
  <c r="C816" i="4"/>
  <c r="C815" i="4"/>
  <c r="C809" i="4"/>
  <c r="C808" i="4"/>
  <c r="C806" i="4"/>
  <c r="C794" i="4"/>
  <c r="C792" i="4"/>
  <c r="C791" i="4"/>
  <c r="C782" i="4"/>
  <c r="C836" i="4"/>
  <c r="C820" i="4"/>
  <c r="C813" i="4"/>
  <c r="C811" i="4"/>
  <c r="C804" i="4"/>
  <c r="C789" i="4"/>
  <c r="C860" i="4"/>
  <c r="C814" i="4"/>
  <c r="C775" i="4"/>
  <c r="C770" i="4"/>
  <c r="C839" i="4"/>
  <c r="C788" i="4"/>
  <c r="C728" i="4"/>
  <c r="C723" i="4"/>
  <c r="C718" i="4"/>
  <c r="C713" i="4"/>
  <c r="C708" i="4"/>
  <c r="C703" i="4"/>
  <c r="C698" i="4"/>
  <c r="C693" i="4"/>
  <c r="C688" i="4"/>
  <c r="C683" i="4"/>
  <c r="C777" i="4"/>
  <c r="C742" i="4"/>
  <c r="C735" i="4"/>
  <c r="C796" i="4"/>
  <c r="C766" i="4"/>
  <c r="C747" i="4"/>
  <c r="C743" i="4"/>
  <c r="C771" i="4"/>
  <c r="C763" i="4"/>
  <c r="C752" i="4"/>
  <c r="C748" i="4"/>
  <c r="C746" i="4"/>
  <c r="C745" i="4"/>
  <c r="C738" i="4"/>
  <c r="C829" i="4"/>
  <c r="C803" i="4"/>
  <c r="C781" i="4"/>
  <c r="C757" i="4"/>
  <c r="C753" i="4"/>
  <c r="C751" i="4"/>
  <c r="C750" i="4"/>
  <c r="C729" i="4"/>
  <c r="C776" i="4"/>
  <c r="C767" i="4"/>
  <c r="C758" i="4"/>
  <c r="C756" i="4"/>
  <c r="C755" i="4"/>
  <c r="C741" i="4"/>
  <c r="C722" i="4"/>
  <c r="C720" i="4"/>
  <c r="C719" i="4"/>
  <c r="C679" i="4"/>
  <c r="C674" i="4"/>
  <c r="C669" i="4"/>
  <c r="C664" i="4"/>
  <c r="C659" i="4"/>
  <c r="C654" i="4"/>
  <c r="C649" i="4"/>
  <c r="C644" i="4"/>
  <c r="C639" i="4"/>
  <c r="C634" i="4"/>
  <c r="C629" i="4"/>
  <c r="C762" i="4"/>
  <c r="C696" i="4"/>
  <c r="C689" i="4"/>
  <c r="C682" i="4"/>
  <c r="C737" i="4"/>
  <c r="C724" i="4"/>
  <c r="C778" i="4"/>
  <c r="C773" i="4"/>
  <c r="C761" i="4"/>
  <c r="C730" i="4"/>
  <c r="C692" i="4"/>
  <c r="C681" i="4"/>
  <c r="C736" i="4"/>
  <c r="C733" i="4"/>
  <c r="C727" i="4"/>
  <c r="C695" i="4"/>
  <c r="C725" i="4"/>
  <c r="C798" i="4"/>
  <c r="C768" i="4"/>
  <c r="C731" i="4"/>
  <c r="C686" i="4"/>
  <c r="C676" i="4"/>
  <c r="C642" i="4"/>
  <c r="C626" i="4"/>
  <c r="C726" i="4"/>
  <c r="C701" i="4"/>
  <c r="C673" i="4"/>
  <c r="C670" i="4"/>
  <c r="C647" i="4"/>
  <c r="C643" i="4"/>
  <c r="C641" i="4"/>
  <c r="C640" i="4"/>
  <c r="C633" i="4"/>
  <c r="C624" i="4"/>
  <c r="C711" i="4"/>
  <c r="C702" i="4"/>
  <c r="C699" i="4"/>
  <c r="C834" i="4"/>
  <c r="C787" i="4"/>
  <c r="C783" i="4"/>
  <c r="C721" i="4"/>
  <c r="C717" i="4"/>
  <c r="C707" i="4"/>
  <c r="C705" i="4"/>
  <c r="C700" i="4"/>
  <c r="C685" i="4"/>
  <c r="C784" i="4"/>
  <c r="C765" i="4"/>
  <c r="C715" i="4"/>
  <c r="C709" i="4"/>
  <c r="C691" i="4"/>
  <c r="C680" i="4"/>
  <c r="C697" i="4"/>
  <c r="C690" i="4"/>
  <c r="C666" i="4"/>
  <c r="C655" i="4"/>
  <c r="C623" i="4"/>
  <c r="C609" i="4"/>
  <c r="C604" i="4"/>
  <c r="C599" i="4"/>
  <c r="C594" i="4"/>
  <c r="C589" i="4"/>
  <c r="C684" i="4"/>
  <c r="C637" i="4"/>
  <c r="C613" i="4"/>
  <c r="C675" i="4"/>
  <c r="C672" i="4"/>
  <c r="C671" i="4"/>
  <c r="C661" i="4"/>
  <c r="C716" i="4"/>
  <c r="C710" i="4"/>
  <c r="C694" i="4"/>
  <c r="C687" i="4"/>
  <c r="C677" i="4"/>
  <c r="C668" i="4"/>
  <c r="C740" i="4"/>
  <c r="C662" i="4"/>
  <c r="C653" i="4"/>
  <c r="C651" i="4"/>
  <c r="C625" i="4"/>
  <c r="C622" i="4"/>
  <c r="C772" i="4"/>
  <c r="C760" i="4"/>
  <c r="C667" i="4"/>
  <c r="C621" i="4"/>
  <c r="C607" i="4"/>
  <c r="C587" i="4"/>
  <c r="C582" i="4"/>
  <c r="C577" i="4"/>
  <c r="C572" i="4"/>
  <c r="C567" i="4"/>
  <c r="C562" i="4"/>
  <c r="C557" i="4"/>
  <c r="C552" i="4"/>
  <c r="C547" i="4"/>
  <c r="C542" i="4"/>
  <c r="C537" i="4"/>
  <c r="C532" i="4"/>
  <c r="C527" i="4"/>
  <c r="C714" i="4"/>
  <c r="C657" i="4"/>
  <c r="C648" i="4"/>
  <c r="C646" i="4"/>
  <c r="C645" i="4"/>
  <c r="C631" i="4"/>
  <c r="C618" i="4"/>
  <c r="C608" i="4"/>
  <c r="C606" i="4"/>
  <c r="C602" i="4"/>
  <c r="C595" i="4"/>
  <c r="C630" i="4"/>
  <c r="C619" i="4"/>
  <c r="C615" i="4"/>
  <c r="C611" i="4"/>
  <c r="C610" i="4"/>
  <c r="C706" i="4"/>
  <c r="C658" i="4"/>
  <c r="C612" i="4"/>
  <c r="C605" i="4"/>
  <c r="C598" i="4"/>
  <c r="C712" i="4"/>
  <c r="C601" i="4"/>
  <c r="C588" i="4"/>
  <c r="C583" i="4"/>
  <c r="C578" i="4"/>
  <c r="C656" i="4"/>
  <c r="C652" i="4"/>
  <c r="C636" i="4"/>
  <c r="C635" i="4"/>
  <c r="C632" i="4"/>
  <c r="C617" i="4"/>
  <c r="C614" i="4"/>
  <c r="C603" i="4"/>
  <c r="C592" i="4"/>
  <c r="C596" i="4"/>
  <c r="C576" i="4"/>
  <c r="C573" i="4"/>
  <c r="C570" i="4"/>
  <c r="C554" i="4"/>
  <c r="C551" i="4"/>
  <c r="C548" i="4"/>
  <c r="C545" i="4"/>
  <c r="C541" i="4"/>
  <c r="C539" i="4"/>
  <c r="C538" i="4"/>
  <c r="C533" i="4"/>
  <c r="C526" i="4"/>
  <c r="C524" i="4"/>
  <c r="C519" i="4"/>
  <c r="C514" i="4"/>
  <c r="C509" i="4"/>
  <c r="C504" i="4"/>
  <c r="C499" i="4"/>
  <c r="C494" i="4"/>
  <c r="C489" i="4"/>
  <c r="C484" i="4"/>
  <c r="C479" i="4"/>
  <c r="C474" i="4"/>
  <c r="C469" i="4"/>
  <c r="C464" i="4"/>
  <c r="C459" i="4"/>
  <c r="C454" i="4"/>
  <c r="C449" i="4"/>
  <c r="C444" i="4"/>
  <c r="C439" i="4"/>
  <c r="C434" i="4"/>
  <c r="C429" i="4"/>
  <c r="C424" i="4"/>
  <c r="C663" i="4"/>
  <c r="C638" i="4"/>
  <c r="C590" i="4"/>
  <c r="C529" i="4"/>
  <c r="C665" i="4"/>
  <c r="C628" i="4"/>
  <c r="C616" i="4"/>
  <c r="C597" i="4"/>
  <c r="C564" i="4"/>
  <c r="C561" i="4"/>
  <c r="C558" i="4"/>
  <c r="C555" i="4"/>
  <c r="C536" i="4"/>
  <c r="C522" i="4"/>
  <c r="C517" i="4"/>
  <c r="C512" i="4"/>
  <c r="C627" i="4"/>
  <c r="C591" i="4"/>
  <c r="C586" i="4"/>
  <c r="C585" i="4"/>
  <c r="C678" i="4"/>
  <c r="C584" i="4"/>
  <c r="C574" i="4"/>
  <c r="C571" i="4"/>
  <c r="C568" i="4"/>
  <c r="C565" i="4"/>
  <c r="C549" i="4"/>
  <c r="C546" i="4"/>
  <c r="C543" i="4"/>
  <c r="C535" i="4"/>
  <c r="C528" i="4"/>
  <c r="C525" i="4"/>
  <c r="C520" i="4"/>
  <c r="C515" i="4"/>
  <c r="C510" i="4"/>
  <c r="C505" i="4"/>
  <c r="C500" i="4"/>
  <c r="C495" i="4"/>
  <c r="C732" i="4"/>
  <c r="C650" i="4"/>
  <c r="C540" i="4"/>
  <c r="C600" i="4"/>
  <c r="C530" i="4"/>
  <c r="C503" i="4"/>
  <c r="C502" i="4"/>
  <c r="C491" i="4"/>
  <c r="C488" i="4"/>
  <c r="C485" i="4"/>
  <c r="C482" i="4"/>
  <c r="C466" i="4"/>
  <c r="C463" i="4"/>
  <c r="C460" i="4"/>
  <c r="C458" i="4"/>
  <c r="C431" i="4"/>
  <c r="C704" i="4"/>
  <c r="C579" i="4"/>
  <c r="C575" i="4"/>
  <c r="C559" i="4"/>
  <c r="C518" i="4"/>
  <c r="C501" i="4"/>
  <c r="C445" i="4"/>
  <c r="C438" i="4"/>
  <c r="C427" i="4"/>
  <c r="C418" i="4"/>
  <c r="C413" i="4"/>
  <c r="C408" i="4"/>
  <c r="C403" i="4"/>
  <c r="C398" i="4"/>
  <c r="C393" i="4"/>
  <c r="C388" i="4"/>
  <c r="C383" i="4"/>
  <c r="C476" i="4"/>
  <c r="C473" i="4"/>
  <c r="C470" i="4"/>
  <c r="C467" i="4"/>
  <c r="C620" i="4"/>
  <c r="C556" i="4"/>
  <c r="C531" i="4"/>
  <c r="C511" i="4"/>
  <c r="C498" i="4"/>
  <c r="C497" i="4"/>
  <c r="C437" i="4"/>
  <c r="C430" i="4"/>
  <c r="C423" i="4"/>
  <c r="C421" i="4"/>
  <c r="C569" i="4"/>
  <c r="C553" i="4"/>
  <c r="C550" i="4"/>
  <c r="C523" i="4"/>
  <c r="C496" i="4"/>
  <c r="C486" i="4"/>
  <c r="C483" i="4"/>
  <c r="C480" i="4"/>
  <c r="C477" i="4"/>
  <c r="C461" i="4"/>
  <c r="C426" i="4"/>
  <c r="C660" i="4"/>
  <c r="C521" i="4"/>
  <c r="C457" i="4"/>
  <c r="C456" i="4"/>
  <c r="C453" i="4"/>
  <c r="C442" i="4"/>
  <c r="C435" i="4"/>
  <c r="C428" i="4"/>
  <c r="C420" i="4"/>
  <c r="C415" i="4"/>
  <c r="C410" i="4"/>
  <c r="C405" i="4"/>
  <c r="C400" i="4"/>
  <c r="C395" i="4"/>
  <c r="C390" i="4"/>
  <c r="C385" i="4"/>
  <c r="C380" i="4"/>
  <c r="C581" i="4"/>
  <c r="C566" i="4"/>
  <c r="C508" i="4"/>
  <c r="C507" i="4"/>
  <c r="C472" i="4"/>
  <c r="C593" i="4"/>
  <c r="C443" i="4"/>
  <c r="C560" i="4"/>
  <c r="C580" i="4"/>
  <c r="C534" i="4"/>
  <c r="C492" i="4"/>
  <c r="C478" i="4"/>
  <c r="C471" i="4"/>
  <c r="C462" i="4"/>
  <c r="C436" i="4"/>
  <c r="C394" i="4"/>
  <c r="C391" i="4"/>
  <c r="C379" i="4"/>
  <c r="C372" i="4"/>
  <c r="C362" i="4"/>
  <c r="C352" i="4"/>
  <c r="C342" i="4"/>
  <c r="C516" i="4"/>
  <c r="C432" i="4"/>
  <c r="C411" i="4"/>
  <c r="C404" i="4"/>
  <c r="C402" i="4"/>
  <c r="C397" i="4"/>
  <c r="C382" i="4"/>
  <c r="C381" i="4"/>
  <c r="C378" i="4"/>
  <c r="C375" i="4"/>
  <c r="C368" i="4"/>
  <c r="C365" i="4"/>
  <c r="C358" i="4"/>
  <c r="C355" i="4"/>
  <c r="C348" i="4"/>
  <c r="C345" i="4"/>
  <c r="C340" i="4"/>
  <c r="C335" i="4"/>
  <c r="C330" i="4"/>
  <c r="C325" i="4"/>
  <c r="C320" i="4"/>
  <c r="C315" i="4"/>
  <c r="C310" i="4"/>
  <c r="C305" i="4"/>
  <c r="C300" i="4"/>
  <c r="C295" i="4"/>
  <c r="C290" i="4"/>
  <c r="C285" i="4"/>
  <c r="C280" i="4"/>
  <c r="C275" i="4"/>
  <c r="C270" i="4"/>
  <c r="C265" i="4"/>
  <c r="C260" i="4"/>
  <c r="C255" i="4"/>
  <c r="C250" i="4"/>
  <c r="C245" i="4"/>
  <c r="C240" i="4"/>
  <c r="C481" i="4"/>
  <c r="C451" i="4"/>
  <c r="C441" i="4"/>
  <c r="C406" i="4"/>
  <c r="C446" i="4"/>
  <c r="C433" i="4"/>
  <c r="C389" i="4"/>
  <c r="C386" i="4"/>
  <c r="C374" i="4"/>
  <c r="C371" i="4"/>
  <c r="C364" i="4"/>
  <c r="C361" i="4"/>
  <c r="C354" i="4"/>
  <c r="C351" i="4"/>
  <c r="C344" i="4"/>
  <c r="C338" i="4"/>
  <c r="C333" i="4"/>
  <c r="C328" i="4"/>
  <c r="C323" i="4"/>
  <c r="C318" i="4"/>
  <c r="C313" i="4"/>
  <c r="C308" i="4"/>
  <c r="C506" i="4"/>
  <c r="C468" i="4"/>
  <c r="C419" i="4"/>
  <c r="C417" i="4"/>
  <c r="C392" i="4"/>
  <c r="C513" i="4"/>
  <c r="C475" i="4"/>
  <c r="C544" i="4"/>
  <c r="C493" i="4"/>
  <c r="C490" i="4"/>
  <c r="C465" i="4"/>
  <c r="C563" i="4"/>
  <c r="C455" i="4"/>
  <c r="C409" i="4"/>
  <c r="C407" i="4"/>
  <c r="C366" i="4"/>
  <c r="C316" i="4"/>
  <c r="C301" i="4"/>
  <c r="C298" i="4"/>
  <c r="C297" i="4"/>
  <c r="C294" i="4"/>
  <c r="C251" i="4"/>
  <c r="C248" i="4"/>
  <c r="C247" i="4"/>
  <c r="C244" i="4"/>
  <c r="C239" i="4"/>
  <c r="C229" i="4"/>
  <c r="C219" i="4"/>
  <c r="C216" i="4"/>
  <c r="C211" i="4"/>
  <c r="C206" i="4"/>
  <c r="C201" i="4"/>
  <c r="C196" i="4"/>
  <c r="C191" i="4"/>
  <c r="C186" i="4"/>
  <c r="C181" i="4"/>
  <c r="C176" i="4"/>
  <c r="C171" i="4"/>
  <c r="C166" i="4"/>
  <c r="C161" i="4"/>
  <c r="C156" i="4"/>
  <c r="C151" i="4"/>
  <c r="C146" i="4"/>
  <c r="C414" i="4"/>
  <c r="C377" i="4"/>
  <c r="C369" i="4"/>
  <c r="C341" i="4"/>
  <c r="C339" i="4"/>
  <c r="C331" i="4"/>
  <c r="C307" i="4"/>
  <c r="C303" i="4"/>
  <c r="C302" i="4"/>
  <c r="C299" i="4"/>
  <c r="C256" i="4"/>
  <c r="C253" i="4"/>
  <c r="C252" i="4"/>
  <c r="C249" i="4"/>
  <c r="C235" i="4"/>
  <c r="C232" i="4"/>
  <c r="C225" i="4"/>
  <c r="C222" i="4"/>
  <c r="C447" i="4"/>
  <c r="C356" i="4"/>
  <c r="C322" i="4"/>
  <c r="C319" i="4"/>
  <c r="C304" i="4"/>
  <c r="C448" i="4"/>
  <c r="C367" i="4"/>
  <c r="C359" i="4"/>
  <c r="C311" i="4"/>
  <c r="C266" i="4"/>
  <c r="C263" i="4"/>
  <c r="C262" i="4"/>
  <c r="C259" i="4"/>
  <c r="C440" i="4"/>
  <c r="C373" i="4"/>
  <c r="C370" i="4"/>
  <c r="C346" i="4"/>
  <c r="C326" i="4"/>
  <c r="C271" i="4"/>
  <c r="C268" i="4"/>
  <c r="C267" i="4"/>
  <c r="C264" i="4"/>
  <c r="C425" i="4"/>
  <c r="C416" i="4"/>
  <c r="C412" i="4"/>
  <c r="C401" i="4"/>
  <c r="C399" i="4"/>
  <c r="C396" i="4"/>
  <c r="C450" i="4"/>
  <c r="C422" i="4"/>
  <c r="C487" i="4"/>
  <c r="C384" i="4"/>
  <c r="C376" i="4"/>
  <c r="C452" i="4"/>
  <c r="C387" i="4"/>
  <c r="C336" i="4"/>
  <c r="C334" i="4"/>
  <c r="C327" i="4"/>
  <c r="C324" i="4"/>
  <c r="C296" i="4"/>
  <c r="C293" i="4"/>
  <c r="C292" i="4"/>
  <c r="C289" i="4"/>
  <c r="C246" i="4"/>
  <c r="C243" i="4"/>
  <c r="C242" i="4"/>
  <c r="C312" i="4"/>
  <c r="C221" i="4"/>
  <c r="C217" i="4"/>
  <c r="C208" i="4"/>
  <c r="C205" i="4"/>
  <c r="C202" i="4"/>
  <c r="C199" i="4"/>
  <c r="C184" i="4"/>
  <c r="C183" i="4"/>
  <c r="C180" i="4"/>
  <c r="C173" i="4"/>
  <c r="C148" i="4"/>
  <c r="C317" i="4"/>
  <c r="C309" i="4"/>
  <c r="C306" i="4"/>
  <c r="C276" i="4"/>
  <c r="C272" i="4"/>
  <c r="C254" i="4"/>
  <c r="C185" i="4"/>
  <c r="C169" i="4"/>
  <c r="C162" i="4"/>
  <c r="C155" i="4"/>
  <c r="C144" i="4"/>
  <c r="C141" i="4"/>
  <c r="C136" i="4"/>
  <c r="C131" i="4"/>
  <c r="C126" i="4"/>
  <c r="C121" i="4"/>
  <c r="C116" i="4"/>
  <c r="C111" i="4"/>
  <c r="C106" i="4"/>
  <c r="E106" i="4" s="1"/>
  <c r="G106" i="4" s="1"/>
  <c r="C101" i="4"/>
  <c r="C96" i="4"/>
  <c r="C314" i="4"/>
  <c r="C291" i="4"/>
  <c r="C283" i="4"/>
  <c r="C281" i="4"/>
  <c r="C234" i="4"/>
  <c r="C215" i="4"/>
  <c r="C212" i="4"/>
  <c r="C209" i="4"/>
  <c r="C193" i="4"/>
  <c r="C190" i="4"/>
  <c r="C187" i="4"/>
  <c r="C360" i="4"/>
  <c r="C349" i="4"/>
  <c r="C347" i="4"/>
  <c r="C287" i="4"/>
  <c r="C279" i="4"/>
  <c r="C241" i="4"/>
  <c r="C238" i="4"/>
  <c r="C236" i="4"/>
  <c r="C223" i="4"/>
  <c r="C172" i="4"/>
  <c r="C165" i="4"/>
  <c r="C154" i="4"/>
  <c r="C147" i="4"/>
  <c r="C139" i="4"/>
  <c r="C134" i="4"/>
  <c r="C350" i="4"/>
  <c r="C337" i="4"/>
  <c r="C273" i="4"/>
  <c r="C231" i="4"/>
  <c r="C227" i="4"/>
  <c r="C203" i="4"/>
  <c r="C200" i="4"/>
  <c r="C197" i="4"/>
  <c r="C194" i="4"/>
  <c r="C168" i="4"/>
  <c r="C143" i="4"/>
  <c r="C353" i="4"/>
  <c r="C343" i="4"/>
  <c r="C332" i="4"/>
  <c r="C357" i="4"/>
  <c r="C363" i="4"/>
  <c r="C329" i="4"/>
  <c r="C321" i="4"/>
  <c r="C284" i="4"/>
  <c r="C258" i="4"/>
  <c r="C230" i="4"/>
  <c r="C228" i="4"/>
  <c r="C226" i="4"/>
  <c r="C182" i="4"/>
  <c r="C179" i="4"/>
  <c r="C178" i="4"/>
  <c r="C175" i="4"/>
  <c r="C170" i="4"/>
  <c r="C159" i="4"/>
  <c r="C152" i="4"/>
  <c r="C145" i="4"/>
  <c r="C138" i="4"/>
  <c r="C133" i="4"/>
  <c r="C128" i="4"/>
  <c r="C123" i="4"/>
  <c r="C118" i="4"/>
  <c r="C113" i="4"/>
  <c r="C108" i="4"/>
  <c r="C103" i="4"/>
  <c r="C98" i="4"/>
  <c r="C93" i="4"/>
  <c r="C88" i="4"/>
  <c r="C83" i="4"/>
  <c r="C78" i="4"/>
  <c r="C237" i="4"/>
  <c r="C189" i="4"/>
  <c r="C107" i="4"/>
  <c r="C104" i="4"/>
  <c r="C95" i="4"/>
  <c r="C213" i="4"/>
  <c r="C164" i="4"/>
  <c r="C122" i="4"/>
  <c r="C119" i="4"/>
  <c r="C110" i="4"/>
  <c r="C65" i="4"/>
  <c r="C55" i="4"/>
  <c r="E55" i="4" s="1"/>
  <c r="G55" i="4" s="1"/>
  <c r="C45" i="4"/>
  <c r="E45" i="4" s="1"/>
  <c r="G45" i="4" s="1"/>
  <c r="C43" i="4"/>
  <c r="E43" i="4" s="1"/>
  <c r="G43" i="4" s="1"/>
  <c r="C38" i="4"/>
  <c r="C33" i="4"/>
  <c r="C28" i="4"/>
  <c r="E28" i="4" s="1"/>
  <c r="G28" i="4" s="1"/>
  <c r="C23" i="4"/>
  <c r="C71" i="4"/>
  <c r="C68" i="4"/>
  <c r="C261" i="4"/>
  <c r="C257" i="4"/>
  <c r="C233" i="4"/>
  <c r="C218" i="4"/>
  <c r="C174" i="4"/>
  <c r="C125" i="4"/>
  <c r="C288" i="4"/>
  <c r="C286" i="4"/>
  <c r="C210" i="4"/>
  <c r="C157" i="4"/>
  <c r="C102" i="4"/>
  <c r="C99" i="4"/>
  <c r="C274" i="4"/>
  <c r="C207" i="4"/>
  <c r="C204" i="4"/>
  <c r="C188" i="4"/>
  <c r="C167" i="4"/>
  <c r="C149" i="4"/>
  <c r="C117" i="4"/>
  <c r="C114" i="4"/>
  <c r="C105" i="4"/>
  <c r="C76" i="4"/>
  <c r="C67" i="4"/>
  <c r="C269" i="4"/>
  <c r="C278" i="4"/>
  <c r="C277" i="4"/>
  <c r="C224" i="4"/>
  <c r="C220" i="4"/>
  <c r="C214" i="4"/>
  <c r="C198" i="4"/>
  <c r="C195" i="4"/>
  <c r="C282" i="4"/>
  <c r="C192" i="4"/>
  <c r="C163" i="4"/>
  <c r="C130" i="4"/>
  <c r="C92" i="4"/>
  <c r="C72" i="4"/>
  <c r="C69" i="4"/>
  <c r="C62" i="4"/>
  <c r="C59" i="4"/>
  <c r="C52" i="4"/>
  <c r="C49" i="4"/>
  <c r="C40" i="4"/>
  <c r="C35" i="4"/>
  <c r="C30" i="4"/>
  <c r="C25" i="4"/>
  <c r="C20" i="4"/>
  <c r="C15" i="4"/>
  <c r="C18" i="4"/>
  <c r="C13" i="4"/>
  <c r="E13" i="4" s="1"/>
  <c r="G13" i="4" s="1"/>
  <c r="D11" i="3"/>
  <c r="B13" i="3" s="1"/>
  <c r="B33" i="3"/>
  <c r="C12" i="4"/>
  <c r="B34" i="3"/>
  <c r="D12" i="4"/>
  <c r="Q12" i="4"/>
  <c r="S12" i="4" s="1"/>
  <c r="U12" i="4" s="1"/>
  <c r="V12" i="4" s="1"/>
  <c r="AF12" i="4"/>
  <c r="I13" i="4"/>
  <c r="Q15" i="4"/>
  <c r="S15" i="4" s="1"/>
  <c r="U15" i="4" s="1"/>
  <c r="V15" i="4" s="1"/>
  <c r="AE18" i="4"/>
  <c r="AG18" i="4" s="1"/>
  <c r="AI18" i="4" s="1"/>
  <c r="J19" i="4"/>
  <c r="W19" i="4"/>
  <c r="Z19" i="4" s="1"/>
  <c r="AB19" i="4" s="1"/>
  <c r="D21" i="4"/>
  <c r="AE21" i="4"/>
  <c r="AG21" i="4" s="1"/>
  <c r="AI21" i="4" s="1"/>
  <c r="W22" i="4"/>
  <c r="Z22" i="4" s="1"/>
  <c r="AB22" i="4" s="1"/>
  <c r="AC22" i="4" s="1"/>
  <c r="AF24" i="4"/>
  <c r="I25" i="4"/>
  <c r="J28" i="4"/>
  <c r="AF36" i="4"/>
  <c r="D1009" i="4"/>
  <c r="D1004" i="4"/>
  <c r="D999" i="4"/>
  <c r="D994" i="4"/>
  <c r="D989" i="4"/>
  <c r="D984" i="4"/>
  <c r="D1008" i="4"/>
  <c r="D1007" i="4"/>
  <c r="D1006" i="4"/>
  <c r="D1005" i="4"/>
  <c r="D1002" i="4"/>
  <c r="D995" i="4"/>
  <c r="D992" i="4"/>
  <c r="D985" i="4"/>
  <c r="D1010" i="4"/>
  <c r="D1001" i="4"/>
  <c r="D1011" i="4"/>
  <c r="D986" i="4"/>
  <c r="D982" i="4"/>
  <c r="D1000" i="4"/>
  <c r="D987" i="4"/>
  <c r="D980" i="4"/>
  <c r="D975" i="4"/>
  <c r="D998" i="4"/>
  <c r="D988" i="4"/>
  <c r="D991" i="4"/>
  <c r="D977" i="4"/>
  <c r="D967" i="4"/>
  <c r="D962" i="4"/>
  <c r="D957" i="4"/>
  <c r="D952" i="4"/>
  <c r="D947" i="4"/>
  <c r="D993" i="4"/>
  <c r="D972" i="4"/>
  <c r="D996" i="4"/>
  <c r="D997" i="4"/>
  <c r="D1003" i="4"/>
  <c r="D990" i="4"/>
  <c r="D979" i="4"/>
  <c r="D968" i="4"/>
  <c r="D976" i="4"/>
  <c r="D946" i="4"/>
  <c r="D941" i="4"/>
  <c r="D936" i="4"/>
  <c r="D931" i="4"/>
  <c r="D926" i="4"/>
  <c r="D971" i="4"/>
  <c r="D983" i="4"/>
  <c r="D958" i="4"/>
  <c r="D955" i="4"/>
  <c r="D954" i="4"/>
  <c r="D951" i="4"/>
  <c r="D948" i="4"/>
  <c r="D973" i="4"/>
  <c r="D963" i="4"/>
  <c r="D960" i="4"/>
  <c r="D959" i="4"/>
  <c r="D956" i="4"/>
  <c r="D981" i="4"/>
  <c r="D974" i="4"/>
  <c r="D978" i="4"/>
  <c r="D970" i="4"/>
  <c r="D969" i="4"/>
  <c r="D964" i="4"/>
  <c r="D920" i="4"/>
  <c r="D915" i="4"/>
  <c r="D910" i="4"/>
  <c r="D905" i="4"/>
  <c r="D900" i="4"/>
  <c r="D966" i="4"/>
  <c r="D961" i="4"/>
  <c r="D953" i="4"/>
  <c r="D950" i="4"/>
  <c r="D949" i="4"/>
  <c r="D965" i="4"/>
  <c r="D945" i="4"/>
  <c r="D944" i="4"/>
  <c r="D929" i="4"/>
  <c r="D901" i="4"/>
  <c r="D899" i="4"/>
  <c r="D898" i="4"/>
  <c r="D893" i="4"/>
  <c r="D888" i="4"/>
  <c r="D883" i="4"/>
  <c r="D878" i="4"/>
  <c r="D873" i="4"/>
  <c r="D868" i="4"/>
  <c r="D863" i="4"/>
  <c r="D858" i="4"/>
  <c r="D853" i="4"/>
  <c r="D848" i="4"/>
  <c r="D942" i="4"/>
  <c r="D940" i="4"/>
  <c r="D937" i="4"/>
  <c r="D927" i="4"/>
  <c r="D925" i="4"/>
  <c r="D906" i="4"/>
  <c r="D904" i="4"/>
  <c r="D903" i="4"/>
  <c r="D923" i="4"/>
  <c r="D911" i="4"/>
  <c r="D909" i="4"/>
  <c r="D908" i="4"/>
  <c r="D916" i="4"/>
  <c r="D914" i="4"/>
  <c r="D913" i="4"/>
  <c r="D907" i="4"/>
  <c r="D921" i="4"/>
  <c r="D919" i="4"/>
  <c r="D918" i="4"/>
  <c r="D912" i="4"/>
  <c r="D938" i="4"/>
  <c r="D934" i="4"/>
  <c r="D930" i="4"/>
  <c r="D932" i="4"/>
  <c r="D922" i="4"/>
  <c r="D943" i="4"/>
  <c r="D939" i="4"/>
  <c r="D935" i="4"/>
  <c r="D933" i="4"/>
  <c r="D928" i="4"/>
  <c r="D924" i="4"/>
  <c r="D879" i="4"/>
  <c r="D876" i="4"/>
  <c r="D875" i="4"/>
  <c r="D872" i="4"/>
  <c r="D884" i="4"/>
  <c r="D881" i="4"/>
  <c r="D880" i="4"/>
  <c r="D877" i="4"/>
  <c r="D851" i="4"/>
  <c r="D846" i="4"/>
  <c r="D917" i="4"/>
  <c r="D889" i="4"/>
  <c r="D886" i="4"/>
  <c r="D885" i="4"/>
  <c r="D882" i="4"/>
  <c r="D894" i="4"/>
  <c r="D891" i="4"/>
  <c r="D890" i="4"/>
  <c r="D887" i="4"/>
  <c r="D895" i="4"/>
  <c r="D892" i="4"/>
  <c r="D902" i="4"/>
  <c r="D897" i="4"/>
  <c r="D870" i="4"/>
  <c r="D866" i="4"/>
  <c r="D862" i="4"/>
  <c r="D855" i="4"/>
  <c r="D841" i="4"/>
  <c r="D896" i="4"/>
  <c r="D850" i="4"/>
  <c r="D835" i="4"/>
  <c r="D830" i="4"/>
  <c r="D825" i="4"/>
  <c r="D820" i="4"/>
  <c r="D815" i="4"/>
  <c r="D810" i="4"/>
  <c r="D805" i="4"/>
  <c r="D859" i="4"/>
  <c r="D857" i="4"/>
  <c r="D861" i="4"/>
  <c r="D847" i="4"/>
  <c r="D845" i="4"/>
  <c r="D844" i="4"/>
  <c r="D840" i="4"/>
  <c r="D838" i="4"/>
  <c r="D833" i="4"/>
  <c r="D828" i="4"/>
  <c r="D869" i="4"/>
  <c r="D854" i="4"/>
  <c r="D871" i="4"/>
  <c r="D867" i="4"/>
  <c r="D865" i="4"/>
  <c r="D874" i="4"/>
  <c r="D849" i="4"/>
  <c r="D826" i="4"/>
  <c r="D824" i="4"/>
  <c r="D823" i="4"/>
  <c r="D817" i="4"/>
  <c r="D801" i="4"/>
  <c r="D843" i="4"/>
  <c r="D822" i="4"/>
  <c r="D793" i="4"/>
  <c r="D827" i="4"/>
  <c r="D852" i="4"/>
  <c r="D831" i="4"/>
  <c r="D842" i="4"/>
  <c r="D834" i="4"/>
  <c r="D786" i="4"/>
  <c r="D779" i="4"/>
  <c r="D864" i="4"/>
  <c r="D837" i="4"/>
  <c r="D832" i="4"/>
  <c r="D816" i="4"/>
  <c r="D809" i="4"/>
  <c r="D808" i="4"/>
  <c r="D806" i="4"/>
  <c r="D797" i="4"/>
  <c r="D794" i="4"/>
  <c r="D792" i="4"/>
  <c r="D791" i="4"/>
  <c r="D782" i="4"/>
  <c r="D777" i="4"/>
  <c r="D772" i="4"/>
  <c r="D767" i="4"/>
  <c r="D762" i="4"/>
  <c r="D757" i="4"/>
  <c r="D752" i="4"/>
  <c r="D747" i="4"/>
  <c r="D742" i="4"/>
  <c r="D836" i="4"/>
  <c r="D819" i="4"/>
  <c r="D813" i="4"/>
  <c r="D811" i="4"/>
  <c r="D804" i="4"/>
  <c r="D790" i="4"/>
  <c r="D789" i="4"/>
  <c r="D860" i="4"/>
  <c r="D818" i="4"/>
  <c r="D814" i="4"/>
  <c r="D807" i="4"/>
  <c r="D795" i="4"/>
  <c r="D775" i="4"/>
  <c r="D770" i="4"/>
  <c r="D765" i="4"/>
  <c r="D839" i="4"/>
  <c r="D821" i="4"/>
  <c r="D812" i="4"/>
  <c r="D800" i="4"/>
  <c r="D788" i="4"/>
  <c r="D785" i="4"/>
  <c r="D781" i="4"/>
  <c r="D803" i="4"/>
  <c r="D798" i="4"/>
  <c r="D796" i="4"/>
  <c r="D735" i="4"/>
  <c r="D766" i="4"/>
  <c r="D743" i="4"/>
  <c r="D741" i="4"/>
  <c r="D740" i="4"/>
  <c r="D731" i="4"/>
  <c r="D726" i="4"/>
  <c r="D721" i="4"/>
  <c r="D716" i="4"/>
  <c r="D711" i="4"/>
  <c r="D706" i="4"/>
  <c r="D701" i="4"/>
  <c r="D771" i="4"/>
  <c r="D763" i="4"/>
  <c r="D748" i="4"/>
  <c r="D746" i="4"/>
  <c r="D745" i="4"/>
  <c r="D829" i="4"/>
  <c r="D769" i="4"/>
  <c r="D753" i="4"/>
  <c r="D751" i="4"/>
  <c r="D750" i="4"/>
  <c r="D744" i="4"/>
  <c r="D729" i="4"/>
  <c r="D724" i="4"/>
  <c r="D799" i="4"/>
  <c r="D776" i="4"/>
  <c r="D774" i="4"/>
  <c r="D758" i="4"/>
  <c r="D756" i="4"/>
  <c r="D755" i="4"/>
  <c r="D749" i="4"/>
  <c r="D737" i="4"/>
  <c r="D734" i="4"/>
  <c r="D773" i="4"/>
  <c r="D761" i="4"/>
  <c r="D760" i="4"/>
  <c r="D754" i="4"/>
  <c r="D780" i="4"/>
  <c r="D738" i="4"/>
  <c r="D718" i="4"/>
  <c r="D696" i="4"/>
  <c r="D693" i="4"/>
  <c r="D689" i="4"/>
  <c r="D682" i="4"/>
  <c r="D723" i="4"/>
  <c r="D685" i="4"/>
  <c r="D677" i="4"/>
  <c r="D672" i="4"/>
  <c r="D667" i="4"/>
  <c r="D662" i="4"/>
  <c r="D657" i="4"/>
  <c r="D652" i="4"/>
  <c r="D647" i="4"/>
  <c r="D642" i="4"/>
  <c r="D802" i="4"/>
  <c r="D778" i="4"/>
  <c r="D764" i="4"/>
  <c r="D759" i="4"/>
  <c r="D730" i="4"/>
  <c r="D728" i="4"/>
  <c r="D736" i="4"/>
  <c r="D733" i="4"/>
  <c r="D727" i="4"/>
  <c r="D695" i="4"/>
  <c r="D675" i="4"/>
  <c r="D670" i="4"/>
  <c r="D856" i="4"/>
  <c r="D725" i="4"/>
  <c r="D691" i="4"/>
  <c r="D688" i="4"/>
  <c r="D673" i="4"/>
  <c r="D643" i="4"/>
  <c r="D641" i="4"/>
  <c r="D640" i="4"/>
  <c r="D633" i="4"/>
  <c r="D624" i="4"/>
  <c r="D619" i="4"/>
  <c r="D614" i="4"/>
  <c r="D702" i="4"/>
  <c r="D699" i="4"/>
  <c r="D679" i="4"/>
  <c r="D648" i="4"/>
  <c r="D646" i="4"/>
  <c r="D645" i="4"/>
  <c r="D636" i="4"/>
  <c r="D787" i="4"/>
  <c r="D783" i="4"/>
  <c r="D717" i="4"/>
  <c r="D707" i="4"/>
  <c r="D705" i="4"/>
  <c r="D700" i="4"/>
  <c r="D784" i="4"/>
  <c r="D719" i="4"/>
  <c r="D715" i="4"/>
  <c r="D709" i="4"/>
  <c r="D703" i="4"/>
  <c r="D698" i="4"/>
  <c r="D692" i="4"/>
  <c r="D683" i="4"/>
  <c r="D713" i="4"/>
  <c r="D722" i="4"/>
  <c r="D684" i="4"/>
  <c r="D637" i="4"/>
  <c r="D626" i="4"/>
  <c r="D613" i="4"/>
  <c r="D708" i="4"/>
  <c r="D665" i="4"/>
  <c r="D644" i="4"/>
  <c r="D630" i="4"/>
  <c r="D616" i="4"/>
  <c r="D607" i="4"/>
  <c r="D676" i="4"/>
  <c r="D671" i="4"/>
  <c r="D768" i="4"/>
  <c r="D710" i="4"/>
  <c r="D694" i="4"/>
  <c r="D687" i="4"/>
  <c r="D680" i="4"/>
  <c r="D674" i="4"/>
  <c r="D668" i="4"/>
  <c r="D714" i="4"/>
  <c r="D712" i="4"/>
  <c r="D697" i="4"/>
  <c r="D690" i="4"/>
  <c r="D666" i="4"/>
  <c r="D659" i="4"/>
  <c r="D655" i="4"/>
  <c r="D649" i="4"/>
  <c r="D629" i="4"/>
  <c r="D623" i="4"/>
  <c r="D720" i="4"/>
  <c r="D681" i="4"/>
  <c r="D631" i="4"/>
  <c r="D618" i="4"/>
  <c r="D608" i="4"/>
  <c r="D606" i="4"/>
  <c r="D602" i="4"/>
  <c r="D599" i="4"/>
  <c r="D595" i="4"/>
  <c r="D661" i="4"/>
  <c r="D634" i="4"/>
  <c r="D615" i="4"/>
  <c r="D611" i="4"/>
  <c r="D610" i="4"/>
  <c r="D591" i="4"/>
  <c r="D585" i="4"/>
  <c r="D580" i="4"/>
  <c r="D575" i="4"/>
  <c r="D570" i="4"/>
  <c r="D565" i="4"/>
  <c r="D560" i="4"/>
  <c r="D555" i="4"/>
  <c r="D550" i="4"/>
  <c r="D545" i="4"/>
  <c r="D540" i="4"/>
  <c r="D664" i="4"/>
  <c r="D658" i="4"/>
  <c r="D612" i="4"/>
  <c r="D609" i="4"/>
  <c r="D605" i="4"/>
  <c r="D598" i="4"/>
  <c r="D653" i="4"/>
  <c r="D601" i="4"/>
  <c r="D588" i="4"/>
  <c r="D583" i="4"/>
  <c r="D578" i="4"/>
  <c r="D739" i="4"/>
  <c r="D732" i="4"/>
  <c r="D654" i="4"/>
  <c r="D628" i="4"/>
  <c r="D627" i="4"/>
  <c r="D620" i="4"/>
  <c r="D597" i="4"/>
  <c r="D594" i="4"/>
  <c r="D590" i="4"/>
  <c r="D686" i="4"/>
  <c r="D651" i="4"/>
  <c r="D621" i="4"/>
  <c r="D587" i="4"/>
  <c r="D582" i="4"/>
  <c r="D577" i="4"/>
  <c r="D572" i="4"/>
  <c r="D567" i="4"/>
  <c r="D562" i="4"/>
  <c r="D557" i="4"/>
  <c r="D552" i="4"/>
  <c r="D547" i="4"/>
  <c r="D542" i="4"/>
  <c r="D669" i="4"/>
  <c r="D663" i="4"/>
  <c r="D638" i="4"/>
  <c r="D617" i="4"/>
  <c r="D537" i="4"/>
  <c r="D529" i="4"/>
  <c r="D604" i="4"/>
  <c r="D589" i="4"/>
  <c r="D564" i="4"/>
  <c r="D561" i="4"/>
  <c r="D558" i="4"/>
  <c r="D536" i="4"/>
  <c r="D522" i="4"/>
  <c r="D517" i="4"/>
  <c r="D512" i="4"/>
  <c r="D507" i="4"/>
  <c r="D502" i="4"/>
  <c r="D497" i="4"/>
  <c r="D492" i="4"/>
  <c r="D487" i="4"/>
  <c r="D482" i="4"/>
  <c r="D477" i="4"/>
  <c r="D472" i="4"/>
  <c r="D467" i="4"/>
  <c r="D462" i="4"/>
  <c r="D622" i="4"/>
  <c r="D586" i="4"/>
  <c r="D678" i="4"/>
  <c r="D592" i="4"/>
  <c r="D584" i="4"/>
  <c r="D574" i="4"/>
  <c r="D571" i="4"/>
  <c r="D568" i="4"/>
  <c r="D549" i="4"/>
  <c r="D546" i="4"/>
  <c r="D543" i="4"/>
  <c r="D535" i="4"/>
  <c r="D532" i="4"/>
  <c r="D528" i="4"/>
  <c r="D525" i="4"/>
  <c r="D520" i="4"/>
  <c r="D515" i="4"/>
  <c r="D510" i="4"/>
  <c r="D505" i="4"/>
  <c r="D500" i="4"/>
  <c r="D495" i="4"/>
  <c r="D704" i="4"/>
  <c r="D635" i="4"/>
  <c r="D600" i="4"/>
  <c r="D656" i="4"/>
  <c r="D639" i="4"/>
  <c r="D596" i="4"/>
  <c r="D576" i="4"/>
  <c r="D573" i="4"/>
  <c r="D554" i="4"/>
  <c r="D551" i="4"/>
  <c r="D548" i="4"/>
  <c r="D541" i="4"/>
  <c r="D539" i="4"/>
  <c r="D538" i="4"/>
  <c r="D533" i="4"/>
  <c r="D526" i="4"/>
  <c r="D524" i="4"/>
  <c r="D519" i="4"/>
  <c r="D514" i="4"/>
  <c r="D509" i="4"/>
  <c r="D504" i="4"/>
  <c r="D499" i="4"/>
  <c r="D494" i="4"/>
  <c r="D489" i="4"/>
  <c r="D484" i="4"/>
  <c r="D479" i="4"/>
  <c r="D474" i="4"/>
  <c r="D469" i="4"/>
  <c r="D464" i="4"/>
  <c r="D459" i="4"/>
  <c r="D454" i="4"/>
  <c r="D449" i="4"/>
  <c r="D579" i="4"/>
  <c r="D559" i="4"/>
  <c r="D518" i="4"/>
  <c r="D501" i="4"/>
  <c r="D445" i="4"/>
  <c r="D438" i="4"/>
  <c r="D427" i="4"/>
  <c r="D424" i="4"/>
  <c r="D418" i="4"/>
  <c r="D413" i="4"/>
  <c r="D408" i="4"/>
  <c r="D403" i="4"/>
  <c r="D398" i="4"/>
  <c r="D393" i="4"/>
  <c r="D388" i="4"/>
  <c r="D383" i="4"/>
  <c r="D378" i="4"/>
  <c r="D373" i="4"/>
  <c r="D368" i="4"/>
  <c r="D363" i="4"/>
  <c r="D358" i="4"/>
  <c r="D353" i="4"/>
  <c r="D348" i="4"/>
  <c r="D343" i="4"/>
  <c r="D632" i="4"/>
  <c r="D476" i="4"/>
  <c r="D473" i="4"/>
  <c r="D470" i="4"/>
  <c r="D441" i="4"/>
  <c r="D603" i="4"/>
  <c r="D556" i="4"/>
  <c r="D531" i="4"/>
  <c r="D511" i="4"/>
  <c r="D498" i="4"/>
  <c r="D625" i="4"/>
  <c r="D569" i="4"/>
  <c r="D553" i="4"/>
  <c r="D523" i="4"/>
  <c r="D496" i="4"/>
  <c r="D486" i="4"/>
  <c r="D483" i="4"/>
  <c r="D480" i="4"/>
  <c r="D461" i="4"/>
  <c r="D426" i="4"/>
  <c r="D593" i="4"/>
  <c r="D566" i="4"/>
  <c r="D444" i="4"/>
  <c r="D440" i="4"/>
  <c r="D433" i="4"/>
  <c r="D660" i="4"/>
  <c r="D650" i="4"/>
  <c r="D530" i="4"/>
  <c r="D503" i="4"/>
  <c r="D491" i="4"/>
  <c r="D488" i="4"/>
  <c r="D485" i="4"/>
  <c r="D466" i="4"/>
  <c r="D463" i="4"/>
  <c r="D460" i="4"/>
  <c r="D458" i="4"/>
  <c r="D431" i="4"/>
  <c r="D443" i="4"/>
  <c r="D409" i="4"/>
  <c r="D406" i="4"/>
  <c r="D527" i="4"/>
  <c r="D506" i="4"/>
  <c r="D516" i="4"/>
  <c r="D513" i="4"/>
  <c r="D475" i="4"/>
  <c r="D432" i="4"/>
  <c r="D411" i="4"/>
  <c r="D404" i="4"/>
  <c r="D402" i="4"/>
  <c r="D397" i="4"/>
  <c r="D385" i="4"/>
  <c r="D382" i="4"/>
  <c r="D381" i="4"/>
  <c r="D375" i="4"/>
  <c r="D365" i="4"/>
  <c r="D355" i="4"/>
  <c r="D345" i="4"/>
  <c r="D340" i="4"/>
  <c r="D335" i="4"/>
  <c r="D330" i="4"/>
  <c r="D325" i="4"/>
  <c r="D320" i="4"/>
  <c r="D315" i="4"/>
  <c r="D310" i="4"/>
  <c r="D305" i="4"/>
  <c r="D300" i="4"/>
  <c r="D295" i="4"/>
  <c r="D290" i="4"/>
  <c r="D285" i="4"/>
  <c r="D280" i="4"/>
  <c r="D275" i="4"/>
  <c r="D270" i="4"/>
  <c r="D265" i="4"/>
  <c r="D260" i="4"/>
  <c r="D255" i="4"/>
  <c r="D250" i="4"/>
  <c r="D245" i="4"/>
  <c r="D240" i="4"/>
  <c r="D235" i="4"/>
  <c r="D230" i="4"/>
  <c r="D225" i="4"/>
  <c r="D220" i="4"/>
  <c r="D581" i="4"/>
  <c r="D481" i="4"/>
  <c r="D451" i="4"/>
  <c r="D400" i="4"/>
  <c r="D380" i="4"/>
  <c r="D446" i="4"/>
  <c r="D437" i="4"/>
  <c r="D389" i="4"/>
  <c r="D386" i="4"/>
  <c r="D374" i="4"/>
  <c r="D371" i="4"/>
  <c r="D364" i="4"/>
  <c r="D361" i="4"/>
  <c r="D354" i="4"/>
  <c r="D351" i="4"/>
  <c r="D468" i="4"/>
  <c r="D457" i="4"/>
  <c r="D419" i="4"/>
  <c r="D417" i="4"/>
  <c r="D415" i="4"/>
  <c r="D392" i="4"/>
  <c r="D448" i="4"/>
  <c r="D428" i="4"/>
  <c r="D425" i="4"/>
  <c r="D401" i="4"/>
  <c r="D395" i="4"/>
  <c r="D377" i="4"/>
  <c r="D367" i="4"/>
  <c r="D357" i="4"/>
  <c r="D347" i="4"/>
  <c r="D341" i="4"/>
  <c r="D336" i="4"/>
  <c r="D478" i="4"/>
  <c r="D453" i="4"/>
  <c r="D544" i="4"/>
  <c r="D534" i="4"/>
  <c r="D493" i="4"/>
  <c r="D490" i="4"/>
  <c r="D465" i="4"/>
  <c r="D456" i="4"/>
  <c r="D563" i="4"/>
  <c r="D521" i="4"/>
  <c r="D508" i="4"/>
  <c r="D471" i="4"/>
  <c r="D436" i="4"/>
  <c r="D423" i="4"/>
  <c r="D394" i="4"/>
  <c r="D391" i="4"/>
  <c r="D379" i="4"/>
  <c r="D372" i="4"/>
  <c r="D362" i="4"/>
  <c r="D352" i="4"/>
  <c r="D455" i="4"/>
  <c r="D414" i="4"/>
  <c r="D369" i="4"/>
  <c r="D339" i="4"/>
  <c r="D331" i="4"/>
  <c r="D307" i="4"/>
  <c r="D303" i="4"/>
  <c r="D302" i="4"/>
  <c r="D299" i="4"/>
  <c r="D256" i="4"/>
  <c r="D253" i="4"/>
  <c r="D252" i="4"/>
  <c r="D249" i="4"/>
  <c r="D232" i="4"/>
  <c r="D222" i="4"/>
  <c r="D447" i="4"/>
  <c r="D407" i="4"/>
  <c r="D356" i="4"/>
  <c r="D322" i="4"/>
  <c r="D319" i="4"/>
  <c r="D313" i="4"/>
  <c r="D304" i="4"/>
  <c r="D261" i="4"/>
  <c r="D258" i="4"/>
  <c r="D257" i="4"/>
  <c r="D254" i="4"/>
  <c r="D214" i="4"/>
  <c r="D209" i="4"/>
  <c r="D204" i="4"/>
  <c r="D199" i="4"/>
  <c r="D194" i="4"/>
  <c r="D189" i="4"/>
  <c r="D434" i="4"/>
  <c r="D430" i="4"/>
  <c r="D410" i="4"/>
  <c r="D359" i="4"/>
  <c r="D333" i="4"/>
  <c r="D328" i="4"/>
  <c r="D311" i="4"/>
  <c r="D439" i="4"/>
  <c r="D435" i="4"/>
  <c r="D429" i="4"/>
  <c r="D370" i="4"/>
  <c r="D346" i="4"/>
  <c r="D344" i="4"/>
  <c r="D326" i="4"/>
  <c r="D271" i="4"/>
  <c r="D268" i="4"/>
  <c r="D267" i="4"/>
  <c r="D264" i="4"/>
  <c r="D416" i="4"/>
  <c r="D412" i="4"/>
  <c r="D399" i="4"/>
  <c r="D396" i="4"/>
  <c r="D349" i="4"/>
  <c r="D338" i="4"/>
  <c r="D317" i="4"/>
  <c r="D314" i="4"/>
  <c r="D308" i="4"/>
  <c r="D276" i="4"/>
  <c r="D273" i="4"/>
  <c r="D272" i="4"/>
  <c r="D269" i="4"/>
  <c r="D450" i="4"/>
  <c r="D442" i="4"/>
  <c r="D422" i="4"/>
  <c r="D421" i="4"/>
  <c r="D405" i="4"/>
  <c r="D420" i="4"/>
  <c r="D390" i="4"/>
  <c r="D384" i="4"/>
  <c r="D376" i="4"/>
  <c r="D452" i="4"/>
  <c r="D387" i="4"/>
  <c r="D366" i="4"/>
  <c r="D342" i="4"/>
  <c r="D316" i="4"/>
  <c r="D301" i="4"/>
  <c r="D298" i="4"/>
  <c r="D297" i="4"/>
  <c r="D294" i="4"/>
  <c r="D251" i="4"/>
  <c r="D248" i="4"/>
  <c r="D247" i="4"/>
  <c r="D244" i="4"/>
  <c r="D239" i="4"/>
  <c r="D229" i="4"/>
  <c r="D219" i="4"/>
  <c r="D216" i="4"/>
  <c r="D211" i="4"/>
  <c r="D206" i="4"/>
  <c r="D201" i="4"/>
  <c r="D196" i="4"/>
  <c r="D191" i="4"/>
  <c r="D186" i="4"/>
  <c r="D181" i="4"/>
  <c r="D176" i="4"/>
  <c r="D309" i="4"/>
  <c r="D306" i="4"/>
  <c r="D246" i="4"/>
  <c r="D185" i="4"/>
  <c r="D169" i="4"/>
  <c r="D166" i="4"/>
  <c r="D162" i="4"/>
  <c r="D155" i="4"/>
  <c r="D144" i="4"/>
  <c r="D141" i="4"/>
  <c r="D136" i="4"/>
  <c r="D131" i="4"/>
  <c r="D126" i="4"/>
  <c r="D121" i="4"/>
  <c r="D116" i="4"/>
  <c r="D111" i="4"/>
  <c r="D106" i="4"/>
  <c r="D101" i="4"/>
  <c r="D96" i="4"/>
  <c r="D91" i="4"/>
  <c r="D86" i="4"/>
  <c r="D81" i="4"/>
  <c r="D76" i="4"/>
  <c r="D71" i="4"/>
  <c r="D66" i="4"/>
  <c r="D61" i="4"/>
  <c r="D56" i="4"/>
  <c r="D51" i="4"/>
  <c r="D46" i="4"/>
  <c r="D334" i="4"/>
  <c r="D291" i="4"/>
  <c r="D283" i="4"/>
  <c r="D281" i="4"/>
  <c r="D263" i="4"/>
  <c r="D259" i="4"/>
  <c r="D242" i="4"/>
  <c r="D234" i="4"/>
  <c r="D215" i="4"/>
  <c r="D212" i="4"/>
  <c r="D193" i="4"/>
  <c r="D190" i="4"/>
  <c r="D187" i="4"/>
  <c r="D158" i="4"/>
  <c r="D360" i="4"/>
  <c r="D293" i="4"/>
  <c r="D289" i="4"/>
  <c r="D287" i="4"/>
  <c r="D279" i="4"/>
  <c r="D241" i="4"/>
  <c r="D238" i="4"/>
  <c r="D236" i="4"/>
  <c r="D223" i="4"/>
  <c r="D172" i="4"/>
  <c r="D165" i="4"/>
  <c r="D350" i="4"/>
  <c r="D337" i="4"/>
  <c r="D231" i="4"/>
  <c r="D227" i="4"/>
  <c r="D203" i="4"/>
  <c r="D200" i="4"/>
  <c r="D197" i="4"/>
  <c r="D168" i="4"/>
  <c r="D143" i="4"/>
  <c r="D218" i="4"/>
  <c r="D164" i="4"/>
  <c r="D161" i="4"/>
  <c r="D157" i="4"/>
  <c r="D150" i="4"/>
  <c r="D332" i="4"/>
  <c r="D327" i="4"/>
  <c r="D329" i="4"/>
  <c r="D324" i="4"/>
  <c r="D321" i="4"/>
  <c r="D323" i="4"/>
  <c r="D318" i="4"/>
  <c r="D312" i="4"/>
  <c r="D221" i="4"/>
  <c r="D217" i="4"/>
  <c r="D208" i="4"/>
  <c r="D205" i="4"/>
  <c r="D202" i="4"/>
  <c r="D184" i="4"/>
  <c r="D183" i="4"/>
  <c r="D180" i="4"/>
  <c r="D173" i="4"/>
  <c r="D148" i="4"/>
  <c r="D284" i="4"/>
  <c r="D213" i="4"/>
  <c r="D171" i="4"/>
  <c r="D122" i="4"/>
  <c r="D119" i="4"/>
  <c r="D110" i="4"/>
  <c r="D98" i="4"/>
  <c r="D65" i="4"/>
  <c r="D55" i="4"/>
  <c r="D45" i="4"/>
  <c r="D43" i="4"/>
  <c r="D38" i="4"/>
  <c r="D33" i="4"/>
  <c r="D28" i="4"/>
  <c r="D23" i="4"/>
  <c r="D18" i="4"/>
  <c r="D13" i="4"/>
  <c r="D233" i="4"/>
  <c r="D226" i="4"/>
  <c r="D182" i="4"/>
  <c r="D174" i="4"/>
  <c r="D125" i="4"/>
  <c r="D113" i="4"/>
  <c r="D68" i="4"/>
  <c r="D58" i="4"/>
  <c r="D48" i="4"/>
  <c r="D288" i="4"/>
  <c r="D286" i="4"/>
  <c r="D210" i="4"/>
  <c r="D178" i="4"/>
  <c r="D147" i="4"/>
  <c r="D146" i="4"/>
  <c r="D145" i="4"/>
  <c r="D133" i="4"/>
  <c r="D128" i="4"/>
  <c r="D102" i="4"/>
  <c r="D99" i="4"/>
  <c r="D274" i="4"/>
  <c r="D262" i="4"/>
  <c r="D207" i="4"/>
  <c r="D188" i="4"/>
  <c r="D167" i="4"/>
  <c r="D156" i="4"/>
  <c r="D149" i="4"/>
  <c r="D117" i="4"/>
  <c r="D114" i="4"/>
  <c r="D105" i="4"/>
  <c r="D93" i="4"/>
  <c r="D67" i="4"/>
  <c r="D64" i="4"/>
  <c r="D57" i="4"/>
  <c r="D54" i="4"/>
  <c r="D266" i="4"/>
  <c r="D135" i="4"/>
  <c r="D132" i="4"/>
  <c r="D129" i="4"/>
  <c r="D120" i="4"/>
  <c r="D108" i="4"/>
  <c r="D77" i="4"/>
  <c r="D75" i="4"/>
  <c r="D74" i="4"/>
  <c r="D292" i="4"/>
  <c r="D278" i="4"/>
  <c r="D277" i="4"/>
  <c r="D224" i="4"/>
  <c r="D228" i="4"/>
  <c r="D243" i="4"/>
  <c r="D195" i="4"/>
  <c r="D296" i="4"/>
  <c r="D282" i="4"/>
  <c r="D192" i="4"/>
  <c r="D237" i="4"/>
  <c r="D107" i="4"/>
  <c r="D104" i="4"/>
  <c r="D95" i="4"/>
  <c r="J13" i="4"/>
  <c r="J16" i="4"/>
  <c r="W16" i="4"/>
  <c r="Z16" i="4" s="1"/>
  <c r="AB16" i="4" s="1"/>
  <c r="B17" i="4"/>
  <c r="E17" i="4" s="1"/>
  <c r="G17" i="4" s="1"/>
  <c r="H17" i="4" s="1"/>
  <c r="AF18" i="4"/>
  <c r="K19" i="4"/>
  <c r="AF21" i="4"/>
  <c r="P23" i="4"/>
  <c r="S23" i="4" s="1"/>
  <c r="U23" i="4" s="1"/>
  <c r="V23" i="4" s="1"/>
  <c r="J25" i="4"/>
  <c r="Y25" i="4"/>
  <c r="B26" i="4"/>
  <c r="E26" i="4" s="1"/>
  <c r="G26" i="4" s="1"/>
  <c r="H26" i="4" s="1"/>
  <c r="K28" i="4"/>
  <c r="B29" i="4"/>
  <c r="E29" i="4" s="1"/>
  <c r="G29" i="4" s="1"/>
  <c r="H29" i="4" s="1"/>
  <c r="K31" i="4"/>
  <c r="C32" i="4"/>
  <c r="P32" i="4"/>
  <c r="Y34" i="4"/>
  <c r="D35" i="4"/>
  <c r="P35" i="4"/>
  <c r="S35" i="4" s="1"/>
  <c r="U35" i="4" s="1"/>
  <c r="V35" i="4" s="1"/>
  <c r="Y37" i="4"/>
  <c r="B38" i="4"/>
  <c r="Q38" i="4"/>
  <c r="AG38" i="4"/>
  <c r="AI38" i="4" s="1"/>
  <c r="AJ38" i="4" s="1"/>
  <c r="C41" i="4"/>
  <c r="C44" i="4"/>
  <c r="P44" i="4"/>
  <c r="S44" i="4" s="1"/>
  <c r="U44" i="4" s="1"/>
  <c r="Y46" i="4"/>
  <c r="AB47" i="4"/>
  <c r="W48" i="4"/>
  <c r="Z48" i="4" s="1"/>
  <c r="AB48" i="4" s="1"/>
  <c r="AC48" i="4" s="1"/>
  <c r="W50" i="4"/>
  <c r="Z50" i="4" s="1"/>
  <c r="AB50" i="4" s="1"/>
  <c r="AC50" i="4" s="1"/>
  <c r="AE51" i="4"/>
  <c r="AG51" i="4" s="1"/>
  <c r="AI51" i="4" s="1"/>
  <c r="AJ51" i="4" s="1"/>
  <c r="I52" i="4"/>
  <c r="L52" i="4" s="1"/>
  <c r="N52" i="4" s="1"/>
  <c r="O52" i="4" s="1"/>
  <c r="C53" i="4"/>
  <c r="Q53" i="4"/>
  <c r="K54" i="4"/>
  <c r="AE54" i="4"/>
  <c r="K55" i="4"/>
  <c r="J57" i="4"/>
  <c r="D59" i="4"/>
  <c r="I61" i="4"/>
  <c r="L61" i="4" s="1"/>
  <c r="N61" i="4" s="1"/>
  <c r="O61" i="4" s="1"/>
  <c r="W61" i="4"/>
  <c r="C63" i="4"/>
  <c r="K67" i="4"/>
  <c r="AG73" i="4"/>
  <c r="AI73" i="4" s="1"/>
  <c r="C75" i="4"/>
  <c r="Y75" i="4"/>
  <c r="Y77" i="4"/>
  <c r="B79" i="4"/>
  <c r="E79" i="4" s="1"/>
  <c r="G79" i="4" s="1"/>
  <c r="H79" i="4" s="1"/>
  <c r="Y79" i="4"/>
  <c r="D83" i="4"/>
  <c r="C85" i="4"/>
  <c r="Y85" i="4"/>
  <c r="P86" i="4"/>
  <c r="C87" i="4"/>
  <c r="C89" i="4"/>
  <c r="B91" i="4"/>
  <c r="E91" i="4" s="1"/>
  <c r="G91" i="4" s="1"/>
  <c r="P97" i="4"/>
  <c r="S97" i="4" s="1"/>
  <c r="U97" i="4" s="1"/>
  <c r="I98" i="4"/>
  <c r="Q100" i="4"/>
  <c r="Y102" i="4"/>
  <c r="P103" i="4"/>
  <c r="Y105" i="4"/>
  <c r="Q106" i="4"/>
  <c r="D115" i="4"/>
  <c r="AF115" i="4"/>
  <c r="J128" i="4"/>
  <c r="B129" i="4"/>
  <c r="E129" i="4" s="1"/>
  <c r="G129" i="4" s="1"/>
  <c r="K131" i="4"/>
  <c r="AE132" i="4"/>
  <c r="AG132" i="4" s="1"/>
  <c r="AI132" i="4" s="1"/>
  <c r="AJ132" i="4" s="1"/>
  <c r="Y133" i="4"/>
  <c r="Q138" i="4"/>
  <c r="C142" i="4"/>
  <c r="B143" i="4"/>
  <c r="AE144" i="4"/>
  <c r="AG144" i="4" s="1"/>
  <c r="AI144" i="4" s="1"/>
  <c r="Q148" i="4"/>
  <c r="Q149" i="4"/>
  <c r="I151" i="4"/>
  <c r="AE161" i="4"/>
  <c r="Q174" i="4"/>
  <c r="P182" i="4"/>
  <c r="S182" i="4" s="1"/>
  <c r="U182" i="4" s="1"/>
  <c r="J187" i="4"/>
  <c r="P188" i="4"/>
  <c r="S188" i="4" s="1"/>
  <c r="U188" i="4" s="1"/>
  <c r="B207" i="4"/>
  <c r="P213" i="4"/>
  <c r="S213" i="4" s="1"/>
  <c r="U213" i="4" s="1"/>
  <c r="AD44" i="4"/>
  <c r="X49" i="4"/>
  <c r="R51" i="4"/>
  <c r="AD54" i="4"/>
  <c r="X59" i="4"/>
  <c r="R61" i="4"/>
  <c r="AD64" i="4"/>
  <c r="X69" i="4"/>
  <c r="R71" i="4"/>
  <c r="X78" i="4"/>
  <c r="X82" i="4"/>
  <c r="X84" i="4"/>
  <c r="X85" i="4"/>
  <c r="AD98" i="4"/>
  <c r="AG98" i="4" s="1"/>
  <c r="AI98" i="4" s="1"/>
  <c r="R101" i="4"/>
  <c r="X108" i="4"/>
  <c r="R110" i="4"/>
  <c r="R113" i="4"/>
  <c r="X117" i="4"/>
  <c r="X120" i="4"/>
  <c r="AD127" i="4"/>
  <c r="AG127" i="4" s="1"/>
  <c r="AI127" i="4" s="1"/>
  <c r="AJ127" i="4" s="1"/>
  <c r="X129" i="4"/>
  <c r="X133" i="4"/>
  <c r="R134" i="4"/>
  <c r="AD141" i="4"/>
  <c r="AG141" i="4" s="1"/>
  <c r="AI141" i="4" s="1"/>
  <c r="R162" i="4"/>
  <c r="X168" i="4"/>
  <c r="R170" i="4"/>
  <c r="AD174" i="4"/>
  <c r="AG174" i="4" s="1"/>
  <c r="AI174" i="4" s="1"/>
  <c r="R175" i="4"/>
  <c r="AD176" i="4"/>
  <c r="AD178" i="4"/>
  <c r="AG178" i="4" s="1"/>
  <c r="AI178" i="4" s="1"/>
  <c r="X187" i="4"/>
  <c r="AD192" i="4"/>
  <c r="AG192" i="4" s="1"/>
  <c r="AI192" i="4" s="1"/>
  <c r="R201" i="4"/>
  <c r="AD216" i="4"/>
  <c r="AG216" i="4" s="1"/>
  <c r="AI216" i="4" s="1"/>
  <c r="X217" i="4"/>
  <c r="X252" i="4"/>
  <c r="X274" i="4"/>
  <c r="R240" i="4"/>
  <c r="AD251" i="4"/>
  <c r="AG251" i="4" s="1"/>
  <c r="AI251" i="4" s="1"/>
  <c r="X266" i="4"/>
  <c r="R289" i="4"/>
  <c r="AD238" i="4"/>
  <c r="AG238" i="4" s="1"/>
  <c r="AI238" i="4" s="1"/>
  <c r="R285" i="4"/>
  <c r="R287" i="4"/>
  <c r="X232" i="4"/>
  <c r="AD252" i="4"/>
  <c r="AG252" i="4" s="1"/>
  <c r="AI252" i="4" s="1"/>
  <c r="AJ252" i="4" s="1"/>
  <c r="X257" i="4"/>
  <c r="AD271" i="4"/>
  <c r="AG271" i="4" s="1"/>
  <c r="AI271" i="4" s="1"/>
  <c r="AD292" i="4"/>
  <c r="AG292" i="4" s="1"/>
  <c r="AI292" i="4" s="1"/>
  <c r="R299" i="4"/>
  <c r="R222" i="4"/>
  <c r="R233" i="4"/>
  <c r="AD290" i="4"/>
  <c r="AG290" i="4" s="1"/>
  <c r="AI290" i="4" s="1"/>
  <c r="R297" i="4"/>
  <c r="AD77" i="4"/>
  <c r="AG77" i="4" s="1"/>
  <c r="AI77" i="4" s="1"/>
  <c r="R79" i="4"/>
  <c r="R81" i="4"/>
  <c r="AD81" i="4"/>
  <c r="AG81" i="4" s="1"/>
  <c r="AI81" i="4" s="1"/>
  <c r="R83" i="4"/>
  <c r="AD83" i="4"/>
  <c r="AG83" i="4" s="1"/>
  <c r="AI83" i="4" s="1"/>
  <c r="AD84" i="4"/>
  <c r="AG84" i="4" s="1"/>
  <c r="AI84" i="4" s="1"/>
  <c r="R85" i="4"/>
  <c r="X92" i="4"/>
  <c r="Z92" i="4" s="1"/>
  <c r="AB92" i="4" s="1"/>
  <c r="X95" i="4"/>
  <c r="AD102" i="4"/>
  <c r="AG102" i="4" s="1"/>
  <c r="AI102" i="4" s="1"/>
  <c r="X104" i="4"/>
  <c r="AD111" i="4"/>
  <c r="AG111" i="4" s="1"/>
  <c r="AI111" i="4" s="1"/>
  <c r="R114" i="4"/>
  <c r="AD114" i="4"/>
  <c r="AG114" i="4" s="1"/>
  <c r="AI114" i="4" s="1"/>
  <c r="AD123" i="4"/>
  <c r="AG123" i="4" s="1"/>
  <c r="AI123" i="4" s="1"/>
  <c r="AI124" i="4"/>
  <c r="R126" i="4"/>
  <c r="AD133" i="4"/>
  <c r="AG133" i="4" s="1"/>
  <c r="AI133" i="4" s="1"/>
  <c r="X134" i="4"/>
  <c r="X139" i="4"/>
  <c r="R144" i="4"/>
  <c r="R146" i="4"/>
  <c r="R148" i="4"/>
  <c r="R155" i="4"/>
  <c r="AB160" i="4"/>
  <c r="AD170" i="4"/>
  <c r="AG170" i="4" s="1"/>
  <c r="AI170" i="4" s="1"/>
  <c r="AD173" i="4"/>
  <c r="AG173" i="4" s="1"/>
  <c r="AI173" i="4" s="1"/>
  <c r="AD201" i="4"/>
  <c r="AG201" i="4" s="1"/>
  <c r="AI201" i="4" s="1"/>
  <c r="AJ201" i="4" s="1"/>
  <c r="AD207" i="4"/>
  <c r="AG207" i="4" s="1"/>
  <c r="AI207" i="4" s="1"/>
  <c r="AJ207" i="4" s="1"/>
  <c r="R211" i="4"/>
  <c r="AD218" i="4"/>
  <c r="AG218" i="4" s="1"/>
  <c r="AI218" i="4" s="1"/>
  <c r="R237" i="4"/>
  <c r="AD240" i="4"/>
  <c r="AG240" i="4" s="1"/>
  <c r="AI240" i="4" s="1"/>
  <c r="AD245" i="4"/>
  <c r="AG245" i="4" s="1"/>
  <c r="AI245" i="4" s="1"/>
  <c r="R283" i="4"/>
  <c r="AD286" i="4"/>
  <c r="AG286" i="4" s="1"/>
  <c r="AI286" i="4" s="1"/>
  <c r="AD288" i="4"/>
  <c r="AG288" i="4" s="1"/>
  <c r="AI288" i="4" s="1"/>
  <c r="AJ288" i="4" s="1"/>
  <c r="AD56" i="4"/>
  <c r="AG56" i="4" s="1"/>
  <c r="AI56" i="4" s="1"/>
  <c r="AJ56" i="4" s="1"/>
  <c r="R63" i="4"/>
  <c r="AD66" i="4"/>
  <c r="AG66" i="4" s="1"/>
  <c r="AI66" i="4" s="1"/>
  <c r="X68" i="4"/>
  <c r="R73" i="4"/>
  <c r="R74" i="4"/>
  <c r="R76" i="4"/>
  <c r="AD76" i="4"/>
  <c r="AG76" i="4" s="1"/>
  <c r="AI76" i="4" s="1"/>
  <c r="AJ76" i="4" s="1"/>
  <c r="R78" i="4"/>
  <c r="AD78" i="4"/>
  <c r="AG78" i="4" s="1"/>
  <c r="AI78" i="4" s="1"/>
  <c r="AD79" i="4"/>
  <c r="AG79" i="4" s="1"/>
  <c r="AI79" i="4" s="1"/>
  <c r="R80" i="4"/>
  <c r="AD96" i="4"/>
  <c r="AG96" i="4" s="1"/>
  <c r="AI96" i="4" s="1"/>
  <c r="G97" i="4"/>
  <c r="H97" i="4" s="1"/>
  <c r="R99" i="4"/>
  <c r="AD99" i="4"/>
  <c r="AG99" i="4" s="1"/>
  <c r="AI99" i="4" s="1"/>
  <c r="AD108" i="4"/>
  <c r="AG108" i="4" s="1"/>
  <c r="AI108" i="4" s="1"/>
  <c r="R111" i="4"/>
  <c r="X118" i="4"/>
  <c r="R120" i="4"/>
  <c r="R123" i="4"/>
  <c r="X127" i="4"/>
  <c r="X130" i="4"/>
  <c r="AD136" i="4"/>
  <c r="AG136" i="4" s="1"/>
  <c r="AI136" i="4" s="1"/>
  <c r="X140" i="4"/>
  <c r="R145" i="4"/>
  <c r="AD151" i="4"/>
  <c r="AG151" i="4" s="1"/>
  <c r="AI151" i="4" s="1"/>
  <c r="X157" i="4"/>
  <c r="R166" i="4"/>
  <c r="AD225" i="4"/>
  <c r="AG225" i="4" s="1"/>
  <c r="AI225" i="4" s="1"/>
  <c r="X246" i="4"/>
  <c r="R295" i="4"/>
  <c r="AD298" i="4"/>
  <c r="AG298" i="4" s="1"/>
  <c r="AI298" i="4" s="1"/>
  <c r="X103" i="4"/>
  <c r="R105" i="4"/>
  <c r="R108" i="4"/>
  <c r="X112" i="4"/>
  <c r="X115" i="4"/>
  <c r="AD122" i="4"/>
  <c r="AG122" i="4" s="1"/>
  <c r="AI122" i="4" s="1"/>
  <c r="X124" i="4"/>
  <c r="AD131" i="4"/>
  <c r="AG131" i="4" s="1"/>
  <c r="AI131" i="4" s="1"/>
  <c r="AD137" i="4"/>
  <c r="AG137" i="4" s="1"/>
  <c r="AI137" i="4" s="1"/>
  <c r="AD142" i="4"/>
  <c r="AG142" i="4" s="1"/>
  <c r="AI142" i="4" s="1"/>
  <c r="AD162" i="4"/>
  <c r="AG162" i="4" s="1"/>
  <c r="AI162" i="4" s="1"/>
  <c r="X164" i="4"/>
  <c r="AD172" i="4"/>
  <c r="AG172" i="4" s="1"/>
  <c r="AI172" i="4" s="1"/>
  <c r="AD184" i="4"/>
  <c r="AG184" i="4" s="1"/>
  <c r="AI184" i="4" s="1"/>
  <c r="AJ184" i="4" s="1"/>
  <c r="R185" i="4"/>
  <c r="X197" i="4"/>
  <c r="R214" i="4"/>
  <c r="AD241" i="4"/>
  <c r="AG241" i="4" s="1"/>
  <c r="AI241" i="4" s="1"/>
  <c r="X248" i="4"/>
  <c r="X45" i="4"/>
  <c r="X55" i="4"/>
  <c r="X65" i="4"/>
  <c r="X88" i="4"/>
  <c r="R93" i="4"/>
  <c r="X97" i="4"/>
  <c r="X100" i="4"/>
  <c r="AD107" i="4"/>
  <c r="AG107" i="4" s="1"/>
  <c r="AI107" i="4" s="1"/>
  <c r="X109" i="4"/>
  <c r="AD116" i="4"/>
  <c r="AG116" i="4" s="1"/>
  <c r="AI116" i="4" s="1"/>
  <c r="R119" i="4"/>
  <c r="AD119" i="4"/>
  <c r="AG119" i="4" s="1"/>
  <c r="AI119" i="4" s="1"/>
  <c r="AJ119" i="4" s="1"/>
  <c r="AD128" i="4"/>
  <c r="AG128" i="4" s="1"/>
  <c r="AI128" i="4" s="1"/>
  <c r="R131" i="4"/>
  <c r="X132" i="4"/>
  <c r="R133" i="4"/>
  <c r="X135" i="4"/>
  <c r="R136" i="4"/>
  <c r="AD138" i="4"/>
  <c r="AG138" i="4" s="1"/>
  <c r="AI138" i="4" s="1"/>
  <c r="X146" i="4"/>
  <c r="X155" i="4"/>
  <c r="AD169" i="4"/>
  <c r="AG169" i="4" s="1"/>
  <c r="AI169" i="4" s="1"/>
  <c r="X171" i="4"/>
  <c r="AD191" i="4"/>
  <c r="AG191" i="4" s="1"/>
  <c r="AI191" i="4" s="1"/>
  <c r="X200" i="4"/>
  <c r="X203" i="4"/>
  <c r="AD222" i="4"/>
  <c r="AG222" i="4" s="1"/>
  <c r="AI222" i="4" s="1"/>
  <c r="AD233" i="4"/>
  <c r="AG233" i="4" s="1"/>
  <c r="AI233" i="4" s="1"/>
  <c r="R268" i="4"/>
  <c r="R1011" i="4"/>
  <c r="R1010" i="4"/>
  <c r="R1005" i="4"/>
  <c r="R1000" i="4"/>
  <c r="R995" i="4"/>
  <c r="R990" i="4"/>
  <c r="R985" i="4"/>
  <c r="R1001" i="4"/>
  <c r="R991" i="4"/>
  <c r="R1004" i="4"/>
  <c r="R994" i="4"/>
  <c r="R984" i="4"/>
  <c r="R982" i="4"/>
  <c r="R1003" i="4"/>
  <c r="R987" i="4"/>
  <c r="R1007" i="4"/>
  <c r="R992" i="4"/>
  <c r="R981" i="4"/>
  <c r="R976" i="4"/>
  <c r="R1009" i="4"/>
  <c r="R998" i="4"/>
  <c r="R988" i="4"/>
  <c r="R996" i="4"/>
  <c r="R968" i="4"/>
  <c r="R963" i="4"/>
  <c r="R958" i="4"/>
  <c r="R953" i="4"/>
  <c r="R948" i="4"/>
  <c r="R1008" i="4"/>
  <c r="R989" i="4"/>
  <c r="R993" i="4"/>
  <c r="R986" i="4"/>
  <c r="R1002" i="4"/>
  <c r="R1006" i="4"/>
  <c r="R999" i="4"/>
  <c r="R997" i="4"/>
  <c r="R949" i="4"/>
  <c r="R978" i="4"/>
  <c r="R954" i="4"/>
  <c r="R952" i="4"/>
  <c r="R951" i="4"/>
  <c r="R950" i="4"/>
  <c r="R942" i="4"/>
  <c r="R937" i="4"/>
  <c r="R932" i="4"/>
  <c r="R927" i="4"/>
  <c r="R922" i="4"/>
  <c r="R979" i="4"/>
  <c r="R975" i="4"/>
  <c r="R971" i="4"/>
  <c r="R959" i="4"/>
  <c r="R957" i="4"/>
  <c r="R956" i="4"/>
  <c r="R955" i="4"/>
  <c r="R964" i="4"/>
  <c r="R962" i="4"/>
  <c r="R961" i="4"/>
  <c r="R960" i="4"/>
  <c r="R969" i="4"/>
  <c r="R965" i="4"/>
  <c r="R947" i="4"/>
  <c r="R980" i="4"/>
  <c r="R972" i="4"/>
  <c r="R983" i="4"/>
  <c r="R977" i="4"/>
  <c r="R973" i="4"/>
  <c r="R970" i="4"/>
  <c r="R974" i="4"/>
  <c r="R925" i="4"/>
  <c r="R923" i="4"/>
  <c r="R916" i="4"/>
  <c r="R911" i="4"/>
  <c r="R906" i="4"/>
  <c r="R901" i="4"/>
  <c r="R967" i="4"/>
  <c r="R935" i="4"/>
  <c r="R933" i="4"/>
  <c r="R940" i="4"/>
  <c r="R938" i="4"/>
  <c r="R936" i="4"/>
  <c r="R934" i="4"/>
  <c r="R966" i="4"/>
  <c r="R944" i="4"/>
  <c r="R946" i="4"/>
  <c r="R941" i="4"/>
  <c r="R939" i="4"/>
  <c r="R909" i="4"/>
  <c r="R907" i="4"/>
  <c r="R905" i="4"/>
  <c r="R903" i="4"/>
  <c r="R894" i="4"/>
  <c r="R889" i="4"/>
  <c r="R884" i="4"/>
  <c r="R879" i="4"/>
  <c r="R874" i="4"/>
  <c r="R869" i="4"/>
  <c r="R864" i="4"/>
  <c r="R859" i="4"/>
  <c r="R854" i="4"/>
  <c r="R849" i="4"/>
  <c r="R931" i="4"/>
  <c r="R929" i="4"/>
  <c r="R914" i="4"/>
  <c r="R912" i="4"/>
  <c r="R910" i="4"/>
  <c r="R908" i="4"/>
  <c r="R919" i="4"/>
  <c r="R917" i="4"/>
  <c r="R915" i="4"/>
  <c r="R913" i="4"/>
  <c r="R945" i="4"/>
  <c r="R921" i="4"/>
  <c r="R920" i="4"/>
  <c r="R918" i="4"/>
  <c r="R930" i="4"/>
  <c r="R928" i="4"/>
  <c r="R926" i="4"/>
  <c r="R924" i="4"/>
  <c r="R943" i="4"/>
  <c r="R885" i="4"/>
  <c r="R883" i="4"/>
  <c r="R882" i="4"/>
  <c r="R881" i="4"/>
  <c r="R890" i="4"/>
  <c r="R888" i="4"/>
  <c r="R887" i="4"/>
  <c r="R886" i="4"/>
  <c r="R850" i="4"/>
  <c r="R847" i="4"/>
  <c r="R893" i="4"/>
  <c r="R892" i="4"/>
  <c r="R891" i="4"/>
  <c r="R900" i="4"/>
  <c r="R898" i="4"/>
  <c r="R895" i="4"/>
  <c r="R904" i="4"/>
  <c r="R902" i="4"/>
  <c r="R899" i="4"/>
  <c r="R897" i="4"/>
  <c r="R876" i="4"/>
  <c r="R872" i="4"/>
  <c r="R870" i="4"/>
  <c r="R868" i="4"/>
  <c r="R866" i="4"/>
  <c r="R855" i="4"/>
  <c r="R853" i="4"/>
  <c r="R840" i="4"/>
  <c r="R877" i="4"/>
  <c r="R857" i="4"/>
  <c r="R845" i="4"/>
  <c r="R836" i="4"/>
  <c r="R831" i="4"/>
  <c r="R826" i="4"/>
  <c r="R821" i="4"/>
  <c r="R816" i="4"/>
  <c r="R811" i="4"/>
  <c r="R806" i="4"/>
  <c r="R878" i="4"/>
  <c r="R834" i="4"/>
  <c r="R829" i="4"/>
  <c r="R865" i="4"/>
  <c r="R863" i="4"/>
  <c r="R861" i="4"/>
  <c r="R848" i="4"/>
  <c r="R839" i="4"/>
  <c r="R873" i="4"/>
  <c r="R871" i="4"/>
  <c r="R867" i="4"/>
  <c r="R896" i="4"/>
  <c r="R860" i="4"/>
  <c r="R833" i="4"/>
  <c r="R830" i="4"/>
  <c r="R827" i="4"/>
  <c r="R800" i="4"/>
  <c r="R846" i="4"/>
  <c r="R844" i="4"/>
  <c r="R796" i="4"/>
  <c r="R794" i="4"/>
  <c r="R880" i="4"/>
  <c r="R851" i="4"/>
  <c r="R843" i="4"/>
  <c r="R838" i="4"/>
  <c r="R835" i="4"/>
  <c r="R875" i="4"/>
  <c r="R856" i="4"/>
  <c r="R842" i="4"/>
  <c r="R828" i="4"/>
  <c r="R852" i="4"/>
  <c r="R837" i="4"/>
  <c r="R822" i="4"/>
  <c r="R797" i="4"/>
  <c r="R793" i="4"/>
  <c r="R791" i="4"/>
  <c r="R785" i="4"/>
  <c r="R795" i="4"/>
  <c r="R778" i="4"/>
  <c r="R773" i="4"/>
  <c r="R768" i="4"/>
  <c r="R763" i="4"/>
  <c r="R758" i="4"/>
  <c r="R753" i="4"/>
  <c r="R748" i="4"/>
  <c r="R743" i="4"/>
  <c r="R809" i="4"/>
  <c r="R801" i="4"/>
  <c r="R788" i="4"/>
  <c r="R781" i="4"/>
  <c r="R832" i="4"/>
  <c r="R807" i="4"/>
  <c r="R804" i="4"/>
  <c r="R784" i="4"/>
  <c r="R776" i="4"/>
  <c r="R771" i="4"/>
  <c r="R766" i="4"/>
  <c r="R761" i="4"/>
  <c r="R823" i="4"/>
  <c r="R819" i="4"/>
  <c r="R817" i="4"/>
  <c r="R815" i="4"/>
  <c r="R814" i="4"/>
  <c r="R813" i="4"/>
  <c r="R812" i="4"/>
  <c r="R810" i="4"/>
  <c r="R808" i="4"/>
  <c r="R805" i="4"/>
  <c r="R787" i="4"/>
  <c r="R780" i="4"/>
  <c r="R862" i="4"/>
  <c r="R824" i="4"/>
  <c r="R820" i="4"/>
  <c r="R818" i="4"/>
  <c r="R798" i="4"/>
  <c r="R802" i="4"/>
  <c r="R775" i="4"/>
  <c r="R772" i="4"/>
  <c r="R746" i="4"/>
  <c r="R744" i="4"/>
  <c r="R742" i="4"/>
  <c r="R740" i="4"/>
  <c r="R734" i="4"/>
  <c r="R769" i="4"/>
  <c r="R751" i="4"/>
  <c r="R749" i="4"/>
  <c r="R747" i="4"/>
  <c r="R745" i="4"/>
  <c r="R727" i="4"/>
  <c r="R722" i="4"/>
  <c r="R717" i="4"/>
  <c r="R712" i="4"/>
  <c r="R707" i="4"/>
  <c r="R702" i="4"/>
  <c r="R777" i="4"/>
  <c r="R756" i="4"/>
  <c r="R754" i="4"/>
  <c r="R752" i="4"/>
  <c r="R750" i="4"/>
  <c r="R790" i="4"/>
  <c r="R774" i="4"/>
  <c r="R759" i="4"/>
  <c r="R757" i="4"/>
  <c r="R755" i="4"/>
  <c r="R733" i="4"/>
  <c r="R730" i="4"/>
  <c r="R725" i="4"/>
  <c r="R792" i="4"/>
  <c r="R760" i="4"/>
  <c r="R736" i="4"/>
  <c r="R767" i="4"/>
  <c r="R764" i="4"/>
  <c r="R858" i="4"/>
  <c r="R739" i="4"/>
  <c r="R731" i="4"/>
  <c r="R695" i="4"/>
  <c r="R688" i="4"/>
  <c r="R681" i="4"/>
  <c r="R738" i="4"/>
  <c r="R728" i="4"/>
  <c r="R678" i="4"/>
  <c r="R673" i="4"/>
  <c r="R668" i="4"/>
  <c r="R663" i="4"/>
  <c r="R658" i="4"/>
  <c r="R653" i="4"/>
  <c r="R648" i="4"/>
  <c r="R643" i="4"/>
  <c r="R841" i="4"/>
  <c r="R786" i="4"/>
  <c r="R741" i="4"/>
  <c r="R724" i="4"/>
  <c r="R803" i="4"/>
  <c r="R765" i="4"/>
  <c r="R700" i="4"/>
  <c r="R698" i="4"/>
  <c r="R687" i="4"/>
  <c r="R676" i="4"/>
  <c r="R671" i="4"/>
  <c r="R825" i="4"/>
  <c r="R783" i="4"/>
  <c r="R737" i="4"/>
  <c r="R705" i="4"/>
  <c r="R703" i="4"/>
  <c r="R701" i="4"/>
  <c r="R699" i="4"/>
  <c r="R694" i="4"/>
  <c r="R690" i="4"/>
  <c r="R789" i="4"/>
  <c r="R782" i="4"/>
  <c r="R710" i="4"/>
  <c r="R708" i="4"/>
  <c r="R706" i="4"/>
  <c r="R704" i="4"/>
  <c r="R696" i="4"/>
  <c r="R686" i="4"/>
  <c r="R679" i="4"/>
  <c r="R651" i="4"/>
  <c r="R649" i="4"/>
  <c r="R647" i="4"/>
  <c r="R645" i="4"/>
  <c r="R639" i="4"/>
  <c r="R632" i="4"/>
  <c r="R625" i="4"/>
  <c r="R620" i="4"/>
  <c r="R615" i="4"/>
  <c r="R720" i="4"/>
  <c r="R693" i="4"/>
  <c r="R670" i="4"/>
  <c r="R656" i="4"/>
  <c r="R654" i="4"/>
  <c r="R652" i="4"/>
  <c r="R650" i="4"/>
  <c r="R628" i="4"/>
  <c r="R799" i="4"/>
  <c r="R732" i="4"/>
  <c r="R718" i="4"/>
  <c r="R716" i="4"/>
  <c r="R714" i="4"/>
  <c r="R683" i="4"/>
  <c r="R661" i="4"/>
  <c r="R659" i="4"/>
  <c r="R685" i="4"/>
  <c r="R692" i="4"/>
  <c r="R762" i="4"/>
  <c r="R726" i="4"/>
  <c r="R682" i="4"/>
  <c r="R666" i="4"/>
  <c r="R630" i="4"/>
  <c r="R612" i="4"/>
  <c r="R662" i="4"/>
  <c r="R644" i="4"/>
  <c r="R642" i="4"/>
  <c r="R640" i="4"/>
  <c r="R638" i="4"/>
  <c r="R634" i="4"/>
  <c r="R631" i="4"/>
  <c r="R608" i="4"/>
  <c r="R719" i="4"/>
  <c r="R779" i="4"/>
  <c r="R735" i="4"/>
  <c r="R697" i="4"/>
  <c r="R691" i="4"/>
  <c r="R665" i="4"/>
  <c r="R674" i="4"/>
  <c r="R672" i="4"/>
  <c r="R715" i="4"/>
  <c r="R713" i="4"/>
  <c r="R711" i="4"/>
  <c r="R657" i="4"/>
  <c r="R655" i="4"/>
  <c r="R637" i="4"/>
  <c r="R721" i="4"/>
  <c r="R610" i="4"/>
  <c r="R605" i="4"/>
  <c r="R601" i="4"/>
  <c r="R594" i="4"/>
  <c r="R729" i="4"/>
  <c r="R709" i="4"/>
  <c r="R641" i="4"/>
  <c r="R636" i="4"/>
  <c r="R635" i="4"/>
  <c r="R624" i="4"/>
  <c r="R586" i="4"/>
  <c r="R581" i="4"/>
  <c r="R576" i="4"/>
  <c r="R571" i="4"/>
  <c r="R566" i="4"/>
  <c r="R561" i="4"/>
  <c r="R556" i="4"/>
  <c r="R551" i="4"/>
  <c r="R546" i="4"/>
  <c r="R541" i="4"/>
  <c r="R684" i="4"/>
  <c r="R669" i="4"/>
  <c r="R619" i="4"/>
  <c r="R604" i="4"/>
  <c r="R597" i="4"/>
  <c r="R633" i="4"/>
  <c r="R593" i="4"/>
  <c r="R584" i="4"/>
  <c r="R579" i="4"/>
  <c r="R689" i="4"/>
  <c r="R680" i="4"/>
  <c r="R646" i="4"/>
  <c r="R623" i="4"/>
  <c r="R600" i="4"/>
  <c r="R596" i="4"/>
  <c r="R589" i="4"/>
  <c r="R770" i="4"/>
  <c r="R660" i="4"/>
  <c r="R618" i="4"/>
  <c r="R611" i="4"/>
  <c r="R609" i="4"/>
  <c r="R607" i="4"/>
  <c r="R598" i="4"/>
  <c r="R588" i="4"/>
  <c r="R583" i="4"/>
  <c r="R578" i="4"/>
  <c r="R573" i="4"/>
  <c r="R568" i="4"/>
  <c r="R563" i="4"/>
  <c r="R558" i="4"/>
  <c r="R553" i="4"/>
  <c r="R548" i="4"/>
  <c r="R543" i="4"/>
  <c r="R626" i="4"/>
  <c r="R621" i="4"/>
  <c r="R603" i="4"/>
  <c r="R595" i="4"/>
  <c r="R570" i="4"/>
  <c r="R567" i="4"/>
  <c r="R564" i="4"/>
  <c r="R545" i="4"/>
  <c r="R542" i="4"/>
  <c r="R535" i="4"/>
  <c r="R528" i="4"/>
  <c r="R523" i="4"/>
  <c r="R518" i="4"/>
  <c r="R513" i="4"/>
  <c r="R508" i="4"/>
  <c r="R503" i="4"/>
  <c r="R498" i="4"/>
  <c r="R493" i="4"/>
  <c r="R488" i="4"/>
  <c r="R483" i="4"/>
  <c r="R478" i="4"/>
  <c r="R473" i="4"/>
  <c r="R468" i="4"/>
  <c r="R463" i="4"/>
  <c r="R667" i="4"/>
  <c r="R577" i="4"/>
  <c r="R574" i="4"/>
  <c r="R555" i="4"/>
  <c r="R552" i="4"/>
  <c r="R549" i="4"/>
  <c r="R531" i="4"/>
  <c r="R675" i="4"/>
  <c r="R606" i="4"/>
  <c r="R534" i="4"/>
  <c r="R527" i="4"/>
  <c r="R521" i="4"/>
  <c r="R516" i="4"/>
  <c r="R511" i="4"/>
  <c r="R506" i="4"/>
  <c r="R501" i="4"/>
  <c r="R496" i="4"/>
  <c r="R617" i="4"/>
  <c r="R599" i="4"/>
  <c r="R587" i="4"/>
  <c r="R565" i="4"/>
  <c r="R562" i="4"/>
  <c r="R559" i="4"/>
  <c r="R613" i="4"/>
  <c r="R532" i="4"/>
  <c r="R525" i="4"/>
  <c r="R520" i="4"/>
  <c r="R515" i="4"/>
  <c r="R510" i="4"/>
  <c r="R505" i="4"/>
  <c r="R500" i="4"/>
  <c r="R495" i="4"/>
  <c r="R490" i="4"/>
  <c r="R485" i="4"/>
  <c r="R480" i="4"/>
  <c r="R475" i="4"/>
  <c r="R470" i="4"/>
  <c r="R465" i="4"/>
  <c r="R460" i="4"/>
  <c r="R455" i="4"/>
  <c r="R450" i="4"/>
  <c r="R550" i="4"/>
  <c r="R544" i="4"/>
  <c r="R509" i="4"/>
  <c r="R482" i="4"/>
  <c r="R479" i="4"/>
  <c r="R476" i="4"/>
  <c r="R444" i="4"/>
  <c r="R437" i="4"/>
  <c r="R430" i="4"/>
  <c r="R426" i="4"/>
  <c r="R419" i="4"/>
  <c r="R414" i="4"/>
  <c r="R409" i="4"/>
  <c r="R404" i="4"/>
  <c r="R399" i="4"/>
  <c r="R394" i="4"/>
  <c r="R389" i="4"/>
  <c r="R384" i="4"/>
  <c r="R379" i="4"/>
  <c r="R374" i="4"/>
  <c r="R369" i="4"/>
  <c r="R364" i="4"/>
  <c r="R359" i="4"/>
  <c r="R354" i="4"/>
  <c r="R349" i="4"/>
  <c r="R344" i="4"/>
  <c r="R616" i="4"/>
  <c r="R592" i="4"/>
  <c r="R537" i="4"/>
  <c r="R517" i="4"/>
  <c r="R504" i="4"/>
  <c r="R433" i="4"/>
  <c r="R629" i="4"/>
  <c r="R591" i="4"/>
  <c r="R582" i="4"/>
  <c r="R560" i="4"/>
  <c r="R539" i="4"/>
  <c r="R530" i="4"/>
  <c r="R502" i="4"/>
  <c r="R489" i="4"/>
  <c r="R486" i="4"/>
  <c r="R467" i="4"/>
  <c r="R464" i="4"/>
  <c r="R461" i="4"/>
  <c r="R590" i="4"/>
  <c r="R514" i="4"/>
  <c r="R443" i="4"/>
  <c r="R557" i="4"/>
  <c r="R522" i="4"/>
  <c r="R499" i="4"/>
  <c r="R477" i="4"/>
  <c r="R474" i="4"/>
  <c r="R471" i="4"/>
  <c r="R446" i="4"/>
  <c r="R439" i="4"/>
  <c r="R432" i="4"/>
  <c r="R425" i="4"/>
  <c r="R420" i="4"/>
  <c r="R622" i="4"/>
  <c r="R664" i="4"/>
  <c r="R627" i="4"/>
  <c r="R723" i="4"/>
  <c r="R677" i="4"/>
  <c r="R614" i="4"/>
  <c r="R547" i="4"/>
  <c r="R529" i="4"/>
  <c r="R524" i="4"/>
  <c r="R507" i="4"/>
  <c r="R491" i="4"/>
  <c r="R423" i="4"/>
  <c r="R602" i="4"/>
  <c r="R487" i="4"/>
  <c r="R481" i="4"/>
  <c r="R442" i="4"/>
  <c r="R436" i="4"/>
  <c r="R435" i="4"/>
  <c r="R434" i="4"/>
  <c r="R415" i="4"/>
  <c r="R412" i="4"/>
  <c r="R403" i="4"/>
  <c r="R453" i="4"/>
  <c r="R451" i="4"/>
  <c r="R569" i="4"/>
  <c r="R572" i="4"/>
  <c r="R456" i="4"/>
  <c r="R422" i="4"/>
  <c r="R402" i="4"/>
  <c r="R391" i="4"/>
  <c r="R341" i="4"/>
  <c r="R336" i="4"/>
  <c r="R331" i="4"/>
  <c r="R326" i="4"/>
  <c r="R321" i="4"/>
  <c r="R316" i="4"/>
  <c r="R311" i="4"/>
  <c r="R306" i="4"/>
  <c r="R301" i="4"/>
  <c r="R296" i="4"/>
  <c r="R291" i="4"/>
  <c r="R286" i="4"/>
  <c r="R281" i="4"/>
  <c r="R276" i="4"/>
  <c r="R271" i="4"/>
  <c r="R266" i="4"/>
  <c r="R261" i="4"/>
  <c r="R256" i="4"/>
  <c r="R251" i="4"/>
  <c r="R246" i="4"/>
  <c r="R241" i="4"/>
  <c r="R236" i="4"/>
  <c r="R231" i="4"/>
  <c r="R226" i="4"/>
  <c r="R221" i="4"/>
  <c r="R533" i="4"/>
  <c r="R519" i="4"/>
  <c r="R512" i="4"/>
  <c r="R431" i="4"/>
  <c r="R411" i="4"/>
  <c r="R377" i="4"/>
  <c r="R367" i="4"/>
  <c r="R357" i="4"/>
  <c r="R347" i="4"/>
  <c r="R554" i="4"/>
  <c r="R538" i="4"/>
  <c r="R466" i="4"/>
  <c r="R459" i="4"/>
  <c r="R452" i="4"/>
  <c r="R447" i="4"/>
  <c r="R445" i="4"/>
  <c r="R413" i="4"/>
  <c r="R395" i="4"/>
  <c r="R392" i="4"/>
  <c r="R383" i="4"/>
  <c r="R370" i="4"/>
  <c r="R360" i="4"/>
  <c r="R350" i="4"/>
  <c r="R440" i="4"/>
  <c r="R417" i="4"/>
  <c r="R406" i="4"/>
  <c r="R398" i="4"/>
  <c r="R386" i="4"/>
  <c r="R373" i="4"/>
  <c r="R363" i="4"/>
  <c r="R353" i="4"/>
  <c r="R343" i="4"/>
  <c r="R585" i="4"/>
  <c r="R526" i="4"/>
  <c r="R494" i="4"/>
  <c r="R492" i="4"/>
  <c r="R449" i="4"/>
  <c r="R424" i="4"/>
  <c r="R410" i="4"/>
  <c r="R408" i="4"/>
  <c r="R376" i="4"/>
  <c r="R366" i="4"/>
  <c r="R356" i="4"/>
  <c r="R346" i="4"/>
  <c r="R337" i="4"/>
  <c r="R332" i="4"/>
  <c r="R580" i="4"/>
  <c r="R540" i="4"/>
  <c r="R484" i="4"/>
  <c r="R472" i="4"/>
  <c r="R458" i="4"/>
  <c r="R462" i="4"/>
  <c r="R454" i="4"/>
  <c r="R575" i="4"/>
  <c r="R497" i="4"/>
  <c r="R457" i="4"/>
  <c r="R536" i="4"/>
  <c r="R469" i="4"/>
  <c r="R421" i="4"/>
  <c r="R400" i="4"/>
  <c r="R397" i="4"/>
  <c r="R388" i="4"/>
  <c r="R381" i="4"/>
  <c r="R371" i="4"/>
  <c r="R361" i="4"/>
  <c r="R351" i="4"/>
  <c r="R448" i="4"/>
  <c r="R441" i="4"/>
  <c r="R438" i="4"/>
  <c r="R405" i="4"/>
  <c r="R396" i="4"/>
  <c r="R390" i="4"/>
  <c r="R385" i="4"/>
  <c r="R382" i="4"/>
  <c r="R325" i="4"/>
  <c r="R322" i="4"/>
  <c r="R313" i="4"/>
  <c r="R304" i="4"/>
  <c r="R262" i="4"/>
  <c r="R260" i="4"/>
  <c r="R259" i="4"/>
  <c r="R258" i="4"/>
  <c r="R427" i="4"/>
  <c r="R416" i="4"/>
  <c r="R401" i="4"/>
  <c r="R393" i="4"/>
  <c r="R387" i="4"/>
  <c r="R368" i="4"/>
  <c r="R355" i="4"/>
  <c r="R339" i="4"/>
  <c r="R328" i="4"/>
  <c r="R319" i="4"/>
  <c r="R267" i="4"/>
  <c r="R265" i="4"/>
  <c r="R264" i="4"/>
  <c r="R263" i="4"/>
  <c r="R234" i="4"/>
  <c r="R224" i="4"/>
  <c r="R215" i="4"/>
  <c r="R210" i="4"/>
  <c r="R205" i="4"/>
  <c r="R200" i="4"/>
  <c r="R195" i="4"/>
  <c r="R190" i="4"/>
  <c r="R333" i="4"/>
  <c r="R305" i="4"/>
  <c r="R358" i="4"/>
  <c r="R345" i="4"/>
  <c r="R320" i="4"/>
  <c r="R317" i="4"/>
  <c r="R308" i="4"/>
  <c r="R277" i="4"/>
  <c r="R275" i="4"/>
  <c r="R274" i="4"/>
  <c r="R273" i="4"/>
  <c r="R372" i="4"/>
  <c r="R338" i="4"/>
  <c r="R335" i="4"/>
  <c r="R323" i="4"/>
  <c r="R314" i="4"/>
  <c r="R282" i="4"/>
  <c r="R280" i="4"/>
  <c r="R279" i="4"/>
  <c r="R278" i="4"/>
  <c r="R418" i="4"/>
  <c r="R407" i="4"/>
  <c r="R375" i="4"/>
  <c r="R429" i="4"/>
  <c r="R428" i="4"/>
  <c r="R380" i="4"/>
  <c r="R378" i="4"/>
  <c r="R365" i="4"/>
  <c r="R342" i="4"/>
  <c r="R334" i="4"/>
  <c r="R310" i="4"/>
  <c r="R307" i="4"/>
  <c r="R303" i="4"/>
  <c r="R257" i="4"/>
  <c r="R255" i="4"/>
  <c r="R254" i="4"/>
  <c r="R253" i="4"/>
  <c r="R238" i="4"/>
  <c r="R228" i="4"/>
  <c r="R218" i="4"/>
  <c r="R212" i="4"/>
  <c r="R207" i="4"/>
  <c r="R202" i="4"/>
  <c r="R197" i="4"/>
  <c r="R192" i="4"/>
  <c r="R187" i="4"/>
  <c r="R182" i="4"/>
  <c r="R177" i="4"/>
  <c r="R327" i="4"/>
  <c r="R270" i="4"/>
  <c r="R247" i="4"/>
  <c r="R219" i="4"/>
  <c r="R199" i="4"/>
  <c r="R196" i="4"/>
  <c r="R193" i="4"/>
  <c r="R172" i="4"/>
  <c r="R168" i="4"/>
  <c r="R161" i="4"/>
  <c r="R154" i="4"/>
  <c r="R147" i="4"/>
  <c r="R143" i="4"/>
  <c r="R137" i="4"/>
  <c r="R132" i="4"/>
  <c r="R127" i="4"/>
  <c r="R122" i="4"/>
  <c r="R117" i="4"/>
  <c r="R112" i="4"/>
  <c r="R107" i="4"/>
  <c r="R102" i="4"/>
  <c r="R97" i="4"/>
  <c r="R92" i="4"/>
  <c r="R87" i="4"/>
  <c r="R82" i="4"/>
  <c r="R77" i="4"/>
  <c r="R72" i="4"/>
  <c r="R67" i="4"/>
  <c r="R62" i="4"/>
  <c r="R57" i="4"/>
  <c r="R52" i="4"/>
  <c r="R47" i="4"/>
  <c r="R352" i="4"/>
  <c r="R329" i="4"/>
  <c r="R294" i="4"/>
  <c r="R292" i="4"/>
  <c r="R290" i="4"/>
  <c r="R288" i="4"/>
  <c r="R284" i="4"/>
  <c r="R250" i="4"/>
  <c r="R249" i="4"/>
  <c r="R248" i="4"/>
  <c r="R242" i="4"/>
  <c r="R232" i="4"/>
  <c r="R150" i="4"/>
  <c r="R324" i="4"/>
  <c r="R252" i="4"/>
  <c r="R223" i="4"/>
  <c r="R209" i="4"/>
  <c r="R206" i="4"/>
  <c r="R203" i="4"/>
  <c r="R171" i="4"/>
  <c r="R164" i="4"/>
  <c r="R318" i="4"/>
  <c r="R315" i="4"/>
  <c r="R312" i="4"/>
  <c r="R300" i="4"/>
  <c r="R298" i="4"/>
  <c r="R227" i="4"/>
  <c r="R160" i="4"/>
  <c r="R302" i="4"/>
  <c r="R245" i="4"/>
  <c r="R229" i="4"/>
  <c r="R225" i="4"/>
  <c r="R216" i="4"/>
  <c r="R213" i="4"/>
  <c r="R194" i="4"/>
  <c r="R191" i="4"/>
  <c r="R188" i="4"/>
  <c r="R167" i="4"/>
  <c r="R163" i="4"/>
  <c r="R156" i="4"/>
  <c r="R149" i="4"/>
  <c r="R142" i="4"/>
  <c r="R138" i="4"/>
  <c r="R362" i="4"/>
  <c r="R309" i="4"/>
  <c r="R330" i="4"/>
  <c r="R348" i="4"/>
  <c r="R340" i="4"/>
  <c r="R269" i="4"/>
  <c r="R243" i="4"/>
  <c r="R230" i="4"/>
  <c r="R217" i="4"/>
  <c r="R165" i="4"/>
  <c r="X1009" i="4"/>
  <c r="X1004" i="4"/>
  <c r="X999" i="4"/>
  <c r="X994" i="4"/>
  <c r="X989" i="4"/>
  <c r="X984" i="4"/>
  <c r="X996" i="4"/>
  <c r="X986" i="4"/>
  <c r="X1002" i="4"/>
  <c r="X992" i="4"/>
  <c r="X1008" i="4"/>
  <c r="X1007" i="4"/>
  <c r="X1005" i="4"/>
  <c r="X998" i="4"/>
  <c r="X1006" i="4"/>
  <c r="X1011" i="4"/>
  <c r="X993" i="4"/>
  <c r="X985" i="4"/>
  <c r="X990" i="4"/>
  <c r="X980" i="4"/>
  <c r="X975" i="4"/>
  <c r="X997" i="4"/>
  <c r="X1010" i="4"/>
  <c r="X987" i="4"/>
  <c r="X967" i="4"/>
  <c r="X962" i="4"/>
  <c r="X957" i="4"/>
  <c r="X952" i="4"/>
  <c r="X947" i="4"/>
  <c r="X1003" i="4"/>
  <c r="X974" i="4"/>
  <c r="X973" i="4"/>
  <c r="X1000" i="4"/>
  <c r="X979" i="4"/>
  <c r="X978" i="4"/>
  <c r="X976" i="4"/>
  <c r="X983" i="4"/>
  <c r="X981" i="4"/>
  <c r="X977" i="4"/>
  <c r="X1001" i="4"/>
  <c r="X995" i="4"/>
  <c r="X991" i="4"/>
  <c r="X988" i="4"/>
  <c r="X982" i="4"/>
  <c r="X966" i="4"/>
  <c r="X969" i="4"/>
  <c r="X946" i="4"/>
  <c r="X941" i="4"/>
  <c r="X936" i="4"/>
  <c r="X931" i="4"/>
  <c r="X926" i="4"/>
  <c r="X972" i="4"/>
  <c r="X970" i="4"/>
  <c r="X971" i="4"/>
  <c r="X964" i="4"/>
  <c r="X959" i="4"/>
  <c r="X945" i="4"/>
  <c r="X944" i="4"/>
  <c r="X942" i="4"/>
  <c r="X938" i="4"/>
  <c r="X960" i="4"/>
  <c r="X943" i="4"/>
  <c r="X920" i="4"/>
  <c r="X915" i="4"/>
  <c r="X910" i="4"/>
  <c r="X905" i="4"/>
  <c r="X900" i="4"/>
  <c r="X956" i="4"/>
  <c r="X951" i="4"/>
  <c r="X950" i="4"/>
  <c r="X948" i="4"/>
  <c r="X953" i="4"/>
  <c r="X949" i="4"/>
  <c r="X968" i="4"/>
  <c r="X961" i="4"/>
  <c r="X958" i="4"/>
  <c r="X954" i="4"/>
  <c r="X955" i="4"/>
  <c r="X965" i="4"/>
  <c r="X963" i="4"/>
  <c r="X940" i="4"/>
  <c r="X939" i="4"/>
  <c r="X893" i="4"/>
  <c r="X888" i="4"/>
  <c r="X883" i="4"/>
  <c r="X878" i="4"/>
  <c r="X873" i="4"/>
  <c r="X868" i="4"/>
  <c r="X863" i="4"/>
  <c r="X858" i="4"/>
  <c r="X853" i="4"/>
  <c r="X848" i="4"/>
  <c r="X930" i="4"/>
  <c r="X924" i="4"/>
  <c r="X922" i="4"/>
  <c r="X937" i="4"/>
  <c r="X928" i="4"/>
  <c r="X904" i="4"/>
  <c r="X903" i="4"/>
  <c r="X934" i="4"/>
  <c r="X933" i="4"/>
  <c r="X932" i="4"/>
  <c r="X929" i="4"/>
  <c r="X927" i="4"/>
  <c r="X925" i="4"/>
  <c r="X935" i="4"/>
  <c r="X921" i="4"/>
  <c r="X923" i="4"/>
  <c r="X916" i="4"/>
  <c r="X912" i="4"/>
  <c r="X861" i="4"/>
  <c r="X859" i="4"/>
  <c r="X857" i="4"/>
  <c r="X855" i="4"/>
  <c r="X896" i="4"/>
  <c r="X866" i="4"/>
  <c r="X864" i="4"/>
  <c r="X862" i="4"/>
  <c r="X860" i="4"/>
  <c r="X846" i="4"/>
  <c r="X899" i="4"/>
  <c r="X913" i="4"/>
  <c r="X902" i="4"/>
  <c r="X897" i="4"/>
  <c r="X876" i="4"/>
  <c r="X874" i="4"/>
  <c r="X911" i="4"/>
  <c r="X909" i="4"/>
  <c r="X881" i="4"/>
  <c r="X879" i="4"/>
  <c r="X877" i="4"/>
  <c r="X875" i="4"/>
  <c r="X919" i="4"/>
  <c r="X917" i="4"/>
  <c r="X907" i="4"/>
  <c r="X901" i="4"/>
  <c r="X898" i="4"/>
  <c r="X914" i="4"/>
  <c r="X908" i="4"/>
  <c r="X906" i="4"/>
  <c r="X918" i="4"/>
  <c r="X895" i="4"/>
  <c r="X886" i="4"/>
  <c r="X882" i="4"/>
  <c r="X867" i="4"/>
  <c r="X865" i="4"/>
  <c r="X842" i="4"/>
  <c r="X894" i="4"/>
  <c r="X835" i="4"/>
  <c r="X830" i="4"/>
  <c r="X825" i="4"/>
  <c r="X820" i="4"/>
  <c r="X815" i="4"/>
  <c r="X810" i="4"/>
  <c r="X805" i="4"/>
  <c r="X892" i="4"/>
  <c r="X890" i="4"/>
  <c r="X854" i="4"/>
  <c r="X852" i="4"/>
  <c r="X887" i="4"/>
  <c r="X856" i="4"/>
  <c r="X849" i="4"/>
  <c r="X838" i="4"/>
  <c r="X833" i="4"/>
  <c r="X828" i="4"/>
  <c r="X891" i="4"/>
  <c r="X884" i="4"/>
  <c r="X880" i="4"/>
  <c r="X872" i="4"/>
  <c r="X871" i="4"/>
  <c r="X851" i="4"/>
  <c r="X809" i="4"/>
  <c r="X808" i="4"/>
  <c r="X806" i="4"/>
  <c r="X802" i="4"/>
  <c r="X798" i="4"/>
  <c r="X834" i="4"/>
  <c r="X829" i="4"/>
  <c r="X814" i="4"/>
  <c r="X813" i="4"/>
  <c r="X811" i="4"/>
  <c r="X807" i="4"/>
  <c r="X793" i="4"/>
  <c r="X870" i="4"/>
  <c r="X837" i="4"/>
  <c r="X832" i="4"/>
  <c r="X840" i="4"/>
  <c r="X824" i="4"/>
  <c r="X823" i="4"/>
  <c r="X821" i="4"/>
  <c r="X817" i="4"/>
  <c r="X797" i="4"/>
  <c r="X841" i="4"/>
  <c r="X836" i="4"/>
  <c r="X826" i="4"/>
  <c r="X822" i="4"/>
  <c r="X869" i="4"/>
  <c r="X839" i="4"/>
  <c r="X816" i="4"/>
  <c r="X800" i="4"/>
  <c r="X783" i="4"/>
  <c r="X885" i="4"/>
  <c r="X819" i="4"/>
  <c r="X818" i="4"/>
  <c r="X812" i="4"/>
  <c r="X804" i="4"/>
  <c r="X777" i="4"/>
  <c r="X772" i="4"/>
  <c r="X767" i="4"/>
  <c r="X762" i="4"/>
  <c r="X757" i="4"/>
  <c r="X752" i="4"/>
  <c r="X747" i="4"/>
  <c r="X742" i="4"/>
  <c r="X889" i="4"/>
  <c r="X827" i="4"/>
  <c r="X796" i="4"/>
  <c r="X786" i="4"/>
  <c r="X843" i="4"/>
  <c r="X803" i="4"/>
  <c r="X782" i="4"/>
  <c r="X775" i="4"/>
  <c r="X770" i="4"/>
  <c r="X765" i="4"/>
  <c r="X792" i="4"/>
  <c r="X791" i="4"/>
  <c r="X789" i="4"/>
  <c r="X850" i="4"/>
  <c r="X847" i="4"/>
  <c r="X799" i="4"/>
  <c r="X794" i="4"/>
  <c r="X790" i="4"/>
  <c r="X785" i="4"/>
  <c r="X788" i="4"/>
  <c r="X774" i="4"/>
  <c r="X761" i="4"/>
  <c r="X732" i="4"/>
  <c r="X801" i="4"/>
  <c r="X776" i="4"/>
  <c r="X764" i="4"/>
  <c r="X726" i="4"/>
  <c r="X721" i="4"/>
  <c r="X716" i="4"/>
  <c r="X711" i="4"/>
  <c r="X706" i="4"/>
  <c r="X701" i="4"/>
  <c r="X773" i="4"/>
  <c r="X844" i="4"/>
  <c r="X781" i="4"/>
  <c r="X768" i="4"/>
  <c r="X731" i="4"/>
  <c r="X729" i="4"/>
  <c r="X724" i="4"/>
  <c r="X778" i="4"/>
  <c r="X741" i="4"/>
  <c r="X740" i="4"/>
  <c r="X738" i="4"/>
  <c r="X845" i="4"/>
  <c r="X780" i="4"/>
  <c r="X779" i="4"/>
  <c r="X746" i="4"/>
  <c r="X745" i="4"/>
  <c r="X743" i="4"/>
  <c r="X795" i="4"/>
  <c r="X784" i="4"/>
  <c r="X758" i="4"/>
  <c r="X754" i="4"/>
  <c r="X727" i="4"/>
  <c r="X710" i="4"/>
  <c r="X709" i="4"/>
  <c r="X707" i="4"/>
  <c r="X703" i="4"/>
  <c r="X697" i="4"/>
  <c r="X686" i="4"/>
  <c r="X679" i="4"/>
  <c r="X734" i="4"/>
  <c r="X715" i="4"/>
  <c r="X714" i="4"/>
  <c r="X712" i="4"/>
  <c r="X708" i="4"/>
  <c r="X693" i="4"/>
  <c r="X677" i="4"/>
  <c r="X672" i="4"/>
  <c r="X667" i="4"/>
  <c r="X662" i="4"/>
  <c r="X657" i="4"/>
  <c r="X652" i="4"/>
  <c r="X647" i="4"/>
  <c r="X642" i="4"/>
  <c r="X787" i="4"/>
  <c r="X771" i="4"/>
  <c r="X735" i="4"/>
  <c r="X733" i="4"/>
  <c r="X720" i="4"/>
  <c r="X719" i="4"/>
  <c r="X717" i="4"/>
  <c r="X713" i="4"/>
  <c r="X831" i="4"/>
  <c r="X755" i="4"/>
  <c r="X736" i="4"/>
  <c r="X722" i="4"/>
  <c r="X718" i="4"/>
  <c r="X685" i="4"/>
  <c r="X675" i="4"/>
  <c r="X670" i="4"/>
  <c r="X753" i="4"/>
  <c r="X751" i="4"/>
  <c r="X723" i="4"/>
  <c r="X692" i="4"/>
  <c r="X766" i="4"/>
  <c r="X759" i="4"/>
  <c r="X749" i="4"/>
  <c r="X739" i="4"/>
  <c r="X728" i="4"/>
  <c r="X704" i="4"/>
  <c r="X683" i="4"/>
  <c r="X680" i="4"/>
  <c r="X637" i="4"/>
  <c r="X630" i="4"/>
  <c r="X624" i="4"/>
  <c r="X619" i="4"/>
  <c r="X614" i="4"/>
  <c r="X744" i="4"/>
  <c r="X702" i="4"/>
  <c r="X700" i="4"/>
  <c r="X699" i="4"/>
  <c r="X678" i="4"/>
  <c r="X626" i="4"/>
  <c r="X760" i="4"/>
  <c r="X698" i="4"/>
  <c r="X691" i="4"/>
  <c r="X682" i="4"/>
  <c r="X688" i="4"/>
  <c r="X684" i="4"/>
  <c r="X769" i="4"/>
  <c r="X737" i="4"/>
  <c r="X730" i="4"/>
  <c r="X705" i="4"/>
  <c r="X695" i="4"/>
  <c r="X689" i="4"/>
  <c r="X687" i="4"/>
  <c r="X681" i="4"/>
  <c r="X673" i="4"/>
  <c r="X641" i="4"/>
  <c r="X748" i="4"/>
  <c r="X671" i="4"/>
  <c r="X669" i="4"/>
  <c r="X654" i="4"/>
  <c r="X639" i="4"/>
  <c r="X628" i="4"/>
  <c r="X622" i="4"/>
  <c r="X620" i="4"/>
  <c r="X613" i="4"/>
  <c r="X607" i="4"/>
  <c r="X763" i="4"/>
  <c r="X676" i="4"/>
  <c r="X674" i="4"/>
  <c r="X690" i="4"/>
  <c r="X668" i="4"/>
  <c r="X664" i="4"/>
  <c r="X696" i="4"/>
  <c r="X665" i="4"/>
  <c r="X661" i="4"/>
  <c r="X658" i="4"/>
  <c r="X656" i="4"/>
  <c r="X650" i="4"/>
  <c r="X648" i="4"/>
  <c r="X635" i="4"/>
  <c r="X632" i="4"/>
  <c r="X644" i="4"/>
  <c r="X634" i="4"/>
  <c r="X616" i="4"/>
  <c r="X603" i="4"/>
  <c r="X592" i="4"/>
  <c r="X646" i="4"/>
  <c r="X629" i="4"/>
  <c r="X599" i="4"/>
  <c r="X585" i="4"/>
  <c r="X580" i="4"/>
  <c r="X575" i="4"/>
  <c r="X570" i="4"/>
  <c r="X565" i="4"/>
  <c r="X560" i="4"/>
  <c r="X555" i="4"/>
  <c r="X550" i="4"/>
  <c r="X545" i="4"/>
  <c r="X540" i="4"/>
  <c r="X756" i="4"/>
  <c r="X653" i="4"/>
  <c r="X602" i="4"/>
  <c r="X595" i="4"/>
  <c r="X625" i="4"/>
  <c r="X617" i="4"/>
  <c r="X606" i="4"/>
  <c r="X591" i="4"/>
  <c r="X588" i="4"/>
  <c r="X583" i="4"/>
  <c r="X578" i="4"/>
  <c r="X725" i="4"/>
  <c r="X627" i="4"/>
  <c r="X621" i="4"/>
  <c r="X618" i="4"/>
  <c r="X610" i="4"/>
  <c r="X608" i="4"/>
  <c r="X605" i="4"/>
  <c r="X598" i="4"/>
  <c r="X645" i="4"/>
  <c r="X643" i="4"/>
  <c r="X631" i="4"/>
  <c r="X623" i="4"/>
  <c r="X596" i="4"/>
  <c r="X589" i="4"/>
  <c r="X587" i="4"/>
  <c r="X582" i="4"/>
  <c r="X577" i="4"/>
  <c r="X572" i="4"/>
  <c r="X567" i="4"/>
  <c r="X562" i="4"/>
  <c r="X557" i="4"/>
  <c r="X552" i="4"/>
  <c r="X547" i="4"/>
  <c r="X542" i="4"/>
  <c r="X694" i="4"/>
  <c r="X640" i="4"/>
  <c r="X633" i="4"/>
  <c r="X601" i="4"/>
  <c r="X586" i="4"/>
  <c r="X559" i="4"/>
  <c r="X556" i="4"/>
  <c r="X553" i="4"/>
  <c r="X750" i="4"/>
  <c r="X660" i="4"/>
  <c r="X612" i="4"/>
  <c r="X594" i="4"/>
  <c r="X590" i="4"/>
  <c r="X533" i="4"/>
  <c r="X526" i="4"/>
  <c r="X522" i="4"/>
  <c r="X517" i="4"/>
  <c r="X512" i="4"/>
  <c r="X507" i="4"/>
  <c r="X502" i="4"/>
  <c r="X497" i="4"/>
  <c r="X492" i="4"/>
  <c r="X487" i="4"/>
  <c r="X482" i="4"/>
  <c r="X477" i="4"/>
  <c r="X472" i="4"/>
  <c r="X467" i="4"/>
  <c r="X462" i="4"/>
  <c r="X659" i="4"/>
  <c r="X604" i="4"/>
  <c r="X584" i="4"/>
  <c r="X569" i="4"/>
  <c r="X566" i="4"/>
  <c r="X563" i="4"/>
  <c r="X544" i="4"/>
  <c r="X539" i="4"/>
  <c r="X538" i="4"/>
  <c r="X529" i="4"/>
  <c r="X655" i="4"/>
  <c r="X597" i="4"/>
  <c r="X581" i="4"/>
  <c r="X541" i="4"/>
  <c r="X537" i="4"/>
  <c r="X536" i="4"/>
  <c r="X525" i="4"/>
  <c r="X520" i="4"/>
  <c r="X515" i="4"/>
  <c r="X510" i="4"/>
  <c r="X505" i="4"/>
  <c r="X500" i="4"/>
  <c r="X495" i="4"/>
  <c r="X651" i="4"/>
  <c r="X649" i="4"/>
  <c r="X576" i="4"/>
  <c r="X573" i="4"/>
  <c r="X554" i="4"/>
  <c r="X551" i="4"/>
  <c r="X548" i="4"/>
  <c r="X532" i="4"/>
  <c r="X666" i="4"/>
  <c r="X615" i="4"/>
  <c r="X530" i="4"/>
  <c r="X524" i="4"/>
  <c r="X519" i="4"/>
  <c r="X514" i="4"/>
  <c r="X509" i="4"/>
  <c r="X504" i="4"/>
  <c r="X499" i="4"/>
  <c r="X494" i="4"/>
  <c r="X489" i="4"/>
  <c r="X484" i="4"/>
  <c r="X479" i="4"/>
  <c r="X474" i="4"/>
  <c r="X469" i="4"/>
  <c r="X464" i="4"/>
  <c r="X459" i="4"/>
  <c r="X454" i="4"/>
  <c r="X449" i="4"/>
  <c r="X638" i="4"/>
  <c r="X518" i="4"/>
  <c r="X498" i="4"/>
  <c r="X490" i="4"/>
  <c r="X471" i="4"/>
  <c r="X468" i="4"/>
  <c r="X465" i="4"/>
  <c r="X452" i="4"/>
  <c r="X450" i="4"/>
  <c r="X448" i="4"/>
  <c r="X446" i="4"/>
  <c r="X442" i="4"/>
  <c r="X435" i="4"/>
  <c r="X428" i="4"/>
  <c r="X418" i="4"/>
  <c r="X413" i="4"/>
  <c r="X408" i="4"/>
  <c r="X403" i="4"/>
  <c r="X398" i="4"/>
  <c r="X393" i="4"/>
  <c r="X388" i="4"/>
  <c r="X383" i="4"/>
  <c r="X378" i="4"/>
  <c r="X373" i="4"/>
  <c r="X368" i="4"/>
  <c r="X363" i="4"/>
  <c r="X358" i="4"/>
  <c r="X353" i="4"/>
  <c r="X348" i="4"/>
  <c r="X343" i="4"/>
  <c r="X549" i="4"/>
  <c r="X546" i="4"/>
  <c r="X528" i="4"/>
  <c r="X457" i="4"/>
  <c r="X455" i="4"/>
  <c r="X453" i="4"/>
  <c r="X451" i="4"/>
  <c r="X431" i="4"/>
  <c r="X424" i="4"/>
  <c r="X663" i="4"/>
  <c r="X611" i="4"/>
  <c r="X543" i="4"/>
  <c r="X496" i="4"/>
  <c r="X481" i="4"/>
  <c r="X478" i="4"/>
  <c r="X475" i="4"/>
  <c r="X458" i="4"/>
  <c r="X456" i="4"/>
  <c r="X445" i="4"/>
  <c r="X579" i="4"/>
  <c r="X523" i="4"/>
  <c r="X511" i="4"/>
  <c r="X493" i="4"/>
  <c r="X441" i="4"/>
  <c r="X434" i="4"/>
  <c r="X564" i="4"/>
  <c r="X531" i="4"/>
  <c r="X508" i="4"/>
  <c r="X488" i="4"/>
  <c r="X485" i="4"/>
  <c r="X466" i="4"/>
  <c r="X463" i="4"/>
  <c r="X460" i="4"/>
  <c r="X437" i="4"/>
  <c r="X430" i="4"/>
  <c r="X423" i="4"/>
  <c r="X419" i="4"/>
  <c r="X636" i="4"/>
  <c r="X609" i="4"/>
  <c r="X593" i="4"/>
  <c r="X568" i="4"/>
  <c r="X535" i="4"/>
  <c r="X527" i="4"/>
  <c r="X521" i="4"/>
  <c r="X501" i="4"/>
  <c r="X447" i="4"/>
  <c r="X439" i="4"/>
  <c r="X427" i="4"/>
  <c r="X410" i="4"/>
  <c r="X600" i="4"/>
  <c r="X486" i="4"/>
  <c r="X483" i="4"/>
  <c r="X571" i="4"/>
  <c r="X574" i="4"/>
  <c r="X561" i="4"/>
  <c r="X503" i="4"/>
  <c r="X473" i="4"/>
  <c r="X513" i="4"/>
  <c r="X491" i="4"/>
  <c r="X436" i="4"/>
  <c r="X372" i="4"/>
  <c r="X362" i="4"/>
  <c r="X352" i="4"/>
  <c r="X342" i="4"/>
  <c r="X340" i="4"/>
  <c r="X335" i="4"/>
  <c r="X330" i="4"/>
  <c r="X325" i="4"/>
  <c r="X320" i="4"/>
  <c r="X315" i="4"/>
  <c r="X310" i="4"/>
  <c r="X305" i="4"/>
  <c r="X300" i="4"/>
  <c r="X295" i="4"/>
  <c r="X290" i="4"/>
  <c r="X285" i="4"/>
  <c r="X280" i="4"/>
  <c r="X275" i="4"/>
  <c r="X270" i="4"/>
  <c r="X265" i="4"/>
  <c r="X260" i="4"/>
  <c r="X255" i="4"/>
  <c r="X250" i="4"/>
  <c r="X245" i="4"/>
  <c r="X240" i="4"/>
  <c r="X235" i="4"/>
  <c r="X230" i="4"/>
  <c r="X225" i="4"/>
  <c r="X220" i="4"/>
  <c r="X401" i="4"/>
  <c r="X396" i="4"/>
  <c r="X387" i="4"/>
  <c r="X384" i="4"/>
  <c r="X534" i="4"/>
  <c r="X444" i="4"/>
  <c r="X432" i="4"/>
  <c r="X412" i="4"/>
  <c r="X399" i="4"/>
  <c r="X390" i="4"/>
  <c r="X375" i="4"/>
  <c r="X365" i="4"/>
  <c r="X355" i="4"/>
  <c r="X345" i="4"/>
  <c r="X416" i="4"/>
  <c r="X381" i="4"/>
  <c r="X379" i="4"/>
  <c r="X371" i="4"/>
  <c r="X361" i="4"/>
  <c r="X351" i="4"/>
  <c r="X470" i="4"/>
  <c r="X433" i="4"/>
  <c r="X429" i="4"/>
  <c r="X414" i="4"/>
  <c r="X405" i="4"/>
  <c r="X391" i="4"/>
  <c r="X382" i="4"/>
  <c r="X380" i="4"/>
  <c r="X374" i="4"/>
  <c r="X364" i="4"/>
  <c r="X354" i="4"/>
  <c r="X344" i="4"/>
  <c r="X341" i="4"/>
  <c r="X336" i="4"/>
  <c r="X516" i="4"/>
  <c r="X480" i="4"/>
  <c r="X461" i="4"/>
  <c r="X558" i="4"/>
  <c r="X506" i="4"/>
  <c r="X476" i="4"/>
  <c r="X440" i="4"/>
  <c r="X417" i="4"/>
  <c r="X415" i="4"/>
  <c r="X395" i="4"/>
  <c r="X369" i="4"/>
  <c r="X359" i="4"/>
  <c r="X349" i="4"/>
  <c r="X426" i="4"/>
  <c r="X425" i="4"/>
  <c r="X421" i="4"/>
  <c r="X338" i="4"/>
  <c r="X329" i="4"/>
  <c r="X317" i="4"/>
  <c r="X288" i="4"/>
  <c r="X286" i="4"/>
  <c r="X284" i="4"/>
  <c r="X282" i="4"/>
  <c r="X229" i="4"/>
  <c r="X219" i="4"/>
  <c r="X443" i="4"/>
  <c r="X420" i="4"/>
  <c r="X404" i="4"/>
  <c r="X377" i="4"/>
  <c r="X366" i="4"/>
  <c r="X306" i="4"/>
  <c r="X293" i="4"/>
  <c r="X291" i="4"/>
  <c r="X289" i="4"/>
  <c r="X287" i="4"/>
  <c r="X243" i="4"/>
  <c r="X241" i="4"/>
  <c r="X239" i="4"/>
  <c r="X214" i="4"/>
  <c r="X209" i="4"/>
  <c r="X204" i="4"/>
  <c r="X199" i="4"/>
  <c r="X194" i="4"/>
  <c r="X189" i="4"/>
  <c r="X400" i="4"/>
  <c r="X332" i="4"/>
  <c r="X321" i="4"/>
  <c r="X318" i="4"/>
  <c r="X309" i="4"/>
  <c r="X298" i="4"/>
  <c r="X296" i="4"/>
  <c r="X294" i="4"/>
  <c r="X292" i="4"/>
  <c r="X407" i="4"/>
  <c r="X397" i="4"/>
  <c r="X394" i="4"/>
  <c r="X392" i="4"/>
  <c r="X389" i="4"/>
  <c r="X367" i="4"/>
  <c r="X356" i="4"/>
  <c r="X324" i="4"/>
  <c r="X312" i="4"/>
  <c r="X303" i="4"/>
  <c r="X301" i="4"/>
  <c r="X299" i="4"/>
  <c r="X297" i="4"/>
  <c r="X253" i="4"/>
  <c r="X251" i="4"/>
  <c r="X249" i="4"/>
  <c r="X247" i="4"/>
  <c r="X402" i="4"/>
  <c r="X386" i="4"/>
  <c r="X337" i="4"/>
  <c r="X334" i="4"/>
  <c r="X327" i="4"/>
  <c r="X302" i="4"/>
  <c r="X258" i="4"/>
  <c r="X256" i="4"/>
  <c r="X370" i="4"/>
  <c r="X406" i="4"/>
  <c r="X438" i="4"/>
  <c r="X409" i="4"/>
  <c r="X385" i="4"/>
  <c r="X422" i="4"/>
  <c r="X411" i="4"/>
  <c r="X376" i="4"/>
  <c r="X350" i="4"/>
  <c r="X326" i="4"/>
  <c r="X323" i="4"/>
  <c r="X314" i="4"/>
  <c r="X283" i="4"/>
  <c r="X281" i="4"/>
  <c r="X279" i="4"/>
  <c r="X277" i="4"/>
  <c r="X236" i="4"/>
  <c r="X226" i="4"/>
  <c r="X216" i="4"/>
  <c r="X211" i="4"/>
  <c r="X206" i="4"/>
  <c r="X201" i="4"/>
  <c r="X196" i="4"/>
  <c r="X191" i="4"/>
  <c r="X186" i="4"/>
  <c r="X181" i="4"/>
  <c r="X176" i="4"/>
  <c r="X357" i="4"/>
  <c r="X339" i="4"/>
  <c r="X307" i="4"/>
  <c r="X304" i="4"/>
  <c r="X267" i="4"/>
  <c r="X259" i="4"/>
  <c r="X231" i="4"/>
  <c r="X227" i="4"/>
  <c r="X218" i="4"/>
  <c r="X213" i="4"/>
  <c r="X210" i="4"/>
  <c r="X207" i="4"/>
  <c r="X188" i="4"/>
  <c r="X174" i="4"/>
  <c r="X170" i="4"/>
  <c r="X159" i="4"/>
  <c r="X152" i="4"/>
  <c r="X145" i="4"/>
  <c r="X136" i="4"/>
  <c r="X131" i="4"/>
  <c r="X126" i="4"/>
  <c r="X121" i="4"/>
  <c r="X116" i="4"/>
  <c r="X111" i="4"/>
  <c r="X106" i="4"/>
  <c r="X101" i="4"/>
  <c r="X96" i="4"/>
  <c r="X91" i="4"/>
  <c r="X86" i="4"/>
  <c r="X81" i="4"/>
  <c r="X76" i="4"/>
  <c r="Z76" i="4" s="1"/>
  <c r="AB76" i="4" s="1"/>
  <c r="X71" i="4"/>
  <c r="X66" i="4"/>
  <c r="X61" i="4"/>
  <c r="X56" i="4"/>
  <c r="X51" i="4"/>
  <c r="Z51" i="4" s="1"/>
  <c r="AB51" i="4" s="1"/>
  <c r="X46" i="4"/>
  <c r="X331" i="4"/>
  <c r="X268" i="4"/>
  <c r="X179" i="4"/>
  <c r="X177" i="4"/>
  <c r="X175" i="4"/>
  <c r="X173" i="4"/>
  <c r="X166" i="4"/>
  <c r="X148" i="4"/>
  <c r="X141" i="4"/>
  <c r="X264" i="4"/>
  <c r="X244" i="4"/>
  <c r="X222" i="4"/>
  <c r="X198" i="4"/>
  <c r="X195" i="4"/>
  <c r="X192" i="4"/>
  <c r="X184" i="4"/>
  <c r="X182" i="4"/>
  <c r="X180" i="4"/>
  <c r="X178" i="4"/>
  <c r="X169" i="4"/>
  <c r="X162" i="4"/>
  <c r="X328" i="4"/>
  <c r="X272" i="4"/>
  <c r="X233" i="4"/>
  <c r="X224" i="4"/>
  <c r="X185" i="4"/>
  <c r="X183" i="4"/>
  <c r="X158" i="4"/>
  <c r="X151" i="4"/>
  <c r="X276" i="4"/>
  <c r="X273" i="4"/>
  <c r="X261" i="4"/>
  <c r="X237" i="4"/>
  <c r="X228" i="4"/>
  <c r="X208" i="4"/>
  <c r="X205" i="4"/>
  <c r="X202" i="4"/>
  <c r="X172" i="4"/>
  <c r="X165" i="4"/>
  <c r="X154" i="4"/>
  <c r="X147" i="4"/>
  <c r="X137" i="4"/>
  <c r="X311" i="4"/>
  <c r="X333" i="4"/>
  <c r="X316" i="4"/>
  <c r="X308" i="4"/>
  <c r="X360" i="4"/>
  <c r="X347" i="4"/>
  <c r="X346" i="4"/>
  <c r="X322" i="4"/>
  <c r="X319" i="4"/>
  <c r="X313" i="4"/>
  <c r="X278" i="4"/>
  <c r="X271" i="4"/>
  <c r="X263" i="4"/>
  <c r="X262" i="4"/>
  <c r="X254" i="4"/>
  <c r="X223" i="4"/>
  <c r="X163" i="4"/>
  <c r="X156" i="4"/>
  <c r="AD1008" i="4"/>
  <c r="AG1008" i="4" s="1"/>
  <c r="AI1008" i="4" s="1"/>
  <c r="AJ1008" i="4" s="1"/>
  <c r="AD1003" i="4"/>
  <c r="AG1003" i="4" s="1"/>
  <c r="AI1003" i="4" s="1"/>
  <c r="AJ1003" i="4" s="1"/>
  <c r="AD998" i="4"/>
  <c r="AG998" i="4" s="1"/>
  <c r="AI998" i="4" s="1"/>
  <c r="AD993" i="4"/>
  <c r="AG993" i="4" s="1"/>
  <c r="AI993" i="4" s="1"/>
  <c r="AJ993" i="4" s="1"/>
  <c r="AD988" i="4"/>
  <c r="AG988" i="4" s="1"/>
  <c r="AI988" i="4" s="1"/>
  <c r="AJ988" i="4" s="1"/>
  <c r="AD1009" i="4"/>
  <c r="AG1009" i="4" s="1"/>
  <c r="AI1009" i="4" s="1"/>
  <c r="AJ1009" i="4" s="1"/>
  <c r="AD1004" i="4"/>
  <c r="AG1004" i="4" s="1"/>
  <c r="AI1004" i="4" s="1"/>
  <c r="AD994" i="4"/>
  <c r="AG994" i="4" s="1"/>
  <c r="AI994" i="4" s="1"/>
  <c r="AD984" i="4"/>
  <c r="AG984" i="4" s="1"/>
  <c r="AI984" i="4" s="1"/>
  <c r="AJ984" i="4" s="1"/>
  <c r="AD997" i="4"/>
  <c r="AG997" i="4" s="1"/>
  <c r="AI997" i="4" s="1"/>
  <c r="AD987" i="4"/>
  <c r="AG987" i="4" s="1"/>
  <c r="AI987" i="4" s="1"/>
  <c r="AD1011" i="4"/>
  <c r="AG1011" i="4" s="1"/>
  <c r="AI1011" i="4" s="1"/>
  <c r="AJ1011" i="4" s="1"/>
  <c r="AD1010" i="4"/>
  <c r="AG1010" i="4" s="1"/>
  <c r="AI1010" i="4" s="1"/>
  <c r="AJ1010" i="4" s="1"/>
  <c r="AD991" i="4"/>
  <c r="AG991" i="4" s="1"/>
  <c r="AI991" i="4" s="1"/>
  <c r="AJ991" i="4" s="1"/>
  <c r="AD982" i="4"/>
  <c r="AG982" i="4" s="1"/>
  <c r="AI982" i="4" s="1"/>
  <c r="AJ982" i="4" s="1"/>
  <c r="AD1006" i="4"/>
  <c r="AG1006" i="4" s="1"/>
  <c r="AI1006" i="4" s="1"/>
  <c r="AJ1006" i="4" s="1"/>
  <c r="AD1005" i="4"/>
  <c r="AG1005" i="4" s="1"/>
  <c r="AI1005" i="4" s="1"/>
  <c r="AJ1005" i="4" s="1"/>
  <c r="AD1002" i="4"/>
  <c r="AG1002" i="4" s="1"/>
  <c r="AI1002" i="4" s="1"/>
  <c r="AJ1002" i="4" s="1"/>
  <c r="AD979" i="4"/>
  <c r="AG979" i="4" s="1"/>
  <c r="AI979" i="4" s="1"/>
  <c r="AJ979" i="4" s="1"/>
  <c r="AD974" i="4"/>
  <c r="AG974" i="4" s="1"/>
  <c r="AI974" i="4" s="1"/>
  <c r="AD992" i="4"/>
  <c r="AG992" i="4" s="1"/>
  <c r="AI992" i="4" s="1"/>
  <c r="AJ992" i="4" s="1"/>
  <c r="AD1001" i="4"/>
  <c r="AG1001" i="4" s="1"/>
  <c r="AI1001" i="4" s="1"/>
  <c r="AJ1001" i="4" s="1"/>
  <c r="AD1000" i="4"/>
  <c r="AG1000" i="4" s="1"/>
  <c r="AI1000" i="4" s="1"/>
  <c r="AD995" i="4"/>
  <c r="AG995" i="4" s="1"/>
  <c r="AI995" i="4" s="1"/>
  <c r="AJ995" i="4" s="1"/>
  <c r="AD1007" i="4"/>
  <c r="AG1007" i="4" s="1"/>
  <c r="AI1007" i="4" s="1"/>
  <c r="AD971" i="4"/>
  <c r="AG971" i="4" s="1"/>
  <c r="AI971" i="4" s="1"/>
  <c r="AJ971" i="4" s="1"/>
  <c r="AD966" i="4"/>
  <c r="AG966" i="4" s="1"/>
  <c r="AI966" i="4" s="1"/>
  <c r="AJ966" i="4" s="1"/>
  <c r="AD961" i="4"/>
  <c r="AG961" i="4" s="1"/>
  <c r="AI961" i="4" s="1"/>
  <c r="AJ961" i="4" s="1"/>
  <c r="AD956" i="4"/>
  <c r="AG956" i="4" s="1"/>
  <c r="AI956" i="4" s="1"/>
  <c r="AJ956" i="4" s="1"/>
  <c r="AD951" i="4"/>
  <c r="AG951" i="4" s="1"/>
  <c r="AI951" i="4" s="1"/>
  <c r="AJ951" i="4" s="1"/>
  <c r="AD946" i="4"/>
  <c r="AG946" i="4" s="1"/>
  <c r="AI946" i="4" s="1"/>
  <c r="AD990" i="4"/>
  <c r="AG990" i="4" s="1"/>
  <c r="AI990" i="4" s="1"/>
  <c r="AJ990" i="4" s="1"/>
  <c r="AD999" i="4"/>
  <c r="AG999" i="4" s="1"/>
  <c r="AI999" i="4" s="1"/>
  <c r="AD989" i="4"/>
  <c r="AG989" i="4" s="1"/>
  <c r="AI989" i="4" s="1"/>
  <c r="AD996" i="4"/>
  <c r="AG996" i="4" s="1"/>
  <c r="AI996" i="4" s="1"/>
  <c r="AJ996" i="4" s="1"/>
  <c r="AD980" i="4"/>
  <c r="AG980" i="4" s="1"/>
  <c r="AI980" i="4" s="1"/>
  <c r="AJ980" i="4" s="1"/>
  <c r="AD976" i="4"/>
  <c r="AG976" i="4" s="1"/>
  <c r="AI976" i="4" s="1"/>
  <c r="AJ976" i="4" s="1"/>
  <c r="AD949" i="4"/>
  <c r="AG949" i="4" s="1"/>
  <c r="AI949" i="4" s="1"/>
  <c r="AJ949" i="4" s="1"/>
  <c r="AD948" i="4"/>
  <c r="AG948" i="4" s="1"/>
  <c r="AI948" i="4" s="1"/>
  <c r="AD977" i="4"/>
  <c r="AG977" i="4" s="1"/>
  <c r="AI977" i="4" s="1"/>
  <c r="AJ977" i="4" s="1"/>
  <c r="AD973" i="4"/>
  <c r="AG973" i="4" s="1"/>
  <c r="AI973" i="4" s="1"/>
  <c r="AJ973" i="4" s="1"/>
  <c r="AD954" i="4"/>
  <c r="AG954" i="4" s="1"/>
  <c r="AI954" i="4" s="1"/>
  <c r="AJ954" i="4" s="1"/>
  <c r="AD953" i="4"/>
  <c r="AG953" i="4" s="1"/>
  <c r="AI953" i="4" s="1"/>
  <c r="AD952" i="4"/>
  <c r="AG952" i="4" s="1"/>
  <c r="AI952" i="4" s="1"/>
  <c r="AJ952" i="4" s="1"/>
  <c r="AD950" i="4"/>
  <c r="AG950" i="4" s="1"/>
  <c r="AI950" i="4" s="1"/>
  <c r="AJ950" i="4" s="1"/>
  <c r="AD945" i="4"/>
  <c r="AG945" i="4" s="1"/>
  <c r="AI945" i="4" s="1"/>
  <c r="AJ945" i="4" s="1"/>
  <c r="AD940" i="4"/>
  <c r="AG940" i="4" s="1"/>
  <c r="AI940" i="4" s="1"/>
  <c r="AD935" i="4"/>
  <c r="AG935" i="4" s="1"/>
  <c r="AI935" i="4" s="1"/>
  <c r="AD930" i="4"/>
  <c r="AG930" i="4" s="1"/>
  <c r="AI930" i="4" s="1"/>
  <c r="AD925" i="4"/>
  <c r="AG925" i="4" s="1"/>
  <c r="AI925" i="4" s="1"/>
  <c r="AJ925" i="4" s="1"/>
  <c r="AD968" i="4"/>
  <c r="AG968" i="4" s="1"/>
  <c r="AI968" i="4" s="1"/>
  <c r="AJ968" i="4" s="1"/>
  <c r="AD959" i="4"/>
  <c r="AG959" i="4" s="1"/>
  <c r="AI959" i="4" s="1"/>
  <c r="AJ959" i="4" s="1"/>
  <c r="AD958" i="4"/>
  <c r="AG958" i="4" s="1"/>
  <c r="AI958" i="4" s="1"/>
  <c r="AJ958" i="4" s="1"/>
  <c r="AD957" i="4"/>
  <c r="AG957" i="4" s="1"/>
  <c r="AI957" i="4" s="1"/>
  <c r="AJ957" i="4" s="1"/>
  <c r="AD955" i="4"/>
  <c r="AG955" i="4" s="1"/>
  <c r="AI955" i="4" s="1"/>
  <c r="AJ955" i="4" s="1"/>
  <c r="AD983" i="4"/>
  <c r="AG983" i="4" s="1"/>
  <c r="AI983" i="4" s="1"/>
  <c r="AJ983" i="4" s="1"/>
  <c r="AD981" i="4"/>
  <c r="AG981" i="4" s="1"/>
  <c r="AI981" i="4" s="1"/>
  <c r="AD964" i="4"/>
  <c r="AG964" i="4" s="1"/>
  <c r="AI964" i="4" s="1"/>
  <c r="AD963" i="4"/>
  <c r="AG963" i="4" s="1"/>
  <c r="AI963" i="4" s="1"/>
  <c r="AJ963" i="4" s="1"/>
  <c r="AD962" i="4"/>
  <c r="AG962" i="4" s="1"/>
  <c r="AI962" i="4" s="1"/>
  <c r="AD960" i="4"/>
  <c r="AG960" i="4" s="1"/>
  <c r="AI960" i="4" s="1"/>
  <c r="AJ960" i="4" s="1"/>
  <c r="AD947" i="4"/>
  <c r="AG947" i="4" s="1"/>
  <c r="AI947" i="4" s="1"/>
  <c r="AJ947" i="4" s="1"/>
  <c r="AD978" i="4"/>
  <c r="AG978" i="4" s="1"/>
  <c r="AI978" i="4" s="1"/>
  <c r="AJ978" i="4" s="1"/>
  <c r="AD965" i="4"/>
  <c r="AG965" i="4" s="1"/>
  <c r="AI965" i="4" s="1"/>
  <c r="AJ965" i="4" s="1"/>
  <c r="AD986" i="4"/>
  <c r="AG986" i="4" s="1"/>
  <c r="AI986" i="4" s="1"/>
  <c r="AJ986" i="4" s="1"/>
  <c r="AD975" i="4"/>
  <c r="AG975" i="4" s="1"/>
  <c r="AI975" i="4" s="1"/>
  <c r="AJ975" i="4" s="1"/>
  <c r="AD969" i="4"/>
  <c r="AG969" i="4" s="1"/>
  <c r="AI969" i="4" s="1"/>
  <c r="AD985" i="4"/>
  <c r="AG985" i="4" s="1"/>
  <c r="AI985" i="4" s="1"/>
  <c r="AJ985" i="4" s="1"/>
  <c r="AD972" i="4"/>
  <c r="AG972" i="4" s="1"/>
  <c r="AI972" i="4" s="1"/>
  <c r="AD970" i="4"/>
  <c r="AG970" i="4" s="1"/>
  <c r="AI970" i="4" s="1"/>
  <c r="AJ970" i="4" s="1"/>
  <c r="AD924" i="4"/>
  <c r="AG924" i="4" s="1"/>
  <c r="AI924" i="4" s="1"/>
  <c r="AD923" i="4"/>
  <c r="AG923" i="4" s="1"/>
  <c r="AI923" i="4" s="1"/>
  <c r="AJ923" i="4" s="1"/>
  <c r="AD921" i="4"/>
  <c r="AG921" i="4" s="1"/>
  <c r="AI921" i="4" s="1"/>
  <c r="AJ921" i="4" s="1"/>
  <c r="AD919" i="4"/>
  <c r="AG919" i="4" s="1"/>
  <c r="AI919" i="4" s="1"/>
  <c r="AJ919" i="4" s="1"/>
  <c r="AD914" i="4"/>
  <c r="AG914" i="4" s="1"/>
  <c r="AI914" i="4" s="1"/>
  <c r="AJ914" i="4" s="1"/>
  <c r="AD909" i="4"/>
  <c r="AG909" i="4" s="1"/>
  <c r="AI909" i="4" s="1"/>
  <c r="AJ909" i="4" s="1"/>
  <c r="AD904" i="4"/>
  <c r="AG904" i="4" s="1"/>
  <c r="AI904" i="4" s="1"/>
  <c r="AD899" i="4"/>
  <c r="AG899" i="4" s="1"/>
  <c r="AI899" i="4" s="1"/>
  <c r="AD934" i="4"/>
  <c r="AG934" i="4" s="1"/>
  <c r="AI934" i="4" s="1"/>
  <c r="AJ934" i="4" s="1"/>
  <c r="AD933" i="4"/>
  <c r="AG933" i="4" s="1"/>
  <c r="AI933" i="4" s="1"/>
  <c r="AJ933" i="4" s="1"/>
  <c r="AD931" i="4"/>
  <c r="AG931" i="4" s="1"/>
  <c r="AI931" i="4" s="1"/>
  <c r="AJ931" i="4" s="1"/>
  <c r="AD939" i="4"/>
  <c r="AG939" i="4" s="1"/>
  <c r="AI939" i="4" s="1"/>
  <c r="AJ939" i="4" s="1"/>
  <c r="AD938" i="4"/>
  <c r="AG938" i="4" s="1"/>
  <c r="AI938" i="4" s="1"/>
  <c r="AJ938" i="4" s="1"/>
  <c r="AD936" i="4"/>
  <c r="AG936" i="4" s="1"/>
  <c r="AI936" i="4" s="1"/>
  <c r="AJ936" i="4" s="1"/>
  <c r="AD932" i="4"/>
  <c r="AG932" i="4" s="1"/>
  <c r="AI932" i="4" s="1"/>
  <c r="AJ932" i="4" s="1"/>
  <c r="AD967" i="4"/>
  <c r="AG967" i="4" s="1"/>
  <c r="AI967" i="4" s="1"/>
  <c r="AJ967" i="4" s="1"/>
  <c r="AD942" i="4"/>
  <c r="AG942" i="4" s="1"/>
  <c r="AI942" i="4" s="1"/>
  <c r="AD908" i="4"/>
  <c r="AG908" i="4" s="1"/>
  <c r="AI908" i="4" s="1"/>
  <c r="AJ908" i="4" s="1"/>
  <c r="AD907" i="4"/>
  <c r="AG907" i="4" s="1"/>
  <c r="AI907" i="4" s="1"/>
  <c r="AJ907" i="4" s="1"/>
  <c r="AD905" i="4"/>
  <c r="AG905" i="4" s="1"/>
  <c r="AI905" i="4" s="1"/>
  <c r="AJ905" i="4" s="1"/>
  <c r="AD901" i="4"/>
  <c r="AG901" i="4" s="1"/>
  <c r="AI901" i="4" s="1"/>
  <c r="AD892" i="4"/>
  <c r="AG892" i="4" s="1"/>
  <c r="AI892" i="4" s="1"/>
  <c r="AD887" i="4"/>
  <c r="AG887" i="4" s="1"/>
  <c r="AI887" i="4" s="1"/>
  <c r="AJ887" i="4" s="1"/>
  <c r="AD882" i="4"/>
  <c r="AG882" i="4" s="1"/>
  <c r="AI882" i="4" s="1"/>
  <c r="AJ882" i="4" s="1"/>
  <c r="AD877" i="4"/>
  <c r="AG877" i="4" s="1"/>
  <c r="AI877" i="4" s="1"/>
  <c r="AJ877" i="4" s="1"/>
  <c r="AD872" i="4"/>
  <c r="AG872" i="4" s="1"/>
  <c r="AI872" i="4" s="1"/>
  <c r="AJ872" i="4" s="1"/>
  <c r="AD867" i="4"/>
  <c r="AG867" i="4" s="1"/>
  <c r="AI867" i="4" s="1"/>
  <c r="AJ867" i="4" s="1"/>
  <c r="AD862" i="4"/>
  <c r="AG862" i="4" s="1"/>
  <c r="AI862" i="4" s="1"/>
  <c r="AD857" i="4"/>
  <c r="AG857" i="4" s="1"/>
  <c r="AI857" i="4" s="1"/>
  <c r="AD852" i="4"/>
  <c r="AG852" i="4" s="1"/>
  <c r="AI852" i="4" s="1"/>
  <c r="AJ852" i="4" s="1"/>
  <c r="AD929" i="4"/>
  <c r="AG929" i="4" s="1"/>
  <c r="AI929" i="4" s="1"/>
  <c r="AJ929" i="4" s="1"/>
  <c r="AD913" i="4"/>
  <c r="AG913" i="4" s="1"/>
  <c r="AI913" i="4" s="1"/>
  <c r="AJ913" i="4" s="1"/>
  <c r="AD912" i="4"/>
  <c r="AG912" i="4" s="1"/>
  <c r="AI912" i="4" s="1"/>
  <c r="AD910" i="4"/>
  <c r="AG910" i="4" s="1"/>
  <c r="AI910" i="4" s="1"/>
  <c r="AJ910" i="4" s="1"/>
  <c r="AD906" i="4"/>
  <c r="AG906" i="4" s="1"/>
  <c r="AI906" i="4" s="1"/>
  <c r="AJ906" i="4" s="1"/>
  <c r="AD918" i="4"/>
  <c r="AG918" i="4" s="1"/>
  <c r="AI918" i="4" s="1"/>
  <c r="AJ918" i="4" s="1"/>
  <c r="AD917" i="4"/>
  <c r="AG917" i="4" s="1"/>
  <c r="AI917" i="4" s="1"/>
  <c r="AJ917" i="4" s="1"/>
  <c r="AD915" i="4"/>
  <c r="AG915" i="4" s="1"/>
  <c r="AI915" i="4" s="1"/>
  <c r="AD911" i="4"/>
  <c r="AG911" i="4" s="1"/>
  <c r="AI911" i="4" s="1"/>
  <c r="AJ911" i="4" s="1"/>
  <c r="AD927" i="4"/>
  <c r="AG927" i="4" s="1"/>
  <c r="AI927" i="4" s="1"/>
  <c r="AD920" i="4"/>
  <c r="AG920" i="4" s="1"/>
  <c r="AI920" i="4" s="1"/>
  <c r="AD916" i="4"/>
  <c r="AG916" i="4" s="1"/>
  <c r="AI916" i="4" s="1"/>
  <c r="AJ916" i="4" s="1"/>
  <c r="AD943" i="4"/>
  <c r="AG943" i="4" s="1"/>
  <c r="AI943" i="4" s="1"/>
  <c r="AJ943" i="4" s="1"/>
  <c r="AD941" i="4"/>
  <c r="AG941" i="4" s="1"/>
  <c r="AI941" i="4" s="1"/>
  <c r="AD944" i="4"/>
  <c r="AG944" i="4" s="1"/>
  <c r="AI944" i="4" s="1"/>
  <c r="AD928" i="4"/>
  <c r="AG928" i="4" s="1"/>
  <c r="AI928" i="4" s="1"/>
  <c r="AJ928" i="4" s="1"/>
  <c r="AD926" i="4"/>
  <c r="AG926" i="4" s="1"/>
  <c r="AI926" i="4" s="1"/>
  <c r="AD922" i="4"/>
  <c r="AG922" i="4" s="1"/>
  <c r="AI922" i="4" s="1"/>
  <c r="AJ922" i="4" s="1"/>
  <c r="AD937" i="4"/>
  <c r="AG937" i="4" s="1"/>
  <c r="AI937" i="4" s="1"/>
  <c r="AD903" i="4"/>
  <c r="AG903" i="4" s="1"/>
  <c r="AI903" i="4" s="1"/>
  <c r="AJ903" i="4" s="1"/>
  <c r="AD902" i="4"/>
  <c r="AG902" i="4" s="1"/>
  <c r="AI902" i="4" s="1"/>
  <c r="AD885" i="4"/>
  <c r="AG885" i="4" s="1"/>
  <c r="AI885" i="4" s="1"/>
  <c r="AJ885" i="4" s="1"/>
  <c r="AD884" i="4"/>
  <c r="AG884" i="4" s="1"/>
  <c r="AI884" i="4" s="1"/>
  <c r="AJ884" i="4" s="1"/>
  <c r="AD883" i="4"/>
  <c r="AG883" i="4" s="1"/>
  <c r="AI883" i="4" s="1"/>
  <c r="AJ883" i="4" s="1"/>
  <c r="AD881" i="4"/>
  <c r="AG881" i="4" s="1"/>
  <c r="AI881" i="4" s="1"/>
  <c r="AJ881" i="4" s="1"/>
  <c r="AD850" i="4"/>
  <c r="AG850" i="4" s="1"/>
  <c r="AI850" i="4" s="1"/>
  <c r="AJ850" i="4" s="1"/>
  <c r="AD890" i="4"/>
  <c r="AG890" i="4" s="1"/>
  <c r="AI890" i="4" s="1"/>
  <c r="AJ890" i="4" s="1"/>
  <c r="AD889" i="4"/>
  <c r="AG889" i="4" s="1"/>
  <c r="AI889" i="4" s="1"/>
  <c r="AJ889" i="4" s="1"/>
  <c r="AD888" i="4"/>
  <c r="AG888" i="4" s="1"/>
  <c r="AI888" i="4" s="1"/>
  <c r="AD886" i="4"/>
  <c r="AG886" i="4" s="1"/>
  <c r="AI886" i="4" s="1"/>
  <c r="AD845" i="4"/>
  <c r="AG845" i="4" s="1"/>
  <c r="AI845" i="4" s="1"/>
  <c r="AD894" i="4"/>
  <c r="AG894" i="4" s="1"/>
  <c r="AI894" i="4" s="1"/>
  <c r="AJ894" i="4" s="1"/>
  <c r="AD893" i="4"/>
  <c r="AG893" i="4" s="1"/>
  <c r="AI893" i="4" s="1"/>
  <c r="AJ893" i="4" s="1"/>
  <c r="AD891" i="4"/>
  <c r="AG891" i="4" s="1"/>
  <c r="AI891" i="4" s="1"/>
  <c r="AJ891" i="4" s="1"/>
  <c r="AD898" i="4"/>
  <c r="AG898" i="4" s="1"/>
  <c r="AI898" i="4" s="1"/>
  <c r="AJ898" i="4" s="1"/>
  <c r="AD895" i="4"/>
  <c r="AG895" i="4" s="1"/>
  <c r="AI895" i="4" s="1"/>
  <c r="AJ895" i="4" s="1"/>
  <c r="AD896" i="4"/>
  <c r="AG896" i="4" s="1"/>
  <c r="AI896" i="4" s="1"/>
  <c r="AD897" i="4"/>
  <c r="AG897" i="4" s="1"/>
  <c r="AI897" i="4" s="1"/>
  <c r="AJ897" i="4" s="1"/>
  <c r="AD879" i="4"/>
  <c r="AG879" i="4" s="1"/>
  <c r="AI879" i="4" s="1"/>
  <c r="AD875" i="4"/>
  <c r="AG875" i="4" s="1"/>
  <c r="AI875" i="4" s="1"/>
  <c r="AJ875" i="4" s="1"/>
  <c r="AD870" i="4"/>
  <c r="AG870" i="4" s="1"/>
  <c r="AI870" i="4" s="1"/>
  <c r="AD868" i="4"/>
  <c r="AG868" i="4" s="1"/>
  <c r="AI868" i="4" s="1"/>
  <c r="AJ868" i="4" s="1"/>
  <c r="AD866" i="4"/>
  <c r="AG866" i="4" s="1"/>
  <c r="AI866" i="4" s="1"/>
  <c r="AD864" i="4"/>
  <c r="AG864" i="4" s="1"/>
  <c r="AI864" i="4" s="1"/>
  <c r="AJ864" i="4" s="1"/>
  <c r="AD844" i="4"/>
  <c r="AG844" i="4" s="1"/>
  <c r="AI844" i="4" s="1"/>
  <c r="AJ844" i="4" s="1"/>
  <c r="AD843" i="4"/>
  <c r="AG843" i="4" s="1"/>
  <c r="AI843" i="4" s="1"/>
  <c r="AJ843" i="4" s="1"/>
  <c r="AD834" i="4"/>
  <c r="AG834" i="4" s="1"/>
  <c r="AI834" i="4" s="1"/>
  <c r="AD829" i="4"/>
  <c r="AG829" i="4" s="1"/>
  <c r="AI829" i="4" s="1"/>
  <c r="AJ829" i="4" s="1"/>
  <c r="AD824" i="4"/>
  <c r="AG824" i="4" s="1"/>
  <c r="AI824" i="4" s="1"/>
  <c r="AJ824" i="4" s="1"/>
  <c r="AD819" i="4"/>
  <c r="AG819" i="4" s="1"/>
  <c r="AI819" i="4" s="1"/>
  <c r="AD814" i="4"/>
  <c r="AG814" i="4" s="1"/>
  <c r="AI814" i="4" s="1"/>
  <c r="AJ814" i="4" s="1"/>
  <c r="AD809" i="4"/>
  <c r="AG809" i="4" s="1"/>
  <c r="AI809" i="4" s="1"/>
  <c r="AD804" i="4"/>
  <c r="AG804" i="4" s="1"/>
  <c r="AI804" i="4" s="1"/>
  <c r="AJ804" i="4" s="1"/>
  <c r="AD855" i="4"/>
  <c r="AG855" i="4" s="1"/>
  <c r="AI855" i="4" s="1"/>
  <c r="AJ855" i="4" s="1"/>
  <c r="AD853" i="4"/>
  <c r="AG853" i="4" s="1"/>
  <c r="AI853" i="4" s="1"/>
  <c r="AJ853" i="4" s="1"/>
  <c r="AD880" i="4"/>
  <c r="AG880" i="4" s="1"/>
  <c r="AI880" i="4" s="1"/>
  <c r="AJ880" i="4" s="1"/>
  <c r="AD874" i="4"/>
  <c r="AG874" i="4" s="1"/>
  <c r="AI874" i="4" s="1"/>
  <c r="AJ874" i="4" s="1"/>
  <c r="AD847" i="4"/>
  <c r="AG847" i="4" s="1"/>
  <c r="AI847" i="4" s="1"/>
  <c r="AJ847" i="4" s="1"/>
  <c r="AD837" i="4"/>
  <c r="AG837" i="4" s="1"/>
  <c r="AI837" i="4" s="1"/>
  <c r="AD832" i="4"/>
  <c r="AG832" i="4" s="1"/>
  <c r="AI832" i="4" s="1"/>
  <c r="AJ832" i="4" s="1"/>
  <c r="AD827" i="4"/>
  <c r="AG827" i="4" s="1"/>
  <c r="AI827" i="4" s="1"/>
  <c r="AJ827" i="4" s="1"/>
  <c r="AD876" i="4"/>
  <c r="AG876" i="4" s="1"/>
  <c r="AI876" i="4" s="1"/>
  <c r="AJ876" i="4" s="1"/>
  <c r="AD859" i="4"/>
  <c r="AG859" i="4" s="1"/>
  <c r="AI859" i="4" s="1"/>
  <c r="AJ859" i="4" s="1"/>
  <c r="AD856" i="4"/>
  <c r="AG856" i="4" s="1"/>
  <c r="AI856" i="4" s="1"/>
  <c r="AJ856" i="4" s="1"/>
  <c r="AD841" i="4"/>
  <c r="AG841" i="4" s="1"/>
  <c r="AI841" i="4" s="1"/>
  <c r="AJ841" i="4" s="1"/>
  <c r="AD826" i="4"/>
  <c r="AG826" i="4" s="1"/>
  <c r="AI826" i="4" s="1"/>
  <c r="AJ826" i="4" s="1"/>
  <c r="AD840" i="4"/>
  <c r="AG840" i="4" s="1"/>
  <c r="AI840" i="4" s="1"/>
  <c r="AD839" i="4"/>
  <c r="AG839" i="4" s="1"/>
  <c r="AI839" i="4" s="1"/>
  <c r="AJ839" i="4" s="1"/>
  <c r="AD833" i="4"/>
  <c r="AG833" i="4" s="1"/>
  <c r="AI833" i="4" s="1"/>
  <c r="AJ833" i="4" s="1"/>
  <c r="AD830" i="4"/>
  <c r="AG830" i="4" s="1"/>
  <c r="AI830" i="4" s="1"/>
  <c r="AJ830" i="4" s="1"/>
  <c r="AD799" i="4"/>
  <c r="AG799" i="4" s="1"/>
  <c r="AI799" i="4" s="1"/>
  <c r="AJ799" i="4" s="1"/>
  <c r="AD796" i="4"/>
  <c r="AG796" i="4" s="1"/>
  <c r="AI796" i="4" s="1"/>
  <c r="AD792" i="4"/>
  <c r="AG792" i="4" s="1"/>
  <c r="AI792" i="4" s="1"/>
  <c r="AJ792" i="4" s="1"/>
  <c r="AD873" i="4"/>
  <c r="AG873" i="4" s="1"/>
  <c r="AI873" i="4" s="1"/>
  <c r="AD869" i="4"/>
  <c r="AG869" i="4" s="1"/>
  <c r="AI869" i="4" s="1"/>
  <c r="AJ869" i="4" s="1"/>
  <c r="AD858" i="4"/>
  <c r="AG858" i="4" s="1"/>
  <c r="AI858" i="4" s="1"/>
  <c r="AJ858" i="4" s="1"/>
  <c r="AD836" i="4"/>
  <c r="AG836" i="4" s="1"/>
  <c r="AI836" i="4" s="1"/>
  <c r="AJ836" i="4" s="1"/>
  <c r="AD865" i="4"/>
  <c r="AG865" i="4" s="1"/>
  <c r="AI865" i="4" s="1"/>
  <c r="AJ865" i="4" s="1"/>
  <c r="AD861" i="4"/>
  <c r="AG861" i="4" s="1"/>
  <c r="AI861" i="4" s="1"/>
  <c r="AD838" i="4"/>
  <c r="AG838" i="4" s="1"/>
  <c r="AI838" i="4" s="1"/>
  <c r="AD795" i="4"/>
  <c r="AG795" i="4" s="1"/>
  <c r="AI795" i="4" s="1"/>
  <c r="AJ795" i="4" s="1"/>
  <c r="AD846" i="4"/>
  <c r="AG846" i="4" s="1"/>
  <c r="AI846" i="4" s="1"/>
  <c r="AD835" i="4"/>
  <c r="AG835" i="4" s="1"/>
  <c r="AI835" i="4" s="1"/>
  <c r="AJ835" i="4" s="1"/>
  <c r="AD828" i="4"/>
  <c r="AG828" i="4" s="1"/>
  <c r="AI828" i="4" s="1"/>
  <c r="AJ828" i="4" s="1"/>
  <c r="AD848" i="4"/>
  <c r="AG848" i="4" s="1"/>
  <c r="AI848" i="4" s="1"/>
  <c r="AJ848" i="4" s="1"/>
  <c r="AD802" i="4"/>
  <c r="AG802" i="4" s="1"/>
  <c r="AI802" i="4" s="1"/>
  <c r="AJ802" i="4" s="1"/>
  <c r="AD793" i="4"/>
  <c r="AG793" i="4" s="1"/>
  <c r="AI793" i="4" s="1"/>
  <c r="AD789" i="4"/>
  <c r="AG789" i="4" s="1"/>
  <c r="AI789" i="4" s="1"/>
  <c r="AJ789" i="4" s="1"/>
  <c r="AD781" i="4"/>
  <c r="AG781" i="4" s="1"/>
  <c r="AI781" i="4" s="1"/>
  <c r="AJ781" i="4" s="1"/>
  <c r="AD797" i="4"/>
  <c r="AG797" i="4" s="1"/>
  <c r="AI797" i="4" s="1"/>
  <c r="AD794" i="4"/>
  <c r="AG794" i="4" s="1"/>
  <c r="AI794" i="4" s="1"/>
  <c r="AJ794" i="4" s="1"/>
  <c r="AD788" i="4"/>
  <c r="AG788" i="4" s="1"/>
  <c r="AI788" i="4" s="1"/>
  <c r="AJ788" i="4" s="1"/>
  <c r="AD776" i="4"/>
  <c r="AG776" i="4" s="1"/>
  <c r="AI776" i="4" s="1"/>
  <c r="AJ776" i="4" s="1"/>
  <c r="AD771" i="4"/>
  <c r="AG771" i="4" s="1"/>
  <c r="AI771" i="4" s="1"/>
  <c r="AD766" i="4"/>
  <c r="AG766" i="4" s="1"/>
  <c r="AI766" i="4" s="1"/>
  <c r="AJ766" i="4" s="1"/>
  <c r="AD761" i="4"/>
  <c r="AG761" i="4" s="1"/>
  <c r="AI761" i="4" s="1"/>
  <c r="AJ761" i="4" s="1"/>
  <c r="AD756" i="4"/>
  <c r="AG756" i="4" s="1"/>
  <c r="AI756" i="4" s="1"/>
  <c r="AJ756" i="4" s="1"/>
  <c r="AD751" i="4"/>
  <c r="AG751" i="4" s="1"/>
  <c r="AI751" i="4" s="1"/>
  <c r="AD746" i="4"/>
  <c r="AG746" i="4" s="1"/>
  <c r="AI746" i="4" s="1"/>
  <c r="AJ746" i="4" s="1"/>
  <c r="AD741" i="4"/>
  <c r="AG741" i="4" s="1"/>
  <c r="AI741" i="4" s="1"/>
  <c r="AJ741" i="4" s="1"/>
  <c r="AD851" i="4"/>
  <c r="AG851" i="4" s="1"/>
  <c r="AI851" i="4" s="1"/>
  <c r="AJ851" i="4" s="1"/>
  <c r="AD821" i="4"/>
  <c r="AG821" i="4" s="1"/>
  <c r="AI821" i="4" s="1"/>
  <c r="AJ821" i="4" s="1"/>
  <c r="AD863" i="4"/>
  <c r="AG863" i="4" s="1"/>
  <c r="AI863" i="4" s="1"/>
  <c r="AD842" i="4"/>
  <c r="AG842" i="4" s="1"/>
  <c r="AI842" i="4" s="1"/>
  <c r="AD825" i="4"/>
  <c r="AG825" i="4" s="1"/>
  <c r="AI825" i="4" s="1"/>
  <c r="AJ825" i="4" s="1"/>
  <c r="AD787" i="4"/>
  <c r="AG787" i="4" s="1"/>
  <c r="AI787" i="4" s="1"/>
  <c r="AJ787" i="4" s="1"/>
  <c r="AD784" i="4"/>
  <c r="AG784" i="4" s="1"/>
  <c r="AI784" i="4" s="1"/>
  <c r="AJ784" i="4" s="1"/>
  <c r="AD780" i="4"/>
  <c r="AG780" i="4" s="1"/>
  <c r="AI780" i="4" s="1"/>
  <c r="AJ780" i="4" s="1"/>
  <c r="AD774" i="4"/>
  <c r="AG774" i="4" s="1"/>
  <c r="AI774" i="4" s="1"/>
  <c r="AJ774" i="4" s="1"/>
  <c r="AD769" i="4"/>
  <c r="AG769" i="4" s="1"/>
  <c r="AI769" i="4" s="1"/>
  <c r="AJ769" i="4" s="1"/>
  <c r="AD764" i="4"/>
  <c r="AG764" i="4" s="1"/>
  <c r="AI764" i="4" s="1"/>
  <c r="AJ764" i="4" s="1"/>
  <c r="AD849" i="4"/>
  <c r="AG849" i="4" s="1"/>
  <c r="AI849" i="4" s="1"/>
  <c r="AJ849" i="4" s="1"/>
  <c r="AD831" i="4"/>
  <c r="AG831" i="4" s="1"/>
  <c r="AI831" i="4" s="1"/>
  <c r="AJ831" i="4" s="1"/>
  <c r="AD822" i="4"/>
  <c r="AG822" i="4" s="1"/>
  <c r="AI822" i="4" s="1"/>
  <c r="AJ822" i="4" s="1"/>
  <c r="AD801" i="4"/>
  <c r="AG801" i="4" s="1"/>
  <c r="AI801" i="4" s="1"/>
  <c r="AJ801" i="4" s="1"/>
  <c r="AD815" i="4"/>
  <c r="AG815" i="4" s="1"/>
  <c r="AI815" i="4" s="1"/>
  <c r="AJ815" i="4" s="1"/>
  <c r="AD786" i="4"/>
  <c r="AG786" i="4" s="1"/>
  <c r="AI786" i="4" s="1"/>
  <c r="AD773" i="4"/>
  <c r="AG773" i="4" s="1"/>
  <c r="AI773" i="4" s="1"/>
  <c r="AJ773" i="4" s="1"/>
  <c r="AD768" i="4"/>
  <c r="AG768" i="4" s="1"/>
  <c r="AI768" i="4" s="1"/>
  <c r="AJ768" i="4" s="1"/>
  <c r="AD762" i="4"/>
  <c r="AG762" i="4" s="1"/>
  <c r="AI762" i="4" s="1"/>
  <c r="AD745" i="4"/>
  <c r="AG745" i="4" s="1"/>
  <c r="AI745" i="4" s="1"/>
  <c r="AD744" i="4"/>
  <c r="AG744" i="4" s="1"/>
  <c r="AI744" i="4" s="1"/>
  <c r="AJ744" i="4" s="1"/>
  <c r="AD742" i="4"/>
  <c r="AG742" i="4" s="1"/>
  <c r="AI742" i="4" s="1"/>
  <c r="AJ742" i="4" s="1"/>
  <c r="AD738" i="4"/>
  <c r="AG738" i="4" s="1"/>
  <c r="AI738" i="4" s="1"/>
  <c r="AJ738" i="4" s="1"/>
  <c r="AD816" i="4"/>
  <c r="AG816" i="4" s="1"/>
  <c r="AI816" i="4" s="1"/>
  <c r="AJ816" i="4" s="1"/>
  <c r="AD806" i="4"/>
  <c r="AG806" i="4" s="1"/>
  <c r="AI806" i="4" s="1"/>
  <c r="AJ806" i="4" s="1"/>
  <c r="AD805" i="4"/>
  <c r="AG805" i="4" s="1"/>
  <c r="AI805" i="4" s="1"/>
  <c r="AJ805" i="4" s="1"/>
  <c r="AD783" i="4"/>
  <c r="AG783" i="4" s="1"/>
  <c r="AI783" i="4" s="1"/>
  <c r="AJ783" i="4" s="1"/>
  <c r="AD782" i="4"/>
  <c r="AG782" i="4" s="1"/>
  <c r="AI782" i="4" s="1"/>
  <c r="AJ782" i="4" s="1"/>
  <c r="AD775" i="4"/>
  <c r="AG775" i="4" s="1"/>
  <c r="AI775" i="4" s="1"/>
  <c r="AJ775" i="4" s="1"/>
  <c r="AD750" i="4"/>
  <c r="AG750" i="4" s="1"/>
  <c r="AI750" i="4" s="1"/>
  <c r="AD749" i="4"/>
  <c r="AG749" i="4" s="1"/>
  <c r="AI749" i="4" s="1"/>
  <c r="AJ749" i="4" s="1"/>
  <c r="AD747" i="4"/>
  <c r="AG747" i="4" s="1"/>
  <c r="AI747" i="4" s="1"/>
  <c r="AD743" i="4"/>
  <c r="AG743" i="4" s="1"/>
  <c r="AI743" i="4" s="1"/>
  <c r="AD737" i="4"/>
  <c r="AG737" i="4" s="1"/>
  <c r="AI737" i="4" s="1"/>
  <c r="AJ737" i="4" s="1"/>
  <c r="AD730" i="4"/>
  <c r="AG730" i="4" s="1"/>
  <c r="AI730" i="4" s="1"/>
  <c r="AJ730" i="4" s="1"/>
  <c r="AD725" i="4"/>
  <c r="AG725" i="4" s="1"/>
  <c r="AI725" i="4" s="1"/>
  <c r="AD720" i="4"/>
  <c r="AG720" i="4" s="1"/>
  <c r="AI720" i="4" s="1"/>
  <c r="AJ720" i="4" s="1"/>
  <c r="AD715" i="4"/>
  <c r="AG715" i="4" s="1"/>
  <c r="AI715" i="4" s="1"/>
  <c r="AJ715" i="4" s="1"/>
  <c r="AD710" i="4"/>
  <c r="AG710" i="4" s="1"/>
  <c r="AI710" i="4" s="1"/>
  <c r="AD705" i="4"/>
  <c r="AG705" i="4" s="1"/>
  <c r="AI705" i="4" s="1"/>
  <c r="AD700" i="4"/>
  <c r="AG700" i="4" s="1"/>
  <c r="AI700" i="4" s="1"/>
  <c r="AJ700" i="4" s="1"/>
  <c r="AD779" i="4"/>
  <c r="AG779" i="4" s="1"/>
  <c r="AI779" i="4" s="1"/>
  <c r="AJ779" i="4" s="1"/>
  <c r="AD778" i="4"/>
  <c r="AG778" i="4" s="1"/>
  <c r="AI778" i="4" s="1"/>
  <c r="AJ778" i="4" s="1"/>
  <c r="AD772" i="4"/>
  <c r="AG772" i="4" s="1"/>
  <c r="AI772" i="4" s="1"/>
  <c r="AD755" i="4"/>
  <c r="AG755" i="4" s="1"/>
  <c r="AI755" i="4" s="1"/>
  <c r="AJ755" i="4" s="1"/>
  <c r="AD754" i="4"/>
  <c r="AG754" i="4" s="1"/>
  <c r="AI754" i="4" s="1"/>
  <c r="AJ754" i="4" s="1"/>
  <c r="AD752" i="4"/>
  <c r="AG752" i="4" s="1"/>
  <c r="AI752" i="4" s="1"/>
  <c r="AJ752" i="4" s="1"/>
  <c r="AD748" i="4"/>
  <c r="AG748" i="4" s="1"/>
  <c r="AI748" i="4" s="1"/>
  <c r="AD854" i="4"/>
  <c r="AG854" i="4" s="1"/>
  <c r="AI854" i="4" s="1"/>
  <c r="AJ854" i="4" s="1"/>
  <c r="AD813" i="4"/>
  <c r="AG813" i="4" s="1"/>
  <c r="AI813" i="4" s="1"/>
  <c r="AJ813" i="4" s="1"/>
  <c r="AD800" i="4"/>
  <c r="AG800" i="4" s="1"/>
  <c r="AI800" i="4" s="1"/>
  <c r="AD760" i="4"/>
  <c r="AG760" i="4" s="1"/>
  <c r="AI760" i="4" s="1"/>
  <c r="AD759" i="4"/>
  <c r="AG759" i="4" s="1"/>
  <c r="AI759" i="4" s="1"/>
  <c r="AJ759" i="4" s="1"/>
  <c r="AD757" i="4"/>
  <c r="AG757" i="4" s="1"/>
  <c r="AI757" i="4" s="1"/>
  <c r="AJ757" i="4" s="1"/>
  <c r="AD753" i="4"/>
  <c r="AG753" i="4" s="1"/>
  <c r="AI753" i="4" s="1"/>
  <c r="AJ753" i="4" s="1"/>
  <c r="AD736" i="4"/>
  <c r="AG736" i="4" s="1"/>
  <c r="AI736" i="4" s="1"/>
  <c r="AD733" i="4"/>
  <c r="AG733" i="4" s="1"/>
  <c r="AI733" i="4" s="1"/>
  <c r="AJ733" i="4" s="1"/>
  <c r="AD728" i="4"/>
  <c r="AG728" i="4" s="1"/>
  <c r="AI728" i="4" s="1"/>
  <c r="AD723" i="4"/>
  <c r="AG723" i="4" s="1"/>
  <c r="AI723" i="4" s="1"/>
  <c r="AJ723" i="4" s="1"/>
  <c r="AD820" i="4"/>
  <c r="AG820" i="4" s="1"/>
  <c r="AI820" i="4" s="1"/>
  <c r="AJ820" i="4" s="1"/>
  <c r="AD803" i="4"/>
  <c r="AG803" i="4" s="1"/>
  <c r="AI803" i="4" s="1"/>
  <c r="AJ803" i="4" s="1"/>
  <c r="AD791" i="4"/>
  <c r="AG791" i="4" s="1"/>
  <c r="AI791" i="4" s="1"/>
  <c r="AJ791" i="4" s="1"/>
  <c r="AD777" i="4"/>
  <c r="AG777" i="4" s="1"/>
  <c r="AI777" i="4" s="1"/>
  <c r="AD763" i="4"/>
  <c r="AG763" i="4" s="1"/>
  <c r="AI763" i="4" s="1"/>
  <c r="AJ763" i="4" s="1"/>
  <c r="AD758" i="4"/>
  <c r="AG758" i="4" s="1"/>
  <c r="AI758" i="4" s="1"/>
  <c r="AJ758" i="4" s="1"/>
  <c r="AD860" i="4"/>
  <c r="AG860" i="4" s="1"/>
  <c r="AI860" i="4" s="1"/>
  <c r="AJ860" i="4" s="1"/>
  <c r="AD823" i="4"/>
  <c r="AG823" i="4" s="1"/>
  <c r="AI823" i="4" s="1"/>
  <c r="AJ823" i="4" s="1"/>
  <c r="AD812" i="4"/>
  <c r="AG812" i="4" s="1"/>
  <c r="AI812" i="4" s="1"/>
  <c r="AJ812" i="4" s="1"/>
  <c r="AD878" i="4"/>
  <c r="AG878" i="4" s="1"/>
  <c r="AI878" i="4" s="1"/>
  <c r="AJ878" i="4" s="1"/>
  <c r="AD810" i="4"/>
  <c r="AG810" i="4" s="1"/>
  <c r="AI810" i="4" s="1"/>
  <c r="AJ810" i="4" s="1"/>
  <c r="AD798" i="4"/>
  <c r="AG798" i="4" s="1"/>
  <c r="AI798" i="4" s="1"/>
  <c r="AJ798" i="4" s="1"/>
  <c r="AD767" i="4"/>
  <c r="AG767" i="4" s="1"/>
  <c r="AI767" i="4" s="1"/>
  <c r="AJ767" i="4" s="1"/>
  <c r="AD726" i="4"/>
  <c r="AG726" i="4" s="1"/>
  <c r="AI726" i="4" s="1"/>
  <c r="AJ726" i="4" s="1"/>
  <c r="AD684" i="4"/>
  <c r="AG684" i="4" s="1"/>
  <c r="AI684" i="4" s="1"/>
  <c r="AD691" i="4"/>
  <c r="AG691" i="4" s="1"/>
  <c r="AI691" i="4" s="1"/>
  <c r="AJ691" i="4" s="1"/>
  <c r="AD680" i="4"/>
  <c r="AG680" i="4" s="1"/>
  <c r="AI680" i="4" s="1"/>
  <c r="AJ680" i="4" s="1"/>
  <c r="AD676" i="4"/>
  <c r="AG676" i="4" s="1"/>
  <c r="AI676" i="4" s="1"/>
  <c r="AD671" i="4"/>
  <c r="AG671" i="4" s="1"/>
  <c r="AI671" i="4" s="1"/>
  <c r="AJ671" i="4" s="1"/>
  <c r="AD666" i="4"/>
  <c r="AG666" i="4" s="1"/>
  <c r="AI666" i="4" s="1"/>
  <c r="AJ666" i="4" s="1"/>
  <c r="AD661" i="4"/>
  <c r="AG661" i="4" s="1"/>
  <c r="AI661" i="4" s="1"/>
  <c r="AJ661" i="4" s="1"/>
  <c r="AD656" i="4"/>
  <c r="AG656" i="4" s="1"/>
  <c r="AI656" i="4" s="1"/>
  <c r="AJ656" i="4" s="1"/>
  <c r="AD651" i="4"/>
  <c r="AG651" i="4" s="1"/>
  <c r="AI651" i="4" s="1"/>
  <c r="AJ651" i="4" s="1"/>
  <c r="AD646" i="4"/>
  <c r="AG646" i="4" s="1"/>
  <c r="AI646" i="4" s="1"/>
  <c r="AJ646" i="4" s="1"/>
  <c r="AD641" i="4"/>
  <c r="AG641" i="4" s="1"/>
  <c r="AI641" i="4" s="1"/>
  <c r="AJ641" i="4" s="1"/>
  <c r="AD807" i="4"/>
  <c r="AG807" i="4" s="1"/>
  <c r="AI807" i="4" s="1"/>
  <c r="AJ807" i="4" s="1"/>
  <c r="AD770" i="4"/>
  <c r="AG770" i="4" s="1"/>
  <c r="AI770" i="4" s="1"/>
  <c r="AD731" i="4"/>
  <c r="AG731" i="4" s="1"/>
  <c r="AI731" i="4" s="1"/>
  <c r="AJ731" i="4" s="1"/>
  <c r="AD724" i="4"/>
  <c r="AG724" i="4" s="1"/>
  <c r="AI724" i="4" s="1"/>
  <c r="AD811" i="4"/>
  <c r="AG811" i="4" s="1"/>
  <c r="AI811" i="4" s="1"/>
  <c r="AJ811" i="4" s="1"/>
  <c r="AD790" i="4"/>
  <c r="AG790" i="4" s="1"/>
  <c r="AI790" i="4" s="1"/>
  <c r="AD699" i="4"/>
  <c r="AG699" i="4" s="1"/>
  <c r="AI699" i="4" s="1"/>
  <c r="AD698" i="4"/>
  <c r="AG698" i="4" s="1"/>
  <c r="AI698" i="4" s="1"/>
  <c r="AJ698" i="4" s="1"/>
  <c r="AD690" i="4"/>
  <c r="AG690" i="4" s="1"/>
  <c r="AI690" i="4" s="1"/>
  <c r="AJ690" i="4" s="1"/>
  <c r="AD687" i="4"/>
  <c r="AG687" i="4" s="1"/>
  <c r="AI687" i="4" s="1"/>
  <c r="AJ687" i="4" s="1"/>
  <c r="AD683" i="4"/>
  <c r="AG683" i="4" s="1"/>
  <c r="AI683" i="4" s="1"/>
  <c r="AJ683" i="4" s="1"/>
  <c r="AD674" i="4"/>
  <c r="AG674" i="4" s="1"/>
  <c r="AI674" i="4" s="1"/>
  <c r="AD669" i="4"/>
  <c r="AG669" i="4" s="1"/>
  <c r="AI669" i="4" s="1"/>
  <c r="AJ669" i="4" s="1"/>
  <c r="AD739" i="4"/>
  <c r="AG739" i="4" s="1"/>
  <c r="AI739" i="4" s="1"/>
  <c r="AJ739" i="4" s="1"/>
  <c r="AD704" i="4"/>
  <c r="AG704" i="4" s="1"/>
  <c r="AI704" i="4" s="1"/>
  <c r="AJ704" i="4" s="1"/>
  <c r="AD703" i="4"/>
  <c r="AG703" i="4" s="1"/>
  <c r="AI703" i="4" s="1"/>
  <c r="AJ703" i="4" s="1"/>
  <c r="AD701" i="4"/>
  <c r="AG701" i="4" s="1"/>
  <c r="AI701" i="4" s="1"/>
  <c r="AJ701" i="4" s="1"/>
  <c r="AD808" i="4"/>
  <c r="AG808" i="4" s="1"/>
  <c r="AI808" i="4" s="1"/>
  <c r="AJ808" i="4" s="1"/>
  <c r="AD740" i="4"/>
  <c r="AG740" i="4" s="1"/>
  <c r="AI740" i="4" s="1"/>
  <c r="AJ740" i="4" s="1"/>
  <c r="AD709" i="4"/>
  <c r="AG709" i="4" s="1"/>
  <c r="AI709" i="4" s="1"/>
  <c r="AJ709" i="4" s="1"/>
  <c r="AD708" i="4"/>
  <c r="AG708" i="4" s="1"/>
  <c r="AI708" i="4" s="1"/>
  <c r="AJ708" i="4" s="1"/>
  <c r="AD706" i="4"/>
  <c r="AG706" i="4" s="1"/>
  <c r="AI706" i="4" s="1"/>
  <c r="AD702" i="4"/>
  <c r="AG702" i="4" s="1"/>
  <c r="AI702" i="4" s="1"/>
  <c r="AJ702" i="4" s="1"/>
  <c r="AD900" i="4"/>
  <c r="AG900" i="4" s="1"/>
  <c r="AI900" i="4" s="1"/>
  <c r="AJ900" i="4" s="1"/>
  <c r="AD682" i="4"/>
  <c r="AG682" i="4" s="1"/>
  <c r="AI682" i="4" s="1"/>
  <c r="AJ682" i="4" s="1"/>
  <c r="AD650" i="4"/>
  <c r="AG650" i="4" s="1"/>
  <c r="AI650" i="4" s="1"/>
  <c r="AD649" i="4"/>
  <c r="AG649" i="4" s="1"/>
  <c r="AI649" i="4" s="1"/>
  <c r="AJ649" i="4" s="1"/>
  <c r="AD647" i="4"/>
  <c r="AG647" i="4" s="1"/>
  <c r="AI647" i="4" s="1"/>
  <c r="AJ647" i="4" s="1"/>
  <c r="AD643" i="4"/>
  <c r="AG643" i="4" s="1"/>
  <c r="AI643" i="4" s="1"/>
  <c r="AD635" i="4"/>
  <c r="AG635" i="4" s="1"/>
  <c r="AI635" i="4" s="1"/>
  <c r="AJ635" i="4" s="1"/>
  <c r="AD623" i="4"/>
  <c r="AG623" i="4" s="1"/>
  <c r="AI623" i="4" s="1"/>
  <c r="AD618" i="4"/>
  <c r="AG618" i="4" s="1"/>
  <c r="AI618" i="4" s="1"/>
  <c r="AD613" i="4"/>
  <c r="AG613" i="4" s="1"/>
  <c r="AI613" i="4" s="1"/>
  <c r="AD785" i="4"/>
  <c r="AG785" i="4" s="1"/>
  <c r="AI785" i="4" s="1"/>
  <c r="AJ785" i="4" s="1"/>
  <c r="AD727" i="4"/>
  <c r="AG727" i="4" s="1"/>
  <c r="AI727" i="4" s="1"/>
  <c r="AD719" i="4"/>
  <c r="AG719" i="4" s="1"/>
  <c r="AI719" i="4" s="1"/>
  <c r="AD713" i="4"/>
  <c r="AG713" i="4" s="1"/>
  <c r="AI713" i="4" s="1"/>
  <c r="AD689" i="4"/>
  <c r="AG689" i="4" s="1"/>
  <c r="AI689" i="4" s="1"/>
  <c r="AJ689" i="4" s="1"/>
  <c r="AD679" i="4"/>
  <c r="AG679" i="4" s="1"/>
  <c r="AI679" i="4" s="1"/>
  <c r="AJ679" i="4" s="1"/>
  <c r="AD670" i="4"/>
  <c r="AG670" i="4" s="1"/>
  <c r="AI670" i="4" s="1"/>
  <c r="AD655" i="4"/>
  <c r="AG655" i="4" s="1"/>
  <c r="AI655" i="4" s="1"/>
  <c r="AD654" i="4"/>
  <c r="AG654" i="4" s="1"/>
  <c r="AI654" i="4" s="1"/>
  <c r="AD652" i="4"/>
  <c r="AG652" i="4" s="1"/>
  <c r="AI652" i="4" s="1"/>
  <c r="AD648" i="4"/>
  <c r="AG648" i="4" s="1"/>
  <c r="AI648" i="4" s="1"/>
  <c r="AD631" i="4"/>
  <c r="AG631" i="4" s="1"/>
  <c r="AI631" i="4" s="1"/>
  <c r="AD628" i="4"/>
  <c r="AG628" i="4" s="1"/>
  <c r="AI628" i="4" s="1"/>
  <c r="AJ628" i="4" s="1"/>
  <c r="AD721" i="4"/>
  <c r="AG721" i="4" s="1"/>
  <c r="AI721" i="4" s="1"/>
  <c r="AD711" i="4"/>
  <c r="AG711" i="4" s="1"/>
  <c r="AI711" i="4" s="1"/>
  <c r="AD707" i="4"/>
  <c r="AG707" i="4" s="1"/>
  <c r="AI707" i="4" s="1"/>
  <c r="AD696" i="4"/>
  <c r="AG696" i="4" s="1"/>
  <c r="AI696" i="4" s="1"/>
  <c r="AJ696" i="4" s="1"/>
  <c r="AD688" i="4"/>
  <c r="AG688" i="4" s="1"/>
  <c r="AI688" i="4" s="1"/>
  <c r="AJ688" i="4" s="1"/>
  <c r="AD686" i="4"/>
  <c r="AG686" i="4" s="1"/>
  <c r="AI686" i="4" s="1"/>
  <c r="AD673" i="4"/>
  <c r="AG673" i="4" s="1"/>
  <c r="AI673" i="4" s="1"/>
  <c r="AJ673" i="4" s="1"/>
  <c r="AD660" i="4"/>
  <c r="AG660" i="4" s="1"/>
  <c r="AI660" i="4" s="1"/>
  <c r="AD659" i="4"/>
  <c r="AG659" i="4" s="1"/>
  <c r="AI659" i="4" s="1"/>
  <c r="AJ659" i="4" s="1"/>
  <c r="AD817" i="4"/>
  <c r="AG817" i="4" s="1"/>
  <c r="AI817" i="4" s="1"/>
  <c r="AJ817" i="4" s="1"/>
  <c r="AD717" i="4"/>
  <c r="AG717" i="4" s="1"/>
  <c r="AI717" i="4" s="1"/>
  <c r="AJ717" i="4" s="1"/>
  <c r="AD695" i="4"/>
  <c r="AG695" i="4" s="1"/>
  <c r="AI695" i="4" s="1"/>
  <c r="AD694" i="4"/>
  <c r="AG694" i="4" s="1"/>
  <c r="AI694" i="4" s="1"/>
  <c r="AJ694" i="4" s="1"/>
  <c r="AD693" i="4"/>
  <c r="AG693" i="4" s="1"/>
  <c r="AI693" i="4" s="1"/>
  <c r="AJ693" i="4" s="1"/>
  <c r="AD681" i="4"/>
  <c r="AG681" i="4" s="1"/>
  <c r="AI681" i="4" s="1"/>
  <c r="AJ681" i="4" s="1"/>
  <c r="AD871" i="4"/>
  <c r="AG871" i="4" s="1"/>
  <c r="AI871" i="4" s="1"/>
  <c r="AJ871" i="4" s="1"/>
  <c r="AD818" i="4"/>
  <c r="AG818" i="4" s="1"/>
  <c r="AI818" i="4" s="1"/>
  <c r="AD735" i="4"/>
  <c r="AG735" i="4" s="1"/>
  <c r="AI735" i="4" s="1"/>
  <c r="AD729" i="4"/>
  <c r="AG729" i="4" s="1"/>
  <c r="AI729" i="4" s="1"/>
  <c r="AD685" i="4"/>
  <c r="AG685" i="4" s="1"/>
  <c r="AI685" i="4" s="1"/>
  <c r="AD697" i="4"/>
  <c r="AG697" i="4" s="1"/>
  <c r="AI697" i="4" s="1"/>
  <c r="AD668" i="4"/>
  <c r="AG668" i="4" s="1"/>
  <c r="AI668" i="4" s="1"/>
  <c r="AD667" i="4"/>
  <c r="AG667" i="4" s="1"/>
  <c r="AI667" i="4" s="1"/>
  <c r="AD657" i="4"/>
  <c r="AG657" i="4" s="1"/>
  <c r="AI657" i="4" s="1"/>
  <c r="AD653" i="4"/>
  <c r="AG653" i="4" s="1"/>
  <c r="AI653" i="4" s="1"/>
  <c r="AD637" i="4"/>
  <c r="AG637" i="4" s="1"/>
  <c r="AI637" i="4" s="1"/>
  <c r="AJ637" i="4" s="1"/>
  <c r="AD633" i="4"/>
  <c r="AG633" i="4" s="1"/>
  <c r="AI633" i="4" s="1"/>
  <c r="AJ633" i="4" s="1"/>
  <c r="AD630" i="4"/>
  <c r="AG630" i="4" s="1"/>
  <c r="AI630" i="4" s="1"/>
  <c r="AD615" i="4"/>
  <c r="AG615" i="4" s="1"/>
  <c r="AI615" i="4" s="1"/>
  <c r="AJ615" i="4" s="1"/>
  <c r="AD732" i="4"/>
  <c r="AG732" i="4" s="1"/>
  <c r="AI732" i="4" s="1"/>
  <c r="AJ732" i="4" s="1"/>
  <c r="AD677" i="4"/>
  <c r="AG677" i="4" s="1"/>
  <c r="AI677" i="4" s="1"/>
  <c r="AJ677" i="4" s="1"/>
  <c r="AD663" i="4"/>
  <c r="AG663" i="4" s="1"/>
  <c r="AI663" i="4" s="1"/>
  <c r="AJ663" i="4" s="1"/>
  <c r="AD640" i="4"/>
  <c r="AG640" i="4" s="1"/>
  <c r="AI640" i="4" s="1"/>
  <c r="AD606" i="4"/>
  <c r="AG606" i="4" s="1"/>
  <c r="AI606" i="4" s="1"/>
  <c r="AD662" i="4"/>
  <c r="AG662" i="4" s="1"/>
  <c r="AI662" i="4" s="1"/>
  <c r="AJ662" i="4" s="1"/>
  <c r="AD722" i="4"/>
  <c r="AG722" i="4" s="1"/>
  <c r="AI722" i="4" s="1"/>
  <c r="AD678" i="4"/>
  <c r="AG678" i="4" s="1"/>
  <c r="AI678" i="4" s="1"/>
  <c r="AD665" i="4"/>
  <c r="AG665" i="4" s="1"/>
  <c r="AI665" i="4" s="1"/>
  <c r="AD645" i="4"/>
  <c r="AG645" i="4" s="1"/>
  <c r="AI645" i="4" s="1"/>
  <c r="AD626" i="4"/>
  <c r="AG626" i="4" s="1"/>
  <c r="AI626" i="4" s="1"/>
  <c r="AJ626" i="4" s="1"/>
  <c r="AD716" i="4"/>
  <c r="AG716" i="4" s="1"/>
  <c r="AI716" i="4" s="1"/>
  <c r="AJ716" i="4" s="1"/>
  <c r="AD664" i="4"/>
  <c r="AG664" i="4" s="1"/>
  <c r="AI664" i="4" s="1"/>
  <c r="AJ664" i="4" s="1"/>
  <c r="AD625" i="4"/>
  <c r="AG625" i="4" s="1"/>
  <c r="AI625" i="4" s="1"/>
  <c r="AD621" i="4"/>
  <c r="AG621" i="4" s="1"/>
  <c r="AI621" i="4" s="1"/>
  <c r="AJ621" i="4" s="1"/>
  <c r="AD608" i="4"/>
  <c r="AG608" i="4" s="1"/>
  <c r="AI608" i="4" s="1"/>
  <c r="AJ608" i="4" s="1"/>
  <c r="AD590" i="4"/>
  <c r="AG590" i="4" s="1"/>
  <c r="AI590" i="4" s="1"/>
  <c r="AJ590" i="4" s="1"/>
  <c r="AD638" i="4"/>
  <c r="AG638" i="4" s="1"/>
  <c r="AI638" i="4" s="1"/>
  <c r="AJ638" i="4" s="1"/>
  <c r="AD604" i="4"/>
  <c r="AG604" i="4" s="1"/>
  <c r="AI604" i="4" s="1"/>
  <c r="AJ604" i="4" s="1"/>
  <c r="AD597" i="4"/>
  <c r="AG597" i="4" s="1"/>
  <c r="AI597" i="4" s="1"/>
  <c r="AD584" i="4"/>
  <c r="AG584" i="4" s="1"/>
  <c r="AI584" i="4" s="1"/>
  <c r="AD579" i="4"/>
  <c r="AG579" i="4" s="1"/>
  <c r="AI579" i="4" s="1"/>
  <c r="AJ579" i="4" s="1"/>
  <c r="AD574" i="4"/>
  <c r="AG574" i="4" s="1"/>
  <c r="AI574" i="4" s="1"/>
  <c r="AD569" i="4"/>
  <c r="AG569" i="4" s="1"/>
  <c r="AI569" i="4" s="1"/>
  <c r="AD564" i="4"/>
  <c r="AG564" i="4" s="1"/>
  <c r="AI564" i="4" s="1"/>
  <c r="AD559" i="4"/>
  <c r="AG559" i="4" s="1"/>
  <c r="AI559" i="4" s="1"/>
  <c r="AJ559" i="4" s="1"/>
  <c r="AD554" i="4"/>
  <c r="AG554" i="4" s="1"/>
  <c r="AI554" i="4" s="1"/>
  <c r="AD549" i="4"/>
  <c r="AG549" i="4" s="1"/>
  <c r="AI549" i="4" s="1"/>
  <c r="AD544" i="4"/>
  <c r="AG544" i="4" s="1"/>
  <c r="AI544" i="4" s="1"/>
  <c r="AJ544" i="4" s="1"/>
  <c r="AD539" i="4"/>
  <c r="AG539" i="4" s="1"/>
  <c r="AI539" i="4" s="1"/>
  <c r="AD639" i="4"/>
  <c r="AG639" i="4" s="1"/>
  <c r="AI639" i="4" s="1"/>
  <c r="AJ639" i="4" s="1"/>
  <c r="AD619" i="4"/>
  <c r="AG619" i="4" s="1"/>
  <c r="AI619" i="4" s="1"/>
  <c r="AJ619" i="4" s="1"/>
  <c r="AD600" i="4"/>
  <c r="AG600" i="4" s="1"/>
  <c r="AI600" i="4" s="1"/>
  <c r="AJ600" i="4" s="1"/>
  <c r="AD675" i="4"/>
  <c r="AG675" i="4" s="1"/>
  <c r="AI675" i="4" s="1"/>
  <c r="AD636" i="4"/>
  <c r="AG636" i="4" s="1"/>
  <c r="AI636" i="4" s="1"/>
  <c r="AJ636" i="4" s="1"/>
  <c r="AD624" i="4"/>
  <c r="AG624" i="4" s="1"/>
  <c r="AI624" i="4" s="1"/>
  <c r="AJ624" i="4" s="1"/>
  <c r="AD612" i="4"/>
  <c r="AG612" i="4" s="1"/>
  <c r="AI612" i="4" s="1"/>
  <c r="AJ612" i="4" s="1"/>
  <c r="AD596" i="4"/>
  <c r="AG596" i="4" s="1"/>
  <c r="AI596" i="4" s="1"/>
  <c r="AJ596" i="4" s="1"/>
  <c r="AD593" i="4"/>
  <c r="AG593" i="4" s="1"/>
  <c r="AI593" i="4" s="1"/>
  <c r="AJ593" i="4" s="1"/>
  <c r="AD589" i="4"/>
  <c r="AG589" i="4" s="1"/>
  <c r="AI589" i="4" s="1"/>
  <c r="AD587" i="4"/>
  <c r="AG587" i="4" s="1"/>
  <c r="AI587" i="4" s="1"/>
  <c r="AJ587" i="4" s="1"/>
  <c r="AD582" i="4"/>
  <c r="AG582" i="4" s="1"/>
  <c r="AI582" i="4" s="1"/>
  <c r="AJ582" i="4" s="1"/>
  <c r="AD577" i="4"/>
  <c r="AG577" i="4" s="1"/>
  <c r="AI577" i="4" s="1"/>
  <c r="AJ577" i="4" s="1"/>
  <c r="AD714" i="4"/>
  <c r="AG714" i="4" s="1"/>
  <c r="AI714" i="4" s="1"/>
  <c r="AD634" i="4"/>
  <c r="AG634" i="4" s="1"/>
  <c r="AI634" i="4" s="1"/>
  <c r="AJ634" i="4" s="1"/>
  <c r="AD734" i="4"/>
  <c r="AG734" i="4" s="1"/>
  <c r="AI734" i="4" s="1"/>
  <c r="AJ734" i="4" s="1"/>
  <c r="AD712" i="4"/>
  <c r="AG712" i="4" s="1"/>
  <c r="AI712" i="4" s="1"/>
  <c r="AD692" i="4"/>
  <c r="AG692" i="4" s="1"/>
  <c r="AI692" i="4" s="1"/>
  <c r="AJ692" i="4" s="1"/>
  <c r="AD658" i="4"/>
  <c r="AG658" i="4" s="1"/>
  <c r="AI658" i="4" s="1"/>
  <c r="AD627" i="4"/>
  <c r="AG627" i="4" s="1"/>
  <c r="AI627" i="4" s="1"/>
  <c r="AJ627" i="4" s="1"/>
  <c r="AD614" i="4"/>
  <c r="AG614" i="4" s="1"/>
  <c r="AI614" i="4" s="1"/>
  <c r="AJ614" i="4" s="1"/>
  <c r="AD611" i="4"/>
  <c r="AG611" i="4" s="1"/>
  <c r="AI611" i="4" s="1"/>
  <c r="AJ611" i="4" s="1"/>
  <c r="AD610" i="4"/>
  <c r="AG610" i="4" s="1"/>
  <c r="AI610" i="4" s="1"/>
  <c r="AD609" i="4"/>
  <c r="AG609" i="4" s="1"/>
  <c r="AI609" i="4" s="1"/>
  <c r="AJ609" i="4" s="1"/>
  <c r="AD607" i="4"/>
  <c r="AG607" i="4" s="1"/>
  <c r="AI607" i="4" s="1"/>
  <c r="AJ607" i="4" s="1"/>
  <c r="AD601" i="4"/>
  <c r="AG601" i="4" s="1"/>
  <c r="AI601" i="4" s="1"/>
  <c r="AJ601" i="4" s="1"/>
  <c r="AD598" i="4"/>
  <c r="AG598" i="4" s="1"/>
  <c r="AI598" i="4" s="1"/>
  <c r="AD594" i="4"/>
  <c r="AG594" i="4" s="1"/>
  <c r="AI594" i="4" s="1"/>
  <c r="AJ594" i="4" s="1"/>
  <c r="AD586" i="4"/>
  <c r="AG586" i="4" s="1"/>
  <c r="AI586" i="4" s="1"/>
  <c r="AD581" i="4"/>
  <c r="AG581" i="4" s="1"/>
  <c r="AI581" i="4" s="1"/>
  <c r="AJ581" i="4" s="1"/>
  <c r="AD576" i="4"/>
  <c r="AG576" i="4" s="1"/>
  <c r="AI576" i="4" s="1"/>
  <c r="AJ576" i="4" s="1"/>
  <c r="AD571" i="4"/>
  <c r="AG571" i="4" s="1"/>
  <c r="AI571" i="4" s="1"/>
  <c r="AJ571" i="4" s="1"/>
  <c r="AD566" i="4"/>
  <c r="AG566" i="4" s="1"/>
  <c r="AI566" i="4" s="1"/>
  <c r="AD561" i="4"/>
  <c r="AG561" i="4" s="1"/>
  <c r="AI561" i="4" s="1"/>
  <c r="AD556" i="4"/>
  <c r="AG556" i="4" s="1"/>
  <c r="AI556" i="4" s="1"/>
  <c r="AJ556" i="4" s="1"/>
  <c r="AD551" i="4"/>
  <c r="AG551" i="4" s="1"/>
  <c r="AI551" i="4" s="1"/>
  <c r="AJ551" i="4" s="1"/>
  <c r="AD546" i="4"/>
  <c r="AG546" i="4" s="1"/>
  <c r="AI546" i="4" s="1"/>
  <c r="AD765" i="4"/>
  <c r="AG765" i="4" s="1"/>
  <c r="AI765" i="4" s="1"/>
  <c r="AD632" i="4"/>
  <c r="AG632" i="4" s="1"/>
  <c r="AI632" i="4" s="1"/>
  <c r="AJ632" i="4" s="1"/>
  <c r="AD617" i="4"/>
  <c r="AG617" i="4" s="1"/>
  <c r="AI617" i="4" s="1"/>
  <c r="AJ617" i="4" s="1"/>
  <c r="AD592" i="4"/>
  <c r="AG592" i="4" s="1"/>
  <c r="AI592" i="4" s="1"/>
  <c r="AJ592" i="4" s="1"/>
  <c r="AD573" i="4"/>
  <c r="AG573" i="4" s="1"/>
  <c r="AI573" i="4" s="1"/>
  <c r="AJ573" i="4" s="1"/>
  <c r="AD548" i="4"/>
  <c r="AG548" i="4" s="1"/>
  <c r="AI548" i="4" s="1"/>
  <c r="AD535" i="4"/>
  <c r="AG535" i="4" s="1"/>
  <c r="AI535" i="4" s="1"/>
  <c r="AD718" i="4"/>
  <c r="AG718" i="4" s="1"/>
  <c r="AI718" i="4" s="1"/>
  <c r="AJ718" i="4" s="1"/>
  <c r="AD580" i="4"/>
  <c r="AG580" i="4" s="1"/>
  <c r="AI580" i="4" s="1"/>
  <c r="AJ580" i="4" s="1"/>
  <c r="AD570" i="4"/>
  <c r="AG570" i="4" s="1"/>
  <c r="AI570" i="4" s="1"/>
  <c r="AD567" i="4"/>
  <c r="AG567" i="4" s="1"/>
  <c r="AI567" i="4" s="1"/>
  <c r="AJ567" i="4" s="1"/>
  <c r="AD545" i="4"/>
  <c r="AG545" i="4" s="1"/>
  <c r="AI545" i="4" s="1"/>
  <c r="AD542" i="4"/>
  <c r="AG542" i="4" s="1"/>
  <c r="AI542" i="4" s="1"/>
  <c r="AD521" i="4"/>
  <c r="AG521" i="4" s="1"/>
  <c r="AI521" i="4" s="1"/>
  <c r="AJ521" i="4" s="1"/>
  <c r="AD516" i="4"/>
  <c r="AG516" i="4" s="1"/>
  <c r="AI516" i="4" s="1"/>
  <c r="AJ516" i="4" s="1"/>
  <c r="AD511" i="4"/>
  <c r="AG511" i="4" s="1"/>
  <c r="AI511" i="4" s="1"/>
  <c r="AD506" i="4"/>
  <c r="AG506" i="4" s="1"/>
  <c r="AI506" i="4" s="1"/>
  <c r="AD501" i="4"/>
  <c r="AG501" i="4" s="1"/>
  <c r="AI501" i="4" s="1"/>
  <c r="AD496" i="4"/>
  <c r="AG496" i="4" s="1"/>
  <c r="AI496" i="4" s="1"/>
  <c r="AJ496" i="4" s="1"/>
  <c r="AD491" i="4"/>
  <c r="AG491" i="4" s="1"/>
  <c r="AI491" i="4" s="1"/>
  <c r="AJ491" i="4" s="1"/>
  <c r="AD486" i="4"/>
  <c r="AG486" i="4" s="1"/>
  <c r="AI486" i="4" s="1"/>
  <c r="AJ486" i="4" s="1"/>
  <c r="AD481" i="4"/>
  <c r="AG481" i="4" s="1"/>
  <c r="AI481" i="4" s="1"/>
  <c r="AJ481" i="4" s="1"/>
  <c r="AD476" i="4"/>
  <c r="AG476" i="4" s="1"/>
  <c r="AI476" i="4" s="1"/>
  <c r="AJ476" i="4" s="1"/>
  <c r="AD471" i="4"/>
  <c r="AG471" i="4" s="1"/>
  <c r="AI471" i="4" s="1"/>
  <c r="AJ471" i="4" s="1"/>
  <c r="AD466" i="4"/>
  <c r="AG466" i="4" s="1"/>
  <c r="AI466" i="4" s="1"/>
  <c r="AJ466" i="4" s="1"/>
  <c r="AD461" i="4"/>
  <c r="AG461" i="4" s="1"/>
  <c r="AI461" i="4" s="1"/>
  <c r="AD616" i="4"/>
  <c r="AG616" i="4" s="1"/>
  <c r="AI616" i="4" s="1"/>
  <c r="AJ616" i="4" s="1"/>
  <c r="AD602" i="4"/>
  <c r="AG602" i="4" s="1"/>
  <c r="AI602" i="4" s="1"/>
  <c r="AJ602" i="4" s="1"/>
  <c r="AD578" i="4"/>
  <c r="AG578" i="4" s="1"/>
  <c r="AI578" i="4" s="1"/>
  <c r="AJ578" i="4" s="1"/>
  <c r="AD558" i="4"/>
  <c r="AG558" i="4" s="1"/>
  <c r="AI558" i="4" s="1"/>
  <c r="AJ558" i="4" s="1"/>
  <c r="AD534" i="4"/>
  <c r="AG534" i="4" s="1"/>
  <c r="AI534" i="4" s="1"/>
  <c r="AD531" i="4"/>
  <c r="AG531" i="4" s="1"/>
  <c r="AI531" i="4" s="1"/>
  <c r="AD527" i="4"/>
  <c r="AG527" i="4" s="1"/>
  <c r="AI527" i="4" s="1"/>
  <c r="AD672" i="4"/>
  <c r="AG672" i="4" s="1"/>
  <c r="AI672" i="4" s="1"/>
  <c r="AJ672" i="4" s="1"/>
  <c r="AD629" i="4"/>
  <c r="AG629" i="4" s="1"/>
  <c r="AI629" i="4" s="1"/>
  <c r="AJ629" i="4" s="1"/>
  <c r="AD605" i="4"/>
  <c r="AG605" i="4" s="1"/>
  <c r="AI605" i="4" s="1"/>
  <c r="AJ605" i="4" s="1"/>
  <c r="AD595" i="4"/>
  <c r="AG595" i="4" s="1"/>
  <c r="AI595" i="4" s="1"/>
  <c r="AD555" i="4"/>
  <c r="AG555" i="4" s="1"/>
  <c r="AI555" i="4" s="1"/>
  <c r="AJ555" i="4" s="1"/>
  <c r="AD552" i="4"/>
  <c r="AG552" i="4" s="1"/>
  <c r="AI552" i="4" s="1"/>
  <c r="AJ552" i="4" s="1"/>
  <c r="AD524" i="4"/>
  <c r="AG524" i="4" s="1"/>
  <c r="AI524" i="4" s="1"/>
  <c r="AJ524" i="4" s="1"/>
  <c r="AD519" i="4"/>
  <c r="AG519" i="4" s="1"/>
  <c r="AI519" i="4" s="1"/>
  <c r="AD514" i="4"/>
  <c r="AG514" i="4" s="1"/>
  <c r="AI514" i="4" s="1"/>
  <c r="AD509" i="4"/>
  <c r="AG509" i="4" s="1"/>
  <c r="AI509" i="4" s="1"/>
  <c r="AD504" i="4"/>
  <c r="AG504" i="4" s="1"/>
  <c r="AI504" i="4" s="1"/>
  <c r="AD499" i="4"/>
  <c r="AG499" i="4" s="1"/>
  <c r="AI499" i="4" s="1"/>
  <c r="AJ499" i="4" s="1"/>
  <c r="AD494" i="4"/>
  <c r="AG494" i="4" s="1"/>
  <c r="AI494" i="4" s="1"/>
  <c r="AJ494" i="4" s="1"/>
  <c r="AD622" i="4"/>
  <c r="AG622" i="4" s="1"/>
  <c r="AI622" i="4" s="1"/>
  <c r="AJ622" i="4" s="1"/>
  <c r="AD568" i="4"/>
  <c r="AG568" i="4" s="1"/>
  <c r="AI568" i="4" s="1"/>
  <c r="AJ568" i="4" s="1"/>
  <c r="AD543" i="4"/>
  <c r="AG543" i="4" s="1"/>
  <c r="AI543" i="4" s="1"/>
  <c r="AJ543" i="4" s="1"/>
  <c r="AD530" i="4"/>
  <c r="AG530" i="4" s="1"/>
  <c r="AI530" i="4" s="1"/>
  <c r="AJ530" i="4" s="1"/>
  <c r="AD583" i="4"/>
  <c r="AG583" i="4" s="1"/>
  <c r="AI583" i="4" s="1"/>
  <c r="AJ583" i="4" s="1"/>
  <c r="AD560" i="4"/>
  <c r="AG560" i="4" s="1"/>
  <c r="AI560" i="4" s="1"/>
  <c r="AJ560" i="4" s="1"/>
  <c r="AD557" i="4"/>
  <c r="AG557" i="4" s="1"/>
  <c r="AI557" i="4" s="1"/>
  <c r="AJ557" i="4" s="1"/>
  <c r="AD541" i="4"/>
  <c r="AG541" i="4" s="1"/>
  <c r="AI541" i="4" s="1"/>
  <c r="AD528" i="4"/>
  <c r="AG528" i="4" s="1"/>
  <c r="AI528" i="4" s="1"/>
  <c r="AD523" i="4"/>
  <c r="AG523" i="4" s="1"/>
  <c r="AI523" i="4" s="1"/>
  <c r="AJ523" i="4" s="1"/>
  <c r="AD518" i="4"/>
  <c r="AG518" i="4" s="1"/>
  <c r="AI518" i="4" s="1"/>
  <c r="AD513" i="4"/>
  <c r="AG513" i="4" s="1"/>
  <c r="AI513" i="4" s="1"/>
  <c r="AJ513" i="4" s="1"/>
  <c r="AD508" i="4"/>
  <c r="AG508" i="4" s="1"/>
  <c r="AI508" i="4" s="1"/>
  <c r="AJ508" i="4" s="1"/>
  <c r="AD503" i="4"/>
  <c r="AG503" i="4" s="1"/>
  <c r="AI503" i="4" s="1"/>
  <c r="AJ503" i="4" s="1"/>
  <c r="AD498" i="4"/>
  <c r="AG498" i="4" s="1"/>
  <c r="AI498" i="4" s="1"/>
  <c r="AJ498" i="4" s="1"/>
  <c r="AD493" i="4"/>
  <c r="AG493" i="4" s="1"/>
  <c r="AI493" i="4" s="1"/>
  <c r="AJ493" i="4" s="1"/>
  <c r="AD488" i="4"/>
  <c r="AG488" i="4" s="1"/>
  <c r="AI488" i="4" s="1"/>
  <c r="AD483" i="4"/>
  <c r="AG483" i="4" s="1"/>
  <c r="AI483" i="4" s="1"/>
  <c r="AJ483" i="4" s="1"/>
  <c r="AD478" i="4"/>
  <c r="AG478" i="4" s="1"/>
  <c r="AI478" i="4" s="1"/>
  <c r="AJ478" i="4" s="1"/>
  <c r="AD473" i="4"/>
  <c r="AG473" i="4" s="1"/>
  <c r="AI473" i="4" s="1"/>
  <c r="AD468" i="4"/>
  <c r="AG468" i="4" s="1"/>
  <c r="AI468" i="4" s="1"/>
  <c r="AD463" i="4"/>
  <c r="AG463" i="4" s="1"/>
  <c r="AI463" i="4" s="1"/>
  <c r="AJ463" i="4" s="1"/>
  <c r="AD458" i="4"/>
  <c r="AG458" i="4" s="1"/>
  <c r="AI458" i="4" s="1"/>
  <c r="AJ458" i="4" s="1"/>
  <c r="AD453" i="4"/>
  <c r="AG453" i="4" s="1"/>
  <c r="AI453" i="4" s="1"/>
  <c r="AD448" i="4"/>
  <c r="AG448" i="4" s="1"/>
  <c r="AI448" i="4" s="1"/>
  <c r="AJ448" i="4" s="1"/>
  <c r="AD642" i="4"/>
  <c r="AG642" i="4" s="1"/>
  <c r="AI642" i="4" s="1"/>
  <c r="AJ642" i="4" s="1"/>
  <c r="AD588" i="4"/>
  <c r="AG588" i="4" s="1"/>
  <c r="AI588" i="4" s="1"/>
  <c r="AJ588" i="4" s="1"/>
  <c r="AD515" i="4"/>
  <c r="AG515" i="4" s="1"/>
  <c r="AI515" i="4" s="1"/>
  <c r="AD485" i="4"/>
  <c r="AG485" i="4" s="1"/>
  <c r="AI485" i="4" s="1"/>
  <c r="AJ485" i="4" s="1"/>
  <c r="AD460" i="4"/>
  <c r="AG460" i="4" s="1"/>
  <c r="AI460" i="4" s="1"/>
  <c r="AD440" i="4"/>
  <c r="AG440" i="4" s="1"/>
  <c r="AI440" i="4" s="1"/>
  <c r="AJ440" i="4" s="1"/>
  <c r="AD417" i="4"/>
  <c r="AG417" i="4" s="1"/>
  <c r="AI417" i="4" s="1"/>
  <c r="AJ417" i="4" s="1"/>
  <c r="AD412" i="4"/>
  <c r="AG412" i="4" s="1"/>
  <c r="AI412" i="4" s="1"/>
  <c r="AJ412" i="4" s="1"/>
  <c r="AD407" i="4"/>
  <c r="AG407" i="4" s="1"/>
  <c r="AI407" i="4" s="1"/>
  <c r="AD402" i="4"/>
  <c r="AG402" i="4" s="1"/>
  <c r="AI402" i="4" s="1"/>
  <c r="AJ402" i="4" s="1"/>
  <c r="AD397" i="4"/>
  <c r="AG397" i="4" s="1"/>
  <c r="AI397" i="4" s="1"/>
  <c r="AJ397" i="4" s="1"/>
  <c r="AD392" i="4"/>
  <c r="AG392" i="4" s="1"/>
  <c r="AI392" i="4" s="1"/>
  <c r="AD387" i="4"/>
  <c r="AG387" i="4" s="1"/>
  <c r="AI387" i="4" s="1"/>
  <c r="AD382" i="4"/>
  <c r="AG382" i="4" s="1"/>
  <c r="AI382" i="4" s="1"/>
  <c r="AJ382" i="4" s="1"/>
  <c r="AD377" i="4"/>
  <c r="AG377" i="4" s="1"/>
  <c r="AI377" i="4" s="1"/>
  <c r="AJ377" i="4" s="1"/>
  <c r="AD372" i="4"/>
  <c r="AG372" i="4" s="1"/>
  <c r="AI372" i="4" s="1"/>
  <c r="AD367" i="4"/>
  <c r="AG367" i="4" s="1"/>
  <c r="AI367" i="4" s="1"/>
  <c r="AJ367" i="4" s="1"/>
  <c r="AD362" i="4"/>
  <c r="AG362" i="4" s="1"/>
  <c r="AI362" i="4" s="1"/>
  <c r="AJ362" i="4" s="1"/>
  <c r="AD357" i="4"/>
  <c r="AG357" i="4" s="1"/>
  <c r="AI357" i="4" s="1"/>
  <c r="AD352" i="4"/>
  <c r="AG352" i="4" s="1"/>
  <c r="AI352" i="4" s="1"/>
  <c r="AD347" i="4"/>
  <c r="AG347" i="4" s="1"/>
  <c r="AI347" i="4" s="1"/>
  <c r="AD342" i="4"/>
  <c r="AG342" i="4" s="1"/>
  <c r="AI342" i="4" s="1"/>
  <c r="AD572" i="4"/>
  <c r="AG572" i="4" s="1"/>
  <c r="AI572" i="4" s="1"/>
  <c r="AJ572" i="4" s="1"/>
  <c r="AD526" i="4"/>
  <c r="AG526" i="4" s="1"/>
  <c r="AI526" i="4" s="1"/>
  <c r="AJ526" i="4" s="1"/>
  <c r="AD492" i="4"/>
  <c r="AG492" i="4" s="1"/>
  <c r="AI492" i="4" s="1"/>
  <c r="AD482" i="4"/>
  <c r="AG482" i="4" s="1"/>
  <c r="AI482" i="4" s="1"/>
  <c r="AD479" i="4"/>
  <c r="AG479" i="4" s="1"/>
  <c r="AI479" i="4" s="1"/>
  <c r="AD436" i="4"/>
  <c r="AG436" i="4" s="1"/>
  <c r="AI436" i="4" s="1"/>
  <c r="AD433" i="4"/>
  <c r="AG433" i="4" s="1"/>
  <c r="AI433" i="4" s="1"/>
  <c r="AD429" i="4"/>
  <c r="AG429" i="4" s="1"/>
  <c r="AI429" i="4" s="1"/>
  <c r="AJ429" i="4" s="1"/>
  <c r="AD422" i="4"/>
  <c r="AG422" i="4" s="1"/>
  <c r="AI422" i="4" s="1"/>
  <c r="AJ422" i="4" s="1"/>
  <c r="AD575" i="4"/>
  <c r="AG575" i="4" s="1"/>
  <c r="AI575" i="4" s="1"/>
  <c r="AD538" i="4"/>
  <c r="AG538" i="4" s="1"/>
  <c r="AI538" i="4" s="1"/>
  <c r="AJ538" i="4" s="1"/>
  <c r="AD536" i="4"/>
  <c r="AG536" i="4" s="1"/>
  <c r="AI536" i="4" s="1"/>
  <c r="AD512" i="4"/>
  <c r="AG512" i="4" s="1"/>
  <c r="AI512" i="4" s="1"/>
  <c r="AJ512" i="4" s="1"/>
  <c r="AD507" i="4"/>
  <c r="AG507" i="4" s="1"/>
  <c r="AI507" i="4" s="1"/>
  <c r="AD470" i="4"/>
  <c r="AG470" i="4" s="1"/>
  <c r="AI470" i="4" s="1"/>
  <c r="AJ470" i="4" s="1"/>
  <c r="AD603" i="4"/>
  <c r="AG603" i="4" s="1"/>
  <c r="AI603" i="4" s="1"/>
  <c r="AJ603" i="4" s="1"/>
  <c r="AD599" i="4"/>
  <c r="AG599" i="4" s="1"/>
  <c r="AI599" i="4" s="1"/>
  <c r="AJ599" i="4" s="1"/>
  <c r="AD540" i="4"/>
  <c r="AG540" i="4" s="1"/>
  <c r="AI540" i="4" s="1"/>
  <c r="AD529" i="4"/>
  <c r="AG529" i="4" s="1"/>
  <c r="AI529" i="4" s="1"/>
  <c r="AD520" i="4"/>
  <c r="AG520" i="4" s="1"/>
  <c r="AI520" i="4" s="1"/>
  <c r="AJ520" i="4" s="1"/>
  <c r="AD505" i="4"/>
  <c r="AG505" i="4" s="1"/>
  <c r="AI505" i="4" s="1"/>
  <c r="AJ505" i="4" s="1"/>
  <c r="AD489" i="4"/>
  <c r="AG489" i="4" s="1"/>
  <c r="AI489" i="4" s="1"/>
  <c r="AJ489" i="4" s="1"/>
  <c r="AD467" i="4"/>
  <c r="AG467" i="4" s="1"/>
  <c r="AI467" i="4" s="1"/>
  <c r="AD464" i="4"/>
  <c r="AG464" i="4" s="1"/>
  <c r="AI464" i="4" s="1"/>
  <c r="AJ464" i="4" s="1"/>
  <c r="AD443" i="4"/>
  <c r="AG443" i="4" s="1"/>
  <c r="AI443" i="4" s="1"/>
  <c r="AJ443" i="4" s="1"/>
  <c r="AD439" i="4"/>
  <c r="AG439" i="4" s="1"/>
  <c r="AI439" i="4" s="1"/>
  <c r="AJ439" i="4" s="1"/>
  <c r="AD432" i="4"/>
  <c r="AG432" i="4" s="1"/>
  <c r="AI432" i="4" s="1"/>
  <c r="AJ432" i="4" s="1"/>
  <c r="AD644" i="4"/>
  <c r="AG644" i="4" s="1"/>
  <c r="AI644" i="4" s="1"/>
  <c r="AJ644" i="4" s="1"/>
  <c r="AD585" i="4"/>
  <c r="AG585" i="4" s="1"/>
  <c r="AI585" i="4" s="1"/>
  <c r="AJ585" i="4" s="1"/>
  <c r="AD553" i="4"/>
  <c r="AG553" i="4" s="1"/>
  <c r="AI553" i="4" s="1"/>
  <c r="AD547" i="4"/>
  <c r="AG547" i="4" s="1"/>
  <c r="AI547" i="4" s="1"/>
  <c r="AJ547" i="4" s="1"/>
  <c r="AD480" i="4"/>
  <c r="AG480" i="4" s="1"/>
  <c r="AI480" i="4" s="1"/>
  <c r="AJ480" i="4" s="1"/>
  <c r="AD446" i="4"/>
  <c r="AG446" i="4" s="1"/>
  <c r="AI446" i="4" s="1"/>
  <c r="AJ446" i="4" s="1"/>
  <c r="AD435" i="4"/>
  <c r="AG435" i="4" s="1"/>
  <c r="AI435" i="4" s="1"/>
  <c r="AJ435" i="4" s="1"/>
  <c r="AD620" i="4"/>
  <c r="AG620" i="4" s="1"/>
  <c r="AI620" i="4" s="1"/>
  <c r="AD591" i="4"/>
  <c r="AG591" i="4" s="1"/>
  <c r="AI591" i="4" s="1"/>
  <c r="AD533" i="4"/>
  <c r="AG533" i="4" s="1"/>
  <c r="AI533" i="4" s="1"/>
  <c r="AJ533" i="4" s="1"/>
  <c r="AD495" i="4"/>
  <c r="AG495" i="4" s="1"/>
  <c r="AI495" i="4" s="1"/>
  <c r="AJ495" i="4" s="1"/>
  <c r="AD472" i="4"/>
  <c r="AG472" i="4" s="1"/>
  <c r="AI472" i="4" s="1"/>
  <c r="AJ472" i="4" s="1"/>
  <c r="AD469" i="4"/>
  <c r="AG469" i="4" s="1"/>
  <c r="AI469" i="4" s="1"/>
  <c r="AD444" i="4"/>
  <c r="AG444" i="4" s="1"/>
  <c r="AI444" i="4" s="1"/>
  <c r="AJ444" i="4" s="1"/>
  <c r="AD437" i="4"/>
  <c r="AG437" i="4" s="1"/>
  <c r="AI437" i="4" s="1"/>
  <c r="AJ437" i="4" s="1"/>
  <c r="AD426" i="4"/>
  <c r="AG426" i="4" s="1"/>
  <c r="AI426" i="4" s="1"/>
  <c r="AJ426" i="4" s="1"/>
  <c r="AD423" i="4"/>
  <c r="AG423" i="4" s="1"/>
  <c r="AI423" i="4" s="1"/>
  <c r="AD563" i="4"/>
  <c r="AG563" i="4" s="1"/>
  <c r="AI563" i="4" s="1"/>
  <c r="AJ563" i="4" s="1"/>
  <c r="AD517" i="4"/>
  <c r="AG517" i="4" s="1"/>
  <c r="AI517" i="4" s="1"/>
  <c r="AJ517" i="4" s="1"/>
  <c r="AD510" i="4"/>
  <c r="AG510" i="4" s="1"/>
  <c r="AI510" i="4" s="1"/>
  <c r="AD500" i="4"/>
  <c r="AG500" i="4" s="1"/>
  <c r="AI500" i="4" s="1"/>
  <c r="AJ500" i="4" s="1"/>
  <c r="AD477" i="4"/>
  <c r="AG477" i="4" s="1"/>
  <c r="AI477" i="4" s="1"/>
  <c r="AD419" i="4"/>
  <c r="AG419" i="4" s="1"/>
  <c r="AI419" i="4" s="1"/>
  <c r="AJ419" i="4" s="1"/>
  <c r="AD400" i="4"/>
  <c r="AG400" i="4" s="1"/>
  <c r="AI400" i="4" s="1"/>
  <c r="AJ400" i="4" s="1"/>
  <c r="AD474" i="4"/>
  <c r="AG474" i="4" s="1"/>
  <c r="AI474" i="4" s="1"/>
  <c r="AJ474" i="4" s="1"/>
  <c r="AD456" i="4"/>
  <c r="AG456" i="4" s="1"/>
  <c r="AI456" i="4" s="1"/>
  <c r="AJ456" i="4" s="1"/>
  <c r="AD454" i="4"/>
  <c r="AG454" i="4" s="1"/>
  <c r="AI454" i="4" s="1"/>
  <c r="AJ454" i="4" s="1"/>
  <c r="AD452" i="4"/>
  <c r="AG452" i="4" s="1"/>
  <c r="AI452" i="4" s="1"/>
  <c r="AJ452" i="4" s="1"/>
  <c r="AD450" i="4"/>
  <c r="AG450" i="4" s="1"/>
  <c r="AI450" i="4" s="1"/>
  <c r="AJ450" i="4" s="1"/>
  <c r="AD565" i="4"/>
  <c r="AG565" i="4" s="1"/>
  <c r="AI565" i="4" s="1"/>
  <c r="AD462" i="4"/>
  <c r="AG462" i="4" s="1"/>
  <c r="AI462" i="4" s="1"/>
  <c r="AD562" i="4"/>
  <c r="AG562" i="4" s="1"/>
  <c r="AI562" i="4" s="1"/>
  <c r="AD451" i="4"/>
  <c r="AG451" i="4" s="1"/>
  <c r="AI451" i="4" s="1"/>
  <c r="AJ451" i="4" s="1"/>
  <c r="AD428" i="4"/>
  <c r="AG428" i="4" s="1"/>
  <c r="AI428" i="4" s="1"/>
  <c r="AD418" i="4"/>
  <c r="AG418" i="4" s="1"/>
  <c r="AI418" i="4" s="1"/>
  <c r="AJ418" i="4" s="1"/>
  <c r="AD414" i="4"/>
  <c r="AG414" i="4" s="1"/>
  <c r="AI414" i="4" s="1"/>
  <c r="AD391" i="4"/>
  <c r="AG391" i="4" s="1"/>
  <c r="AI391" i="4" s="1"/>
  <c r="AJ391" i="4" s="1"/>
  <c r="AD388" i="4"/>
  <c r="AG388" i="4" s="1"/>
  <c r="AI388" i="4" s="1"/>
  <c r="AD339" i="4"/>
  <c r="AG339" i="4" s="1"/>
  <c r="AI339" i="4" s="1"/>
  <c r="AJ339" i="4" s="1"/>
  <c r="AD334" i="4"/>
  <c r="AG334" i="4" s="1"/>
  <c r="AI334" i="4" s="1"/>
  <c r="AD329" i="4"/>
  <c r="AG329" i="4" s="1"/>
  <c r="AI329" i="4" s="1"/>
  <c r="AJ329" i="4" s="1"/>
  <c r="AD324" i="4"/>
  <c r="AG324" i="4" s="1"/>
  <c r="AI324" i="4" s="1"/>
  <c r="AD319" i="4"/>
  <c r="AG319" i="4" s="1"/>
  <c r="AI319" i="4" s="1"/>
  <c r="AJ319" i="4" s="1"/>
  <c r="AD314" i="4"/>
  <c r="AG314" i="4" s="1"/>
  <c r="AI314" i="4" s="1"/>
  <c r="AD309" i="4"/>
  <c r="AG309" i="4" s="1"/>
  <c r="AI309" i="4" s="1"/>
  <c r="AJ309" i="4" s="1"/>
  <c r="AD304" i="4"/>
  <c r="AG304" i="4" s="1"/>
  <c r="AI304" i="4" s="1"/>
  <c r="AJ304" i="4" s="1"/>
  <c r="AD299" i="4"/>
  <c r="AG299" i="4" s="1"/>
  <c r="AI299" i="4" s="1"/>
  <c r="AD294" i="4"/>
  <c r="AG294" i="4" s="1"/>
  <c r="AI294" i="4" s="1"/>
  <c r="AJ294" i="4" s="1"/>
  <c r="AD289" i="4"/>
  <c r="AG289" i="4" s="1"/>
  <c r="AI289" i="4" s="1"/>
  <c r="AD284" i="4"/>
  <c r="AG284" i="4" s="1"/>
  <c r="AI284" i="4" s="1"/>
  <c r="AJ284" i="4" s="1"/>
  <c r="AD279" i="4"/>
  <c r="AG279" i="4" s="1"/>
  <c r="AI279" i="4" s="1"/>
  <c r="AD274" i="4"/>
  <c r="AG274" i="4" s="1"/>
  <c r="AI274" i="4" s="1"/>
  <c r="AJ274" i="4" s="1"/>
  <c r="AD269" i="4"/>
  <c r="AG269" i="4" s="1"/>
  <c r="AI269" i="4" s="1"/>
  <c r="AJ269" i="4" s="1"/>
  <c r="AD264" i="4"/>
  <c r="AG264" i="4" s="1"/>
  <c r="AI264" i="4" s="1"/>
  <c r="AD259" i="4"/>
  <c r="AG259" i="4" s="1"/>
  <c r="AI259" i="4" s="1"/>
  <c r="AJ259" i="4" s="1"/>
  <c r="AD254" i="4"/>
  <c r="AG254" i="4" s="1"/>
  <c r="AI254" i="4" s="1"/>
  <c r="AD249" i="4"/>
  <c r="AG249" i="4" s="1"/>
  <c r="AI249" i="4" s="1"/>
  <c r="AD244" i="4"/>
  <c r="AG244" i="4" s="1"/>
  <c r="AI244" i="4" s="1"/>
  <c r="AD239" i="4"/>
  <c r="AG239" i="4" s="1"/>
  <c r="AI239" i="4" s="1"/>
  <c r="AD234" i="4"/>
  <c r="AG234" i="4" s="1"/>
  <c r="AI234" i="4" s="1"/>
  <c r="AJ234" i="4" s="1"/>
  <c r="AD229" i="4"/>
  <c r="AG229" i="4" s="1"/>
  <c r="AI229" i="4" s="1"/>
  <c r="AD224" i="4"/>
  <c r="AG224" i="4" s="1"/>
  <c r="AI224" i="4" s="1"/>
  <c r="AJ224" i="4" s="1"/>
  <c r="AD219" i="4"/>
  <c r="AG219" i="4" s="1"/>
  <c r="AI219" i="4" s="1"/>
  <c r="AD525" i="4"/>
  <c r="AG525" i="4" s="1"/>
  <c r="AI525" i="4" s="1"/>
  <c r="AD487" i="4"/>
  <c r="AG487" i="4" s="1"/>
  <c r="AI487" i="4" s="1"/>
  <c r="AJ487" i="4" s="1"/>
  <c r="AD484" i="4"/>
  <c r="AG484" i="4" s="1"/>
  <c r="AI484" i="4" s="1"/>
  <c r="AJ484" i="4" s="1"/>
  <c r="AD420" i="4"/>
  <c r="AG420" i="4" s="1"/>
  <c r="AI420" i="4" s="1"/>
  <c r="AD409" i="4"/>
  <c r="AG409" i="4" s="1"/>
  <c r="AI409" i="4" s="1"/>
  <c r="AD394" i="4"/>
  <c r="AG394" i="4" s="1"/>
  <c r="AI394" i="4" s="1"/>
  <c r="AJ394" i="4" s="1"/>
  <c r="AD370" i="4"/>
  <c r="AG370" i="4" s="1"/>
  <c r="AI370" i="4" s="1"/>
  <c r="AJ370" i="4" s="1"/>
  <c r="AD360" i="4"/>
  <c r="AG360" i="4" s="1"/>
  <c r="AI360" i="4" s="1"/>
  <c r="AD350" i="4"/>
  <c r="AG350" i="4" s="1"/>
  <c r="AI350" i="4" s="1"/>
  <c r="AJ350" i="4" s="1"/>
  <c r="AD438" i="4"/>
  <c r="AG438" i="4" s="1"/>
  <c r="AI438" i="4" s="1"/>
  <c r="AD425" i="4"/>
  <c r="AG425" i="4" s="1"/>
  <c r="AI425" i="4" s="1"/>
  <c r="AD421" i="4"/>
  <c r="AG421" i="4" s="1"/>
  <c r="AI421" i="4" s="1"/>
  <c r="AJ421" i="4" s="1"/>
  <c r="AD411" i="4"/>
  <c r="AG411" i="4" s="1"/>
  <c r="AI411" i="4" s="1"/>
  <c r="AD373" i="4"/>
  <c r="AG373" i="4" s="1"/>
  <c r="AI373" i="4" s="1"/>
  <c r="AJ373" i="4" s="1"/>
  <c r="AD363" i="4"/>
  <c r="AG363" i="4" s="1"/>
  <c r="AI363" i="4" s="1"/>
  <c r="AD353" i="4"/>
  <c r="AG353" i="4" s="1"/>
  <c r="AI353" i="4" s="1"/>
  <c r="AJ353" i="4" s="1"/>
  <c r="AD457" i="4"/>
  <c r="AG457" i="4" s="1"/>
  <c r="AI457" i="4" s="1"/>
  <c r="AJ457" i="4" s="1"/>
  <c r="AD434" i="4"/>
  <c r="AG434" i="4" s="1"/>
  <c r="AI434" i="4" s="1"/>
  <c r="AJ434" i="4" s="1"/>
  <c r="AD415" i="4"/>
  <c r="AG415" i="4" s="1"/>
  <c r="AI415" i="4" s="1"/>
  <c r="AJ415" i="4" s="1"/>
  <c r="AD395" i="4"/>
  <c r="AG395" i="4" s="1"/>
  <c r="AI395" i="4" s="1"/>
  <c r="AJ395" i="4" s="1"/>
  <c r="AD386" i="4"/>
  <c r="AG386" i="4" s="1"/>
  <c r="AI386" i="4" s="1"/>
  <c r="AD383" i="4"/>
  <c r="AG383" i="4" s="1"/>
  <c r="AI383" i="4" s="1"/>
  <c r="AJ383" i="4" s="1"/>
  <c r="AD376" i="4"/>
  <c r="AG376" i="4" s="1"/>
  <c r="AI376" i="4" s="1"/>
  <c r="AJ376" i="4" s="1"/>
  <c r="AD366" i="4"/>
  <c r="AG366" i="4" s="1"/>
  <c r="AI366" i="4" s="1"/>
  <c r="AJ366" i="4" s="1"/>
  <c r="AD356" i="4"/>
  <c r="AG356" i="4" s="1"/>
  <c r="AI356" i="4" s="1"/>
  <c r="AJ356" i="4" s="1"/>
  <c r="AD346" i="4"/>
  <c r="AG346" i="4" s="1"/>
  <c r="AI346" i="4" s="1"/>
  <c r="AJ346" i="4" s="1"/>
  <c r="AD522" i="4"/>
  <c r="AG522" i="4" s="1"/>
  <c r="AI522" i="4" s="1"/>
  <c r="AJ522" i="4" s="1"/>
  <c r="AD502" i="4"/>
  <c r="AG502" i="4" s="1"/>
  <c r="AI502" i="4" s="1"/>
  <c r="AJ502" i="4" s="1"/>
  <c r="AD497" i="4"/>
  <c r="AG497" i="4" s="1"/>
  <c r="AI497" i="4" s="1"/>
  <c r="AJ497" i="4" s="1"/>
  <c r="AD431" i="4"/>
  <c r="AG431" i="4" s="1"/>
  <c r="AI431" i="4" s="1"/>
  <c r="AJ431" i="4" s="1"/>
  <c r="AD430" i="4"/>
  <c r="AG430" i="4" s="1"/>
  <c r="AI430" i="4" s="1"/>
  <c r="AD413" i="4"/>
  <c r="AG413" i="4" s="1"/>
  <c r="AI413" i="4" s="1"/>
  <c r="AJ413" i="4" s="1"/>
  <c r="AD406" i="4"/>
  <c r="AG406" i="4" s="1"/>
  <c r="AI406" i="4" s="1"/>
  <c r="AJ406" i="4" s="1"/>
  <c r="AD404" i="4"/>
  <c r="AG404" i="4" s="1"/>
  <c r="AI404" i="4" s="1"/>
  <c r="AJ404" i="4" s="1"/>
  <c r="AD398" i="4"/>
  <c r="AG398" i="4" s="1"/>
  <c r="AI398" i="4" s="1"/>
  <c r="AJ398" i="4" s="1"/>
  <c r="AD389" i="4"/>
  <c r="AG389" i="4" s="1"/>
  <c r="AI389" i="4" s="1"/>
  <c r="AD369" i="4"/>
  <c r="AG369" i="4" s="1"/>
  <c r="AI369" i="4" s="1"/>
  <c r="AJ369" i="4" s="1"/>
  <c r="AD359" i="4"/>
  <c r="AG359" i="4" s="1"/>
  <c r="AI359" i="4" s="1"/>
  <c r="AD349" i="4"/>
  <c r="AG349" i="4" s="1"/>
  <c r="AI349" i="4" s="1"/>
  <c r="AD340" i="4"/>
  <c r="AG340" i="4" s="1"/>
  <c r="AI340" i="4" s="1"/>
  <c r="AD335" i="4"/>
  <c r="AG335" i="4" s="1"/>
  <c r="AI335" i="4" s="1"/>
  <c r="AJ335" i="4" s="1"/>
  <c r="AD537" i="4"/>
  <c r="AG537" i="4" s="1"/>
  <c r="AI537" i="4" s="1"/>
  <c r="AD532" i="4"/>
  <c r="AG532" i="4" s="1"/>
  <c r="AI532" i="4" s="1"/>
  <c r="AD550" i="4"/>
  <c r="AG550" i="4" s="1"/>
  <c r="AI550" i="4" s="1"/>
  <c r="AJ550" i="4" s="1"/>
  <c r="AD490" i="4"/>
  <c r="AG490" i="4" s="1"/>
  <c r="AI490" i="4" s="1"/>
  <c r="AJ490" i="4" s="1"/>
  <c r="AD465" i="4"/>
  <c r="AG465" i="4" s="1"/>
  <c r="AI465" i="4" s="1"/>
  <c r="AD455" i="4"/>
  <c r="AG455" i="4" s="1"/>
  <c r="AI455" i="4" s="1"/>
  <c r="AJ455" i="4" s="1"/>
  <c r="AD449" i="4"/>
  <c r="AG449" i="4" s="1"/>
  <c r="AI449" i="4" s="1"/>
  <c r="AJ449" i="4" s="1"/>
  <c r="AD441" i="4"/>
  <c r="AG441" i="4" s="1"/>
  <c r="AI441" i="4" s="1"/>
  <c r="AD427" i="4"/>
  <c r="AG427" i="4" s="1"/>
  <c r="AI427" i="4" s="1"/>
  <c r="AD416" i="4"/>
  <c r="AG416" i="4" s="1"/>
  <c r="AI416" i="4" s="1"/>
  <c r="AD385" i="4"/>
  <c r="AG385" i="4" s="1"/>
  <c r="AI385" i="4" s="1"/>
  <c r="AJ385" i="4" s="1"/>
  <c r="AD379" i="4"/>
  <c r="AG379" i="4" s="1"/>
  <c r="AI379" i="4" s="1"/>
  <c r="AD374" i="4"/>
  <c r="AG374" i="4" s="1"/>
  <c r="AI374" i="4" s="1"/>
  <c r="AD364" i="4"/>
  <c r="AG364" i="4" s="1"/>
  <c r="AI364" i="4" s="1"/>
  <c r="AD354" i="4"/>
  <c r="AG354" i="4" s="1"/>
  <c r="AI354" i="4" s="1"/>
  <c r="AJ354" i="4" s="1"/>
  <c r="AD381" i="4"/>
  <c r="AG381" i="4" s="1"/>
  <c r="AI381" i="4" s="1"/>
  <c r="AJ381" i="4" s="1"/>
  <c r="AD351" i="4"/>
  <c r="AG351" i="4" s="1"/>
  <c r="AI351" i="4" s="1"/>
  <c r="AD337" i="4"/>
  <c r="AG337" i="4" s="1"/>
  <c r="AI337" i="4" s="1"/>
  <c r="AJ337" i="4" s="1"/>
  <c r="AD310" i="4"/>
  <c r="AG310" i="4" s="1"/>
  <c r="AI310" i="4" s="1"/>
  <c r="AD262" i="4"/>
  <c r="AG262" i="4" s="1"/>
  <c r="AI262" i="4" s="1"/>
  <c r="AJ262" i="4" s="1"/>
  <c r="AD261" i="4"/>
  <c r="AG261" i="4" s="1"/>
  <c r="AI261" i="4" s="1"/>
  <c r="AJ261" i="4" s="1"/>
  <c r="AD260" i="4"/>
  <c r="AG260" i="4" s="1"/>
  <c r="AI260" i="4" s="1"/>
  <c r="AJ260" i="4" s="1"/>
  <c r="AD258" i="4"/>
  <c r="AG258" i="4" s="1"/>
  <c r="AI258" i="4" s="1"/>
  <c r="AD475" i="4"/>
  <c r="AG475" i="4" s="1"/>
  <c r="AI475" i="4" s="1"/>
  <c r="AD410" i="4"/>
  <c r="AG410" i="4" s="1"/>
  <c r="AI410" i="4" s="1"/>
  <c r="AD375" i="4"/>
  <c r="AG375" i="4" s="1"/>
  <c r="AI375" i="4" s="1"/>
  <c r="AJ375" i="4" s="1"/>
  <c r="AD325" i="4"/>
  <c r="AG325" i="4" s="1"/>
  <c r="AI325" i="4" s="1"/>
  <c r="AJ325" i="4" s="1"/>
  <c r="AD316" i="4"/>
  <c r="AG316" i="4" s="1"/>
  <c r="AI316" i="4" s="1"/>
  <c r="AD313" i="4"/>
  <c r="AG313" i="4" s="1"/>
  <c r="AI313" i="4" s="1"/>
  <c r="AD307" i="4"/>
  <c r="AG307" i="4" s="1"/>
  <c r="AI307" i="4" s="1"/>
  <c r="AJ307" i="4" s="1"/>
  <c r="AD267" i="4"/>
  <c r="AG267" i="4" s="1"/>
  <c r="AI267" i="4" s="1"/>
  <c r="AJ267" i="4" s="1"/>
  <c r="AD266" i="4"/>
  <c r="AG266" i="4" s="1"/>
  <c r="AI266" i="4" s="1"/>
  <c r="AJ266" i="4" s="1"/>
  <c r="AD265" i="4"/>
  <c r="AG265" i="4" s="1"/>
  <c r="AI265" i="4" s="1"/>
  <c r="AD263" i="4"/>
  <c r="AG263" i="4" s="1"/>
  <c r="AI263" i="4" s="1"/>
  <c r="AJ263" i="4" s="1"/>
  <c r="AD237" i="4"/>
  <c r="AG237" i="4" s="1"/>
  <c r="AI237" i="4" s="1"/>
  <c r="AJ237" i="4" s="1"/>
  <c r="AD227" i="4"/>
  <c r="AG227" i="4" s="1"/>
  <c r="AI227" i="4" s="1"/>
  <c r="AD217" i="4"/>
  <c r="AG217" i="4" s="1"/>
  <c r="AI217" i="4" s="1"/>
  <c r="AD213" i="4"/>
  <c r="AG213" i="4" s="1"/>
  <c r="AI213" i="4" s="1"/>
  <c r="AJ213" i="4" s="1"/>
  <c r="AD208" i="4"/>
  <c r="AG208" i="4" s="1"/>
  <c r="AI208" i="4" s="1"/>
  <c r="AD203" i="4"/>
  <c r="AG203" i="4" s="1"/>
  <c r="AI203" i="4" s="1"/>
  <c r="AJ203" i="4" s="1"/>
  <c r="AD198" i="4"/>
  <c r="AG198" i="4" s="1"/>
  <c r="AI198" i="4" s="1"/>
  <c r="AD193" i="4"/>
  <c r="AG193" i="4" s="1"/>
  <c r="AI193" i="4" s="1"/>
  <c r="AJ193" i="4" s="1"/>
  <c r="AD188" i="4"/>
  <c r="AG188" i="4" s="1"/>
  <c r="AI188" i="4" s="1"/>
  <c r="AD331" i="4"/>
  <c r="AG331" i="4" s="1"/>
  <c r="AI331" i="4" s="1"/>
  <c r="AD328" i="4"/>
  <c r="AG328" i="4" s="1"/>
  <c r="AI328" i="4" s="1"/>
  <c r="AJ328" i="4" s="1"/>
  <c r="AD322" i="4"/>
  <c r="AG322" i="4" s="1"/>
  <c r="AI322" i="4" s="1"/>
  <c r="AD459" i="4"/>
  <c r="AG459" i="4" s="1"/>
  <c r="AI459" i="4" s="1"/>
  <c r="AJ459" i="4" s="1"/>
  <c r="AD365" i="4"/>
  <c r="AG365" i="4" s="1"/>
  <c r="AI365" i="4" s="1"/>
  <c r="AJ365" i="4" s="1"/>
  <c r="AD336" i="4"/>
  <c r="AG336" i="4" s="1"/>
  <c r="AI336" i="4" s="1"/>
  <c r="AJ336" i="4" s="1"/>
  <c r="AD305" i="4"/>
  <c r="AG305" i="4" s="1"/>
  <c r="AI305" i="4" s="1"/>
  <c r="AJ305" i="4" s="1"/>
  <c r="AD277" i="4"/>
  <c r="AG277" i="4" s="1"/>
  <c r="AI277" i="4" s="1"/>
  <c r="AJ277" i="4" s="1"/>
  <c r="AD276" i="4"/>
  <c r="AG276" i="4" s="1"/>
  <c r="AI276" i="4" s="1"/>
  <c r="AJ276" i="4" s="1"/>
  <c r="AD275" i="4"/>
  <c r="AG275" i="4" s="1"/>
  <c r="AI275" i="4" s="1"/>
  <c r="AJ275" i="4" s="1"/>
  <c r="AD273" i="4"/>
  <c r="AG273" i="4" s="1"/>
  <c r="AI273" i="4" s="1"/>
  <c r="AD445" i="4"/>
  <c r="AG445" i="4" s="1"/>
  <c r="AI445" i="4" s="1"/>
  <c r="AJ445" i="4" s="1"/>
  <c r="AD380" i="4"/>
  <c r="AG380" i="4" s="1"/>
  <c r="AI380" i="4" s="1"/>
  <c r="AJ380" i="4" s="1"/>
  <c r="AD378" i="4"/>
  <c r="AG378" i="4" s="1"/>
  <c r="AI378" i="4" s="1"/>
  <c r="AJ378" i="4" s="1"/>
  <c r="AD333" i="4"/>
  <c r="AG333" i="4" s="1"/>
  <c r="AI333" i="4" s="1"/>
  <c r="AD320" i="4"/>
  <c r="AG320" i="4" s="1"/>
  <c r="AI320" i="4" s="1"/>
  <c r="AD311" i="4"/>
  <c r="AG311" i="4" s="1"/>
  <c r="AI311" i="4" s="1"/>
  <c r="AD308" i="4"/>
  <c r="AG308" i="4" s="1"/>
  <c r="AI308" i="4" s="1"/>
  <c r="AJ308" i="4" s="1"/>
  <c r="AD282" i="4"/>
  <c r="AG282" i="4" s="1"/>
  <c r="AI282" i="4" s="1"/>
  <c r="AD281" i="4"/>
  <c r="AG281" i="4" s="1"/>
  <c r="AI281" i="4" s="1"/>
  <c r="AJ281" i="4" s="1"/>
  <c r="AD280" i="4"/>
  <c r="AG280" i="4" s="1"/>
  <c r="AI280" i="4" s="1"/>
  <c r="AJ280" i="4" s="1"/>
  <c r="AD278" i="4"/>
  <c r="AG278" i="4" s="1"/>
  <c r="AI278" i="4" s="1"/>
  <c r="AJ278" i="4" s="1"/>
  <c r="AD447" i="4"/>
  <c r="AG447" i="4" s="1"/>
  <c r="AI447" i="4" s="1"/>
  <c r="AJ447" i="4" s="1"/>
  <c r="AD399" i="4"/>
  <c r="AG399" i="4" s="1"/>
  <c r="AI399" i="4" s="1"/>
  <c r="AD396" i="4"/>
  <c r="AG396" i="4" s="1"/>
  <c r="AI396" i="4" s="1"/>
  <c r="AJ396" i="4" s="1"/>
  <c r="AD390" i="4"/>
  <c r="AG390" i="4" s="1"/>
  <c r="AI390" i="4" s="1"/>
  <c r="AJ390" i="4" s="1"/>
  <c r="AD405" i="4"/>
  <c r="AG405" i="4" s="1"/>
  <c r="AI405" i="4" s="1"/>
  <c r="AJ405" i="4" s="1"/>
  <c r="AD401" i="4"/>
  <c r="AG401" i="4" s="1"/>
  <c r="AI401" i="4" s="1"/>
  <c r="AJ401" i="4" s="1"/>
  <c r="AD393" i="4"/>
  <c r="AG393" i="4" s="1"/>
  <c r="AI393" i="4" s="1"/>
  <c r="AJ393" i="4" s="1"/>
  <c r="AD371" i="4"/>
  <c r="AG371" i="4" s="1"/>
  <c r="AI371" i="4" s="1"/>
  <c r="AJ371" i="4" s="1"/>
  <c r="AD442" i="4"/>
  <c r="AG442" i="4" s="1"/>
  <c r="AI442" i="4" s="1"/>
  <c r="AJ442" i="4" s="1"/>
  <c r="AD424" i="4"/>
  <c r="AG424" i="4" s="1"/>
  <c r="AI424" i="4" s="1"/>
  <c r="AJ424" i="4" s="1"/>
  <c r="AD408" i="4"/>
  <c r="AG408" i="4" s="1"/>
  <c r="AI408" i="4" s="1"/>
  <c r="AJ408" i="4" s="1"/>
  <c r="AD403" i="4"/>
  <c r="AG403" i="4" s="1"/>
  <c r="AI403" i="4" s="1"/>
  <c r="AD384" i="4"/>
  <c r="AG384" i="4" s="1"/>
  <c r="AI384" i="4" s="1"/>
  <c r="AJ384" i="4" s="1"/>
  <c r="AD348" i="4"/>
  <c r="AG348" i="4" s="1"/>
  <c r="AI348" i="4" s="1"/>
  <c r="AD343" i="4"/>
  <c r="AG343" i="4" s="1"/>
  <c r="AI343" i="4" s="1"/>
  <c r="AD327" i="4"/>
  <c r="AG327" i="4" s="1"/>
  <c r="AI327" i="4" s="1"/>
  <c r="AJ327" i="4" s="1"/>
  <c r="AD303" i="4"/>
  <c r="AG303" i="4" s="1"/>
  <c r="AI303" i="4" s="1"/>
  <c r="AJ303" i="4" s="1"/>
  <c r="AD257" i="4"/>
  <c r="AG257" i="4" s="1"/>
  <c r="AI257" i="4" s="1"/>
  <c r="AJ257" i="4" s="1"/>
  <c r="AD256" i="4"/>
  <c r="AG256" i="4" s="1"/>
  <c r="AI256" i="4" s="1"/>
  <c r="AJ256" i="4" s="1"/>
  <c r="AD255" i="4"/>
  <c r="AG255" i="4" s="1"/>
  <c r="AI255" i="4" s="1"/>
  <c r="AJ255" i="4" s="1"/>
  <c r="AD253" i="4"/>
  <c r="AG253" i="4" s="1"/>
  <c r="AI253" i="4" s="1"/>
  <c r="AD231" i="4"/>
  <c r="AG231" i="4" s="1"/>
  <c r="AI231" i="4" s="1"/>
  <c r="AJ231" i="4" s="1"/>
  <c r="AD221" i="4"/>
  <c r="AG221" i="4" s="1"/>
  <c r="AI221" i="4" s="1"/>
  <c r="AD215" i="4"/>
  <c r="AG215" i="4" s="1"/>
  <c r="AI215" i="4" s="1"/>
  <c r="AD210" i="4"/>
  <c r="AG210" i="4" s="1"/>
  <c r="AI210" i="4" s="1"/>
  <c r="AJ210" i="4" s="1"/>
  <c r="AD205" i="4"/>
  <c r="AG205" i="4" s="1"/>
  <c r="AI205" i="4" s="1"/>
  <c r="AJ205" i="4" s="1"/>
  <c r="AD200" i="4"/>
  <c r="AG200" i="4" s="1"/>
  <c r="AI200" i="4" s="1"/>
  <c r="AD195" i="4"/>
  <c r="AG195" i="4" s="1"/>
  <c r="AI195" i="4" s="1"/>
  <c r="AJ195" i="4" s="1"/>
  <c r="AD190" i="4"/>
  <c r="AG190" i="4" s="1"/>
  <c r="AI190" i="4" s="1"/>
  <c r="AJ190" i="4" s="1"/>
  <c r="AD185" i="4"/>
  <c r="AG185" i="4" s="1"/>
  <c r="AI185" i="4" s="1"/>
  <c r="AJ185" i="4" s="1"/>
  <c r="AD180" i="4"/>
  <c r="AG180" i="4" s="1"/>
  <c r="AI180" i="4" s="1"/>
  <c r="AJ180" i="4" s="1"/>
  <c r="AD175" i="4"/>
  <c r="AG175" i="4" s="1"/>
  <c r="AI175" i="4" s="1"/>
  <c r="AJ175" i="4" s="1"/>
  <c r="AD355" i="4"/>
  <c r="AG355" i="4" s="1"/>
  <c r="AI355" i="4" s="1"/>
  <c r="AD312" i="4"/>
  <c r="AG312" i="4" s="1"/>
  <c r="AI312" i="4" s="1"/>
  <c r="AJ312" i="4" s="1"/>
  <c r="AD287" i="4"/>
  <c r="AG287" i="4" s="1"/>
  <c r="AI287" i="4" s="1"/>
  <c r="AJ287" i="4" s="1"/>
  <c r="AD230" i="4"/>
  <c r="AG230" i="4" s="1"/>
  <c r="AI230" i="4" s="1"/>
  <c r="AJ230" i="4" s="1"/>
  <c r="AD226" i="4"/>
  <c r="AG226" i="4" s="1"/>
  <c r="AI226" i="4" s="1"/>
  <c r="AD202" i="4"/>
  <c r="AG202" i="4" s="1"/>
  <c r="AI202" i="4" s="1"/>
  <c r="AJ202" i="4" s="1"/>
  <c r="AD157" i="4"/>
  <c r="AG157" i="4" s="1"/>
  <c r="AI157" i="4" s="1"/>
  <c r="AD140" i="4"/>
  <c r="AG140" i="4" s="1"/>
  <c r="AI140" i="4" s="1"/>
  <c r="AJ140" i="4" s="1"/>
  <c r="AD135" i="4"/>
  <c r="AG135" i="4" s="1"/>
  <c r="AI135" i="4" s="1"/>
  <c r="AJ135" i="4" s="1"/>
  <c r="AD130" i="4"/>
  <c r="AG130" i="4" s="1"/>
  <c r="AI130" i="4" s="1"/>
  <c r="AJ130" i="4" s="1"/>
  <c r="AD125" i="4"/>
  <c r="AG125" i="4" s="1"/>
  <c r="AI125" i="4" s="1"/>
  <c r="AJ125" i="4" s="1"/>
  <c r="AD120" i="4"/>
  <c r="AG120" i="4" s="1"/>
  <c r="AI120" i="4" s="1"/>
  <c r="AD115" i="4"/>
  <c r="AG115" i="4" s="1"/>
  <c r="AI115" i="4" s="1"/>
  <c r="AD110" i="4"/>
  <c r="AG110" i="4" s="1"/>
  <c r="AI110" i="4" s="1"/>
  <c r="AD105" i="4"/>
  <c r="AG105" i="4" s="1"/>
  <c r="AI105" i="4" s="1"/>
  <c r="AJ105" i="4" s="1"/>
  <c r="AD100" i="4"/>
  <c r="AG100" i="4" s="1"/>
  <c r="AI100" i="4" s="1"/>
  <c r="AJ100" i="4" s="1"/>
  <c r="AD95" i="4"/>
  <c r="AG95" i="4" s="1"/>
  <c r="AI95" i="4" s="1"/>
  <c r="AJ95" i="4" s="1"/>
  <c r="AD90" i="4"/>
  <c r="AG90" i="4" s="1"/>
  <c r="AI90" i="4" s="1"/>
  <c r="AD85" i="4"/>
  <c r="AG85" i="4" s="1"/>
  <c r="AI85" i="4" s="1"/>
  <c r="AJ85" i="4" s="1"/>
  <c r="AD80" i="4"/>
  <c r="AG80" i="4" s="1"/>
  <c r="AI80" i="4" s="1"/>
  <c r="AJ80" i="4" s="1"/>
  <c r="AD75" i="4"/>
  <c r="AG75" i="4" s="1"/>
  <c r="AI75" i="4" s="1"/>
  <c r="AJ75" i="4" s="1"/>
  <c r="AD70" i="4"/>
  <c r="AG70" i="4" s="1"/>
  <c r="AI70" i="4" s="1"/>
  <c r="AD65" i="4"/>
  <c r="AG65" i="4" s="1"/>
  <c r="AI65" i="4" s="1"/>
  <c r="AD60" i="4"/>
  <c r="AG60" i="4" s="1"/>
  <c r="AI60" i="4" s="1"/>
  <c r="AJ60" i="4" s="1"/>
  <c r="AD55" i="4"/>
  <c r="AG55" i="4" s="1"/>
  <c r="AI55" i="4" s="1"/>
  <c r="AJ55" i="4" s="1"/>
  <c r="AD50" i="4"/>
  <c r="AG50" i="4" s="1"/>
  <c r="AI50" i="4" s="1"/>
  <c r="AJ50" i="4" s="1"/>
  <c r="AD45" i="4"/>
  <c r="AG45" i="4" s="1"/>
  <c r="AI45" i="4" s="1"/>
  <c r="AJ45" i="4" s="1"/>
  <c r="AD338" i="4"/>
  <c r="AG338" i="4" s="1"/>
  <c r="AI338" i="4" s="1"/>
  <c r="AD317" i="4"/>
  <c r="AG317" i="4" s="1"/>
  <c r="AI317" i="4" s="1"/>
  <c r="AJ317" i="4" s="1"/>
  <c r="AD306" i="4"/>
  <c r="AG306" i="4" s="1"/>
  <c r="AI306" i="4" s="1"/>
  <c r="AJ306" i="4" s="1"/>
  <c r="AD297" i="4"/>
  <c r="AG297" i="4" s="1"/>
  <c r="AI297" i="4" s="1"/>
  <c r="AD295" i="4"/>
  <c r="AG295" i="4" s="1"/>
  <c r="AI295" i="4" s="1"/>
  <c r="AD293" i="4"/>
  <c r="AG293" i="4" s="1"/>
  <c r="AI293" i="4" s="1"/>
  <c r="AD291" i="4"/>
  <c r="AG291" i="4" s="1"/>
  <c r="AI291" i="4" s="1"/>
  <c r="AD285" i="4"/>
  <c r="AG285" i="4" s="1"/>
  <c r="AI285" i="4" s="1"/>
  <c r="AJ285" i="4" s="1"/>
  <c r="AD283" i="4"/>
  <c r="AG283" i="4" s="1"/>
  <c r="AI283" i="4" s="1"/>
  <c r="AD243" i="4"/>
  <c r="AG243" i="4" s="1"/>
  <c r="AI243" i="4" s="1"/>
  <c r="AD228" i="4"/>
  <c r="AG228" i="4" s="1"/>
  <c r="AI228" i="4" s="1"/>
  <c r="AJ228" i="4" s="1"/>
  <c r="AD199" i="4"/>
  <c r="AG199" i="4" s="1"/>
  <c r="AI199" i="4" s="1"/>
  <c r="AD196" i="4"/>
  <c r="AG196" i="4" s="1"/>
  <c r="AI196" i="4" s="1"/>
  <c r="AD171" i="4"/>
  <c r="AG171" i="4" s="1"/>
  <c r="AI171" i="4" s="1"/>
  <c r="AD164" i="4"/>
  <c r="AG164" i="4" s="1"/>
  <c r="AI164" i="4" s="1"/>
  <c r="AJ164" i="4" s="1"/>
  <c r="AD153" i="4"/>
  <c r="AG153" i="4" s="1"/>
  <c r="AI153" i="4" s="1"/>
  <c r="AJ153" i="4" s="1"/>
  <c r="AD150" i="4"/>
  <c r="AG150" i="4" s="1"/>
  <c r="AI150" i="4" s="1"/>
  <c r="AJ150" i="4" s="1"/>
  <c r="AD146" i="4"/>
  <c r="AG146" i="4" s="1"/>
  <c r="AI146" i="4" s="1"/>
  <c r="AD341" i="4"/>
  <c r="AG341" i="4" s="1"/>
  <c r="AI341" i="4" s="1"/>
  <c r="AD232" i="4"/>
  <c r="AG232" i="4" s="1"/>
  <c r="AI232" i="4" s="1"/>
  <c r="AD212" i="4"/>
  <c r="AG212" i="4" s="1"/>
  <c r="AI212" i="4" s="1"/>
  <c r="AJ212" i="4" s="1"/>
  <c r="AD187" i="4"/>
  <c r="AG187" i="4" s="1"/>
  <c r="AI187" i="4" s="1"/>
  <c r="AJ187" i="4" s="1"/>
  <c r="AD167" i="4"/>
  <c r="AG167" i="4" s="1"/>
  <c r="AI167" i="4" s="1"/>
  <c r="AJ167" i="4" s="1"/>
  <c r="AD247" i="4"/>
  <c r="AG247" i="4" s="1"/>
  <c r="AI247" i="4" s="1"/>
  <c r="AD246" i="4"/>
  <c r="AG246" i="4" s="1"/>
  <c r="AI246" i="4" s="1"/>
  <c r="AJ246" i="4" s="1"/>
  <c r="AD242" i="4"/>
  <c r="AG242" i="4" s="1"/>
  <c r="AI242" i="4" s="1"/>
  <c r="AD209" i="4"/>
  <c r="AG209" i="4" s="1"/>
  <c r="AI209" i="4" s="1"/>
  <c r="AD206" i="4"/>
  <c r="AG206" i="4" s="1"/>
  <c r="AI206" i="4" s="1"/>
  <c r="AD163" i="4"/>
  <c r="AG163" i="4" s="1"/>
  <c r="AI163" i="4" s="1"/>
  <c r="AJ163" i="4" s="1"/>
  <c r="AD160" i="4"/>
  <c r="AG160" i="4" s="1"/>
  <c r="AI160" i="4" s="1"/>
  <c r="AJ160" i="4" s="1"/>
  <c r="AD156" i="4"/>
  <c r="AD149" i="4"/>
  <c r="AG149" i="4" s="1"/>
  <c r="AI149" i="4" s="1"/>
  <c r="AJ149" i="4" s="1"/>
  <c r="AD361" i="4"/>
  <c r="AG361" i="4" s="1"/>
  <c r="AI361" i="4" s="1"/>
  <c r="AJ361" i="4" s="1"/>
  <c r="AD330" i="4"/>
  <c r="AG330" i="4" s="1"/>
  <c r="AI330" i="4" s="1"/>
  <c r="AJ330" i="4" s="1"/>
  <c r="AD301" i="4"/>
  <c r="AG301" i="4" s="1"/>
  <c r="AI301" i="4" s="1"/>
  <c r="AJ301" i="4" s="1"/>
  <c r="AD270" i="4"/>
  <c r="AG270" i="4" s="1"/>
  <c r="AI270" i="4" s="1"/>
  <c r="AJ270" i="4" s="1"/>
  <c r="AD250" i="4"/>
  <c r="AG250" i="4" s="1"/>
  <c r="AI250" i="4" s="1"/>
  <c r="AJ250" i="4" s="1"/>
  <c r="AD248" i="4"/>
  <c r="AG248" i="4" s="1"/>
  <c r="AI248" i="4" s="1"/>
  <c r="AD236" i="4"/>
  <c r="AG236" i="4" s="1"/>
  <c r="AI236" i="4" s="1"/>
  <c r="AJ236" i="4" s="1"/>
  <c r="AD223" i="4"/>
  <c r="AG223" i="4" s="1"/>
  <c r="AI223" i="4" s="1"/>
  <c r="AJ223" i="4" s="1"/>
  <c r="AD197" i="4"/>
  <c r="AG197" i="4" s="1"/>
  <c r="AI197" i="4" s="1"/>
  <c r="AJ197" i="4" s="1"/>
  <c r="AD152" i="4"/>
  <c r="AG152" i="4" s="1"/>
  <c r="AI152" i="4" s="1"/>
  <c r="AJ152" i="4" s="1"/>
  <c r="AD345" i="4"/>
  <c r="AG345" i="4" s="1"/>
  <c r="AI345" i="4" s="1"/>
  <c r="AD368" i="4"/>
  <c r="AG368" i="4" s="1"/>
  <c r="AI368" i="4" s="1"/>
  <c r="AD332" i="4"/>
  <c r="AG332" i="4" s="1"/>
  <c r="AI332" i="4" s="1"/>
  <c r="AD344" i="4"/>
  <c r="AG344" i="4" s="1"/>
  <c r="AI344" i="4" s="1"/>
  <c r="AJ344" i="4" s="1"/>
  <c r="AD358" i="4"/>
  <c r="AG358" i="4" s="1"/>
  <c r="AI358" i="4" s="1"/>
  <c r="AJ358" i="4" s="1"/>
  <c r="AD326" i="4"/>
  <c r="AG326" i="4" s="1"/>
  <c r="AI326" i="4" s="1"/>
  <c r="AD315" i="4"/>
  <c r="AG315" i="4" s="1"/>
  <c r="AI315" i="4" s="1"/>
  <c r="AJ315" i="4" s="1"/>
  <c r="AD300" i="4"/>
  <c r="AG300" i="4" s="1"/>
  <c r="AI300" i="4" s="1"/>
  <c r="AJ300" i="4" s="1"/>
  <c r="AD323" i="4"/>
  <c r="AG323" i="4" s="1"/>
  <c r="AI323" i="4" s="1"/>
  <c r="AJ323" i="4" s="1"/>
  <c r="AD321" i="4"/>
  <c r="AG321" i="4" s="1"/>
  <c r="AI321" i="4" s="1"/>
  <c r="AJ321" i="4" s="1"/>
  <c r="AD318" i="4"/>
  <c r="AG318" i="4" s="1"/>
  <c r="AI318" i="4" s="1"/>
  <c r="AD302" i="4"/>
  <c r="AG302" i="4" s="1"/>
  <c r="AI302" i="4" s="1"/>
  <c r="AJ302" i="4" s="1"/>
  <c r="AD272" i="4"/>
  <c r="AG272" i="4" s="1"/>
  <c r="AI272" i="4" s="1"/>
  <c r="AD268" i="4"/>
  <c r="AG268" i="4" s="1"/>
  <c r="AI268" i="4" s="1"/>
  <c r="AD235" i="4"/>
  <c r="AG235" i="4" s="1"/>
  <c r="AI235" i="4" s="1"/>
  <c r="AJ235" i="4" s="1"/>
  <c r="AD214" i="4"/>
  <c r="AG214" i="4" s="1"/>
  <c r="AI214" i="4" s="1"/>
  <c r="AJ214" i="4" s="1"/>
  <c r="AD211" i="4"/>
  <c r="AG211" i="4" s="1"/>
  <c r="AI211" i="4" s="1"/>
  <c r="AJ211" i="4" s="1"/>
  <c r="AD189" i="4"/>
  <c r="AG189" i="4" s="1"/>
  <c r="AI189" i="4" s="1"/>
  <c r="AD186" i="4"/>
  <c r="AG186" i="4" s="1"/>
  <c r="AI186" i="4" s="1"/>
  <c r="AJ186" i="4" s="1"/>
  <c r="AD168" i="4"/>
  <c r="AG168" i="4" s="1"/>
  <c r="AI168" i="4" s="1"/>
  <c r="AJ168" i="4" s="1"/>
  <c r="AD165" i="4"/>
  <c r="AG165" i="4" s="1"/>
  <c r="AI165" i="4" s="1"/>
  <c r="AD161" i="4"/>
  <c r="AD154" i="4"/>
  <c r="AD143" i="4"/>
  <c r="AG143" i="4" s="1"/>
  <c r="AI143" i="4" s="1"/>
  <c r="AD12" i="4"/>
  <c r="AG12" i="4" s="1"/>
  <c r="AI12" i="4" s="1"/>
  <c r="X13" i="4"/>
  <c r="R14" i="4"/>
  <c r="AD17" i="4"/>
  <c r="AG17" i="4" s="1"/>
  <c r="AI17" i="4" s="1"/>
  <c r="AJ17" i="4" s="1"/>
  <c r="X18" i="4"/>
  <c r="R19" i="4"/>
  <c r="AD22" i="4"/>
  <c r="AG22" i="4" s="1"/>
  <c r="AI22" i="4" s="1"/>
  <c r="AJ22" i="4" s="1"/>
  <c r="X23" i="4"/>
  <c r="R24" i="4"/>
  <c r="AD27" i="4"/>
  <c r="AG27" i="4" s="1"/>
  <c r="AI27" i="4" s="1"/>
  <c r="AJ27" i="4" s="1"/>
  <c r="X28" i="4"/>
  <c r="R29" i="4"/>
  <c r="AD32" i="4"/>
  <c r="AG32" i="4" s="1"/>
  <c r="AI32" i="4" s="1"/>
  <c r="AJ32" i="4" s="1"/>
  <c r="X33" i="4"/>
  <c r="R34" i="4"/>
  <c r="AD37" i="4"/>
  <c r="AG37" i="4" s="1"/>
  <c r="AI37" i="4" s="1"/>
  <c r="AJ37" i="4" s="1"/>
  <c r="X38" i="4"/>
  <c r="R39" i="4"/>
  <c r="AD42" i="4"/>
  <c r="AG42" i="4" s="1"/>
  <c r="AI42" i="4" s="1"/>
  <c r="X43" i="4"/>
  <c r="R44" i="4"/>
  <c r="AD47" i="4"/>
  <c r="AG47" i="4" s="1"/>
  <c r="AI47" i="4" s="1"/>
  <c r="AJ47" i="4" s="1"/>
  <c r="X52" i="4"/>
  <c r="R54" i="4"/>
  <c r="AD57" i="4"/>
  <c r="AG57" i="4" s="1"/>
  <c r="AI57" i="4" s="1"/>
  <c r="AJ57" i="4" s="1"/>
  <c r="X62" i="4"/>
  <c r="R64" i="4"/>
  <c r="AD67" i="4"/>
  <c r="AG67" i="4" s="1"/>
  <c r="AI67" i="4" s="1"/>
  <c r="X72" i="4"/>
  <c r="X83" i="4"/>
  <c r="X87" i="4"/>
  <c r="X89" i="4"/>
  <c r="X90" i="4"/>
  <c r="AD92" i="4"/>
  <c r="AG92" i="4" s="1"/>
  <c r="AI92" i="4" s="1"/>
  <c r="AJ92" i="4" s="1"/>
  <c r="X94" i="4"/>
  <c r="AD101" i="4"/>
  <c r="AG101" i="4" s="1"/>
  <c r="AI101" i="4" s="1"/>
  <c r="R104" i="4"/>
  <c r="AD104" i="4"/>
  <c r="AG104" i="4" s="1"/>
  <c r="AI104" i="4" s="1"/>
  <c r="AD113" i="4"/>
  <c r="AG113" i="4" s="1"/>
  <c r="AI113" i="4" s="1"/>
  <c r="R116" i="4"/>
  <c r="X123" i="4"/>
  <c r="R125" i="4"/>
  <c r="R128" i="4"/>
  <c r="AD134" i="4"/>
  <c r="AG134" i="4" s="1"/>
  <c r="AI134" i="4" s="1"/>
  <c r="AJ134" i="4" s="1"/>
  <c r="AD139" i="4"/>
  <c r="AG139" i="4" s="1"/>
  <c r="AI139" i="4" s="1"/>
  <c r="AJ139" i="4" s="1"/>
  <c r="X144" i="4"/>
  <c r="R151" i="4"/>
  <c r="R152" i="4"/>
  <c r="R153" i="4"/>
  <c r="AD158" i="4"/>
  <c r="AG158" i="4" s="1"/>
  <c r="AI158" i="4" s="1"/>
  <c r="AJ158" i="4" s="1"/>
  <c r="AD159" i="4"/>
  <c r="AG159" i="4" s="1"/>
  <c r="AI159" i="4" s="1"/>
  <c r="AJ159" i="4" s="1"/>
  <c r="X161" i="4"/>
  <c r="R173" i="4"/>
  <c r="R179" i="4"/>
  <c r="R181" i="4"/>
  <c r="AD182" i="4"/>
  <c r="AG182" i="4" s="1"/>
  <c r="AI182" i="4" s="1"/>
  <c r="AJ182" i="4" s="1"/>
  <c r="R183" i="4"/>
  <c r="AD194" i="4"/>
  <c r="AG194" i="4" s="1"/>
  <c r="AI194" i="4" s="1"/>
  <c r="AJ194" i="4" s="1"/>
  <c r="R198" i="4"/>
  <c r="R204" i="4"/>
  <c r="R220" i="4"/>
  <c r="X234" i="4"/>
  <c r="R235" i="4"/>
  <c r="X238" i="4"/>
  <c r="R239" i="4"/>
  <c r="R244" i="4"/>
  <c r="X269" i="4"/>
  <c r="R272" i="4"/>
  <c r="AB190" i="4"/>
  <c r="AB215" i="4"/>
  <c r="AB221" i="4"/>
  <c r="AC221" i="4" s="1"/>
  <c r="AG59" i="4" l="1"/>
  <c r="AI59" i="4" s="1"/>
  <c r="S279" i="4"/>
  <c r="U279" i="4" s="1"/>
  <c r="S41" i="4"/>
  <c r="U41" i="4" s="1"/>
  <c r="V41" i="4" s="1"/>
  <c r="S228" i="4"/>
  <c r="U228" i="4" s="1"/>
  <c r="S278" i="4"/>
  <c r="U278" i="4" s="1"/>
  <c r="S501" i="4"/>
  <c r="U501" i="4" s="1"/>
  <c r="S544" i="4"/>
  <c r="U544" i="4" s="1"/>
  <c r="S539" i="4"/>
  <c r="U539" i="4" s="1"/>
  <c r="S703" i="4"/>
  <c r="U703" i="4" s="1"/>
  <c r="S1011" i="4"/>
  <c r="U1011" i="4" s="1"/>
  <c r="S227" i="4"/>
  <c r="U227" i="4" s="1"/>
  <c r="S154" i="4"/>
  <c r="U154" i="4" s="1"/>
  <c r="S305" i="4"/>
  <c r="U305" i="4" s="1"/>
  <c r="S265" i="4"/>
  <c r="U265" i="4" s="1"/>
  <c r="S407" i="4"/>
  <c r="U407" i="4" s="1"/>
  <c r="S589" i="4"/>
  <c r="U589" i="4" s="1"/>
  <c r="S698" i="4"/>
  <c r="U698" i="4" s="1"/>
  <c r="S655" i="4"/>
  <c r="U655" i="4" s="1"/>
  <c r="S714" i="4"/>
  <c r="U714" i="4" s="1"/>
  <c r="S869" i="4"/>
  <c r="U869" i="4" s="1"/>
  <c r="S981" i="4"/>
  <c r="U981" i="4" s="1"/>
  <c r="AG20" i="4"/>
  <c r="AI20" i="4" s="1"/>
  <c r="Z75" i="4"/>
  <c r="AB75" i="4" s="1"/>
  <c r="AG36" i="4"/>
  <c r="AI36" i="4" s="1"/>
  <c r="AG28" i="4"/>
  <c r="AI28" i="4" s="1"/>
  <c r="AG34" i="4"/>
  <c r="AI34" i="4" s="1"/>
  <c r="AJ34" i="4" s="1"/>
  <c r="L101" i="4"/>
  <c r="N101" i="4" s="1"/>
  <c r="O101" i="4" s="1"/>
  <c r="AC30" i="4"/>
  <c r="Z105" i="4"/>
  <c r="AB105" i="4" s="1"/>
  <c r="Z242" i="4"/>
  <c r="AB242" i="4" s="1"/>
  <c r="L44" i="4"/>
  <c r="N44" i="4" s="1"/>
  <c r="AJ49" i="4"/>
  <c r="AJ242" i="4"/>
  <c r="AJ65" i="4"/>
  <c r="AJ343" i="4"/>
  <c r="AJ311" i="4"/>
  <c r="AJ386" i="4"/>
  <c r="AJ425" i="4"/>
  <c r="AJ264" i="4"/>
  <c r="AJ428" i="4"/>
  <c r="AJ719" i="4"/>
  <c r="AJ705" i="4"/>
  <c r="AJ750" i="4"/>
  <c r="AJ745" i="4"/>
  <c r="AJ870" i="4"/>
  <c r="AJ901" i="4"/>
  <c r="AJ924" i="4"/>
  <c r="AJ946" i="4"/>
  <c r="S61" i="4"/>
  <c r="U61" i="4" s="1"/>
  <c r="S68" i="4"/>
  <c r="U68" i="4" s="1"/>
  <c r="V68" i="4" s="1"/>
  <c r="S190" i="4"/>
  <c r="U190" i="4" s="1"/>
  <c r="S332" i="4"/>
  <c r="U332" i="4" s="1"/>
  <c r="S410" i="4"/>
  <c r="U410" i="4" s="1"/>
  <c r="S348" i="4"/>
  <c r="U348" i="4" s="1"/>
  <c r="S690" i="4"/>
  <c r="U690" i="4" s="1"/>
  <c r="S682" i="4"/>
  <c r="U682" i="4" s="1"/>
  <c r="S665" i="4"/>
  <c r="U665" i="4" s="1"/>
  <c r="S724" i="4"/>
  <c r="U724" i="4" s="1"/>
  <c r="AG68" i="4"/>
  <c r="AI68" i="4" s="1"/>
  <c r="L49" i="4"/>
  <c r="N49" i="4" s="1"/>
  <c r="E27" i="4"/>
  <c r="G27" i="4" s="1"/>
  <c r="L36" i="4"/>
  <c r="N36" i="4" s="1"/>
  <c r="AG82" i="4"/>
  <c r="AI82" i="4" s="1"/>
  <c r="AJ707" i="4"/>
  <c r="AJ743" i="4"/>
  <c r="AJ842" i="4"/>
  <c r="AJ157" i="4"/>
  <c r="AJ244" i="4"/>
  <c r="Z58" i="4"/>
  <c r="AB58" i="4" s="1"/>
  <c r="AC58" i="4" s="1"/>
  <c r="AJ537" i="4"/>
  <c r="AJ536" i="4"/>
  <c r="AJ721" i="4"/>
  <c r="AJ846" i="4"/>
  <c r="AJ809" i="4"/>
  <c r="S623" i="4"/>
  <c r="U623" i="4" s="1"/>
  <c r="S760" i="4"/>
  <c r="U760" i="4" s="1"/>
  <c r="L33" i="4"/>
  <c r="N33" i="4" s="1"/>
  <c r="O33" i="4" s="1"/>
  <c r="S78" i="4"/>
  <c r="U78" i="4" s="1"/>
  <c r="AJ199" i="4"/>
  <c r="AJ322" i="4"/>
  <c r="AJ565" i="4"/>
  <c r="AJ554" i="4"/>
  <c r="AJ722" i="4"/>
  <c r="AJ686" i="4"/>
  <c r="AJ770" i="4"/>
  <c r="AJ736" i="4"/>
  <c r="AJ942" i="4"/>
  <c r="AJ969" i="4"/>
  <c r="S70" i="4"/>
  <c r="U70" i="4" s="1"/>
  <c r="V70" i="4" s="1"/>
  <c r="S186" i="4"/>
  <c r="U186" i="4" s="1"/>
  <c r="V186" i="4" s="1"/>
  <c r="S425" i="4"/>
  <c r="U425" i="4" s="1"/>
  <c r="S401" i="4"/>
  <c r="U401" i="4" s="1"/>
  <c r="S469" i="4"/>
  <c r="U469" i="4" s="1"/>
  <c r="S522" i="4"/>
  <c r="U522" i="4" s="1"/>
  <c r="S634" i="4"/>
  <c r="U634" i="4" s="1"/>
  <c r="S737" i="4"/>
  <c r="U737" i="4" s="1"/>
  <c r="S816" i="4"/>
  <c r="U816" i="4" s="1"/>
  <c r="S796" i="4"/>
  <c r="U796" i="4" s="1"/>
  <c r="S845" i="4"/>
  <c r="U845" i="4" s="1"/>
  <c r="S945" i="4"/>
  <c r="U945" i="4" s="1"/>
  <c r="S993" i="4"/>
  <c r="U993" i="4" s="1"/>
  <c r="S1001" i="4"/>
  <c r="U1001" i="4" s="1"/>
  <c r="S997" i="4"/>
  <c r="U997" i="4" s="1"/>
  <c r="Z110" i="4"/>
  <c r="AB110" i="4" s="1"/>
  <c r="AJ165" i="4"/>
  <c r="AJ318" i="4"/>
  <c r="AJ359" i="4"/>
  <c r="AJ360" i="4"/>
  <c r="AJ519" i="4"/>
  <c r="AJ915" i="4"/>
  <c r="AJ862" i="4"/>
  <c r="AJ298" i="4"/>
  <c r="S103" i="4"/>
  <c r="U103" i="4" s="1"/>
  <c r="V103" i="4" s="1"/>
  <c r="S163" i="4"/>
  <c r="U163" i="4" s="1"/>
  <c r="S232" i="4"/>
  <c r="U232" i="4" s="1"/>
  <c r="S415" i="4"/>
  <c r="U415" i="4" s="1"/>
  <c r="S308" i="4"/>
  <c r="U308" i="4" s="1"/>
  <c r="AJ131" i="4"/>
  <c r="S177" i="4"/>
  <c r="U177" i="4" s="1"/>
  <c r="AJ334" i="4"/>
  <c r="AJ90" i="4"/>
  <c r="AJ410" i="4"/>
  <c r="AJ239" i="4"/>
  <c r="AJ653" i="4"/>
  <c r="S319" i="4"/>
  <c r="U319" i="4" s="1"/>
  <c r="S235" i="4"/>
  <c r="U235" i="4" s="1"/>
  <c r="S412" i="4"/>
  <c r="U412" i="4" s="1"/>
  <c r="S429" i="4"/>
  <c r="U429" i="4" s="1"/>
  <c r="S924" i="4"/>
  <c r="U924" i="4" s="1"/>
  <c r="AJ232" i="4"/>
  <c r="AJ331" i="4"/>
  <c r="AJ475" i="4"/>
  <c r="AJ409" i="4"/>
  <c r="AJ564" i="4"/>
  <c r="AJ606" i="4"/>
  <c r="AJ670" i="4"/>
  <c r="AJ1007" i="4"/>
  <c r="S266" i="4"/>
  <c r="U266" i="4" s="1"/>
  <c r="S395" i="4"/>
  <c r="U395" i="4" s="1"/>
  <c r="S354" i="4"/>
  <c r="U354" i="4" s="1"/>
  <c r="S552" i="4"/>
  <c r="U552" i="4" s="1"/>
  <c r="S554" i="4"/>
  <c r="U554" i="4" s="1"/>
  <c r="S721" i="4"/>
  <c r="U721" i="4" s="1"/>
  <c r="S745" i="4"/>
  <c r="U745" i="4" s="1"/>
  <c r="S794" i="4"/>
  <c r="U794" i="4" s="1"/>
  <c r="S857" i="4"/>
  <c r="U857" i="4" s="1"/>
  <c r="AJ326" i="4"/>
  <c r="AJ282" i="4"/>
  <c r="AJ248" i="4"/>
  <c r="AJ414" i="4"/>
  <c r="AJ668" i="4"/>
  <c r="AJ711" i="4"/>
  <c r="AJ863" i="4"/>
  <c r="AJ866" i="4"/>
  <c r="S155" i="4"/>
  <c r="U155" i="4" s="1"/>
  <c r="AJ209" i="4"/>
  <c r="AJ697" i="4"/>
  <c r="AJ713" i="4"/>
  <c r="AJ699" i="4"/>
  <c r="AJ800" i="4"/>
  <c r="AJ796" i="4"/>
  <c r="AJ892" i="4"/>
  <c r="S285" i="4"/>
  <c r="U285" i="4" s="1"/>
  <c r="S153" i="4"/>
  <c r="U153" i="4" s="1"/>
  <c r="S592" i="4"/>
  <c r="U592" i="4" s="1"/>
  <c r="S497" i="4"/>
  <c r="U497" i="4" s="1"/>
  <c r="S579" i="4"/>
  <c r="U579" i="4" s="1"/>
  <c r="S669" i="4"/>
  <c r="U669" i="4" s="1"/>
  <c r="S615" i="4"/>
  <c r="U615" i="4" s="1"/>
  <c r="S895" i="4"/>
  <c r="U895" i="4" s="1"/>
  <c r="S938" i="4"/>
  <c r="U938" i="4" s="1"/>
  <c r="E94" i="4"/>
  <c r="G94" i="4" s="1"/>
  <c r="H94" i="4" s="1"/>
  <c r="AJ113" i="4"/>
  <c r="AJ42" i="4"/>
  <c r="AJ272" i="4"/>
  <c r="AJ332" i="4"/>
  <c r="AJ295" i="4"/>
  <c r="AJ348" i="4"/>
  <c r="AJ320" i="4"/>
  <c r="AJ208" i="4"/>
  <c r="AJ313" i="4"/>
  <c r="AJ469" i="4"/>
  <c r="AJ553" i="4"/>
  <c r="AJ575" i="4"/>
  <c r="AJ392" i="4"/>
  <c r="AJ488" i="4"/>
  <c r="AJ509" i="4"/>
  <c r="AJ527" i="4"/>
  <c r="AJ597" i="4"/>
  <c r="AJ645" i="4"/>
  <c r="AJ727" i="4"/>
  <c r="AJ762" i="4"/>
  <c r="AJ797" i="4"/>
  <c r="AJ819" i="4"/>
  <c r="AJ886" i="4"/>
  <c r="AJ962" i="4"/>
  <c r="AJ974" i="4"/>
  <c r="AJ997" i="4"/>
  <c r="S316" i="4"/>
  <c r="U316" i="4" s="1"/>
  <c r="S414" i="4"/>
  <c r="U414" i="4" s="1"/>
  <c r="S386" i="4"/>
  <c r="U386" i="4" s="1"/>
  <c r="S441" i="4"/>
  <c r="U441" i="4" s="1"/>
  <c r="S922" i="4"/>
  <c r="U922" i="4" s="1"/>
  <c r="S956" i="4"/>
  <c r="U956" i="4" s="1"/>
  <c r="Z73" i="4"/>
  <c r="AB73" i="4" s="1"/>
  <c r="AJ268" i="4"/>
  <c r="AJ416" i="4"/>
  <c r="AJ584" i="4"/>
  <c r="S452" i="4"/>
  <c r="U452" i="4" s="1"/>
  <c r="S581" i="4"/>
  <c r="U581" i="4" s="1"/>
  <c r="S701" i="4"/>
  <c r="U701" i="4" s="1"/>
  <c r="S903" i="4"/>
  <c r="U903" i="4" s="1"/>
  <c r="AG30" i="4"/>
  <c r="AI30" i="4" s="1"/>
  <c r="AG147" i="4"/>
  <c r="AI147" i="4" s="1"/>
  <c r="Z77" i="4"/>
  <c r="AB77" i="4" s="1"/>
  <c r="Z128" i="4"/>
  <c r="AB128" i="4" s="1"/>
  <c r="Z119" i="4"/>
  <c r="AB119" i="4" s="1"/>
  <c r="L48" i="4"/>
  <c r="N48" i="4" s="1"/>
  <c r="O48" i="4" s="1"/>
  <c r="V115" i="4"/>
  <c r="V60" i="4"/>
  <c r="S47" i="4"/>
  <c r="U47" i="4" s="1"/>
  <c r="L29" i="4"/>
  <c r="N29" i="4" s="1"/>
  <c r="AG86" i="4"/>
  <c r="AI86" i="4" s="1"/>
  <c r="S48" i="4"/>
  <c r="U48" i="4" s="1"/>
  <c r="V48" i="4" s="1"/>
  <c r="S161" i="4"/>
  <c r="U161" i="4" s="1"/>
  <c r="S375" i="4"/>
  <c r="U375" i="4" s="1"/>
  <c r="S572" i="4"/>
  <c r="U572" i="4" s="1"/>
  <c r="S333" i="4"/>
  <c r="U333" i="4" s="1"/>
  <c r="S541" i="4"/>
  <c r="U541" i="4" s="1"/>
  <c r="S705" i="4"/>
  <c r="U705" i="4" s="1"/>
  <c r="S629" i="4"/>
  <c r="U629" i="4" s="1"/>
  <c r="S891" i="4"/>
  <c r="U891" i="4" s="1"/>
  <c r="S990" i="4"/>
  <c r="U990" i="4" s="1"/>
  <c r="S1000" i="4"/>
  <c r="U1000" i="4" s="1"/>
  <c r="Z17" i="4"/>
  <c r="AB17" i="4" s="1"/>
  <c r="Z153" i="4"/>
  <c r="AB153" i="4" s="1"/>
  <c r="AC153" i="4" s="1"/>
  <c r="AG41" i="4"/>
  <c r="AI41" i="4" s="1"/>
  <c r="Z149" i="4"/>
  <c r="AB149" i="4" s="1"/>
  <c r="AG35" i="4"/>
  <c r="AI35" i="4" s="1"/>
  <c r="AG61" i="4"/>
  <c r="AI61" i="4" s="1"/>
  <c r="AG43" i="4"/>
  <c r="AI43" i="4" s="1"/>
  <c r="AJ43" i="4" s="1"/>
  <c r="E51" i="4"/>
  <c r="G51" i="4" s="1"/>
  <c r="H14" i="4"/>
  <c r="AG40" i="4"/>
  <c r="AI40" i="4" s="1"/>
  <c r="S180" i="4"/>
  <c r="U180" i="4" s="1"/>
  <c r="V180" i="4" s="1"/>
  <c r="S840" i="4"/>
  <c r="U840" i="4" s="1"/>
  <c r="S791" i="4"/>
  <c r="U791" i="4" s="1"/>
  <c r="S928" i="4"/>
  <c r="U928" i="4" s="1"/>
  <c r="S88" i="4"/>
  <c r="U88" i="4" s="1"/>
  <c r="V88" i="4" s="1"/>
  <c r="Z114" i="4"/>
  <c r="AB114" i="4" s="1"/>
  <c r="S201" i="4"/>
  <c r="U201" i="4" s="1"/>
  <c r="S248" i="4"/>
  <c r="U248" i="4" s="1"/>
  <c r="S498" i="4"/>
  <c r="U498" i="4" s="1"/>
  <c r="S528" i="4"/>
  <c r="U528" i="4" s="1"/>
  <c r="S480" i="4"/>
  <c r="U480" i="4" s="1"/>
  <c r="S532" i="4"/>
  <c r="U532" i="4" s="1"/>
  <c r="S578" i="4"/>
  <c r="U578" i="4" s="1"/>
  <c r="S784" i="4"/>
  <c r="U784" i="4" s="1"/>
  <c r="S759" i="4"/>
  <c r="U759" i="4" s="1"/>
  <c r="S795" i="4"/>
  <c r="U795" i="4" s="1"/>
  <c r="S862" i="4"/>
  <c r="U862" i="4" s="1"/>
  <c r="S910" i="4"/>
  <c r="U910" i="4" s="1"/>
  <c r="S927" i="4"/>
  <c r="U927" i="4" s="1"/>
  <c r="E74" i="4"/>
  <c r="G74" i="4" s="1"/>
  <c r="Z64" i="4"/>
  <c r="AB64" i="4" s="1"/>
  <c r="AG117" i="4"/>
  <c r="AI117" i="4" s="1"/>
  <c r="AG23" i="4"/>
  <c r="AI23" i="4" s="1"/>
  <c r="AJ23" i="4" s="1"/>
  <c r="S350" i="4"/>
  <c r="U350" i="4" s="1"/>
  <c r="S298" i="4"/>
  <c r="U298" i="4" s="1"/>
  <c r="S527" i="4"/>
  <c r="U527" i="4" s="1"/>
  <c r="V527" i="4" s="1"/>
  <c r="S691" i="4"/>
  <c r="U691" i="4" s="1"/>
  <c r="S770" i="4"/>
  <c r="U770" i="4" s="1"/>
  <c r="S894" i="4"/>
  <c r="U894" i="4" s="1"/>
  <c r="AJ29" i="4"/>
  <c r="AJ482" i="4"/>
  <c r="S206" i="4"/>
  <c r="U206" i="4" s="1"/>
  <c r="S420" i="4"/>
  <c r="U420" i="4" s="1"/>
  <c r="S313" i="4"/>
  <c r="U313" i="4" s="1"/>
  <c r="S471" i="4"/>
  <c r="U471" i="4" s="1"/>
  <c r="S564" i="4"/>
  <c r="U564" i="4" s="1"/>
  <c r="V564" i="4" s="1"/>
  <c r="S597" i="4"/>
  <c r="U597" i="4" s="1"/>
  <c r="S716" i="4"/>
  <c r="U716" i="4" s="1"/>
  <c r="S875" i="4"/>
  <c r="U875" i="4" s="1"/>
  <c r="AG94" i="4"/>
  <c r="AI94" i="4" s="1"/>
  <c r="AJ258" i="4"/>
  <c r="AJ535" i="4"/>
  <c r="AJ206" i="4"/>
  <c r="AJ226" i="4"/>
  <c r="AJ200" i="4"/>
  <c r="AJ532" i="4"/>
  <c r="AJ411" i="4"/>
  <c r="AJ467" i="4"/>
  <c r="AJ492" i="4"/>
  <c r="AJ473" i="4"/>
  <c r="AJ566" i="4"/>
  <c r="AJ760" i="4"/>
  <c r="AJ747" i="4"/>
  <c r="AJ912" i="4"/>
  <c r="AJ953" i="4"/>
  <c r="AJ1000" i="4"/>
  <c r="AJ238" i="4"/>
  <c r="S198" i="4"/>
  <c r="U198" i="4" s="1"/>
  <c r="S122" i="4"/>
  <c r="U122" i="4" s="1"/>
  <c r="S240" i="4"/>
  <c r="U240" i="4" s="1"/>
  <c r="S241" i="4"/>
  <c r="U241" i="4" s="1"/>
  <c r="S290" i="4"/>
  <c r="U290" i="4" s="1"/>
  <c r="S246" i="4"/>
  <c r="U246" i="4" s="1"/>
  <c r="S230" i="4"/>
  <c r="U230" i="4" s="1"/>
  <c r="S74" i="4"/>
  <c r="U74" i="4" s="1"/>
  <c r="S124" i="4"/>
  <c r="U124" i="4" s="1"/>
  <c r="V124" i="4" s="1"/>
  <c r="S205" i="4"/>
  <c r="U205" i="4" s="1"/>
  <c r="S451" i="4"/>
  <c r="U451" i="4" s="1"/>
  <c r="S255" i="4"/>
  <c r="U255" i="4" s="1"/>
  <c r="S455" i="4"/>
  <c r="U455" i="4" s="1"/>
  <c r="V455" i="4" s="1"/>
  <c r="S268" i="4"/>
  <c r="U268" i="4" s="1"/>
  <c r="S494" i="4"/>
  <c r="U494" i="4" s="1"/>
  <c r="S356" i="4"/>
  <c r="U356" i="4" s="1"/>
  <c r="S488" i="4"/>
  <c r="U488" i="4" s="1"/>
  <c r="S529" i="4"/>
  <c r="U529" i="4" s="1"/>
  <c r="S567" i="4"/>
  <c r="U567" i="4" s="1"/>
  <c r="S500" i="4"/>
  <c r="U500" i="4" s="1"/>
  <c r="S604" i="4"/>
  <c r="U604" i="4" s="1"/>
  <c r="S697" i="4"/>
  <c r="U697" i="4" s="1"/>
  <c r="S548" i="4"/>
  <c r="U548" i="4" s="1"/>
  <c r="V548" i="4" s="1"/>
  <c r="S606" i="4"/>
  <c r="U606" i="4" s="1"/>
  <c r="S667" i="4"/>
  <c r="U667" i="4" s="1"/>
  <c r="S718" i="4"/>
  <c r="U718" i="4" s="1"/>
  <c r="S695" i="4"/>
  <c r="U695" i="4" s="1"/>
  <c r="S863" i="4"/>
  <c r="U863" i="4" s="1"/>
  <c r="V863" i="4" s="1"/>
  <c r="S824" i="4"/>
  <c r="U824" i="4" s="1"/>
  <c r="S847" i="4"/>
  <c r="U847" i="4" s="1"/>
  <c r="S940" i="4"/>
  <c r="U940" i="4" s="1"/>
  <c r="S923" i="4"/>
  <c r="U923" i="4" s="1"/>
  <c r="S902" i="4"/>
  <c r="U902" i="4" s="1"/>
  <c r="V902" i="4" s="1"/>
  <c r="S962" i="4"/>
  <c r="U962" i="4" s="1"/>
  <c r="S975" i="4"/>
  <c r="U975" i="4" s="1"/>
  <c r="S980" i="4"/>
  <c r="U980" i="4" s="1"/>
  <c r="S1004" i="4"/>
  <c r="U1004" i="4" s="1"/>
  <c r="AG71" i="4"/>
  <c r="AI71" i="4" s="1"/>
  <c r="Z143" i="4"/>
  <c r="AB143" i="4" s="1"/>
  <c r="O36" i="4"/>
  <c r="AC57" i="4"/>
  <c r="S152" i="4"/>
  <c r="U152" i="4" s="1"/>
  <c r="S291" i="4"/>
  <c r="U291" i="4" s="1"/>
  <c r="S84" i="4"/>
  <c r="U84" i="4" s="1"/>
  <c r="V84" i="4" s="1"/>
  <c r="S134" i="4"/>
  <c r="U134" i="4" s="1"/>
  <c r="S514" i="4"/>
  <c r="U514" i="4" s="1"/>
  <c r="S487" i="4"/>
  <c r="U487" i="4" s="1"/>
  <c r="S622" i="4"/>
  <c r="U622" i="4" s="1"/>
  <c r="S782" i="4"/>
  <c r="U782" i="4" s="1"/>
  <c r="S988" i="4"/>
  <c r="U988" i="4" s="1"/>
  <c r="Z193" i="4"/>
  <c r="AB193" i="4" s="1"/>
  <c r="S39" i="4"/>
  <c r="U39" i="4" s="1"/>
  <c r="L96" i="4"/>
  <c r="N96" i="4" s="1"/>
  <c r="S157" i="4"/>
  <c r="U157" i="4" s="1"/>
  <c r="V157" i="4" s="1"/>
  <c r="S204" i="4"/>
  <c r="U204" i="4" s="1"/>
  <c r="V204" i="4" s="1"/>
  <c r="S432" i="4"/>
  <c r="U432" i="4" s="1"/>
  <c r="S202" i="4"/>
  <c r="U202" i="4" s="1"/>
  <c r="S559" i="4"/>
  <c r="U559" i="4" s="1"/>
  <c r="S388" i="4"/>
  <c r="U388" i="4" s="1"/>
  <c r="S288" i="4"/>
  <c r="U288" i="4" s="1"/>
  <c r="S468" i="4"/>
  <c r="U468" i="4" s="1"/>
  <c r="S483" i="4"/>
  <c r="U483" i="4" s="1"/>
  <c r="S632" i="4"/>
  <c r="U632" i="4" s="1"/>
  <c r="S713" i="4"/>
  <c r="U713" i="4" s="1"/>
  <c r="S644" i="4"/>
  <c r="U644" i="4" s="1"/>
  <c r="V644" i="4" s="1"/>
  <c r="S742" i="4"/>
  <c r="U742" i="4" s="1"/>
  <c r="AG31" i="4"/>
  <c r="AI31" i="4" s="1"/>
  <c r="AG97" i="4"/>
  <c r="AI97" i="4" s="1"/>
  <c r="Z138" i="4"/>
  <c r="AB138" i="4" s="1"/>
  <c r="Z167" i="4"/>
  <c r="AB167" i="4" s="1"/>
  <c r="AG129" i="4"/>
  <c r="AI129" i="4" s="1"/>
  <c r="AJ129" i="4" s="1"/>
  <c r="AG145" i="4"/>
  <c r="AI145" i="4" s="1"/>
  <c r="AJ338" i="4"/>
  <c r="AJ591" i="4"/>
  <c r="AJ436" i="4"/>
  <c r="AJ623" i="4"/>
  <c r="AJ70" i="4"/>
  <c r="AJ340" i="4"/>
  <c r="AJ539" i="4"/>
  <c r="AJ341" i="4"/>
  <c r="AJ374" i="4"/>
  <c r="AJ714" i="4"/>
  <c r="AJ569" i="4"/>
  <c r="AJ640" i="4"/>
  <c r="AJ941" i="4"/>
  <c r="AJ989" i="4"/>
  <c r="S639" i="4"/>
  <c r="U639" i="4" s="1"/>
  <c r="V639" i="4" s="1"/>
  <c r="S513" i="4"/>
  <c r="U513" i="4" s="1"/>
  <c r="V513" i="4" s="1"/>
  <c r="S694" i="4"/>
  <c r="U694" i="4" s="1"/>
  <c r="V694" i="4" s="1"/>
  <c r="S865" i="4"/>
  <c r="U865" i="4" s="1"/>
  <c r="V865" i="4" s="1"/>
  <c r="S741" i="4"/>
  <c r="U741" i="4" s="1"/>
  <c r="V741" i="4" s="1"/>
  <c r="S822" i="4"/>
  <c r="U822" i="4" s="1"/>
  <c r="V822" i="4" s="1"/>
  <c r="S905" i="4"/>
  <c r="U905" i="4" s="1"/>
  <c r="V905" i="4" s="1"/>
  <c r="AJ215" i="4"/>
  <c r="AJ342" i="4"/>
  <c r="AJ927" i="4"/>
  <c r="S67" i="4"/>
  <c r="U67" i="4" s="1"/>
  <c r="V67" i="4" s="1"/>
  <c r="S296" i="4"/>
  <c r="U296" i="4" s="1"/>
  <c r="V296" i="4" s="1"/>
  <c r="S89" i="4"/>
  <c r="U89" i="4" s="1"/>
  <c r="V89" i="4" s="1"/>
  <c r="S139" i="4"/>
  <c r="U139" i="4" s="1"/>
  <c r="V139" i="4" s="1"/>
  <c r="S199" i="4"/>
  <c r="U199" i="4" s="1"/>
  <c r="V199" i="4" s="1"/>
  <c r="S347" i="4"/>
  <c r="U347" i="4" s="1"/>
  <c r="V347" i="4" s="1"/>
  <c r="S504" i="4"/>
  <c r="U504" i="4" s="1"/>
  <c r="V504" i="4" s="1"/>
  <c r="S492" i="4"/>
  <c r="U492" i="4" s="1"/>
  <c r="V492" i="4" s="1"/>
  <c r="S817" i="4"/>
  <c r="U817" i="4" s="1"/>
  <c r="V817" i="4" s="1"/>
  <c r="S799" i="4"/>
  <c r="U799" i="4" s="1"/>
  <c r="V799" i="4" s="1"/>
  <c r="S848" i="4"/>
  <c r="U848" i="4" s="1"/>
  <c r="V848" i="4" s="1"/>
  <c r="S935" i="4"/>
  <c r="U935" i="4" s="1"/>
  <c r="V935" i="4" s="1"/>
  <c r="S998" i="4"/>
  <c r="U998" i="4" s="1"/>
  <c r="V998" i="4" s="1"/>
  <c r="AJ137" i="4"/>
  <c r="AJ136" i="4"/>
  <c r="S86" i="4"/>
  <c r="U86" i="4" s="1"/>
  <c r="V86" i="4" s="1"/>
  <c r="AJ120" i="4"/>
  <c r="AJ73" i="4"/>
  <c r="AJ777" i="4"/>
  <c r="AJ873" i="4"/>
  <c r="AJ173" i="4"/>
  <c r="AJ25" i="4"/>
  <c r="AJ368" i="4"/>
  <c r="AJ247" i="4"/>
  <c r="AJ297" i="4"/>
  <c r="AJ333" i="4"/>
  <c r="AJ562" i="4"/>
  <c r="AJ586" i="4"/>
  <c r="AJ660" i="4"/>
  <c r="AJ728" i="4"/>
  <c r="AJ837" i="4"/>
  <c r="AJ857" i="4"/>
  <c r="AJ972" i="4"/>
  <c r="AJ948" i="4"/>
  <c r="S150" i="4"/>
  <c r="U150" i="4" s="1"/>
  <c r="V150" i="4" s="1"/>
  <c r="S294" i="4"/>
  <c r="U294" i="4" s="1"/>
  <c r="V294" i="4" s="1"/>
  <c r="S283" i="4"/>
  <c r="U283" i="4" s="1"/>
  <c r="V283" i="4" s="1"/>
  <c r="S484" i="4"/>
  <c r="U484" i="4" s="1"/>
  <c r="V484" i="4" s="1"/>
  <c r="S465" i="4"/>
  <c r="U465" i="4" s="1"/>
  <c r="V465" i="4" s="1"/>
  <c r="S515" i="4"/>
  <c r="U515" i="4" s="1"/>
  <c r="V515" i="4" s="1"/>
  <c r="S563" i="4"/>
  <c r="U563" i="4" s="1"/>
  <c r="V563" i="4" s="1"/>
  <c r="S621" i="4"/>
  <c r="U621" i="4" s="1"/>
  <c r="V621" i="4" s="1"/>
  <c r="S728" i="4"/>
  <c r="U728" i="4" s="1"/>
  <c r="V728" i="4" s="1"/>
  <c r="S773" i="4"/>
  <c r="U773" i="4" s="1"/>
  <c r="V773" i="4" s="1"/>
  <c r="S917" i="4"/>
  <c r="U917" i="4" s="1"/>
  <c r="V917" i="4" s="1"/>
  <c r="S909" i="4"/>
  <c r="U909" i="4" s="1"/>
  <c r="V909" i="4" s="1"/>
  <c r="AJ351" i="4"/>
  <c r="AJ279" i="4"/>
  <c r="AJ540" i="4"/>
  <c r="AJ352" i="4"/>
  <c r="AJ534" i="4"/>
  <c r="AJ765" i="4"/>
  <c r="AJ818" i="4"/>
  <c r="AJ613" i="4"/>
  <c r="AJ676" i="4"/>
  <c r="AJ751" i="4"/>
  <c r="AJ899" i="4"/>
  <c r="AJ935" i="4"/>
  <c r="AJ994" i="4"/>
  <c r="S108" i="4"/>
  <c r="U108" i="4" s="1"/>
  <c r="V108" i="4" s="1"/>
  <c r="S340" i="4"/>
  <c r="U340" i="4" s="1"/>
  <c r="V340" i="4" s="1"/>
  <c r="S267" i="4"/>
  <c r="U267" i="4" s="1"/>
  <c r="V267" i="4" s="1"/>
  <c r="S307" i="4"/>
  <c r="U307" i="4" s="1"/>
  <c r="V307" i="4" s="1"/>
  <c r="S256" i="4"/>
  <c r="U256" i="4" s="1"/>
  <c r="V256" i="4" s="1"/>
  <c r="S376" i="4"/>
  <c r="U376" i="4" s="1"/>
  <c r="V376" i="4" s="1"/>
  <c r="S427" i="4"/>
  <c r="U427" i="4" s="1"/>
  <c r="V427" i="4" s="1"/>
  <c r="S843" i="4"/>
  <c r="U843" i="4" s="1"/>
  <c r="V843" i="4" s="1"/>
  <c r="S943" i="4"/>
  <c r="U943" i="4" s="1"/>
  <c r="V943" i="4" s="1"/>
  <c r="AJ510" i="4"/>
  <c r="AJ357" i="4"/>
  <c r="AJ654" i="4"/>
  <c r="AJ706" i="4"/>
  <c r="AJ725" i="4"/>
  <c r="AJ840" i="4"/>
  <c r="AJ981" i="4"/>
  <c r="AJ138" i="4"/>
  <c r="S362" i="4"/>
  <c r="U362" i="4" s="1"/>
  <c r="V362" i="4" s="1"/>
  <c r="S99" i="4"/>
  <c r="U99" i="4" s="1"/>
  <c r="V99" i="4" s="1"/>
  <c r="S151" i="4"/>
  <c r="U151" i="4" s="1"/>
  <c r="V151" i="4" s="1"/>
  <c r="S367" i="4"/>
  <c r="U367" i="4" s="1"/>
  <c r="V367" i="4" s="1"/>
  <c r="S502" i="4"/>
  <c r="U502" i="4" s="1"/>
  <c r="V502" i="4" s="1"/>
  <c r="S618" i="4"/>
  <c r="U618" i="4" s="1"/>
  <c r="V618" i="4" s="1"/>
  <c r="S693" i="4"/>
  <c r="U693" i="4" s="1"/>
  <c r="V693" i="4" s="1"/>
  <c r="S837" i="4"/>
  <c r="U837" i="4" s="1"/>
  <c r="V837" i="4" s="1"/>
  <c r="S777" i="4"/>
  <c r="U777" i="4" s="1"/>
  <c r="V777" i="4" s="1"/>
  <c r="S746" i="4"/>
  <c r="U746" i="4" s="1"/>
  <c r="V746" i="4" s="1"/>
  <c r="S901" i="4"/>
  <c r="U901" i="4" s="1"/>
  <c r="V901" i="4" s="1"/>
  <c r="S976" i="4"/>
  <c r="U976" i="4" s="1"/>
  <c r="V976" i="4" s="1"/>
  <c r="S958" i="4"/>
  <c r="U958" i="4" s="1"/>
  <c r="V958" i="4" s="1"/>
  <c r="S978" i="4"/>
  <c r="U978" i="4" s="1"/>
  <c r="V978" i="4" s="1"/>
  <c r="S1009" i="4"/>
  <c r="U1009" i="4" s="1"/>
  <c r="V1009" i="4" s="1"/>
  <c r="S320" i="4"/>
  <c r="U320" i="4" s="1"/>
  <c r="V320" i="4" s="1"/>
  <c r="S119" i="4"/>
  <c r="U119" i="4" s="1"/>
  <c r="V119" i="4" s="1"/>
  <c r="S179" i="4"/>
  <c r="U179" i="4" s="1"/>
  <c r="V179" i="4" s="1"/>
  <c r="S363" i="4"/>
  <c r="U363" i="4" s="1"/>
  <c r="V363" i="4" s="1"/>
  <c r="S511" i="4"/>
  <c r="U511" i="4" s="1"/>
  <c r="V511" i="4" s="1"/>
  <c r="S533" i="4"/>
  <c r="U533" i="4" s="1"/>
  <c r="V533" i="4" s="1"/>
  <c r="S560" i="4"/>
  <c r="U560" i="4" s="1"/>
  <c r="V560" i="4" s="1"/>
  <c r="S633" i="4"/>
  <c r="U633" i="4" s="1"/>
  <c r="V633" i="4" s="1"/>
  <c r="S722" i="4"/>
  <c r="U722" i="4" s="1"/>
  <c r="V722" i="4" s="1"/>
  <c r="S685" i="4"/>
  <c r="U685" i="4" s="1"/>
  <c r="V685" i="4" s="1"/>
  <c r="S802" i="4"/>
  <c r="U802" i="4" s="1"/>
  <c r="V802" i="4" s="1"/>
  <c r="S842" i="4"/>
  <c r="U842" i="4" s="1"/>
  <c r="V842" i="4" s="1"/>
  <c r="AJ171" i="4"/>
  <c r="AJ324" i="4"/>
  <c r="AJ477" i="4"/>
  <c r="AJ347" i="4"/>
  <c r="AJ545" i="4"/>
  <c r="AJ630" i="4"/>
  <c r="AJ724" i="4"/>
  <c r="AC51" i="4"/>
  <c r="S133" i="4"/>
  <c r="U133" i="4" s="1"/>
  <c r="V133" i="4" s="1"/>
  <c r="S312" i="4"/>
  <c r="U312" i="4" s="1"/>
  <c r="V312" i="4" s="1"/>
  <c r="S449" i="4"/>
  <c r="U449" i="4" s="1"/>
  <c r="V449" i="4" s="1"/>
  <c r="S657" i="4"/>
  <c r="U657" i="4" s="1"/>
  <c r="V657" i="4" s="1"/>
  <c r="S696" i="4"/>
  <c r="U696" i="4" s="1"/>
  <c r="V696" i="4" s="1"/>
  <c r="S753" i="4"/>
  <c r="U753" i="4" s="1"/>
  <c r="V753" i="4" s="1"/>
  <c r="S804" i="4"/>
  <c r="U804" i="4" s="1"/>
  <c r="V804" i="4" s="1"/>
  <c r="S813" i="4"/>
  <c r="U813" i="4" s="1"/>
  <c r="V813" i="4" s="1"/>
  <c r="S879" i="4"/>
  <c r="U879" i="4" s="1"/>
  <c r="V879" i="4" s="1"/>
  <c r="AG154" i="4"/>
  <c r="AI154" i="4" s="1"/>
  <c r="AJ154" i="4" s="1"/>
  <c r="AJ310" i="4"/>
  <c r="AJ345" i="4"/>
  <c r="AJ196" i="4"/>
  <c r="AJ403" i="4"/>
  <c r="AJ399" i="4"/>
  <c r="AJ217" i="4"/>
  <c r="AJ229" i="4"/>
  <c r="AJ549" i="4"/>
  <c r="AJ678" i="4"/>
  <c r="AJ652" i="4"/>
  <c r="AJ964" i="4"/>
  <c r="S118" i="4"/>
  <c r="U118" i="4" s="1"/>
  <c r="V118" i="4" s="1"/>
  <c r="AJ253" i="4"/>
  <c r="AJ433" i="4"/>
  <c r="AJ407" i="4"/>
  <c r="AJ453" i="4"/>
  <c r="AJ546" i="4"/>
  <c r="AJ598" i="4"/>
  <c r="AJ618" i="4"/>
  <c r="AJ674" i="4"/>
  <c r="AJ786" i="4"/>
  <c r="AJ896" i="4"/>
  <c r="AJ926" i="4"/>
  <c r="AJ904" i="4"/>
  <c r="AJ147" i="4"/>
  <c r="AJ251" i="4"/>
  <c r="AG176" i="4"/>
  <c r="AI176" i="4" s="1"/>
  <c r="AJ176" i="4" s="1"/>
  <c r="S32" i="4"/>
  <c r="U32" i="4" s="1"/>
  <c r="V32" i="4" s="1"/>
  <c r="S171" i="4"/>
  <c r="U171" i="4" s="1"/>
  <c r="V171" i="4" s="1"/>
  <c r="S236" i="4"/>
  <c r="U236" i="4" s="1"/>
  <c r="V236" i="4" s="1"/>
  <c r="S438" i="4"/>
  <c r="U438" i="4" s="1"/>
  <c r="V438" i="4" s="1"/>
  <c r="S664" i="4"/>
  <c r="U664" i="4" s="1"/>
  <c r="V664" i="4" s="1"/>
  <c r="S825" i="4"/>
  <c r="U825" i="4" s="1"/>
  <c r="V825" i="4" s="1"/>
  <c r="AJ293" i="4"/>
  <c r="AJ430" i="4"/>
  <c r="AJ525" i="4"/>
  <c r="AJ314" i="4"/>
  <c r="AJ387" i="4"/>
  <c r="AJ515" i="4"/>
  <c r="AJ504" i="4"/>
  <c r="AJ685" i="4"/>
  <c r="AJ650" i="4"/>
  <c r="AJ790" i="4"/>
  <c r="AJ845" i="4"/>
  <c r="AJ902" i="4"/>
  <c r="AJ920" i="4"/>
  <c r="AJ987" i="4"/>
  <c r="S210" i="4"/>
  <c r="U210" i="4" s="1"/>
  <c r="V210" i="4" s="1"/>
  <c r="S107" i="4"/>
  <c r="U107" i="4" s="1"/>
  <c r="V107" i="4" s="1"/>
  <c r="S185" i="4"/>
  <c r="U185" i="4" s="1"/>
  <c r="V185" i="4" s="1"/>
  <c r="S327" i="4"/>
  <c r="U327" i="4" s="1"/>
  <c r="V327" i="4" s="1"/>
  <c r="S428" i="4"/>
  <c r="U428" i="4" s="1"/>
  <c r="V428" i="4" s="1"/>
  <c r="S499" i="4"/>
  <c r="U499" i="4" s="1"/>
  <c r="V499" i="4" s="1"/>
  <c r="S562" i="4"/>
  <c r="U562" i="4" s="1"/>
  <c r="V562" i="4" s="1"/>
  <c r="S396" i="4"/>
  <c r="U396" i="4" s="1"/>
  <c r="V396" i="4" s="1"/>
  <c r="S466" i="4"/>
  <c r="U466" i="4" s="1"/>
  <c r="V466" i="4" s="1"/>
  <c r="S631" i="4"/>
  <c r="U631" i="4" s="1"/>
  <c r="V631" i="4" s="1"/>
  <c r="S702" i="4"/>
  <c r="U702" i="4" s="1"/>
  <c r="V702" i="4" s="1"/>
  <c r="S959" i="4"/>
  <c r="U959" i="4" s="1"/>
  <c r="V959" i="4" s="1"/>
  <c r="S82" i="4"/>
  <c r="U82" i="4" s="1"/>
  <c r="V82" i="4" s="1"/>
  <c r="S17" i="4"/>
  <c r="U17" i="4" s="1"/>
  <c r="V17" i="4" s="1"/>
  <c r="Z41" i="4"/>
  <c r="AB41" i="4" s="1"/>
  <c r="AC41" i="4" s="1"/>
  <c r="AG118" i="4"/>
  <c r="AI118" i="4" s="1"/>
  <c r="AJ118" i="4" s="1"/>
  <c r="AJ286" i="4"/>
  <c r="AJ216" i="4"/>
  <c r="S43" i="4"/>
  <c r="U43" i="4" s="1"/>
  <c r="V43" i="4" s="1"/>
  <c r="AG126" i="4"/>
  <c r="AI126" i="4" s="1"/>
  <c r="AJ126" i="4" s="1"/>
  <c r="AJ143" i="4"/>
  <c r="AG72" i="4"/>
  <c r="AI72" i="4" s="1"/>
  <c r="AJ72" i="4" s="1"/>
  <c r="AG183" i="4"/>
  <c r="AI183" i="4" s="1"/>
  <c r="AJ183" i="4" s="1"/>
  <c r="AG220" i="4"/>
  <c r="AI220" i="4" s="1"/>
  <c r="AJ220" i="4" s="1"/>
  <c r="Z39" i="4"/>
  <c r="AB39" i="4" s="1"/>
  <c r="AC39" i="4" s="1"/>
  <c r="Z212" i="4"/>
  <c r="AB212" i="4" s="1"/>
  <c r="AC212" i="4" s="1"/>
  <c r="Z93" i="4"/>
  <c r="AB93" i="4" s="1"/>
  <c r="AC93" i="4" s="1"/>
  <c r="H60" i="4"/>
  <c r="S73" i="4"/>
  <c r="U73" i="4" s="1"/>
  <c r="V73" i="4" s="1"/>
  <c r="AJ465" i="4"/>
  <c r="AJ243" i="4"/>
  <c r="AJ479" i="4"/>
  <c r="AJ501" i="4"/>
  <c r="AJ772" i="4"/>
  <c r="AJ218" i="4"/>
  <c r="S187" i="4"/>
  <c r="U187" i="4" s="1"/>
  <c r="V187" i="4" s="1"/>
  <c r="S249" i="4"/>
  <c r="U249" i="4" s="1"/>
  <c r="V249" i="4" s="1"/>
  <c r="S474" i="4"/>
  <c r="U474" i="4" s="1"/>
  <c r="V474" i="4" s="1"/>
  <c r="S707" i="4"/>
  <c r="U707" i="4" s="1"/>
  <c r="V707" i="4" s="1"/>
  <c r="S826" i="4"/>
  <c r="U826" i="4" s="1"/>
  <c r="V826" i="4" s="1"/>
  <c r="S892" i="4"/>
  <c r="U892" i="4" s="1"/>
  <c r="V892" i="4" s="1"/>
  <c r="Z15" i="4"/>
  <c r="AB15" i="4" s="1"/>
  <c r="AC15" i="4" s="1"/>
  <c r="AJ189" i="4"/>
  <c r="AJ620" i="4"/>
  <c r="AJ657" i="4"/>
  <c r="AJ684" i="4"/>
  <c r="AJ944" i="4"/>
  <c r="AJ188" i="4"/>
  <c r="AJ420" i="4"/>
  <c r="AJ249" i="4"/>
  <c r="AJ299" i="4"/>
  <c r="AJ507" i="4"/>
  <c r="AJ518" i="4"/>
  <c r="AJ595" i="4"/>
  <c r="AJ506" i="4"/>
  <c r="AJ625" i="4"/>
  <c r="AJ667" i="4"/>
  <c r="AJ771" i="4"/>
  <c r="AJ96" i="4"/>
  <c r="AJ144" i="4"/>
  <c r="S96" i="4"/>
  <c r="U96" i="4" s="1"/>
  <c r="V96" i="4" s="1"/>
  <c r="S337" i="4"/>
  <c r="U337" i="4" s="1"/>
  <c r="V337" i="4" s="1"/>
  <c r="S326" i="4"/>
  <c r="U326" i="4" s="1"/>
  <c r="V326" i="4" s="1"/>
  <c r="S194" i="4"/>
  <c r="U194" i="4" s="1"/>
  <c r="V194" i="4" s="1"/>
  <c r="S276" i="4"/>
  <c r="U276" i="4" s="1"/>
  <c r="V276" i="4" s="1"/>
  <c r="S264" i="4"/>
  <c r="U264" i="4" s="1"/>
  <c r="V264" i="4" s="1"/>
  <c r="S364" i="4"/>
  <c r="U364" i="4" s="1"/>
  <c r="V364" i="4" s="1"/>
  <c r="S394" i="4"/>
  <c r="U394" i="4" s="1"/>
  <c r="V394" i="4" s="1"/>
  <c r="S587" i="4"/>
  <c r="U587" i="4" s="1"/>
  <c r="V587" i="4" s="1"/>
  <c r="S534" i="4"/>
  <c r="U534" i="4" s="1"/>
  <c r="V534" i="4" s="1"/>
  <c r="S461" i="4"/>
  <c r="U461" i="4" s="1"/>
  <c r="V461" i="4" s="1"/>
  <c r="S366" i="4"/>
  <c r="U366" i="4" s="1"/>
  <c r="V366" i="4" s="1"/>
  <c r="S416" i="4"/>
  <c r="U416" i="4" s="1"/>
  <c r="V416" i="4" s="1"/>
  <c r="S571" i="4"/>
  <c r="U571" i="4" s="1"/>
  <c r="V571" i="4" s="1"/>
  <c r="S594" i="4"/>
  <c r="U594" i="4" s="1"/>
  <c r="V594" i="4" s="1"/>
  <c r="S609" i="4"/>
  <c r="U609" i="4" s="1"/>
  <c r="V609" i="4" s="1"/>
  <c r="S767" i="4"/>
  <c r="U767" i="4" s="1"/>
  <c r="V767" i="4" s="1"/>
  <c r="S756" i="4"/>
  <c r="U756" i="4" s="1"/>
  <c r="V756" i="4" s="1"/>
  <c r="S810" i="4"/>
  <c r="U810" i="4" s="1"/>
  <c r="V810" i="4" s="1"/>
  <c r="S850" i="4"/>
  <c r="U850" i="4" s="1"/>
  <c r="V850" i="4" s="1"/>
  <c r="S893" i="4"/>
  <c r="U893" i="4" s="1"/>
  <c r="V893" i="4" s="1"/>
  <c r="S844" i="4"/>
  <c r="U844" i="4" s="1"/>
  <c r="V844" i="4" s="1"/>
  <c r="S934" i="4"/>
  <c r="U934" i="4" s="1"/>
  <c r="V934" i="4" s="1"/>
  <c r="S991" i="4"/>
  <c r="U991" i="4" s="1"/>
  <c r="V991" i="4" s="1"/>
  <c r="E24" i="4"/>
  <c r="G24" i="4" s="1"/>
  <c r="H24" i="4" s="1"/>
  <c r="O49" i="4"/>
  <c r="Z122" i="4"/>
  <c r="AB122" i="4" s="1"/>
  <c r="AC122" i="4" s="1"/>
  <c r="L93" i="4"/>
  <c r="N93" i="4" s="1"/>
  <c r="O93" i="4" s="1"/>
  <c r="AG177" i="4"/>
  <c r="AI177" i="4" s="1"/>
  <c r="AJ177" i="4" s="1"/>
  <c r="AG74" i="4"/>
  <c r="AI74" i="4" s="1"/>
  <c r="AJ74" i="4" s="1"/>
  <c r="AJ389" i="4"/>
  <c r="AJ233" i="4"/>
  <c r="AJ83" i="4"/>
  <c r="AJ379" i="4"/>
  <c r="AJ460" i="4"/>
  <c r="AJ610" i="4"/>
  <c r="AJ574" i="4"/>
  <c r="AJ999" i="4"/>
  <c r="AJ998" i="4"/>
  <c r="AC19" i="4"/>
  <c r="S569" i="4"/>
  <c r="U569" i="4" s="1"/>
  <c r="V569" i="4" s="1"/>
  <c r="S423" i="4"/>
  <c r="U423" i="4" s="1"/>
  <c r="V423" i="4" s="1"/>
  <c r="S800" i="4"/>
  <c r="U800" i="4" s="1"/>
  <c r="V800" i="4" s="1"/>
  <c r="S755" i="4"/>
  <c r="U755" i="4" s="1"/>
  <c r="V755" i="4" s="1"/>
  <c r="S966" i="4"/>
  <c r="U966" i="4" s="1"/>
  <c r="V966" i="4" s="1"/>
  <c r="S952" i="4"/>
  <c r="U952" i="4" s="1"/>
  <c r="V952" i="4" s="1"/>
  <c r="AG296" i="4"/>
  <c r="AI296" i="4" s="1"/>
  <c r="AJ296" i="4" s="1"/>
  <c r="AJ79" i="4"/>
  <c r="S14" i="4"/>
  <c r="U14" i="4" s="1"/>
  <c r="V14" i="4" s="1"/>
  <c r="L24" i="4"/>
  <c r="N24" i="4" s="1"/>
  <c r="O24" i="4" s="1"/>
  <c r="L99" i="4"/>
  <c r="N99" i="4" s="1"/>
  <c r="O99" i="4" s="1"/>
  <c r="E64" i="4"/>
  <c r="G64" i="4" s="1"/>
  <c r="H64" i="4" s="1"/>
  <c r="S25" i="4"/>
  <c r="U25" i="4" s="1"/>
  <c r="V25" i="4" s="1"/>
  <c r="L58" i="4"/>
  <c r="N58" i="4" s="1"/>
  <c r="O58" i="4" s="1"/>
  <c r="AJ221" i="4"/>
  <c r="AJ441" i="4"/>
  <c r="AJ529" i="4"/>
  <c r="AJ665" i="4"/>
  <c r="AJ735" i="4"/>
  <c r="AJ748" i="4"/>
  <c r="AJ879" i="4"/>
  <c r="AJ888" i="4"/>
  <c r="AJ930" i="4"/>
  <c r="AJ141" i="4"/>
  <c r="S426" i="4"/>
  <c r="U426" i="4" s="1"/>
  <c r="V426" i="4" s="1"/>
  <c r="S435" i="4"/>
  <c r="U435" i="4" s="1"/>
  <c r="V435" i="4" s="1"/>
  <c r="S542" i="4"/>
  <c r="U542" i="4" s="1"/>
  <c r="V542" i="4" s="1"/>
  <c r="S485" i="4"/>
  <c r="U485" i="4" s="1"/>
  <c r="V485" i="4" s="1"/>
  <c r="S613" i="4"/>
  <c r="U613" i="4" s="1"/>
  <c r="V613" i="4" s="1"/>
  <c r="S638" i="4"/>
  <c r="U638" i="4" s="1"/>
  <c r="V638" i="4" s="1"/>
  <c r="S688" i="4"/>
  <c r="U688" i="4" s="1"/>
  <c r="V688" i="4" s="1"/>
  <c r="S583" i="4"/>
  <c r="U583" i="4" s="1"/>
  <c r="V583" i="4" s="1"/>
  <c r="S774" i="4"/>
  <c r="U774" i="4" s="1"/>
  <c r="V774" i="4" s="1"/>
  <c r="S930" i="4"/>
  <c r="U930" i="4" s="1"/>
  <c r="V930" i="4" s="1"/>
  <c r="S912" i="4"/>
  <c r="U912" i="4" s="1"/>
  <c r="V912" i="4" s="1"/>
  <c r="S941" i="4"/>
  <c r="U941" i="4" s="1"/>
  <c r="V941" i="4" s="1"/>
  <c r="E84" i="4"/>
  <c r="G84" i="4" s="1"/>
  <c r="H84" i="4" s="1"/>
  <c r="Z102" i="4"/>
  <c r="AB102" i="4" s="1"/>
  <c r="AC102" i="4" s="1"/>
  <c r="Z98" i="4"/>
  <c r="AB98" i="4" s="1"/>
  <c r="AC98" i="4" s="1"/>
  <c r="S57" i="4"/>
  <c r="U57" i="4" s="1"/>
  <c r="V57" i="4" s="1"/>
  <c r="S37" i="4"/>
  <c r="U37" i="4" s="1"/>
  <c r="V37" i="4" s="1"/>
  <c r="Z74" i="4"/>
  <c r="AB74" i="4" s="1"/>
  <c r="AC74" i="4" s="1"/>
  <c r="AG156" i="4"/>
  <c r="AI156" i="4" s="1"/>
  <c r="AJ156" i="4" s="1"/>
  <c r="AJ289" i="4"/>
  <c r="AJ655" i="4"/>
  <c r="AJ227" i="4"/>
  <c r="AJ570" i="4"/>
  <c r="AJ712" i="4"/>
  <c r="AJ793" i="4"/>
  <c r="AJ1004" i="4"/>
  <c r="AC47" i="4"/>
  <c r="AJ427" i="4"/>
  <c r="AJ438" i="4"/>
  <c r="AJ542" i="4"/>
  <c r="AJ729" i="4"/>
  <c r="AJ631" i="4"/>
  <c r="AJ710" i="4"/>
  <c r="AJ838" i="4"/>
  <c r="AJ219" i="4"/>
  <c r="AJ589" i="4"/>
  <c r="AJ355" i="4"/>
  <c r="AJ316" i="4"/>
  <c r="AJ349" i="4"/>
  <c r="AJ514" i="4"/>
  <c r="AJ531" i="4"/>
  <c r="AJ658" i="4"/>
  <c r="AJ648" i="4"/>
  <c r="AJ861" i="4"/>
  <c r="AJ937" i="4"/>
  <c r="E22" i="4"/>
  <c r="G22" i="4" s="1"/>
  <c r="H22" i="4" s="1"/>
  <c r="AG69" i="4"/>
  <c r="AI69" i="4" s="1"/>
  <c r="AJ69" i="4" s="1"/>
  <c r="AJ541" i="4"/>
  <c r="AJ102" i="4"/>
  <c r="AG121" i="4"/>
  <c r="AI121" i="4" s="1"/>
  <c r="AJ121" i="4" s="1"/>
  <c r="S76" i="4"/>
  <c r="U76" i="4" s="1"/>
  <c r="V76" i="4" s="1"/>
  <c r="AJ41" i="4"/>
  <c r="AJ462" i="4"/>
  <c r="AJ124" i="4"/>
  <c r="S309" i="4"/>
  <c r="U309" i="4" s="1"/>
  <c r="V309" i="4" s="1"/>
  <c r="S302" i="4"/>
  <c r="U302" i="4" s="1"/>
  <c r="V302" i="4" s="1"/>
  <c r="S512" i="4"/>
  <c r="U512" i="4" s="1"/>
  <c r="V512" i="4" s="1"/>
  <c r="S676" i="4"/>
  <c r="U676" i="4" s="1"/>
  <c r="V676" i="4" s="1"/>
  <c r="S730" i="4"/>
  <c r="U730" i="4" s="1"/>
  <c r="V730" i="4" s="1"/>
  <c r="S806" i="4"/>
  <c r="U806" i="4" s="1"/>
  <c r="V806" i="4" s="1"/>
  <c r="S835" i="4"/>
  <c r="U835" i="4" s="1"/>
  <c r="V835" i="4" s="1"/>
  <c r="S872" i="4"/>
  <c r="U872" i="4" s="1"/>
  <c r="V872" i="4" s="1"/>
  <c r="S949" i="4"/>
  <c r="U949" i="4" s="1"/>
  <c r="V949" i="4" s="1"/>
  <c r="S1005" i="4"/>
  <c r="U1005" i="4" s="1"/>
  <c r="V1005" i="4" s="1"/>
  <c r="AG112" i="4"/>
  <c r="AI112" i="4" s="1"/>
  <c r="AJ112" i="4" s="1"/>
  <c r="AJ834" i="4"/>
  <c r="AJ940" i="4"/>
  <c r="S224" i="4"/>
  <c r="U224" i="4" s="1"/>
  <c r="V224" i="4" s="1"/>
  <c r="S275" i="4"/>
  <c r="U275" i="4" s="1"/>
  <c r="V275" i="4" s="1"/>
  <c r="S215" i="4"/>
  <c r="U215" i="4" s="1"/>
  <c r="V215" i="4" s="1"/>
  <c r="S172" i="4"/>
  <c r="U172" i="4" s="1"/>
  <c r="V172" i="4" s="1"/>
  <c r="S352" i="4"/>
  <c r="U352" i="4" s="1"/>
  <c r="V352" i="4" s="1"/>
  <c r="S370" i="4"/>
  <c r="U370" i="4" s="1"/>
  <c r="V370" i="4" s="1"/>
  <c r="S456" i="4"/>
  <c r="U456" i="4" s="1"/>
  <c r="V456" i="4" s="1"/>
  <c r="S647" i="4"/>
  <c r="U647" i="4" s="1"/>
  <c r="V647" i="4" s="1"/>
  <c r="S674" i="4"/>
  <c r="U674" i="4" s="1"/>
  <c r="V674" i="4" s="1"/>
  <c r="S809" i="4"/>
  <c r="U809" i="4" s="1"/>
  <c r="V809" i="4" s="1"/>
  <c r="S864" i="4"/>
  <c r="U864" i="4" s="1"/>
  <c r="V864" i="4" s="1"/>
  <c r="S996" i="4"/>
  <c r="U996" i="4" s="1"/>
  <c r="V996" i="4" s="1"/>
  <c r="S46" i="4"/>
  <c r="U46" i="4" s="1"/>
  <c r="V46" i="4" s="1"/>
  <c r="L35" i="4"/>
  <c r="N35" i="4" s="1"/>
  <c r="O35" i="4" s="1"/>
  <c r="Z150" i="4"/>
  <c r="AB150" i="4" s="1"/>
  <c r="AC150" i="4" s="1"/>
  <c r="S137" i="4"/>
  <c r="U137" i="4" s="1"/>
  <c r="V137" i="4" s="1"/>
  <c r="S113" i="4"/>
  <c r="U113" i="4" s="1"/>
  <c r="V113" i="4" s="1"/>
  <c r="S26" i="4"/>
  <c r="U26" i="4" s="1"/>
  <c r="V26" i="4" s="1"/>
  <c r="S219" i="4"/>
  <c r="U219" i="4" s="1"/>
  <c r="V219" i="4" s="1"/>
  <c r="S244" i="4"/>
  <c r="U244" i="4" s="1"/>
  <c r="V244" i="4" s="1"/>
  <c r="S269" i="4"/>
  <c r="U269" i="4" s="1"/>
  <c r="V269" i="4" s="1"/>
  <c r="S225" i="4"/>
  <c r="U225" i="4" s="1"/>
  <c r="V225" i="4" s="1"/>
  <c r="S383" i="4"/>
  <c r="U383" i="4" s="1"/>
  <c r="V383" i="4" s="1"/>
  <c r="S478" i="4"/>
  <c r="U478" i="4" s="1"/>
  <c r="V478" i="4" s="1"/>
  <c r="S422" i="4"/>
  <c r="U422" i="4" s="1"/>
  <c r="V422" i="4" s="1"/>
  <c r="S351" i="4"/>
  <c r="U351" i="4" s="1"/>
  <c r="V351" i="4" s="1"/>
  <c r="S546" i="4"/>
  <c r="U546" i="4" s="1"/>
  <c r="V546" i="4" s="1"/>
  <c r="S540" i="4"/>
  <c r="U540" i="4" s="1"/>
  <c r="V540" i="4" s="1"/>
  <c r="S663" i="4"/>
  <c r="U663" i="4" s="1"/>
  <c r="V663" i="4" s="1"/>
  <c r="S790" i="4"/>
  <c r="U790" i="4" s="1"/>
  <c r="V790" i="4" s="1"/>
  <c r="S963" i="4"/>
  <c r="U963" i="4" s="1"/>
  <c r="V963" i="4" s="1"/>
  <c r="S985" i="4"/>
  <c r="U985" i="4" s="1"/>
  <c r="V985" i="4" s="1"/>
  <c r="S970" i="4"/>
  <c r="U970" i="4" s="1"/>
  <c r="V970" i="4" s="1"/>
  <c r="E46" i="4"/>
  <c r="G46" i="4" s="1"/>
  <c r="H46" i="4" s="1"/>
  <c r="Z24" i="4"/>
  <c r="AB24" i="4" s="1"/>
  <c r="AC24" i="4" s="1"/>
  <c r="L15" i="4"/>
  <c r="N15" i="4" s="1"/>
  <c r="O15" i="4" s="1"/>
  <c r="AG166" i="4"/>
  <c r="AI166" i="4" s="1"/>
  <c r="AJ166" i="4" s="1"/>
  <c r="AJ179" i="4"/>
  <c r="AG148" i="4"/>
  <c r="AI148" i="4" s="1"/>
  <c r="AJ148" i="4" s="1"/>
  <c r="AG204" i="4"/>
  <c r="AI204" i="4" s="1"/>
  <c r="AJ204" i="4" s="1"/>
  <c r="AJ93" i="4"/>
  <c r="S19" i="4"/>
  <c r="U19" i="4" s="1"/>
  <c r="V19" i="4" s="1"/>
  <c r="Z63" i="4"/>
  <c r="AB63" i="4" s="1"/>
  <c r="AC63" i="4" s="1"/>
  <c r="E47" i="4"/>
  <c r="G47" i="4" s="1"/>
  <c r="H47" i="4" s="1"/>
  <c r="S310" i="4"/>
  <c r="U310" i="4" s="1"/>
  <c r="V310" i="4" s="1"/>
  <c r="S381" i="4"/>
  <c r="U381" i="4" s="1"/>
  <c r="V381" i="4" s="1"/>
  <c r="S434" i="4"/>
  <c r="U434" i="4" s="1"/>
  <c r="V434" i="4" s="1"/>
  <c r="S781" i="4"/>
  <c r="U781" i="4" s="1"/>
  <c r="V781" i="4" s="1"/>
  <c r="S846" i="4"/>
  <c r="U846" i="4" s="1"/>
  <c r="V846" i="4" s="1"/>
  <c r="S851" i="4"/>
  <c r="U851" i="4" s="1"/>
  <c r="V851" i="4" s="1"/>
  <c r="S216" i="4"/>
  <c r="U216" i="4" s="1"/>
  <c r="V216" i="4" s="1"/>
  <c r="S104" i="4"/>
  <c r="U104" i="4" s="1"/>
  <c r="V104" i="4" s="1"/>
  <c r="S158" i="4"/>
  <c r="U158" i="4" s="1"/>
  <c r="V158" i="4" s="1"/>
  <c r="S387" i="4"/>
  <c r="U387" i="4" s="1"/>
  <c r="V387" i="4" s="1"/>
  <c r="S377" i="4"/>
  <c r="U377" i="4" s="1"/>
  <c r="V377" i="4" s="1"/>
  <c r="S672" i="4"/>
  <c r="U672" i="4" s="1"/>
  <c r="V672" i="4" s="1"/>
  <c r="S656" i="4"/>
  <c r="U656" i="4" s="1"/>
  <c r="V656" i="4" s="1"/>
  <c r="S610" i="4"/>
  <c r="U610" i="4" s="1"/>
  <c r="V610" i="4" s="1"/>
  <c r="S706" i="4"/>
  <c r="U706" i="4" s="1"/>
  <c r="V706" i="4" s="1"/>
  <c r="S748" i="4"/>
  <c r="U748" i="4" s="1"/>
  <c r="V748" i="4" s="1"/>
  <c r="S947" i="4"/>
  <c r="U947" i="4" s="1"/>
  <c r="V947" i="4" s="1"/>
  <c r="S955" i="4"/>
  <c r="U955" i="4" s="1"/>
  <c r="V955" i="4" s="1"/>
  <c r="S983" i="4"/>
  <c r="U983" i="4" s="1"/>
  <c r="V983" i="4" s="1"/>
  <c r="S1006" i="4"/>
  <c r="U1006" i="4" s="1"/>
  <c r="V1006" i="4" s="1"/>
  <c r="S128" i="4"/>
  <c r="U128" i="4" s="1"/>
  <c r="V128" i="4" s="1"/>
  <c r="S390" i="4"/>
  <c r="U390" i="4" s="1"/>
  <c r="V390" i="4" s="1"/>
  <c r="S221" i="4"/>
  <c r="U221" i="4" s="1"/>
  <c r="V221" i="4" s="1"/>
  <c r="S530" i="4"/>
  <c r="U530" i="4" s="1"/>
  <c r="V530" i="4" s="1"/>
  <c r="S651" i="4"/>
  <c r="U651" i="4" s="1"/>
  <c r="V651" i="4" s="1"/>
  <c r="S747" i="4"/>
  <c r="U747" i="4" s="1"/>
  <c r="V747" i="4" s="1"/>
  <c r="S882" i="4"/>
  <c r="U882" i="4" s="1"/>
  <c r="V882" i="4" s="1"/>
  <c r="V27" i="4"/>
  <c r="Z99" i="4"/>
  <c r="AB99" i="4" s="1"/>
  <c r="AC99" i="4" s="1"/>
  <c r="AJ142" i="4"/>
  <c r="S833" i="4"/>
  <c r="U833" i="4" s="1"/>
  <c r="V833" i="4" s="1"/>
  <c r="S888" i="4"/>
  <c r="U888" i="4" s="1"/>
  <c r="V888" i="4" s="1"/>
  <c r="S878" i="4"/>
  <c r="U878" i="4" s="1"/>
  <c r="V878" i="4" s="1"/>
  <c r="S954" i="4"/>
  <c r="U954" i="4" s="1"/>
  <c r="V954" i="4" s="1"/>
  <c r="L18" i="4"/>
  <c r="N18" i="4" s="1"/>
  <c r="O18" i="4" s="1"/>
  <c r="AC92" i="4"/>
  <c r="S209" i="4"/>
  <c r="U209" i="4" s="1"/>
  <c r="V209" i="4" s="1"/>
  <c r="S297" i="4"/>
  <c r="U297" i="4" s="1"/>
  <c r="V297" i="4" s="1"/>
  <c r="S207" i="4"/>
  <c r="U207" i="4" s="1"/>
  <c r="V207" i="4" s="1"/>
  <c r="S299" i="4"/>
  <c r="U299" i="4" s="1"/>
  <c r="V299" i="4" s="1"/>
  <c r="S402" i="4"/>
  <c r="U402" i="4" s="1"/>
  <c r="V402" i="4" s="1"/>
  <c r="S397" i="4"/>
  <c r="U397" i="4" s="1"/>
  <c r="V397" i="4" s="1"/>
  <c r="S243" i="4"/>
  <c r="U243" i="4" s="1"/>
  <c r="V243" i="4" s="1"/>
  <c r="S486" i="4"/>
  <c r="U486" i="4" s="1"/>
  <c r="V486" i="4" s="1"/>
  <c r="S627" i="4"/>
  <c r="U627" i="4" s="1"/>
  <c r="V627" i="4" s="1"/>
  <c r="S595" i="4"/>
  <c r="U595" i="4" s="1"/>
  <c r="V595" i="4" s="1"/>
  <c r="S635" i="4"/>
  <c r="U635" i="4" s="1"/>
  <c r="V635" i="4" s="1"/>
  <c r="S715" i="4"/>
  <c r="U715" i="4" s="1"/>
  <c r="V715" i="4" s="1"/>
  <c r="S788" i="4"/>
  <c r="U788" i="4" s="1"/>
  <c r="V788" i="4" s="1"/>
  <c r="S868" i="4"/>
  <c r="U868" i="4" s="1"/>
  <c r="V868" i="4" s="1"/>
  <c r="S994" i="4"/>
  <c r="U994" i="4" s="1"/>
  <c r="V994" i="4" s="1"/>
  <c r="L41" i="4"/>
  <c r="N41" i="4" s="1"/>
  <c r="O41" i="4" s="1"/>
  <c r="S191" i="4"/>
  <c r="U191" i="4" s="1"/>
  <c r="V191" i="4" s="1"/>
  <c r="S547" i="4"/>
  <c r="U547" i="4" s="1"/>
  <c r="V547" i="4" s="1"/>
  <c r="S775" i="4"/>
  <c r="U775" i="4" s="1"/>
  <c r="V775" i="4" s="1"/>
  <c r="S987" i="4"/>
  <c r="U987" i="4" s="1"/>
  <c r="V987" i="4" s="1"/>
  <c r="O51" i="4"/>
  <c r="AJ98" i="4"/>
  <c r="AJ151" i="4"/>
  <c r="E16" i="4"/>
  <c r="G16" i="4" s="1"/>
  <c r="H16" i="4" s="1"/>
  <c r="AJ108" i="4"/>
  <c r="AC190" i="4"/>
  <c r="AJ423" i="4"/>
  <c r="AJ468" i="4"/>
  <c r="AJ254" i="4"/>
  <c r="AJ291" i="4"/>
  <c r="AJ110" i="4"/>
  <c r="AJ198" i="4"/>
  <c r="AJ528" i="4"/>
  <c r="AC215" i="4"/>
  <c r="AJ84" i="4"/>
  <c r="AJ241" i="4"/>
  <c r="AJ222" i="4"/>
  <c r="S145" i="4"/>
  <c r="U145" i="4" s="1"/>
  <c r="V145" i="4" s="1"/>
  <c r="AJ53" i="4"/>
  <c r="S646" i="4"/>
  <c r="U646" i="4" s="1"/>
  <c r="V646" i="4" s="1"/>
  <c r="S779" i="4"/>
  <c r="U779" i="4" s="1"/>
  <c r="V779" i="4" s="1"/>
  <c r="S838" i="4"/>
  <c r="U838" i="4" s="1"/>
  <c r="V838" i="4" s="1"/>
  <c r="S890" i="4"/>
  <c r="U890" i="4" s="1"/>
  <c r="V890" i="4" s="1"/>
  <c r="S880" i="4"/>
  <c r="U880" i="4" s="1"/>
  <c r="V880" i="4" s="1"/>
  <c r="S80" i="4"/>
  <c r="U80" i="4" s="1"/>
  <c r="V80" i="4" s="1"/>
  <c r="S300" i="4"/>
  <c r="U300" i="4" s="1"/>
  <c r="V300" i="4" s="1"/>
  <c r="S400" i="4"/>
  <c r="U400" i="4" s="1"/>
  <c r="V400" i="4" s="1"/>
  <c r="S489" i="4"/>
  <c r="U489" i="4" s="1"/>
  <c r="V489" i="4" s="1"/>
  <c r="S717" i="4"/>
  <c r="U717" i="4" s="1"/>
  <c r="V717" i="4" s="1"/>
  <c r="S761" i="4"/>
  <c r="U761" i="4" s="1"/>
  <c r="V761" i="4" s="1"/>
  <c r="S801" i="4"/>
  <c r="U801" i="4" s="1"/>
  <c r="V801" i="4" s="1"/>
  <c r="S870" i="4"/>
  <c r="U870" i="4" s="1"/>
  <c r="V870" i="4" s="1"/>
  <c r="AJ101" i="4"/>
  <c r="S303" i="4"/>
  <c r="U303" i="4" s="1"/>
  <c r="V303" i="4" s="1"/>
  <c r="S831" i="4"/>
  <c r="U831" i="4" s="1"/>
  <c r="V831" i="4" s="1"/>
  <c r="S953" i="4"/>
  <c r="U953" i="4" s="1"/>
  <c r="V953" i="4" s="1"/>
  <c r="AJ191" i="4"/>
  <c r="AJ271" i="4"/>
  <c r="S517" i="4"/>
  <c r="U517" i="4" s="1"/>
  <c r="V517" i="4" s="1"/>
  <c r="S531" i="4"/>
  <c r="U531" i="4" s="1"/>
  <c r="V531" i="4" s="1"/>
  <c r="S508" i="4"/>
  <c r="U508" i="4" s="1"/>
  <c r="V508" i="4" s="1"/>
  <c r="S536" i="4"/>
  <c r="U536" i="4" s="1"/>
  <c r="V536" i="4" s="1"/>
  <c r="S819" i="4"/>
  <c r="U819" i="4" s="1"/>
  <c r="V819" i="4" s="1"/>
  <c r="S789" i="4"/>
  <c r="U789" i="4" s="1"/>
  <c r="V789" i="4" s="1"/>
  <c r="S380" i="4"/>
  <c r="U380" i="4" s="1"/>
  <c r="V380" i="4" s="1"/>
  <c r="S479" i="4"/>
  <c r="U479" i="4" s="1"/>
  <c r="V479" i="4" s="1"/>
  <c r="S780" i="4"/>
  <c r="U780" i="4" s="1"/>
  <c r="V780" i="4" s="1"/>
  <c r="S852" i="4"/>
  <c r="U852" i="4" s="1"/>
  <c r="V852" i="4" s="1"/>
  <c r="S829" i="4"/>
  <c r="U829" i="4" s="1"/>
  <c r="V829" i="4" s="1"/>
  <c r="S937" i="4"/>
  <c r="U937" i="4" s="1"/>
  <c r="V937" i="4" s="1"/>
  <c r="S946" i="4"/>
  <c r="U946" i="4" s="1"/>
  <c r="V946" i="4" s="1"/>
  <c r="AJ114" i="4"/>
  <c r="AJ66" i="4"/>
  <c r="O44" i="4"/>
  <c r="AJ128" i="4"/>
  <c r="AJ162" i="4"/>
  <c r="AJ78" i="4"/>
  <c r="AJ111" i="4"/>
  <c r="V1004" i="4"/>
  <c r="E21" i="4"/>
  <c r="G21" i="4" s="1"/>
  <c r="H21" i="4" s="1"/>
  <c r="E19" i="4"/>
  <c r="G19" i="4" s="1"/>
  <c r="H19" i="4" s="1"/>
  <c r="AJ15" i="4"/>
  <c r="L23" i="4"/>
  <c r="N23" i="4" s="1"/>
  <c r="O23" i="4" s="1"/>
  <c r="AJ26" i="4"/>
  <c r="Z29" i="4"/>
  <c r="AB29" i="4" s="1"/>
  <c r="AC29" i="4" s="1"/>
  <c r="Z36" i="4"/>
  <c r="AB36" i="4" s="1"/>
  <c r="AC36" i="4" s="1"/>
  <c r="S20" i="4"/>
  <c r="U20" i="4" s="1"/>
  <c r="V20" i="4" s="1"/>
  <c r="E56" i="4"/>
  <c r="G56" i="4" s="1"/>
  <c r="H56" i="4" s="1"/>
  <c r="L38" i="4"/>
  <c r="N38" i="4" s="1"/>
  <c r="O38" i="4" s="1"/>
  <c r="L30" i="4"/>
  <c r="N30" i="4" s="1"/>
  <c r="O30" i="4" s="1"/>
  <c r="V40" i="4"/>
  <c r="S13" i="4"/>
  <c r="U13" i="4" s="1"/>
  <c r="V13" i="4" s="1"/>
  <c r="Z27" i="4"/>
  <c r="AB27" i="4" s="1"/>
  <c r="AC27" i="4" s="1"/>
  <c r="S56" i="4"/>
  <c r="U56" i="4" s="1"/>
  <c r="V56" i="4" s="1"/>
  <c r="AG14" i="4"/>
  <c r="AI14" i="4" s="1"/>
  <c r="AJ14" i="4" s="1"/>
  <c r="L14" i="4"/>
  <c r="N14" i="4" s="1"/>
  <c r="O14" i="4" s="1"/>
  <c r="Z32" i="4"/>
  <c r="AB32" i="4" s="1"/>
  <c r="AC32" i="4" s="1"/>
  <c r="E34" i="4"/>
  <c r="G34" i="4" s="1"/>
  <c r="H34" i="4" s="1"/>
  <c r="AJ170" i="4"/>
  <c r="AJ290" i="4"/>
  <c r="L21" i="4"/>
  <c r="N21" i="4" s="1"/>
  <c r="O21" i="4" s="1"/>
  <c r="V698" i="4"/>
  <c r="AJ12" i="4"/>
  <c r="AJ292" i="4"/>
  <c r="AG44" i="4"/>
  <c r="AI44" i="4" s="1"/>
  <c r="AJ44" i="4" s="1"/>
  <c r="E31" i="4"/>
  <c r="G31" i="4" s="1"/>
  <c r="H31" i="4" s="1"/>
  <c r="AJ172" i="4"/>
  <c r="AJ174" i="4"/>
  <c r="H54" i="4"/>
  <c r="Z12" i="4"/>
  <c r="AB12" i="4" s="1"/>
  <c r="AC12" i="4" s="1"/>
  <c r="S121" i="4"/>
  <c r="U121" i="4" s="1"/>
  <c r="V121" i="4" s="1"/>
  <c r="AJ116" i="4"/>
  <c r="S159" i="4"/>
  <c r="U159" i="4" s="1"/>
  <c r="V159" i="4" s="1"/>
  <c r="Z21" i="4"/>
  <c r="AB21" i="4" s="1"/>
  <c r="AC21" i="4" s="1"/>
  <c r="S28" i="4"/>
  <c r="U28" i="4" s="1"/>
  <c r="V28" i="4" s="1"/>
  <c r="V22" i="4"/>
  <c r="V999" i="4"/>
  <c r="V690" i="4"/>
  <c r="AJ123" i="4"/>
  <c r="AJ169" i="4"/>
  <c r="V345" i="4"/>
  <c r="AJ104" i="4"/>
  <c r="S65" i="4"/>
  <c r="U65" i="4" s="1"/>
  <c r="V65" i="4" s="1"/>
  <c r="S167" i="4"/>
  <c r="U167" i="4" s="1"/>
  <c r="V167" i="4" s="1"/>
  <c r="V854" i="4"/>
  <c r="V712" i="4"/>
  <c r="V883" i="4"/>
  <c r="L151" i="4"/>
  <c r="N151" i="4" s="1"/>
  <c r="O151" i="4" s="1"/>
  <c r="V782" i="4"/>
  <c r="V626" i="4"/>
  <c r="AC110" i="4"/>
  <c r="E37" i="4"/>
  <c r="G37" i="4" s="1"/>
  <c r="H37" i="4" s="1"/>
  <c r="V295" i="4"/>
  <c r="V288" i="4"/>
  <c r="V585" i="4"/>
  <c r="H39" i="4"/>
  <c r="E177" i="4"/>
  <c r="G177" i="4" s="1"/>
  <c r="H177" i="4" s="1"/>
  <c r="AJ178" i="4"/>
  <c r="V703" i="4"/>
  <c r="V964" i="4"/>
  <c r="V680" i="4"/>
  <c r="V765" i="4"/>
  <c r="V481" i="4"/>
  <c r="V784" i="4"/>
  <c r="AJ94" i="4"/>
  <c r="O65" i="4"/>
  <c r="AJ364" i="4"/>
  <c r="V975" i="4"/>
  <c r="AJ283" i="4"/>
  <c r="AJ265" i="4"/>
  <c r="AJ372" i="4"/>
  <c r="AJ561" i="4"/>
  <c r="AJ675" i="4"/>
  <c r="AJ643" i="4"/>
  <c r="AC76" i="4"/>
  <c r="AJ133" i="4"/>
  <c r="AC16" i="4"/>
  <c r="E158" i="4"/>
  <c r="G158" i="4" s="1"/>
  <c r="H158" i="4" s="1"/>
  <c r="S156" i="4"/>
  <c r="U156" i="4" s="1"/>
  <c r="V156" i="4" s="1"/>
  <c r="S29" i="4"/>
  <c r="U29" i="4" s="1"/>
  <c r="V29" i="4" s="1"/>
  <c r="V330" i="4"/>
  <c r="V679" i="4"/>
  <c r="V600" i="4"/>
  <c r="AJ273" i="4"/>
  <c r="V1011" i="4"/>
  <c r="V792" i="4"/>
  <c r="V720" i="4"/>
  <c r="V697" i="4"/>
  <c r="AJ146" i="4"/>
  <c r="AJ461" i="4"/>
  <c r="AJ511" i="4"/>
  <c r="AJ548" i="4"/>
  <c r="AJ695" i="4"/>
  <c r="AC160" i="4"/>
  <c r="AJ122" i="4"/>
  <c r="AJ245" i="4"/>
  <c r="S132" i="4"/>
  <c r="U132" i="4" s="1"/>
  <c r="V132" i="4" s="1"/>
  <c r="V786" i="4"/>
  <c r="V716" i="4"/>
  <c r="V233" i="4"/>
  <c r="V526" i="4"/>
  <c r="O20" i="4"/>
  <c r="F8" i="3"/>
  <c r="F11" i="3" s="1"/>
  <c r="B16" i="3" s="1"/>
  <c r="S24" i="4"/>
  <c r="U24" i="4" s="1"/>
  <c r="V24" i="4" s="1"/>
  <c r="V933" i="4"/>
  <c r="V318" i="4"/>
  <c r="V477" i="4"/>
  <c r="V443" i="4"/>
  <c r="S123" i="4"/>
  <c r="U123" i="4" s="1"/>
  <c r="V123" i="4" s="1"/>
  <c r="V292" i="4"/>
  <c r="V203" i="4"/>
  <c r="V687" i="4"/>
  <c r="V445" i="4"/>
  <c r="V223" i="4"/>
  <c r="V726" i="4"/>
  <c r="V388" i="4"/>
  <c r="L166" i="4"/>
  <c r="N166" i="4" s="1"/>
  <c r="O166" i="4" s="1"/>
  <c r="V1002" i="4"/>
  <c r="V743" i="4"/>
  <c r="V735" i="4"/>
  <c r="V899" i="4"/>
  <c r="V565" i="4"/>
  <c r="S135" i="4"/>
  <c r="U135" i="4" s="1"/>
  <c r="V135" i="4" s="1"/>
  <c r="V454" i="4"/>
  <c r="V875" i="4"/>
  <c r="V607" i="4"/>
  <c r="V287" i="4"/>
  <c r="V665" i="4"/>
  <c r="AC107" i="4"/>
  <c r="V856" i="4"/>
  <c r="V705" i="4"/>
  <c r="V614" i="4"/>
  <c r="V425" i="4"/>
  <c r="V596" i="4"/>
  <c r="AG64" i="4"/>
  <c r="AI64" i="4" s="1"/>
  <c r="AJ64" i="4" s="1"/>
  <c r="V444" i="4"/>
  <c r="V814" i="4"/>
  <c r="V525" i="4"/>
  <c r="V543" i="4"/>
  <c r="V439" i="4"/>
  <c r="V436" i="4"/>
  <c r="V277" i="4"/>
  <c r="V695" i="4"/>
  <c r="V414" i="4"/>
  <c r="V490" i="4"/>
  <c r="V262" i="4"/>
  <c r="V516" i="4"/>
  <c r="V677" i="4"/>
  <c r="V821" i="4"/>
  <c r="V395" i="4"/>
  <c r="V559" i="4"/>
  <c r="V938" i="4"/>
  <c r="V849" i="4"/>
  <c r="V757" i="4"/>
  <c r="V386" i="4"/>
  <c r="V163" i="4"/>
  <c r="AC73" i="4"/>
  <c r="V343" i="4"/>
  <c r="S120" i="4"/>
  <c r="U120" i="4" s="1"/>
  <c r="V120" i="4" s="1"/>
  <c r="V840" i="4"/>
  <c r="V584" i="4"/>
  <c r="V673" i="4"/>
  <c r="V341" i="4"/>
  <c r="AC138" i="4"/>
  <c r="V721" i="4"/>
  <c r="L98" i="4"/>
  <c r="N98" i="4" s="1"/>
  <c r="O98" i="4" s="1"/>
  <c r="AC14" i="4"/>
  <c r="V860" i="4"/>
  <c r="V824" i="4"/>
  <c r="V734" i="4"/>
  <c r="V550" i="4"/>
  <c r="V374" i="4"/>
  <c r="V736" i="4"/>
  <c r="V683" i="4"/>
  <c r="V451" i="4"/>
  <c r="V541" i="4"/>
  <c r="V969" i="4"/>
  <c r="V936" i="4"/>
  <c r="V903" i="4"/>
  <c r="V858" i="4"/>
  <c r="V758" i="4"/>
  <c r="V636" i="4"/>
  <c r="V544" i="4"/>
  <c r="V650" i="4"/>
  <c r="V332" i="4"/>
  <c r="V421" i="4"/>
  <c r="AJ81" i="4"/>
  <c r="AC31" i="4"/>
  <c r="AC128" i="4"/>
  <c r="AG161" i="4"/>
  <c r="AI161" i="4" s="1"/>
  <c r="AJ161" i="4" s="1"/>
  <c r="L56" i="4"/>
  <c r="N56" i="4" s="1"/>
  <c r="O56" i="4" s="1"/>
  <c r="S69" i="4"/>
  <c r="U69" i="4" s="1"/>
  <c r="V69" i="4" s="1"/>
  <c r="V981" i="4"/>
  <c r="V834" i="4"/>
  <c r="V668" i="4"/>
  <c r="V667" i="4"/>
  <c r="V487" i="4"/>
  <c r="V406" i="4"/>
  <c r="V940" i="4"/>
  <c r="V574" i="4"/>
  <c r="V495" i="4"/>
  <c r="V335" i="4"/>
  <c r="V373" i="4"/>
  <c r="V286" i="4"/>
  <c r="AC80" i="4"/>
  <c r="V282" i="4"/>
  <c r="V925" i="4"/>
  <c r="V763" i="4"/>
  <c r="V567" i="4"/>
  <c r="V506" i="4"/>
  <c r="V441" i="4"/>
  <c r="V469" i="4"/>
  <c r="AJ58" i="4"/>
  <c r="E124" i="4"/>
  <c r="G124" i="4" s="1"/>
  <c r="H124" i="4" s="1"/>
  <c r="V847" i="4"/>
  <c r="V554" i="4"/>
  <c r="V579" i="4"/>
  <c r="V271" i="4"/>
  <c r="V471" i="4"/>
  <c r="V916" i="4"/>
  <c r="V700" i="4"/>
  <c r="V652" i="4"/>
  <c r="V945" i="4"/>
  <c r="V896" i="4"/>
  <c r="V886" i="4"/>
  <c r="V629" i="4"/>
  <c r="V622" i="4"/>
  <c r="V480" i="4"/>
  <c r="V291" i="4"/>
  <c r="AJ99" i="4"/>
  <c r="V830" i="4"/>
  <c r="AJ52" i="4"/>
  <c r="S85" i="4"/>
  <c r="U85" i="4" s="1"/>
  <c r="V85" i="4" s="1"/>
  <c r="E207" i="4"/>
  <c r="G207" i="4" s="1"/>
  <c r="H207" i="4" s="1"/>
  <c r="AJ68" i="4"/>
  <c r="S141" i="4"/>
  <c r="U141" i="4" s="1"/>
  <c r="V141" i="4" s="1"/>
  <c r="V198" i="4"/>
  <c r="V904" i="4"/>
  <c r="V714" i="4"/>
  <c r="O71" i="4"/>
  <c r="L25" i="4"/>
  <c r="N25" i="4" s="1"/>
  <c r="O25" i="4" s="1"/>
  <c r="L13" i="4"/>
  <c r="N13" i="4" s="1"/>
  <c r="O13" i="4" s="1"/>
  <c r="AJ103" i="4"/>
  <c r="V521" i="4"/>
  <c r="AJ87" i="4"/>
  <c r="L136" i="4"/>
  <c r="N136" i="4" s="1"/>
  <c r="O136" i="4" s="1"/>
  <c r="V405" i="4"/>
  <c r="V742" i="4"/>
  <c r="V658" i="4"/>
  <c r="V580" i="4"/>
  <c r="V482" i="4"/>
  <c r="V986" i="4"/>
  <c r="V907" i="4"/>
  <c r="V794" i="4"/>
  <c r="V731" i="4"/>
  <c r="V662" i="4"/>
  <c r="V315" i="4"/>
  <c r="H13" i="4"/>
  <c r="V710" i="4"/>
  <c r="V255" i="4"/>
  <c r="S130" i="4"/>
  <c r="U130" i="4" s="1"/>
  <c r="V130" i="4" s="1"/>
  <c r="S72" i="4"/>
  <c r="U72" i="4" s="1"/>
  <c r="V72" i="4" s="1"/>
  <c r="E150" i="4"/>
  <c r="G150" i="4" s="1"/>
  <c r="H150" i="4" s="1"/>
  <c r="AJ62" i="4"/>
  <c r="H28" i="4"/>
  <c r="AJ88" i="4"/>
  <c r="AJ106" i="4"/>
  <c r="H50" i="4"/>
  <c r="V353" i="4"/>
  <c r="V442" i="4"/>
  <c r="V403" i="4"/>
  <c r="V375" i="4"/>
  <c r="H42" i="4"/>
  <c r="S142" i="4"/>
  <c r="U142" i="4" s="1"/>
  <c r="V142" i="4" s="1"/>
  <c r="E132" i="4"/>
  <c r="G132" i="4" s="1"/>
  <c r="H132" i="4" s="1"/>
  <c r="V979" i="4"/>
  <c r="V660" i="4"/>
  <c r="V605" i="4"/>
  <c r="V404" i="4"/>
  <c r="V984" i="4"/>
  <c r="V776" i="4"/>
  <c r="V661" i="4"/>
  <c r="V768" i="4"/>
  <c r="V500" i="4"/>
  <c r="E86" i="4"/>
  <c r="G86" i="4" s="1"/>
  <c r="H86" i="4" s="1"/>
  <c r="V974" i="4"/>
  <c r="V701" i="4"/>
  <c r="V733" i="4"/>
  <c r="V620" i="4"/>
  <c r="V568" i="4"/>
  <c r="V654" i="4"/>
  <c r="V153" i="4"/>
  <c r="V338" i="4"/>
  <c r="AJ225" i="4"/>
  <c r="V1010" i="4"/>
  <c r="V798" i="4"/>
  <c r="V751" i="4"/>
  <c r="V188" i="4"/>
  <c r="H55" i="4"/>
  <c r="L187" i="4"/>
  <c r="N187" i="4" s="1"/>
  <c r="O187" i="4" s="1"/>
  <c r="V160" i="4"/>
  <c r="AJ155" i="4"/>
  <c r="L45" i="4"/>
  <c r="N45" i="4" s="1"/>
  <c r="O45" i="4" s="1"/>
  <c r="AJ91" i="4"/>
  <c r="E109" i="4"/>
  <c r="G109" i="4" s="1"/>
  <c r="H109" i="4" s="1"/>
  <c r="V111" i="4"/>
  <c r="AJ46" i="4"/>
  <c r="AC142" i="4"/>
  <c r="V220" i="4"/>
  <c r="V136" i="4"/>
  <c r="V182" i="4"/>
  <c r="S106" i="4"/>
  <c r="U106" i="4" s="1"/>
  <c r="V106" i="4" s="1"/>
  <c r="L43" i="4"/>
  <c r="N43" i="4" s="1"/>
  <c r="O43" i="4" s="1"/>
  <c r="E82" i="4"/>
  <c r="G82" i="4" s="1"/>
  <c r="H82" i="4" s="1"/>
  <c r="V197" i="4"/>
  <c r="V144" i="4"/>
  <c r="AJ63" i="4"/>
  <c r="L104" i="4"/>
  <c r="N104" i="4" s="1"/>
  <c r="O104" i="4" s="1"/>
  <c r="L128" i="4"/>
  <c r="N128" i="4" s="1"/>
  <c r="O128" i="4" s="1"/>
  <c r="V61" i="4"/>
  <c r="V234" i="4"/>
  <c r="S176" i="4"/>
  <c r="U176" i="4" s="1"/>
  <c r="V176" i="4" s="1"/>
  <c r="E200" i="4"/>
  <c r="G200" i="4" s="1"/>
  <c r="H200" i="4" s="1"/>
  <c r="E157" i="4"/>
  <c r="G157" i="4" s="1"/>
  <c r="H157" i="4" s="1"/>
  <c r="E110" i="4"/>
  <c r="G110" i="4" s="1"/>
  <c r="H110" i="4" s="1"/>
  <c r="E347" i="4"/>
  <c r="G347" i="4" s="1"/>
  <c r="H347" i="4" s="1"/>
  <c r="E256" i="4"/>
  <c r="G256" i="4" s="1"/>
  <c r="H256" i="4" s="1"/>
  <c r="E78" i="4"/>
  <c r="G78" i="4" s="1"/>
  <c r="H78" i="4" s="1"/>
  <c r="E128" i="4"/>
  <c r="G128" i="4" s="1"/>
  <c r="H128" i="4" s="1"/>
  <c r="E182" i="4"/>
  <c r="G182" i="4" s="1"/>
  <c r="H182" i="4" s="1"/>
  <c r="E403" i="4"/>
  <c r="G403" i="4" s="1"/>
  <c r="H403" i="4" s="1"/>
  <c r="E425" i="4"/>
  <c r="G425" i="4" s="1"/>
  <c r="H425" i="4" s="1"/>
  <c r="E211" i="4"/>
  <c r="G211" i="4" s="1"/>
  <c r="H211" i="4" s="1"/>
  <c r="E289" i="4"/>
  <c r="G289" i="4" s="1"/>
  <c r="H289" i="4" s="1"/>
  <c r="E349" i="4"/>
  <c r="G349" i="4" s="1"/>
  <c r="H349" i="4" s="1"/>
  <c r="E550" i="4"/>
  <c r="G550" i="4" s="1"/>
  <c r="H550" i="4" s="1"/>
  <c r="E378" i="4"/>
  <c r="G378" i="4" s="1"/>
  <c r="H378" i="4" s="1"/>
  <c r="E553" i="4"/>
  <c r="G553" i="4" s="1"/>
  <c r="H553" i="4" s="1"/>
  <c r="E262" i="4"/>
  <c r="G262" i="4" s="1"/>
  <c r="H262" i="4" s="1"/>
  <c r="E546" i="4"/>
  <c r="G546" i="4" s="1"/>
  <c r="H546" i="4" s="1"/>
  <c r="E431" i="4"/>
  <c r="G431" i="4" s="1"/>
  <c r="H431" i="4" s="1"/>
  <c r="E547" i="4"/>
  <c r="G547" i="4" s="1"/>
  <c r="H547" i="4" s="1"/>
  <c r="E607" i="4"/>
  <c r="G607" i="4" s="1"/>
  <c r="H607" i="4" s="1"/>
  <c r="E680" i="4"/>
  <c r="G680" i="4" s="1"/>
  <c r="H680" i="4" s="1"/>
  <c r="E640" i="4"/>
  <c r="G640" i="4" s="1"/>
  <c r="H640" i="4" s="1"/>
  <c r="E700" i="4"/>
  <c r="G700" i="4" s="1"/>
  <c r="H700" i="4" s="1"/>
  <c r="E726" i="4"/>
  <c r="G726" i="4" s="1"/>
  <c r="H726" i="4" s="1"/>
  <c r="E713" i="4"/>
  <c r="G713" i="4" s="1"/>
  <c r="H713" i="4" s="1"/>
  <c r="E782" i="4"/>
  <c r="G782" i="4" s="1"/>
  <c r="H782" i="4" s="1"/>
  <c r="E759" i="4"/>
  <c r="G759" i="4" s="1"/>
  <c r="H759" i="4" s="1"/>
  <c r="E795" i="4"/>
  <c r="G795" i="4" s="1"/>
  <c r="H795" i="4" s="1"/>
  <c r="E947" i="4"/>
  <c r="G947" i="4" s="1"/>
  <c r="H947" i="4" s="1"/>
  <c r="E912" i="4"/>
  <c r="G912" i="4" s="1"/>
  <c r="H912" i="4" s="1"/>
  <c r="E993" i="4"/>
  <c r="G993" i="4" s="1"/>
  <c r="H993" i="4" s="1"/>
  <c r="E1003" i="4"/>
  <c r="G1003" i="4" s="1"/>
  <c r="H1003" i="4" s="1"/>
  <c r="E1009" i="4"/>
  <c r="G1009" i="4" s="1"/>
  <c r="H1009" i="4" s="1"/>
  <c r="V259" i="4"/>
  <c r="V125" i="4"/>
  <c r="V201" i="4"/>
  <c r="V181" i="4"/>
  <c r="V306" i="4"/>
  <c r="V193" i="4"/>
  <c r="V147" i="4"/>
  <c r="V54" i="4"/>
  <c r="V446" i="4"/>
  <c r="V369" i="4"/>
  <c r="V316" i="4"/>
  <c r="V298" i="4"/>
  <c r="V358" i="4"/>
  <c r="V457" i="4"/>
  <c r="V498" i="4"/>
  <c r="V532" i="4"/>
  <c r="V545" i="4"/>
  <c r="V625" i="4"/>
  <c r="V586" i="4"/>
  <c r="V648" i="4"/>
  <c r="V691" i="4"/>
  <c r="V759" i="4"/>
  <c r="V729" i="4"/>
  <c r="V783" i="4"/>
  <c r="V770" i="4"/>
  <c r="V859" i="4"/>
  <c r="V862" i="4"/>
  <c r="V894" i="4"/>
  <c r="V884" i="4"/>
  <c r="V922" i="4"/>
  <c r="V927" i="4"/>
  <c r="V971" i="4"/>
  <c r="E70" i="4"/>
  <c r="G70" i="4" s="1"/>
  <c r="H70" i="4" s="1"/>
  <c r="S42" i="4"/>
  <c r="U42" i="4" s="1"/>
  <c r="V42" i="4" s="1"/>
  <c r="AC17" i="4"/>
  <c r="AC113" i="4"/>
  <c r="V93" i="4"/>
  <c r="V196" i="4"/>
  <c r="V165" i="4"/>
  <c r="V359" i="4"/>
  <c r="V222" i="4"/>
  <c r="V324" i="4"/>
  <c r="V372" i="4"/>
  <c r="V408" i="4"/>
  <c r="V393" i="4"/>
  <c r="V450" i="4"/>
  <c r="V368" i="4"/>
  <c r="V448" i="4"/>
  <c r="V463" i="4"/>
  <c r="V462" i="4"/>
  <c r="V764" i="4"/>
  <c r="V503" i="4"/>
  <c r="V708" i="4"/>
  <c r="V797" i="4"/>
  <c r="V957" i="4"/>
  <c r="V960" i="4"/>
  <c r="AJ109" i="4"/>
  <c r="AC143" i="4"/>
  <c r="V168" i="4"/>
  <c r="V102" i="4"/>
  <c r="V110" i="4"/>
  <c r="V317" i="4"/>
  <c r="V64" i="4"/>
  <c r="V114" i="4"/>
  <c r="S174" i="4"/>
  <c r="U174" i="4" s="1"/>
  <c r="V174" i="4" s="1"/>
  <c r="V232" i="4"/>
  <c r="V419" i="4"/>
  <c r="V398" i="4"/>
  <c r="V424" i="4"/>
  <c r="V231" i="4"/>
  <c r="V258" i="4"/>
  <c r="V308" i="4"/>
  <c r="V378" i="4"/>
  <c r="V453" i="4"/>
  <c r="V458" i="4"/>
  <c r="V476" i="4"/>
  <c r="V346" i="4"/>
  <c r="V467" i="4"/>
  <c r="V555" i="4"/>
  <c r="V538" i="4"/>
  <c r="V588" i="4"/>
  <c r="V591" i="4"/>
  <c r="V653" i="4"/>
  <c r="V689" i="4"/>
  <c r="V692" i="4"/>
  <c r="V815" i="4"/>
  <c r="V749" i="4"/>
  <c r="V772" i="4"/>
  <c r="V739" i="4"/>
  <c r="V812" i="4"/>
  <c r="V793" i="4"/>
  <c r="V867" i="4"/>
  <c r="V820" i="4"/>
  <c r="V836" i="4"/>
  <c r="V803" i="4"/>
  <c r="V921" i="4"/>
  <c r="V914" i="4"/>
  <c r="V897" i="4"/>
  <c r="V866" i="4"/>
  <c r="V961" i="4"/>
  <c r="V918" i="4"/>
  <c r="V965" i="4"/>
  <c r="V992" i="4"/>
  <c r="Z55" i="4"/>
  <c r="AB55" i="4" s="1"/>
  <c r="AC55" i="4" s="1"/>
  <c r="V39" i="4"/>
  <c r="E140" i="4"/>
  <c r="G140" i="4" s="1"/>
  <c r="H140" i="4" s="1"/>
  <c r="E57" i="4"/>
  <c r="G57" i="4" s="1"/>
  <c r="H57" i="4" s="1"/>
  <c r="L154" i="4"/>
  <c r="N154" i="4" s="1"/>
  <c r="O154" i="4" s="1"/>
  <c r="V213" i="4"/>
  <c r="H120" i="4"/>
  <c r="Z61" i="4"/>
  <c r="AB61" i="4" s="1"/>
  <c r="AC61" i="4" s="1"/>
  <c r="H43" i="4"/>
  <c r="S148" i="4"/>
  <c r="U148" i="4" s="1"/>
  <c r="V148" i="4" s="1"/>
  <c r="V131" i="4"/>
  <c r="V177" i="4"/>
  <c r="V226" i="4"/>
  <c r="V284" i="4"/>
  <c r="V254" i="4"/>
  <c r="V431" i="4"/>
  <c r="V313" i="4"/>
  <c r="V472" i="4"/>
  <c r="V522" i="4"/>
  <c r="V634" i="4"/>
  <c r="V602" i="4"/>
  <c r="V637" i="4"/>
  <c r="V737" i="4"/>
  <c r="V796" i="4"/>
  <c r="V845" i="4"/>
  <c r="V808" i="4"/>
  <c r="V885" i="4"/>
  <c r="V871" i="4"/>
  <c r="V993" i="4"/>
  <c r="V1001" i="4"/>
  <c r="E112" i="4"/>
  <c r="G112" i="4" s="1"/>
  <c r="H112" i="4" s="1"/>
  <c r="E61" i="4"/>
  <c r="G61" i="4" s="1"/>
  <c r="H61" i="4" s="1"/>
  <c r="AJ97" i="4"/>
  <c r="V354" i="4"/>
  <c r="V253" i="4"/>
  <c r="V97" i="4"/>
  <c r="H45" i="4"/>
  <c r="V192" i="4"/>
  <c r="E87" i="4"/>
  <c r="G87" i="4" s="1"/>
  <c r="H87" i="4" s="1"/>
  <c r="AJ39" i="4"/>
  <c r="AJ13" i="4"/>
  <c r="S83" i="4"/>
  <c r="U83" i="4" s="1"/>
  <c r="V83" i="4" s="1"/>
  <c r="V78" i="4"/>
  <c r="V649" i="4"/>
  <c r="V671" i="4"/>
  <c r="V415" i="4"/>
  <c r="V143" i="4"/>
  <c r="V420" i="4"/>
  <c r="V391" i="4"/>
  <c r="V823" i="4"/>
  <c r="V709" i="4"/>
  <c r="V235" i="4"/>
  <c r="V384" i="4"/>
  <c r="V325" i="4"/>
  <c r="V841" i="4"/>
  <c r="V603" i="4"/>
  <c r="V711" i="4"/>
  <c r="V460" i="4"/>
  <c r="V418" i="4"/>
  <c r="V238" i="4"/>
  <c r="S138" i="4"/>
  <c r="U138" i="4" s="1"/>
  <c r="V138" i="4" s="1"/>
  <c r="V117" i="4"/>
  <c r="V116" i="4"/>
  <c r="V175" i="4"/>
  <c r="V164" i="4"/>
  <c r="V190" i="4"/>
  <c r="V339" i="4"/>
  <c r="V348" i="4"/>
  <c r="V628" i="4"/>
  <c r="V524" i="4"/>
  <c r="V582" i="4"/>
  <c r="V493" i="4"/>
  <c r="V581" i="4"/>
  <c r="V573" i="4"/>
  <c r="V624" i="4"/>
  <c r="V724" i="4"/>
  <c r="V791" i="4"/>
  <c r="V928" i="4"/>
  <c r="V950" i="4"/>
  <c r="Z104" i="4"/>
  <c r="AB104" i="4" s="1"/>
  <c r="AC104" i="4" s="1"/>
  <c r="H81" i="4"/>
  <c r="V44" i="4"/>
  <c r="H106" i="4"/>
  <c r="V92" i="4"/>
  <c r="V71" i="4"/>
  <c r="V349" i="4"/>
  <c r="V214" i="4"/>
  <c r="V301" i="4"/>
  <c r="V212" i="4"/>
  <c r="V350" i="4"/>
  <c r="V248" i="4"/>
  <c r="V528" i="4"/>
  <c r="V578" i="4"/>
  <c r="V643" i="4"/>
  <c r="V795" i="4"/>
  <c r="V910" i="4"/>
  <c r="V908" i="4"/>
  <c r="V956" i="4"/>
  <c r="E168" i="4"/>
  <c r="G168" i="4" s="1"/>
  <c r="H168" i="4" s="1"/>
  <c r="S149" i="4"/>
  <c r="U149" i="4" s="1"/>
  <c r="V149" i="4" s="1"/>
  <c r="E32" i="4"/>
  <c r="G32" i="4" s="1"/>
  <c r="H32" i="4" s="1"/>
  <c r="V101" i="4"/>
  <c r="V200" i="4"/>
  <c r="S59" i="4"/>
  <c r="U59" i="4" s="1"/>
  <c r="V59" i="4" s="1"/>
  <c r="V342" i="4"/>
  <c r="V360" i="4"/>
  <c r="V473" i="4"/>
  <c r="V590" i="4"/>
  <c r="V619" i="4"/>
  <c r="V616" i="4"/>
  <c r="V675" i="4"/>
  <c r="V738" i="4"/>
  <c r="V785" i="4"/>
  <c r="V874" i="4"/>
  <c r="V913" i="4"/>
  <c r="L134" i="4"/>
  <c r="N134" i="4" s="1"/>
  <c r="O134" i="4" s="1"/>
  <c r="AJ82" i="4"/>
  <c r="AJ19" i="4"/>
  <c r="AJ181" i="4"/>
  <c r="V47" i="4"/>
  <c r="H77" i="4"/>
  <c r="V242" i="4"/>
  <c r="V853" i="4"/>
  <c r="V816" i="4"/>
  <c r="V617" i="4"/>
  <c r="V497" i="4"/>
  <c r="V681" i="4"/>
  <c r="AC34" i="4"/>
  <c r="E136" i="4"/>
  <c r="G136" i="4" s="1"/>
  <c r="H136" i="4" s="1"/>
  <c r="E49" i="4"/>
  <c r="G49" i="4" s="1"/>
  <c r="H49" i="4" s="1"/>
  <c r="E156" i="4"/>
  <c r="G156" i="4" s="1"/>
  <c r="H156" i="4" s="1"/>
  <c r="E249" i="4"/>
  <c r="G249" i="4" s="1"/>
  <c r="H249" i="4" s="1"/>
  <c r="E343" i="4"/>
  <c r="G343" i="4" s="1"/>
  <c r="H343" i="4" s="1"/>
  <c r="E306" i="4"/>
  <c r="G306" i="4" s="1"/>
  <c r="H306" i="4" s="1"/>
  <c r="E221" i="4"/>
  <c r="G221" i="4" s="1"/>
  <c r="H221" i="4" s="1"/>
  <c r="E193" i="4"/>
  <c r="G193" i="4" s="1"/>
  <c r="H193" i="4" s="1"/>
  <c r="E241" i="4"/>
  <c r="G241" i="4" s="1"/>
  <c r="H241" i="4" s="1"/>
  <c r="E254" i="4"/>
  <c r="G254" i="4" s="1"/>
  <c r="H254" i="4" s="1"/>
  <c r="E313" i="4"/>
  <c r="G313" i="4" s="1"/>
  <c r="H313" i="4" s="1"/>
  <c r="E298" i="4"/>
  <c r="G298" i="4" s="1"/>
  <c r="H298" i="4" s="1"/>
  <c r="E444" i="4"/>
  <c r="G444" i="4" s="1"/>
  <c r="H444" i="4" s="1"/>
  <c r="E351" i="4"/>
  <c r="G351" i="4" s="1"/>
  <c r="H351" i="4" s="1"/>
  <c r="E523" i="4"/>
  <c r="G523" i="4" s="1"/>
  <c r="H523" i="4" s="1"/>
  <c r="E312" i="4"/>
  <c r="G312" i="4" s="1"/>
  <c r="H312" i="4" s="1"/>
  <c r="E465" i="4"/>
  <c r="G465" i="4" s="1"/>
  <c r="H465" i="4" s="1"/>
  <c r="E505" i="4"/>
  <c r="G505" i="4" s="1"/>
  <c r="H505" i="4" s="1"/>
  <c r="E430" i="4"/>
  <c r="G430" i="4" s="1"/>
  <c r="H430" i="4" s="1"/>
  <c r="E473" i="4"/>
  <c r="G473" i="4" s="1"/>
  <c r="H473" i="4" s="1"/>
  <c r="E345" i="4"/>
  <c r="G345" i="4" s="1"/>
  <c r="H345" i="4" s="1"/>
  <c r="E395" i="4"/>
  <c r="G395" i="4" s="1"/>
  <c r="H395" i="4" s="1"/>
  <c r="E457" i="4"/>
  <c r="G457" i="4" s="1"/>
  <c r="H457" i="4" s="1"/>
  <c r="E486" i="4"/>
  <c r="G486" i="4" s="1"/>
  <c r="H486" i="4" s="1"/>
  <c r="E563" i="4"/>
  <c r="G563" i="4" s="1"/>
  <c r="H563" i="4" s="1"/>
  <c r="E512" i="4"/>
  <c r="G512" i="4" s="1"/>
  <c r="H512" i="4" s="1"/>
  <c r="E588" i="4"/>
  <c r="G588" i="4" s="1"/>
  <c r="H588" i="4" s="1"/>
  <c r="E494" i="4"/>
  <c r="G494" i="4" s="1"/>
  <c r="H494" i="4" s="1"/>
  <c r="E539" i="4"/>
  <c r="G539" i="4" s="1"/>
  <c r="H539" i="4" s="1"/>
  <c r="E639" i="4"/>
  <c r="G639" i="4" s="1"/>
  <c r="H639" i="4" s="1"/>
  <c r="E584" i="4"/>
  <c r="G584" i="4" s="1"/>
  <c r="H584" i="4" s="1"/>
  <c r="E580" i="4"/>
  <c r="G580" i="4" s="1"/>
  <c r="H580" i="4" s="1"/>
  <c r="E608" i="4"/>
  <c r="G608" i="4" s="1"/>
  <c r="H608" i="4" s="1"/>
  <c r="E632" i="4"/>
  <c r="G632" i="4" s="1"/>
  <c r="H632" i="4" s="1"/>
  <c r="E688" i="4"/>
  <c r="G688" i="4" s="1"/>
  <c r="H688" i="4" s="1"/>
  <c r="E670" i="4"/>
  <c r="G670" i="4" s="1"/>
  <c r="H670" i="4" s="1"/>
  <c r="E637" i="4"/>
  <c r="G637" i="4" s="1"/>
  <c r="H637" i="4" s="1"/>
  <c r="E735" i="4"/>
  <c r="G735" i="4" s="1"/>
  <c r="H735" i="4" s="1"/>
  <c r="E802" i="4"/>
  <c r="G802" i="4" s="1"/>
  <c r="H802" i="4" s="1"/>
  <c r="E679" i="4"/>
  <c r="G679" i="4" s="1"/>
  <c r="H679" i="4" s="1"/>
  <c r="E715" i="4"/>
  <c r="G715" i="4" s="1"/>
  <c r="H715" i="4" s="1"/>
  <c r="E839" i="4"/>
  <c r="G839" i="4" s="1"/>
  <c r="H839" i="4" s="1"/>
  <c r="E828" i="4"/>
  <c r="G828" i="4" s="1"/>
  <c r="H828" i="4" s="1"/>
  <c r="E847" i="4"/>
  <c r="G847" i="4" s="1"/>
  <c r="H847" i="4" s="1"/>
  <c r="E854" i="4"/>
  <c r="G854" i="4" s="1"/>
  <c r="H854" i="4" s="1"/>
  <c r="E816" i="4"/>
  <c r="G816" i="4" s="1"/>
  <c r="H816" i="4" s="1"/>
  <c r="E830" i="4"/>
  <c r="G830" i="4" s="1"/>
  <c r="H830" i="4" s="1"/>
  <c r="E864" i="4"/>
  <c r="G864" i="4" s="1"/>
  <c r="H864" i="4" s="1"/>
  <c r="E920" i="4"/>
  <c r="G920" i="4" s="1"/>
  <c r="H920" i="4" s="1"/>
  <c r="E884" i="4"/>
  <c r="G884" i="4" s="1"/>
  <c r="H884" i="4" s="1"/>
  <c r="E852" i="4"/>
  <c r="G852" i="4" s="1"/>
  <c r="H852" i="4" s="1"/>
  <c r="E932" i="4"/>
  <c r="G932" i="4" s="1"/>
  <c r="H932" i="4" s="1"/>
  <c r="E903" i="4"/>
  <c r="G903" i="4" s="1"/>
  <c r="H903" i="4" s="1"/>
  <c r="E900" i="4"/>
  <c r="G900" i="4" s="1"/>
  <c r="H900" i="4" s="1"/>
  <c r="E890" i="4"/>
  <c r="G890" i="4" s="1"/>
  <c r="H890" i="4" s="1"/>
  <c r="E923" i="4"/>
  <c r="G923" i="4" s="1"/>
  <c r="H923" i="4" s="1"/>
  <c r="E984" i="4"/>
  <c r="G984" i="4" s="1"/>
  <c r="H984" i="4" s="1"/>
  <c r="E23" i="4"/>
  <c r="G23" i="4" s="1"/>
  <c r="H23" i="4" s="1"/>
  <c r="AC20" i="4"/>
  <c r="Z266" i="4"/>
  <c r="AB266" i="4" s="1"/>
  <c r="AC266" i="4" s="1"/>
  <c r="Z246" i="4"/>
  <c r="AB246" i="4" s="1"/>
  <c r="AC246" i="4" s="1"/>
  <c r="Z97" i="4"/>
  <c r="AB97" i="4" s="1"/>
  <c r="AC97" i="4" s="1"/>
  <c r="Z28" i="4"/>
  <c r="AB28" i="4" s="1"/>
  <c r="AC28" i="4" s="1"/>
  <c r="Z91" i="4"/>
  <c r="AB91" i="4" s="1"/>
  <c r="AC91" i="4" s="1"/>
  <c r="Z69" i="4"/>
  <c r="AB69" i="4" s="1"/>
  <c r="AC69" i="4" s="1"/>
  <c r="Z217" i="4"/>
  <c r="AB217" i="4" s="1"/>
  <c r="AC217" i="4" s="1"/>
  <c r="Z123" i="4"/>
  <c r="AB123" i="4" s="1"/>
  <c r="AC123" i="4" s="1"/>
  <c r="Z200" i="4"/>
  <c r="AB200" i="4" s="1"/>
  <c r="AC200" i="4" s="1"/>
  <c r="Z347" i="4"/>
  <c r="AB347" i="4" s="1"/>
  <c r="AC347" i="4" s="1"/>
  <c r="Z134" i="4"/>
  <c r="AB134" i="4" s="1"/>
  <c r="AC134" i="4" s="1"/>
  <c r="Z189" i="4"/>
  <c r="AB189" i="4" s="1"/>
  <c r="AC189" i="4" s="1"/>
  <c r="Z334" i="4"/>
  <c r="AB334" i="4" s="1"/>
  <c r="AC334" i="4" s="1"/>
  <c r="Z101" i="4"/>
  <c r="AB101" i="4" s="1"/>
  <c r="AC101" i="4" s="1"/>
  <c r="Z159" i="4"/>
  <c r="AB159" i="4" s="1"/>
  <c r="AC159" i="4" s="1"/>
  <c r="Z231" i="4"/>
  <c r="AB231" i="4" s="1"/>
  <c r="AC231" i="4" s="1"/>
  <c r="Z262" i="4"/>
  <c r="AB262" i="4" s="1"/>
  <c r="AC262" i="4" s="1"/>
  <c r="Z341" i="4"/>
  <c r="AB341" i="4" s="1"/>
  <c r="AC341" i="4" s="1"/>
  <c r="Z433" i="4"/>
  <c r="AB433" i="4" s="1"/>
  <c r="AC433" i="4" s="1"/>
  <c r="Z367" i="4"/>
  <c r="AB367" i="4" s="1"/>
  <c r="AC367" i="4" s="1"/>
  <c r="Z332" i="4"/>
  <c r="AB332" i="4" s="1"/>
  <c r="AC332" i="4" s="1"/>
  <c r="Z219" i="4"/>
  <c r="AB219" i="4" s="1"/>
  <c r="AC219" i="4" s="1"/>
  <c r="Z146" i="4"/>
  <c r="AB146" i="4" s="1"/>
  <c r="AC146" i="4" s="1"/>
  <c r="Z196" i="4"/>
  <c r="AB196" i="4" s="1"/>
  <c r="AC196" i="4" s="1"/>
  <c r="Z283" i="4"/>
  <c r="AB283" i="4" s="1"/>
  <c r="AC283" i="4" s="1"/>
  <c r="Z366" i="4"/>
  <c r="AB366" i="4" s="1"/>
  <c r="AC366" i="4" s="1"/>
  <c r="Z351" i="4"/>
  <c r="AB351" i="4" s="1"/>
  <c r="AC351" i="4" s="1"/>
  <c r="Z328" i="4"/>
  <c r="AB328" i="4" s="1"/>
  <c r="AC328" i="4" s="1"/>
  <c r="Z378" i="4"/>
  <c r="AB378" i="4" s="1"/>
  <c r="AC378" i="4" s="1"/>
  <c r="Z473" i="4"/>
  <c r="AB473" i="4" s="1"/>
  <c r="AC473" i="4" s="1"/>
  <c r="Z275" i="4"/>
  <c r="AB275" i="4" s="1"/>
  <c r="AC275" i="4" s="1"/>
  <c r="Z325" i="4"/>
  <c r="AB325" i="4" s="1"/>
  <c r="AC325" i="4" s="1"/>
  <c r="Z488" i="4"/>
  <c r="AB488" i="4" s="1"/>
  <c r="AC488" i="4" s="1"/>
  <c r="Z466" i="4"/>
  <c r="AB466" i="4" s="1"/>
  <c r="AC466" i="4" s="1"/>
  <c r="Z380" i="4"/>
  <c r="AB380" i="4" s="1"/>
  <c r="AC380" i="4" s="1"/>
  <c r="Z432" i="4"/>
  <c r="AB432" i="4" s="1"/>
  <c r="AC432" i="4" s="1"/>
  <c r="Z618" i="4"/>
  <c r="AB618" i="4" s="1"/>
  <c r="AC618" i="4" s="1"/>
  <c r="Z445" i="4"/>
  <c r="AB445" i="4" s="1"/>
  <c r="AC445" i="4" s="1"/>
  <c r="Z551" i="4"/>
  <c r="AB551" i="4" s="1"/>
  <c r="AC551" i="4" s="1"/>
  <c r="Z383" i="4"/>
  <c r="AB383" i="4" s="1"/>
  <c r="AC383" i="4" s="1"/>
  <c r="Z442" i="4"/>
  <c r="AB442" i="4" s="1"/>
  <c r="AC442" i="4" s="1"/>
  <c r="Z490" i="4"/>
  <c r="AB490" i="4" s="1"/>
  <c r="AC490" i="4" s="1"/>
  <c r="Z621" i="4"/>
  <c r="AB621" i="4" s="1"/>
  <c r="AC621" i="4" s="1"/>
  <c r="Z500" i="4"/>
  <c r="AB500" i="4" s="1"/>
  <c r="AC500" i="4" s="1"/>
  <c r="Z614" i="4"/>
  <c r="AB614" i="4" s="1"/>
  <c r="AC614" i="4" s="1"/>
  <c r="Z566" i="4"/>
  <c r="AB566" i="4" s="1"/>
  <c r="AC566" i="4" s="1"/>
  <c r="Z585" i="4"/>
  <c r="AB585" i="4" s="1"/>
  <c r="AC585" i="4" s="1"/>
  <c r="Z608" i="4"/>
  <c r="AB608" i="4" s="1"/>
  <c r="AC608" i="4" s="1"/>
  <c r="Z449" i="4"/>
  <c r="AB449" i="4" s="1"/>
  <c r="AC449" i="4" s="1"/>
  <c r="Z499" i="4"/>
  <c r="AB499" i="4" s="1"/>
  <c r="AC499" i="4" s="1"/>
  <c r="Z600" i="4"/>
  <c r="AB600" i="4" s="1"/>
  <c r="AC600" i="4" s="1"/>
  <c r="V34" i="4"/>
  <c r="V719" i="4"/>
  <c r="V968" i="4"/>
  <c r="V670" i="4"/>
  <c r="V557" i="4"/>
  <c r="V900" i="4"/>
  <c r="V997" i="4"/>
  <c r="V79" i="4"/>
  <c r="V251" i="4"/>
  <c r="V507" i="4"/>
  <c r="E44" i="4"/>
  <c r="G44" i="4" s="1"/>
  <c r="H44" i="4" s="1"/>
  <c r="V206" i="4"/>
  <c r="V263" i="4"/>
  <c r="V597" i="4"/>
  <c r="V598" i="4"/>
  <c r="V599" i="4"/>
  <c r="AJ67" i="4"/>
  <c r="AJ77" i="4"/>
  <c r="V247" i="4"/>
  <c r="V245" i="4"/>
  <c r="H129" i="4"/>
  <c r="AJ21" i="4"/>
  <c r="E85" i="4"/>
  <c r="G85" i="4" s="1"/>
  <c r="H85" i="4" s="1"/>
  <c r="L55" i="4"/>
  <c r="N55" i="4" s="1"/>
  <c r="O55" i="4" s="1"/>
  <c r="V122" i="4"/>
  <c r="V240" i="4"/>
  <c r="V237" i="4"/>
  <c r="V246" i="4"/>
  <c r="V74" i="4"/>
  <c r="V205" i="4"/>
  <c r="V270" i="4"/>
  <c r="V319" i="4"/>
  <c r="V412" i="4"/>
  <c r="V392" i="4"/>
  <c r="V344" i="4"/>
  <c r="V218" i="4"/>
  <c r="V268" i="4"/>
  <c r="V382" i="4"/>
  <c r="V494" i="4"/>
  <c r="V429" i="4"/>
  <c r="V433" i="4"/>
  <c r="V509" i="4"/>
  <c r="V488" i="4"/>
  <c r="AC75" i="4"/>
  <c r="E114" i="4"/>
  <c r="G114" i="4" s="1"/>
  <c r="H114" i="4" s="1"/>
  <c r="AJ86" i="4"/>
  <c r="AJ33" i="4"/>
  <c r="V217" i="4"/>
  <c r="V593" i="4"/>
  <c r="V475" i="4"/>
  <c r="V305" i="4"/>
  <c r="V365" i="4"/>
  <c r="V1007" i="4"/>
  <c r="V932" i="4"/>
  <c r="V771" i="4"/>
  <c r="V666" i="4"/>
  <c r="V766" i="4"/>
  <c r="V713" i="4"/>
  <c r="V745" i="4"/>
  <c r="V778" i="4"/>
  <c r="V641" i="4"/>
  <c r="V322" i="4"/>
  <c r="V280" i="4"/>
  <c r="V252" i="4"/>
  <c r="V290" i="4"/>
  <c r="V241" i="4"/>
  <c r="V273" i="4"/>
  <c r="H91" i="4"/>
  <c r="S100" i="4"/>
  <c r="U100" i="4" s="1"/>
  <c r="V100" i="4" s="1"/>
  <c r="AC54" i="4"/>
  <c r="E41" i="4"/>
  <c r="G41" i="4" s="1"/>
  <c r="H41" i="4" s="1"/>
  <c r="L16" i="4"/>
  <c r="N16" i="4" s="1"/>
  <c r="O16" i="4" s="1"/>
  <c r="V77" i="4"/>
  <c r="V289" i="4"/>
  <c r="V266" i="4"/>
  <c r="V437" i="4"/>
  <c r="V440" i="4"/>
  <c r="V411" i="4"/>
  <c r="L40" i="4"/>
  <c r="N40" i="4" s="1"/>
  <c r="O40" i="4" s="1"/>
  <c r="AJ31" i="4"/>
  <c r="L68" i="4"/>
  <c r="N68" i="4" s="1"/>
  <c r="O68" i="4" s="1"/>
  <c r="H27" i="4"/>
  <c r="V630" i="4"/>
  <c r="V839" i="4"/>
  <c r="V727" i="4"/>
  <c r="V496" i="4"/>
  <c r="V459" i="4"/>
  <c r="V389" i="4"/>
  <c r="AJ240" i="4"/>
  <c r="AG54" i="4"/>
  <c r="AI54" i="4" s="1"/>
  <c r="AJ54" i="4" s="1"/>
  <c r="E143" i="4"/>
  <c r="G143" i="4" s="1"/>
  <c r="H143" i="4" s="1"/>
  <c r="E38" i="4"/>
  <c r="G38" i="4" s="1"/>
  <c r="H38" i="4" s="1"/>
  <c r="E75" i="4"/>
  <c r="G75" i="4" s="1"/>
  <c r="H75" i="4" s="1"/>
  <c r="V229" i="4"/>
  <c r="V195" i="4"/>
  <c r="V279" i="4"/>
  <c r="V152" i="4"/>
  <c r="V134" i="4"/>
  <c r="V211" i="4"/>
  <c r="V261" i="4"/>
  <c r="V250" i="4"/>
  <c r="V556" i="4"/>
  <c r="V413" i="4"/>
  <c r="V514" i="4"/>
  <c r="V228" i="4"/>
  <c r="V328" i="4"/>
  <c r="V535" i="4"/>
  <c r="V575" i="4"/>
  <c r="V558" i="4"/>
  <c r="V684" i="4"/>
  <c r="V723" i="4"/>
  <c r="V750" i="4"/>
  <c r="V915" i="4"/>
  <c r="V906" i="4"/>
  <c r="V951" i="4"/>
  <c r="V995" i="4"/>
  <c r="V988" i="4"/>
  <c r="AJ28" i="4"/>
  <c r="AJ117" i="4"/>
  <c r="L31" i="4"/>
  <c r="N31" i="4" s="1"/>
  <c r="O31" i="4" s="1"/>
  <c r="AC44" i="4"/>
  <c r="L203" i="4"/>
  <c r="N203" i="4" s="1"/>
  <c r="O203" i="4" s="1"/>
  <c r="AJ115" i="4"/>
  <c r="V183" i="4"/>
  <c r="V787" i="4"/>
  <c r="V606" i="4"/>
  <c r="V356" i="4"/>
  <c r="V990" i="4"/>
  <c r="V920" i="4"/>
  <c r="V811" i="4"/>
  <c r="V718" i="4"/>
  <c r="V452" i="4"/>
  <c r="V861" i="4"/>
  <c r="V725" i="4"/>
  <c r="V686" i="4"/>
  <c r="V501" i="4"/>
  <c r="V230" i="4"/>
  <c r="AJ192" i="4"/>
  <c r="E33" i="4"/>
  <c r="G33" i="4" s="1"/>
  <c r="H33" i="4" s="1"/>
  <c r="E142" i="4"/>
  <c r="G142" i="4" s="1"/>
  <c r="H142" i="4" s="1"/>
  <c r="V260" i="4"/>
  <c r="V105" i="4"/>
  <c r="V227" i="4"/>
  <c r="V154" i="4"/>
  <c r="V155" i="4"/>
  <c r="V146" i="4"/>
  <c r="V161" i="4"/>
  <c r="V239" i="4"/>
  <c r="V417" i="4"/>
  <c r="V265" i="4"/>
  <c r="V331" i="4"/>
  <c r="V304" i="4"/>
  <c r="V572" i="4"/>
  <c r="V519" i="4"/>
  <c r="V333" i="4"/>
  <c r="V407" i="4"/>
  <c r="V464" i="4"/>
  <c r="V371" i="4"/>
  <c r="V566" i="4"/>
  <c r="V576" i="4"/>
  <c r="V642" i="4"/>
  <c r="V655" i="4"/>
  <c r="V832" i="4"/>
  <c r="V869" i="4"/>
  <c r="V887" i="4"/>
  <c r="V877" i="4"/>
  <c r="V891" i="4"/>
  <c r="V939" i="4"/>
  <c r="V1000" i="4"/>
  <c r="AJ30" i="4"/>
  <c r="AJ89" i="4"/>
  <c r="E149" i="4"/>
  <c r="G149" i="4" s="1"/>
  <c r="H149" i="4" s="1"/>
  <c r="V510" i="4"/>
  <c r="V561" i="4"/>
  <c r="V873" i="4"/>
  <c r="V982" i="4"/>
  <c r="V977" i="4"/>
  <c r="V967" i="4"/>
  <c r="V760" i="4"/>
  <c r="V549" i="4"/>
  <c r="V601" i="4"/>
  <c r="V432" i="4"/>
  <c r="V401" i="4"/>
  <c r="V278" i="4"/>
  <c r="V399" i="4"/>
  <c r="V173" i="4"/>
  <c r="V361" i="4"/>
  <c r="AC67" i="4"/>
  <c r="V989" i="4"/>
  <c r="V973" i="4"/>
  <c r="V942" i="4"/>
  <c r="V944" i="4"/>
  <c r="V923" i="4"/>
  <c r="V855" i="4"/>
  <c r="V828" i="4"/>
  <c r="V732" i="4"/>
  <c r="V744" i="4"/>
  <c r="V699" i="4"/>
  <c r="V682" i="4"/>
  <c r="V589" i="4"/>
  <c r="V539" i="4"/>
  <c r="V611" i="4"/>
  <c r="V537" i="4"/>
  <c r="V529" i="4"/>
  <c r="V491" i="4"/>
  <c r="V410" i="4"/>
  <c r="V272" i="4"/>
  <c r="V520" i="4"/>
  <c r="V385" i="4"/>
  <c r="V355" i="4"/>
  <c r="V323" i="4"/>
  <c r="V311" i="4"/>
  <c r="AJ363" i="4"/>
  <c r="AJ388" i="4"/>
  <c r="AJ107" i="4"/>
  <c r="V321" i="4"/>
  <c r="V257" i="4"/>
  <c r="AJ18" i="4"/>
  <c r="E141" i="4"/>
  <c r="G141" i="4" s="1"/>
  <c r="H141" i="4" s="1"/>
  <c r="S53" i="4"/>
  <c r="U53" i="4" s="1"/>
  <c r="V53" i="4" s="1"/>
  <c r="S38" i="4"/>
  <c r="U38" i="4" s="1"/>
  <c r="V38" i="4" s="1"/>
  <c r="V285" i="4"/>
  <c r="V281" i="4"/>
  <c r="V51" i="4"/>
  <c r="V170" i="4"/>
  <c r="V162" i="4"/>
  <c r="V314" i="4"/>
  <c r="V329" i="4"/>
  <c r="V274" i="4"/>
  <c r="V336" i="4"/>
  <c r="V202" i="4"/>
  <c r="V379" i="4"/>
  <c r="V334" i="4"/>
  <c r="V357" i="4"/>
  <c r="V409" i="4"/>
  <c r="V468" i="4"/>
  <c r="V483" i="4"/>
  <c r="V592" i="4"/>
  <c r="V430" i="4"/>
  <c r="L54" i="4"/>
  <c r="N54" i="4" s="1"/>
  <c r="O54" i="4" s="1"/>
  <c r="E153" i="4"/>
  <c r="G153" i="4" s="1"/>
  <c r="H153" i="4" s="1"/>
  <c r="E99" i="4"/>
  <c r="G99" i="4" s="1"/>
  <c r="H99" i="4" s="1"/>
  <c r="E125" i="4"/>
  <c r="G125" i="4" s="1"/>
  <c r="H125" i="4" s="1"/>
  <c r="E104" i="4"/>
  <c r="G104" i="4" s="1"/>
  <c r="H104" i="4" s="1"/>
  <c r="E30" i="4"/>
  <c r="G30" i="4" s="1"/>
  <c r="H30" i="4" s="1"/>
  <c r="E101" i="4"/>
  <c r="G101" i="4" s="1"/>
  <c r="H101" i="4" s="1"/>
  <c r="E195" i="4"/>
  <c r="G195" i="4" s="1"/>
  <c r="H195" i="4" s="1"/>
  <c r="E326" i="4"/>
  <c r="G326" i="4" s="1"/>
  <c r="H326" i="4" s="1"/>
  <c r="E238" i="4"/>
  <c r="G238" i="4" s="1"/>
  <c r="H238" i="4" s="1"/>
  <c r="E215" i="4"/>
  <c r="G215" i="4" s="1"/>
  <c r="H215" i="4" s="1"/>
  <c r="E169" i="4"/>
  <c r="G169" i="4" s="1"/>
  <c r="H169" i="4" s="1"/>
  <c r="E199" i="4"/>
  <c r="G199" i="4" s="1"/>
  <c r="H199" i="4" s="1"/>
  <c r="E63" i="4"/>
  <c r="G63" i="4" s="1"/>
  <c r="H63" i="4" s="1"/>
  <c r="E113" i="4"/>
  <c r="G113" i="4" s="1"/>
  <c r="H113" i="4" s="1"/>
  <c r="E175" i="4"/>
  <c r="G175" i="4" s="1"/>
  <c r="H175" i="4" s="1"/>
  <c r="E178" i="4"/>
  <c r="G178" i="4" s="1"/>
  <c r="H178" i="4" s="1"/>
  <c r="E233" i="4"/>
  <c r="G233" i="4" s="1"/>
  <c r="H233" i="4" s="1"/>
  <c r="E330" i="4"/>
  <c r="G330" i="4" s="1"/>
  <c r="H330" i="4" s="1"/>
  <c r="E401" i="4"/>
  <c r="G401" i="4" s="1"/>
  <c r="H401" i="4" s="1"/>
  <c r="E311" i="4"/>
  <c r="G311" i="4" s="1"/>
  <c r="H311" i="4" s="1"/>
  <c r="E438" i="4"/>
  <c r="G438" i="4" s="1"/>
  <c r="H438" i="4" s="1"/>
  <c r="E196" i="4"/>
  <c r="G196" i="4" s="1"/>
  <c r="H196" i="4" s="1"/>
  <c r="E250" i="4"/>
  <c r="G250" i="4" s="1"/>
  <c r="H250" i="4" s="1"/>
  <c r="E243" i="4"/>
  <c r="G243" i="4" s="1"/>
  <c r="H243" i="4" s="1"/>
  <c r="E387" i="4"/>
  <c r="G387" i="4" s="1"/>
  <c r="H387" i="4" s="1"/>
  <c r="E422" i="4"/>
  <c r="G422" i="4" s="1"/>
  <c r="H422" i="4" s="1"/>
  <c r="E333" i="4"/>
  <c r="G333" i="4" s="1"/>
  <c r="H333" i="4" s="1"/>
  <c r="E389" i="4"/>
  <c r="G389" i="4" s="1"/>
  <c r="H389" i="4" s="1"/>
  <c r="E348" i="4"/>
  <c r="G348" i="4" s="1"/>
  <c r="H348" i="4" s="1"/>
  <c r="E413" i="4"/>
  <c r="G413" i="4" s="1"/>
  <c r="H413" i="4" s="1"/>
  <c r="E394" i="4"/>
  <c r="G394" i="4" s="1"/>
  <c r="H394" i="4" s="1"/>
  <c r="E247" i="4"/>
  <c r="G247" i="4" s="1"/>
  <c r="H247" i="4" s="1"/>
  <c r="E297" i="4"/>
  <c r="G297" i="4" s="1"/>
  <c r="H297" i="4" s="1"/>
  <c r="E407" i="4"/>
  <c r="G407" i="4" s="1"/>
  <c r="H407" i="4" s="1"/>
  <c r="E417" i="4"/>
  <c r="G417" i="4" s="1"/>
  <c r="H417" i="4" s="1"/>
  <c r="E472" i="4"/>
  <c r="G472" i="4" s="1"/>
  <c r="H472" i="4" s="1"/>
  <c r="E716" i="4"/>
  <c r="G716" i="4" s="1"/>
  <c r="H716" i="4" s="1"/>
  <c r="E441" i="4"/>
  <c r="G441" i="4" s="1"/>
  <c r="H441" i="4" s="1"/>
  <c r="E575" i="4"/>
  <c r="G575" i="4" s="1"/>
  <c r="H575" i="4" s="1"/>
  <c r="E503" i="4"/>
  <c r="G503" i="4" s="1"/>
  <c r="H503" i="4" s="1"/>
  <c r="E380" i="4"/>
  <c r="G380" i="4" s="1"/>
  <c r="H380" i="4" s="1"/>
  <c r="E435" i="4"/>
  <c r="G435" i="4" s="1"/>
  <c r="H435" i="4" s="1"/>
  <c r="E471" i="4"/>
  <c r="G471" i="4" s="1"/>
  <c r="H471" i="4" s="1"/>
  <c r="E521" i="4"/>
  <c r="G521" i="4" s="1"/>
  <c r="H521" i="4" s="1"/>
  <c r="E497" i="4"/>
  <c r="G497" i="4" s="1"/>
  <c r="H497" i="4" s="1"/>
  <c r="E597" i="4"/>
  <c r="G597" i="4" s="1"/>
  <c r="H597" i="4" s="1"/>
  <c r="E479" i="4"/>
  <c r="G479" i="4" s="1"/>
  <c r="H479" i="4" s="1"/>
  <c r="E526" i="4"/>
  <c r="G526" i="4" s="1"/>
  <c r="H526" i="4" s="1"/>
  <c r="E576" i="4"/>
  <c r="G576" i="4" s="1"/>
  <c r="H576" i="4" s="1"/>
  <c r="E569" i="4"/>
  <c r="G569" i="4" s="1"/>
  <c r="H569" i="4" s="1"/>
  <c r="E612" i="4"/>
  <c r="G612" i="4" s="1"/>
  <c r="H612" i="4" s="1"/>
  <c r="E595" i="4"/>
  <c r="G595" i="4" s="1"/>
  <c r="H595" i="4" s="1"/>
  <c r="E648" i="4"/>
  <c r="G648" i="4" s="1"/>
  <c r="H648" i="4" s="1"/>
  <c r="E582" i="4"/>
  <c r="G582" i="4" s="1"/>
  <c r="H582" i="4" s="1"/>
  <c r="E592" i="4"/>
  <c r="G592" i="4" s="1"/>
  <c r="H592" i="4" s="1"/>
  <c r="E663" i="4"/>
  <c r="G663" i="4" s="1"/>
  <c r="H663" i="4" s="1"/>
  <c r="E623" i="4"/>
  <c r="G623" i="4" s="1"/>
  <c r="H623" i="4" s="1"/>
  <c r="E624" i="4"/>
  <c r="G624" i="4" s="1"/>
  <c r="H624" i="4" s="1"/>
  <c r="E784" i="4"/>
  <c r="G784" i="4" s="1"/>
  <c r="H784" i="4" s="1"/>
  <c r="E699" i="4"/>
  <c r="G699" i="4" s="1"/>
  <c r="H699" i="4" s="1"/>
  <c r="E616" i="4"/>
  <c r="G616" i="4" s="1"/>
  <c r="H616" i="4" s="1"/>
  <c r="E736" i="4"/>
  <c r="G736" i="4" s="1"/>
  <c r="H736" i="4" s="1"/>
  <c r="E724" i="4"/>
  <c r="G724" i="4" s="1"/>
  <c r="H724" i="4" s="1"/>
  <c r="E664" i="4"/>
  <c r="G664" i="4" s="1"/>
  <c r="H664" i="4" s="1"/>
  <c r="E686" i="4"/>
  <c r="G686" i="4" s="1"/>
  <c r="H686" i="4" s="1"/>
  <c r="E757" i="4"/>
  <c r="G757" i="4" s="1"/>
  <c r="H757" i="4" s="1"/>
  <c r="E771" i="4"/>
  <c r="G771" i="4" s="1"/>
  <c r="H771" i="4" s="1"/>
  <c r="E796" i="4"/>
  <c r="G796" i="4" s="1"/>
  <c r="H796" i="4" s="1"/>
  <c r="E775" i="4"/>
  <c r="G775" i="4" s="1"/>
  <c r="H775" i="4" s="1"/>
  <c r="E767" i="4"/>
  <c r="G767" i="4" s="1"/>
  <c r="H767" i="4" s="1"/>
  <c r="E815" i="4"/>
  <c r="G815" i="4" s="1"/>
  <c r="H815" i="4" s="1"/>
  <c r="E744" i="4"/>
  <c r="G744" i="4" s="1"/>
  <c r="H744" i="4" s="1"/>
  <c r="E829" i="4"/>
  <c r="G829" i="4" s="1"/>
  <c r="H829" i="4" s="1"/>
  <c r="E849" i="4"/>
  <c r="G849" i="4" s="1"/>
  <c r="H849" i="4" s="1"/>
  <c r="E798" i="4"/>
  <c r="G798" i="4" s="1"/>
  <c r="H798" i="4" s="1"/>
  <c r="E887" i="4"/>
  <c r="G887" i="4" s="1"/>
  <c r="H887" i="4" s="1"/>
  <c r="E832" i="4"/>
  <c r="G832" i="4" s="1"/>
  <c r="H832" i="4" s="1"/>
  <c r="E918" i="4"/>
  <c r="G918" i="4" s="1"/>
  <c r="H918" i="4" s="1"/>
  <c r="E877" i="4"/>
  <c r="G877" i="4" s="1"/>
  <c r="H877" i="4" s="1"/>
  <c r="E871" i="4"/>
  <c r="G871" i="4" s="1"/>
  <c r="H871" i="4" s="1"/>
  <c r="E935" i="4"/>
  <c r="G935" i="4" s="1"/>
  <c r="H935" i="4" s="1"/>
  <c r="E909" i="4"/>
  <c r="G909" i="4" s="1"/>
  <c r="H909" i="4" s="1"/>
  <c r="E940" i="4"/>
  <c r="G940" i="4" s="1"/>
  <c r="H940" i="4" s="1"/>
  <c r="E875" i="4"/>
  <c r="G875" i="4" s="1"/>
  <c r="H875" i="4" s="1"/>
  <c r="E965" i="4"/>
  <c r="G965" i="4" s="1"/>
  <c r="H965" i="4" s="1"/>
  <c r="E960" i="4"/>
  <c r="G960" i="4" s="1"/>
  <c r="H960" i="4" s="1"/>
  <c r="E971" i="4"/>
  <c r="G971" i="4" s="1"/>
  <c r="H971" i="4" s="1"/>
  <c r="E997" i="4"/>
  <c r="G997" i="4" s="1"/>
  <c r="H997" i="4" s="1"/>
  <c r="E979" i="4"/>
  <c r="G979" i="4" s="1"/>
  <c r="H979" i="4" s="1"/>
  <c r="E974" i="4"/>
  <c r="G974" i="4" s="1"/>
  <c r="H974" i="4" s="1"/>
  <c r="E1010" i="4"/>
  <c r="G1010" i="4" s="1"/>
  <c r="H1010" i="4" s="1"/>
  <c r="E1001" i="4"/>
  <c r="G1001" i="4" s="1"/>
  <c r="H1001" i="4" s="1"/>
  <c r="AJ61" i="4"/>
  <c r="L113" i="4"/>
  <c r="N113" i="4" s="1"/>
  <c r="O113" i="4" s="1"/>
  <c r="Z95" i="4"/>
  <c r="AB95" i="4" s="1"/>
  <c r="AC95" i="4" s="1"/>
  <c r="E137" i="4"/>
  <c r="G137" i="4" s="1"/>
  <c r="H137" i="4" s="1"/>
  <c r="AC119" i="4"/>
  <c r="E121" i="4"/>
  <c r="G121" i="4" s="1"/>
  <c r="H121" i="4" s="1"/>
  <c r="Z56" i="4"/>
  <c r="AB56" i="4" s="1"/>
  <c r="AC56" i="4" s="1"/>
  <c r="AC114" i="4"/>
  <c r="Z257" i="4"/>
  <c r="AB257" i="4" s="1"/>
  <c r="AC257" i="4" s="1"/>
  <c r="Z157" i="4"/>
  <c r="AB157" i="4" s="1"/>
  <c r="AC157" i="4" s="1"/>
  <c r="Z202" i="4"/>
  <c r="AB202" i="4" s="1"/>
  <c r="AC202" i="4" s="1"/>
  <c r="Z249" i="4"/>
  <c r="AB249" i="4" s="1"/>
  <c r="AC249" i="4" s="1"/>
  <c r="Z87" i="4"/>
  <c r="AB87" i="4" s="1"/>
  <c r="AC87" i="4" s="1"/>
  <c r="Z13" i="4"/>
  <c r="AB13" i="4" s="1"/>
  <c r="AC13" i="4" s="1"/>
  <c r="Z129" i="4"/>
  <c r="AB129" i="4" s="1"/>
  <c r="AC129" i="4" s="1"/>
  <c r="Z108" i="4"/>
  <c r="AB108" i="4" s="1"/>
  <c r="AC108" i="4" s="1"/>
  <c r="AC167" i="4"/>
  <c r="Z319" i="4"/>
  <c r="AB319" i="4" s="1"/>
  <c r="AC319" i="4" s="1"/>
  <c r="Z224" i="4"/>
  <c r="AB224" i="4" s="1"/>
  <c r="AC224" i="4" s="1"/>
  <c r="Z180" i="4"/>
  <c r="AB180" i="4" s="1"/>
  <c r="AC180" i="4" s="1"/>
  <c r="Z244" i="4"/>
  <c r="AB244" i="4" s="1"/>
  <c r="AC244" i="4" s="1"/>
  <c r="Z268" i="4"/>
  <c r="AB268" i="4" s="1"/>
  <c r="AC268" i="4" s="1"/>
  <c r="Z136" i="4"/>
  <c r="AB136" i="4" s="1"/>
  <c r="AC136" i="4" s="1"/>
  <c r="Z213" i="4"/>
  <c r="AB213" i="4" s="1"/>
  <c r="AC213" i="4" s="1"/>
  <c r="Z357" i="4"/>
  <c r="AB357" i="4" s="1"/>
  <c r="AC357" i="4" s="1"/>
  <c r="Z276" i="4"/>
  <c r="AB276" i="4" s="1"/>
  <c r="AC276" i="4" s="1"/>
  <c r="Z370" i="4"/>
  <c r="AB370" i="4" s="1"/>
  <c r="AC370" i="4" s="1"/>
  <c r="Z303" i="4"/>
  <c r="AB303" i="4" s="1"/>
  <c r="AC303" i="4" s="1"/>
  <c r="Z298" i="4"/>
  <c r="AB298" i="4" s="1"/>
  <c r="AC298" i="4" s="1"/>
  <c r="Z293" i="4"/>
  <c r="AB293" i="4" s="1"/>
  <c r="AC293" i="4" s="1"/>
  <c r="Z329" i="4"/>
  <c r="AB329" i="4" s="1"/>
  <c r="AC329" i="4" s="1"/>
  <c r="Z181" i="4"/>
  <c r="AB181" i="4" s="1"/>
  <c r="AC181" i="4" s="1"/>
  <c r="Z277" i="4"/>
  <c r="AB277" i="4" s="1"/>
  <c r="AC277" i="4" s="1"/>
  <c r="Z422" i="4"/>
  <c r="AB422" i="4" s="1"/>
  <c r="AC422" i="4" s="1"/>
  <c r="Z561" i="4"/>
  <c r="AB561" i="4" s="1"/>
  <c r="AC561" i="4" s="1"/>
  <c r="Z313" i="4"/>
  <c r="AB313" i="4" s="1"/>
  <c r="AC313" i="4" s="1"/>
  <c r="Z365" i="4"/>
  <c r="AB365" i="4" s="1"/>
  <c r="AC365" i="4" s="1"/>
  <c r="Z396" i="4"/>
  <c r="AB396" i="4" s="1"/>
  <c r="AC396" i="4" s="1"/>
  <c r="Z260" i="4"/>
  <c r="AB260" i="4" s="1"/>
  <c r="AC260" i="4" s="1"/>
  <c r="Z310" i="4"/>
  <c r="AB310" i="4" s="1"/>
  <c r="AC310" i="4" s="1"/>
  <c r="Z372" i="4"/>
  <c r="AB372" i="4" s="1"/>
  <c r="AC372" i="4" s="1"/>
  <c r="Z369" i="4"/>
  <c r="AB369" i="4" s="1"/>
  <c r="AC369" i="4" s="1"/>
  <c r="Z407" i="4"/>
  <c r="AB407" i="4" s="1"/>
  <c r="AC407" i="4" s="1"/>
  <c r="Z415" i="4"/>
  <c r="AB415" i="4" s="1"/>
  <c r="AC415" i="4" s="1"/>
  <c r="Z502" i="4"/>
  <c r="AB502" i="4" s="1"/>
  <c r="AC502" i="4" s="1"/>
  <c r="V127" i="4"/>
  <c r="E161" i="4"/>
  <c r="G161" i="4" s="1"/>
  <c r="H161" i="4" s="1"/>
  <c r="E102" i="4"/>
  <c r="G102" i="4" s="1"/>
  <c r="H102" i="4" s="1"/>
  <c r="E146" i="4"/>
  <c r="G146" i="4" s="1"/>
  <c r="H146" i="4" s="1"/>
  <c r="E107" i="4"/>
  <c r="G107" i="4" s="1"/>
  <c r="H107" i="4" s="1"/>
  <c r="E35" i="4"/>
  <c r="G35" i="4" s="1"/>
  <c r="H35" i="4" s="1"/>
  <c r="E130" i="4"/>
  <c r="G130" i="4" s="1"/>
  <c r="H130" i="4" s="1"/>
  <c r="E214" i="4"/>
  <c r="G214" i="4" s="1"/>
  <c r="H214" i="4" s="1"/>
  <c r="E335" i="4"/>
  <c r="G335" i="4" s="1"/>
  <c r="H335" i="4" s="1"/>
  <c r="E279" i="4"/>
  <c r="G279" i="4" s="1"/>
  <c r="H279" i="4" s="1"/>
  <c r="E225" i="4"/>
  <c r="G225" i="4" s="1"/>
  <c r="H225" i="4" s="1"/>
  <c r="E185" i="4"/>
  <c r="G185" i="4" s="1"/>
  <c r="H185" i="4" s="1"/>
  <c r="E202" i="4"/>
  <c r="G202" i="4" s="1"/>
  <c r="H202" i="4" s="1"/>
  <c r="E68" i="4"/>
  <c r="G68" i="4" s="1"/>
  <c r="H68" i="4" s="1"/>
  <c r="E118" i="4"/>
  <c r="G118" i="4" s="1"/>
  <c r="H118" i="4" s="1"/>
  <c r="E179" i="4"/>
  <c r="G179" i="4" s="1"/>
  <c r="H179" i="4" s="1"/>
  <c r="E183" i="4"/>
  <c r="G183" i="4" s="1"/>
  <c r="H183" i="4" s="1"/>
  <c r="E236" i="4"/>
  <c r="G236" i="4" s="1"/>
  <c r="H236" i="4" s="1"/>
  <c r="E353" i="4"/>
  <c r="G353" i="4" s="1"/>
  <c r="H353" i="4" s="1"/>
  <c r="E412" i="4"/>
  <c r="G412" i="4" s="1"/>
  <c r="H412" i="4" s="1"/>
  <c r="E367" i="4"/>
  <c r="G367" i="4" s="1"/>
  <c r="H367" i="4" s="1"/>
  <c r="E299" i="4"/>
  <c r="G299" i="4" s="1"/>
  <c r="H299" i="4" s="1"/>
  <c r="E201" i="4"/>
  <c r="G201" i="4" s="1"/>
  <c r="H201" i="4" s="1"/>
  <c r="E251" i="4"/>
  <c r="G251" i="4" s="1"/>
  <c r="H251" i="4" s="1"/>
  <c r="E245" i="4"/>
  <c r="G245" i="4" s="1"/>
  <c r="H245" i="4" s="1"/>
  <c r="E392" i="4"/>
  <c r="G392" i="4" s="1"/>
  <c r="H392" i="4" s="1"/>
  <c r="E426" i="4"/>
  <c r="G426" i="4" s="1"/>
  <c r="H426" i="4" s="1"/>
  <c r="E338" i="4"/>
  <c r="G338" i="4" s="1"/>
  <c r="H338" i="4" s="1"/>
  <c r="E398" i="4"/>
  <c r="G398" i="4" s="1"/>
  <c r="H398" i="4" s="1"/>
  <c r="E358" i="4"/>
  <c r="G358" i="4" s="1"/>
  <c r="H358" i="4" s="1"/>
  <c r="E427" i="4"/>
  <c r="G427" i="4" s="1"/>
  <c r="H427" i="4" s="1"/>
  <c r="E436" i="4"/>
  <c r="G436" i="4" s="1"/>
  <c r="H436" i="4" s="1"/>
  <c r="E252" i="4"/>
  <c r="G252" i="4" s="1"/>
  <c r="H252" i="4" s="1"/>
  <c r="E302" i="4"/>
  <c r="G302" i="4" s="1"/>
  <c r="H302" i="4" s="1"/>
  <c r="E409" i="4"/>
  <c r="G409" i="4" s="1"/>
  <c r="H409" i="4" s="1"/>
  <c r="E449" i="4"/>
  <c r="G449" i="4" s="1"/>
  <c r="H449" i="4" s="1"/>
  <c r="E475" i="4"/>
  <c r="G475" i="4" s="1"/>
  <c r="H475" i="4" s="1"/>
  <c r="E421" i="4"/>
  <c r="G421" i="4" s="1"/>
  <c r="H421" i="4" s="1"/>
  <c r="E467" i="4"/>
  <c r="G467" i="4" s="1"/>
  <c r="H467" i="4" s="1"/>
  <c r="E704" i="4"/>
  <c r="G704" i="4" s="1"/>
  <c r="H704" i="4" s="1"/>
  <c r="E528" i="4"/>
  <c r="G528" i="4" s="1"/>
  <c r="H528" i="4" s="1"/>
  <c r="E385" i="4"/>
  <c r="G385" i="4" s="1"/>
  <c r="H385" i="4" s="1"/>
  <c r="E442" i="4"/>
  <c r="G442" i="4" s="1"/>
  <c r="H442" i="4" s="1"/>
  <c r="E476" i="4"/>
  <c r="G476" i="4" s="1"/>
  <c r="H476" i="4" s="1"/>
  <c r="E530" i="4"/>
  <c r="G530" i="4" s="1"/>
  <c r="H530" i="4" s="1"/>
  <c r="E502" i="4"/>
  <c r="G502" i="4" s="1"/>
  <c r="H502" i="4" s="1"/>
  <c r="E628" i="4"/>
  <c r="G628" i="4" s="1"/>
  <c r="H628" i="4" s="1"/>
  <c r="E484" i="4"/>
  <c r="G484" i="4" s="1"/>
  <c r="H484" i="4" s="1"/>
  <c r="E533" i="4"/>
  <c r="G533" i="4" s="1"/>
  <c r="H533" i="4" s="1"/>
  <c r="E540" i="4"/>
  <c r="G540" i="4" s="1"/>
  <c r="H540" i="4" s="1"/>
  <c r="E574" i="4"/>
  <c r="G574" i="4" s="1"/>
  <c r="H574" i="4" s="1"/>
  <c r="E658" i="4"/>
  <c r="G658" i="4" s="1"/>
  <c r="H658" i="4" s="1"/>
  <c r="E602" i="4"/>
  <c r="G602" i="4" s="1"/>
  <c r="H602" i="4" s="1"/>
  <c r="E537" i="4"/>
  <c r="G537" i="4" s="1"/>
  <c r="H537" i="4" s="1"/>
  <c r="E587" i="4"/>
  <c r="G587" i="4" s="1"/>
  <c r="H587" i="4" s="1"/>
  <c r="E603" i="4"/>
  <c r="G603" i="4" s="1"/>
  <c r="H603" i="4" s="1"/>
  <c r="E661" i="4"/>
  <c r="G661" i="4" s="1"/>
  <c r="H661" i="4" s="1"/>
  <c r="E655" i="4"/>
  <c r="G655" i="4" s="1"/>
  <c r="H655" i="4" s="1"/>
  <c r="E625" i="4"/>
  <c r="G625" i="4" s="1"/>
  <c r="H625" i="4" s="1"/>
  <c r="E683" i="4"/>
  <c r="G683" i="4" s="1"/>
  <c r="H683" i="4" s="1"/>
  <c r="E702" i="4"/>
  <c r="G702" i="4" s="1"/>
  <c r="H702" i="4" s="1"/>
  <c r="E621" i="4"/>
  <c r="G621" i="4" s="1"/>
  <c r="H621" i="4" s="1"/>
  <c r="E692" i="4"/>
  <c r="G692" i="4" s="1"/>
  <c r="H692" i="4" s="1"/>
  <c r="E734" i="4"/>
  <c r="G734" i="4" s="1"/>
  <c r="H734" i="4" s="1"/>
  <c r="E669" i="4"/>
  <c r="G669" i="4" s="1"/>
  <c r="H669" i="4" s="1"/>
  <c r="E697" i="4"/>
  <c r="G697" i="4" s="1"/>
  <c r="H697" i="4" s="1"/>
  <c r="E781" i="4"/>
  <c r="G781" i="4" s="1"/>
  <c r="H781" i="4" s="1"/>
  <c r="E831" i="4"/>
  <c r="G831" i="4" s="1"/>
  <c r="H831" i="4" s="1"/>
  <c r="E703" i="4"/>
  <c r="G703" i="4" s="1"/>
  <c r="H703" i="4" s="1"/>
  <c r="E788" i="4"/>
  <c r="G788" i="4" s="1"/>
  <c r="H788" i="4" s="1"/>
  <c r="E772" i="4"/>
  <c r="G772" i="4" s="1"/>
  <c r="H772" i="4" s="1"/>
  <c r="E840" i="4"/>
  <c r="G840" i="4" s="1"/>
  <c r="H840" i="4" s="1"/>
  <c r="E749" i="4"/>
  <c r="G749" i="4" s="1"/>
  <c r="H749" i="4" s="1"/>
  <c r="E834" i="4"/>
  <c r="G834" i="4" s="1"/>
  <c r="H834" i="4" s="1"/>
  <c r="E858" i="4"/>
  <c r="G858" i="4" s="1"/>
  <c r="H858" i="4" s="1"/>
  <c r="E813" i="4"/>
  <c r="G813" i="4" s="1"/>
  <c r="H813" i="4" s="1"/>
  <c r="E891" i="4"/>
  <c r="G891" i="4" s="1"/>
  <c r="H891" i="4" s="1"/>
  <c r="E837" i="4"/>
  <c r="G837" i="4" s="1"/>
  <c r="H837" i="4" s="1"/>
  <c r="E899" i="4"/>
  <c r="G899" i="4" s="1"/>
  <c r="H899" i="4" s="1"/>
  <c r="E881" i="4"/>
  <c r="G881" i="4" s="1"/>
  <c r="H881" i="4" s="1"/>
  <c r="E873" i="4"/>
  <c r="G873" i="4" s="1"/>
  <c r="H873" i="4" s="1"/>
  <c r="E939" i="4"/>
  <c r="G939" i="4" s="1"/>
  <c r="H939" i="4" s="1"/>
  <c r="E911" i="4"/>
  <c r="G911" i="4" s="1"/>
  <c r="H911" i="4" s="1"/>
  <c r="E942" i="4"/>
  <c r="G942" i="4" s="1"/>
  <c r="H942" i="4" s="1"/>
  <c r="E880" i="4"/>
  <c r="G880" i="4" s="1"/>
  <c r="H880" i="4" s="1"/>
  <c r="E958" i="4"/>
  <c r="G958" i="4" s="1"/>
  <c r="H958" i="4" s="1"/>
  <c r="E902" i="4"/>
  <c r="G902" i="4" s="1"/>
  <c r="H902" i="4" s="1"/>
  <c r="E946" i="4"/>
  <c r="G946" i="4" s="1"/>
  <c r="H946" i="4" s="1"/>
  <c r="E994" i="4"/>
  <c r="G994" i="4" s="1"/>
  <c r="H994" i="4" s="1"/>
  <c r="E981" i="4"/>
  <c r="G981" i="4" s="1"/>
  <c r="H981" i="4" s="1"/>
  <c r="E976" i="4"/>
  <c r="G976" i="4" s="1"/>
  <c r="H976" i="4" s="1"/>
  <c r="E1007" i="4"/>
  <c r="G1007" i="4" s="1"/>
  <c r="H1007" i="4" s="1"/>
  <c r="E1006" i="4"/>
  <c r="G1006" i="4" s="1"/>
  <c r="H1006" i="4" s="1"/>
  <c r="E100" i="4"/>
  <c r="G100" i="4" s="1"/>
  <c r="H100" i="4" s="1"/>
  <c r="S166" i="4"/>
  <c r="U166" i="4" s="1"/>
  <c r="V166" i="4" s="1"/>
  <c r="Z137" i="4"/>
  <c r="AB137" i="4" s="1"/>
  <c r="AC137" i="4" s="1"/>
  <c r="H51" i="4"/>
  <c r="Z18" i="4"/>
  <c r="AB18" i="4" s="1"/>
  <c r="AC18" i="4" s="1"/>
  <c r="Z258" i="4"/>
  <c r="AB258" i="4" s="1"/>
  <c r="AC258" i="4" s="1"/>
  <c r="Z172" i="4"/>
  <c r="AB172" i="4" s="1"/>
  <c r="AC172" i="4" s="1"/>
  <c r="Z205" i="4"/>
  <c r="AB205" i="4" s="1"/>
  <c r="AC205" i="4" s="1"/>
  <c r="Z65" i="4"/>
  <c r="AB65" i="4" s="1"/>
  <c r="AC65" i="4" s="1"/>
  <c r="Z89" i="4"/>
  <c r="AB89" i="4" s="1"/>
  <c r="AC89" i="4" s="1"/>
  <c r="Z49" i="4"/>
  <c r="AB49" i="4" s="1"/>
  <c r="AC49" i="4" s="1"/>
  <c r="Z168" i="4"/>
  <c r="AB168" i="4" s="1"/>
  <c r="AC168" i="4" s="1"/>
  <c r="Z194" i="4"/>
  <c r="AB194" i="4" s="1"/>
  <c r="AC194" i="4" s="1"/>
  <c r="Z322" i="4"/>
  <c r="AB322" i="4" s="1"/>
  <c r="AC322" i="4" s="1"/>
  <c r="Z239" i="4"/>
  <c r="AB239" i="4" s="1"/>
  <c r="AC239" i="4" s="1"/>
  <c r="Z182" i="4"/>
  <c r="AB182" i="4" s="1"/>
  <c r="AC182" i="4" s="1"/>
  <c r="Z256" i="4"/>
  <c r="AB256" i="4" s="1"/>
  <c r="AC256" i="4" s="1"/>
  <c r="Z331" i="4"/>
  <c r="AB331" i="4" s="1"/>
  <c r="AC331" i="4" s="1"/>
  <c r="Z145" i="4"/>
  <c r="AB145" i="4" s="1"/>
  <c r="AC145" i="4" s="1"/>
  <c r="Z218" i="4"/>
  <c r="AB218" i="4" s="1"/>
  <c r="AC218" i="4" s="1"/>
  <c r="Z163" i="4"/>
  <c r="AB163" i="4" s="1"/>
  <c r="AC163" i="4" s="1"/>
  <c r="Z278" i="4"/>
  <c r="AB278" i="4" s="1"/>
  <c r="AC278" i="4" s="1"/>
  <c r="Z373" i="4"/>
  <c r="AB373" i="4" s="1"/>
  <c r="AC373" i="4" s="1"/>
  <c r="Z312" i="4"/>
  <c r="AB312" i="4" s="1"/>
  <c r="AC312" i="4" s="1"/>
  <c r="Z309" i="4"/>
  <c r="AB309" i="4" s="1"/>
  <c r="AC309" i="4" s="1"/>
  <c r="Z306" i="4"/>
  <c r="AB306" i="4" s="1"/>
  <c r="AC306" i="4" s="1"/>
  <c r="Z364" i="4"/>
  <c r="AB364" i="4" s="1"/>
  <c r="AC364" i="4" s="1"/>
  <c r="Z186" i="4"/>
  <c r="AB186" i="4" s="1"/>
  <c r="AC186" i="4" s="1"/>
  <c r="Z279" i="4"/>
  <c r="AB279" i="4" s="1"/>
  <c r="AC279" i="4" s="1"/>
  <c r="Z346" i="4"/>
  <c r="AB346" i="4" s="1"/>
  <c r="AC346" i="4" s="1"/>
  <c r="Z516" i="4"/>
  <c r="AB516" i="4" s="1"/>
  <c r="AC516" i="4" s="1"/>
  <c r="Z318" i="4"/>
  <c r="AB318" i="4" s="1"/>
  <c r="AC318" i="4" s="1"/>
  <c r="Z368" i="4"/>
  <c r="AB368" i="4" s="1"/>
  <c r="AC368" i="4" s="1"/>
  <c r="Z401" i="4"/>
  <c r="AB401" i="4" s="1"/>
  <c r="AC401" i="4" s="1"/>
  <c r="V447" i="4"/>
  <c r="V577" i="4"/>
  <c r="V470" i="4"/>
  <c r="V669" i="4"/>
  <c r="V632" i="4"/>
  <c r="V615" i="4"/>
  <c r="V623" i="4"/>
  <c r="V805" i="4"/>
  <c r="V895" i="4"/>
  <c r="V919" i="4"/>
  <c r="V911" i="4"/>
  <c r="V898" i="4"/>
  <c r="V972" i="4"/>
  <c r="V1008" i="4"/>
  <c r="L182" i="4"/>
  <c r="N182" i="4" s="1"/>
  <c r="O182" i="4" s="1"/>
  <c r="L131" i="4"/>
  <c r="N131" i="4" s="1"/>
  <c r="O131" i="4" s="1"/>
  <c r="AJ59" i="4"/>
  <c r="AJ24" i="4"/>
  <c r="E167" i="4"/>
  <c r="G167" i="4" s="1"/>
  <c r="H167" i="4" s="1"/>
  <c r="S87" i="4"/>
  <c r="U87" i="4" s="1"/>
  <c r="V87" i="4" s="1"/>
  <c r="E76" i="4"/>
  <c r="G76" i="4" s="1"/>
  <c r="H76" i="4" s="1"/>
  <c r="E67" i="4"/>
  <c r="G67" i="4" s="1"/>
  <c r="H67" i="4" s="1"/>
  <c r="S33" i="4"/>
  <c r="U33" i="4" s="1"/>
  <c r="V33" i="4" s="1"/>
  <c r="E197" i="4"/>
  <c r="G197" i="4" s="1"/>
  <c r="H197" i="4" s="1"/>
  <c r="E111" i="4"/>
  <c r="G111" i="4" s="1"/>
  <c r="H111" i="4" s="1"/>
  <c r="E218" i="4"/>
  <c r="G218" i="4" s="1"/>
  <c r="H218" i="4" s="1"/>
  <c r="E116" i="4"/>
  <c r="G116" i="4" s="1"/>
  <c r="H116" i="4" s="1"/>
  <c r="E40" i="4"/>
  <c r="G40" i="4" s="1"/>
  <c r="H40" i="4" s="1"/>
  <c r="E194" i="4"/>
  <c r="G194" i="4" s="1"/>
  <c r="H194" i="4" s="1"/>
  <c r="E224" i="4"/>
  <c r="G224" i="4" s="1"/>
  <c r="H224" i="4" s="1"/>
  <c r="E357" i="4"/>
  <c r="G357" i="4" s="1"/>
  <c r="H357" i="4" s="1"/>
  <c r="E285" i="4"/>
  <c r="G285" i="4" s="1"/>
  <c r="H285" i="4" s="1"/>
  <c r="E234" i="4"/>
  <c r="G234" i="4" s="1"/>
  <c r="H234" i="4" s="1"/>
  <c r="E276" i="4"/>
  <c r="G276" i="4" s="1"/>
  <c r="H276" i="4" s="1"/>
  <c r="E205" i="4"/>
  <c r="G205" i="4" s="1"/>
  <c r="H205" i="4" s="1"/>
  <c r="E73" i="4"/>
  <c r="G73" i="4" s="1"/>
  <c r="H73" i="4" s="1"/>
  <c r="E123" i="4"/>
  <c r="G123" i="4" s="1"/>
  <c r="H123" i="4" s="1"/>
  <c r="E181" i="4"/>
  <c r="G181" i="4" s="1"/>
  <c r="H181" i="4" s="1"/>
  <c r="E188" i="4"/>
  <c r="G188" i="4" s="1"/>
  <c r="H188" i="4" s="1"/>
  <c r="E240" i="4"/>
  <c r="G240" i="4" s="1"/>
  <c r="H240" i="4" s="1"/>
  <c r="E384" i="4"/>
  <c r="G384" i="4" s="1"/>
  <c r="H384" i="4" s="1"/>
  <c r="E416" i="4"/>
  <c r="G416" i="4" s="1"/>
  <c r="H416" i="4" s="1"/>
  <c r="E429" i="4"/>
  <c r="G429" i="4" s="1"/>
  <c r="H429" i="4" s="1"/>
  <c r="E303" i="4"/>
  <c r="G303" i="4" s="1"/>
  <c r="H303" i="4" s="1"/>
  <c r="E206" i="4"/>
  <c r="G206" i="4" s="1"/>
  <c r="H206" i="4" s="1"/>
  <c r="E294" i="4"/>
  <c r="G294" i="4" s="1"/>
  <c r="H294" i="4" s="1"/>
  <c r="E246" i="4"/>
  <c r="G246" i="4" s="1"/>
  <c r="H246" i="4" s="1"/>
  <c r="E346" i="4"/>
  <c r="G346" i="4" s="1"/>
  <c r="H346" i="4" s="1"/>
  <c r="E440" i="4"/>
  <c r="G440" i="4" s="1"/>
  <c r="H440" i="4" s="1"/>
  <c r="E344" i="4"/>
  <c r="G344" i="4" s="1"/>
  <c r="H344" i="4" s="1"/>
  <c r="E433" i="4"/>
  <c r="G433" i="4" s="1"/>
  <c r="H433" i="4" s="1"/>
  <c r="E368" i="4"/>
  <c r="G368" i="4" s="1"/>
  <c r="H368" i="4" s="1"/>
  <c r="E432" i="4"/>
  <c r="G432" i="4" s="1"/>
  <c r="H432" i="4" s="1"/>
  <c r="E462" i="4"/>
  <c r="G462" i="4" s="1"/>
  <c r="H462" i="4" s="1"/>
  <c r="E257" i="4"/>
  <c r="G257" i="4" s="1"/>
  <c r="H257" i="4" s="1"/>
  <c r="E307" i="4"/>
  <c r="G307" i="4" s="1"/>
  <c r="H307" i="4" s="1"/>
  <c r="E527" i="4"/>
  <c r="G527" i="4" s="1"/>
  <c r="H527" i="4" s="1"/>
  <c r="E477" i="4"/>
  <c r="G477" i="4" s="1"/>
  <c r="H477" i="4" s="1"/>
  <c r="E478" i="4"/>
  <c r="G478" i="4" s="1"/>
  <c r="H478" i="4" s="1"/>
  <c r="E423" i="4"/>
  <c r="G423" i="4" s="1"/>
  <c r="H423" i="4" s="1"/>
  <c r="E470" i="4"/>
  <c r="G470" i="4" s="1"/>
  <c r="H470" i="4" s="1"/>
  <c r="E424" i="4"/>
  <c r="G424" i="4" s="1"/>
  <c r="H424" i="4" s="1"/>
  <c r="E600" i="4"/>
  <c r="G600" i="4" s="1"/>
  <c r="H600" i="4" s="1"/>
  <c r="E390" i="4"/>
  <c r="G390" i="4" s="1"/>
  <c r="H390" i="4" s="1"/>
  <c r="E453" i="4"/>
  <c r="G453" i="4" s="1"/>
  <c r="H453" i="4" s="1"/>
  <c r="E481" i="4"/>
  <c r="G481" i="4" s="1"/>
  <c r="H481" i="4" s="1"/>
  <c r="E560" i="4"/>
  <c r="G560" i="4" s="1"/>
  <c r="H560" i="4" s="1"/>
  <c r="E507" i="4"/>
  <c r="G507" i="4" s="1"/>
  <c r="H507" i="4" s="1"/>
  <c r="E529" i="4"/>
  <c r="G529" i="4" s="1"/>
  <c r="H529" i="4" s="1"/>
  <c r="E489" i="4"/>
  <c r="G489" i="4" s="1"/>
  <c r="H489" i="4" s="1"/>
  <c r="E538" i="4"/>
  <c r="G538" i="4" s="1"/>
  <c r="H538" i="4" s="1"/>
  <c r="E594" i="4"/>
  <c r="G594" i="4" s="1"/>
  <c r="H594" i="4" s="1"/>
  <c r="E579" i="4"/>
  <c r="G579" i="4" s="1"/>
  <c r="H579" i="4" s="1"/>
  <c r="E706" i="4"/>
  <c r="G706" i="4" s="1"/>
  <c r="H706" i="4" s="1"/>
  <c r="E606" i="4"/>
  <c r="G606" i="4" s="1"/>
  <c r="H606" i="4" s="1"/>
  <c r="E542" i="4"/>
  <c r="G542" i="4" s="1"/>
  <c r="H542" i="4" s="1"/>
  <c r="E599" i="4"/>
  <c r="G599" i="4" s="1"/>
  <c r="H599" i="4" s="1"/>
  <c r="E614" i="4"/>
  <c r="G614" i="4" s="1"/>
  <c r="H614" i="4" s="1"/>
  <c r="E671" i="4"/>
  <c r="G671" i="4" s="1"/>
  <c r="H671" i="4" s="1"/>
  <c r="E666" i="4"/>
  <c r="G666" i="4" s="1"/>
  <c r="H666" i="4" s="1"/>
  <c r="E629" i="4"/>
  <c r="G629" i="4" s="1"/>
  <c r="H629" i="4" s="1"/>
  <c r="E698" i="4"/>
  <c r="G698" i="4" s="1"/>
  <c r="H698" i="4" s="1"/>
  <c r="E711" i="4"/>
  <c r="G711" i="4" s="1"/>
  <c r="H711" i="4" s="1"/>
  <c r="E630" i="4"/>
  <c r="G630" i="4" s="1"/>
  <c r="H630" i="4" s="1"/>
  <c r="E730" i="4"/>
  <c r="G730" i="4" s="1"/>
  <c r="H730" i="4" s="1"/>
  <c r="E737" i="4"/>
  <c r="G737" i="4" s="1"/>
  <c r="H737" i="4" s="1"/>
  <c r="E674" i="4"/>
  <c r="G674" i="4" s="1"/>
  <c r="H674" i="4" s="1"/>
  <c r="E714" i="4"/>
  <c r="G714" i="4" s="1"/>
  <c r="H714" i="4" s="1"/>
  <c r="E803" i="4"/>
  <c r="G803" i="4" s="1"/>
  <c r="H803" i="4" s="1"/>
  <c r="E876" i="4"/>
  <c r="G876" i="4" s="1"/>
  <c r="H876" i="4" s="1"/>
  <c r="E708" i="4"/>
  <c r="G708" i="4" s="1"/>
  <c r="H708" i="4" s="1"/>
  <c r="E800" i="4"/>
  <c r="G800" i="4" s="1"/>
  <c r="H800" i="4" s="1"/>
  <c r="E777" i="4"/>
  <c r="G777" i="4" s="1"/>
  <c r="H777" i="4" s="1"/>
  <c r="E841" i="4"/>
  <c r="G841" i="4" s="1"/>
  <c r="H841" i="4" s="1"/>
  <c r="E754" i="4"/>
  <c r="G754" i="4" s="1"/>
  <c r="H754" i="4" s="1"/>
  <c r="E863" i="4"/>
  <c r="G863" i="4" s="1"/>
  <c r="H863" i="4" s="1"/>
  <c r="E790" i="4"/>
  <c r="G790" i="4" s="1"/>
  <c r="H790" i="4" s="1"/>
  <c r="E814" i="4"/>
  <c r="G814" i="4" s="1"/>
  <c r="H814" i="4" s="1"/>
  <c r="E893" i="4"/>
  <c r="G893" i="4" s="1"/>
  <c r="H893" i="4" s="1"/>
  <c r="E853" i="4"/>
  <c r="G853" i="4" s="1"/>
  <c r="H853" i="4" s="1"/>
  <c r="E914" i="4"/>
  <c r="G914" i="4" s="1"/>
  <c r="H914" i="4" s="1"/>
  <c r="E883" i="4"/>
  <c r="G883" i="4" s="1"/>
  <c r="H883" i="4" s="1"/>
  <c r="E874" i="4"/>
  <c r="G874" i="4" s="1"/>
  <c r="H874" i="4" s="1"/>
  <c r="E922" i="4"/>
  <c r="G922" i="4" s="1"/>
  <c r="H922" i="4" s="1"/>
  <c r="E915" i="4"/>
  <c r="G915" i="4" s="1"/>
  <c r="H915" i="4" s="1"/>
  <c r="E929" i="4"/>
  <c r="G929" i="4" s="1"/>
  <c r="H929" i="4" s="1"/>
  <c r="E885" i="4"/>
  <c r="G885" i="4" s="1"/>
  <c r="H885" i="4" s="1"/>
  <c r="E962" i="4"/>
  <c r="G962" i="4" s="1"/>
  <c r="H962" i="4" s="1"/>
  <c r="E907" i="4"/>
  <c r="G907" i="4" s="1"/>
  <c r="H907" i="4" s="1"/>
  <c r="E968" i="4"/>
  <c r="G968" i="4" s="1"/>
  <c r="H968" i="4" s="1"/>
  <c r="E1004" i="4"/>
  <c r="G1004" i="4" s="1"/>
  <c r="H1004" i="4" s="1"/>
  <c r="E990" i="4"/>
  <c r="G990" i="4" s="1"/>
  <c r="H990" i="4" s="1"/>
  <c r="E980" i="4"/>
  <c r="G980" i="4" s="1"/>
  <c r="H980" i="4" s="1"/>
  <c r="E1008" i="4"/>
  <c r="G1008" i="4" s="1"/>
  <c r="H1008" i="4" s="1"/>
  <c r="E1011" i="4"/>
  <c r="G1011" i="4" s="1"/>
  <c r="H1011" i="4" s="1"/>
  <c r="S91" i="4"/>
  <c r="U91" i="4" s="1"/>
  <c r="V91" i="4" s="1"/>
  <c r="AJ40" i="4"/>
  <c r="Z66" i="4"/>
  <c r="AB66" i="4" s="1"/>
  <c r="AC66" i="4" s="1"/>
  <c r="Z209" i="4"/>
  <c r="AB209" i="4" s="1"/>
  <c r="AC209" i="4" s="1"/>
  <c r="Z230" i="4"/>
  <c r="AB230" i="4" s="1"/>
  <c r="AC230" i="4" s="1"/>
  <c r="Z208" i="4"/>
  <c r="AB208" i="4" s="1"/>
  <c r="AC208" i="4" s="1"/>
  <c r="Z23" i="4"/>
  <c r="AB23" i="4" s="1"/>
  <c r="AC23" i="4" s="1"/>
  <c r="Z90" i="4"/>
  <c r="AB90" i="4" s="1"/>
  <c r="AC90" i="4" s="1"/>
  <c r="Z59" i="4"/>
  <c r="AB59" i="4" s="1"/>
  <c r="AC59" i="4" s="1"/>
  <c r="Z187" i="4"/>
  <c r="AB187" i="4" s="1"/>
  <c r="AC187" i="4" s="1"/>
  <c r="Z118" i="4"/>
  <c r="AB118" i="4" s="1"/>
  <c r="AC118" i="4" s="1"/>
  <c r="Z197" i="4"/>
  <c r="AB197" i="4" s="1"/>
  <c r="AC197" i="4" s="1"/>
  <c r="Z327" i="4"/>
  <c r="AB327" i="4" s="1"/>
  <c r="AC327" i="4" s="1"/>
  <c r="Z243" i="4"/>
  <c r="AB243" i="4" s="1"/>
  <c r="AC243" i="4" s="1"/>
  <c r="Z184" i="4"/>
  <c r="AB184" i="4" s="1"/>
  <c r="AC184" i="4" s="1"/>
  <c r="Z264" i="4"/>
  <c r="AB264" i="4" s="1"/>
  <c r="AC264" i="4" s="1"/>
  <c r="Z96" i="4"/>
  <c r="AB96" i="4" s="1"/>
  <c r="AC96" i="4" s="1"/>
  <c r="Z152" i="4"/>
  <c r="AB152" i="4" s="1"/>
  <c r="AC152" i="4" s="1"/>
  <c r="Z227" i="4"/>
  <c r="AB227" i="4" s="1"/>
  <c r="AC227" i="4" s="1"/>
  <c r="Z254" i="4"/>
  <c r="AB254" i="4" s="1"/>
  <c r="AC254" i="4" s="1"/>
  <c r="Z311" i="4"/>
  <c r="AB311" i="4" s="1"/>
  <c r="AC311" i="4" s="1"/>
  <c r="Z430" i="4"/>
  <c r="AB430" i="4" s="1"/>
  <c r="AC430" i="4" s="1"/>
  <c r="Z324" i="4"/>
  <c r="AB324" i="4" s="1"/>
  <c r="AC324" i="4" s="1"/>
  <c r="Z321" i="4"/>
  <c r="AB321" i="4" s="1"/>
  <c r="AC321" i="4" s="1"/>
  <c r="Z377" i="4"/>
  <c r="AB377" i="4" s="1"/>
  <c r="AC377" i="4" s="1"/>
  <c r="Z141" i="4"/>
  <c r="AB141" i="4" s="1"/>
  <c r="AC141" i="4" s="1"/>
  <c r="Z191" i="4"/>
  <c r="AB191" i="4" s="1"/>
  <c r="AC191" i="4" s="1"/>
  <c r="Z606" i="4"/>
  <c r="AB606" i="4" s="1"/>
  <c r="AC606" i="4" s="1"/>
  <c r="Z592" i="4"/>
  <c r="AB592" i="4" s="1"/>
  <c r="AC592" i="4" s="1"/>
  <c r="Z547" i="4"/>
  <c r="AB547" i="4" s="1"/>
  <c r="AC547" i="4" s="1"/>
  <c r="Z613" i="4"/>
  <c r="AB613" i="4" s="1"/>
  <c r="AC613" i="4" s="1"/>
  <c r="Z750" i="4"/>
  <c r="AB750" i="4" s="1"/>
  <c r="AC750" i="4" s="1"/>
  <c r="Z589" i="4"/>
  <c r="AB589" i="4" s="1"/>
  <c r="AC589" i="4" s="1"/>
  <c r="Z652" i="4"/>
  <c r="AB652" i="4" s="1"/>
  <c r="AC652" i="4" s="1"/>
  <c r="Z777" i="4"/>
  <c r="AB777" i="4" s="1"/>
  <c r="AC777" i="4" s="1"/>
  <c r="Z630" i="4"/>
  <c r="AB630" i="4" s="1"/>
  <c r="AC630" i="4" s="1"/>
  <c r="Z753" i="4"/>
  <c r="AB753" i="4" s="1"/>
  <c r="AC753" i="4" s="1"/>
  <c r="Z689" i="4"/>
  <c r="AB689" i="4" s="1"/>
  <c r="AC689" i="4" s="1"/>
  <c r="Z714" i="4"/>
  <c r="AB714" i="4" s="1"/>
  <c r="AC714" i="4" s="1"/>
  <c r="Z711" i="4"/>
  <c r="AB711" i="4" s="1"/>
  <c r="AC711" i="4" s="1"/>
  <c r="Z659" i="4"/>
  <c r="AB659" i="4" s="1"/>
  <c r="AC659" i="4" s="1"/>
  <c r="Z730" i="4"/>
  <c r="AB730" i="4" s="1"/>
  <c r="AC730" i="4" s="1"/>
  <c r="Z765" i="4"/>
  <c r="AB765" i="4" s="1"/>
  <c r="AC765" i="4" s="1"/>
  <c r="Z767" i="4"/>
  <c r="AB767" i="4" s="1"/>
  <c r="AC767" i="4" s="1"/>
  <c r="Z713" i="4"/>
  <c r="AB713" i="4" s="1"/>
  <c r="AC713" i="4" s="1"/>
  <c r="Z792" i="4"/>
  <c r="AB792" i="4" s="1"/>
  <c r="AC792" i="4" s="1"/>
  <c r="Z830" i="4"/>
  <c r="AB830" i="4" s="1"/>
  <c r="AC830" i="4" s="1"/>
  <c r="Z739" i="4"/>
  <c r="AB739" i="4" s="1"/>
  <c r="AC739" i="4" s="1"/>
  <c r="Z836" i="4"/>
  <c r="AB836" i="4" s="1"/>
  <c r="AC836" i="4" s="1"/>
  <c r="Z820" i="4"/>
  <c r="AB820" i="4" s="1"/>
  <c r="AC820" i="4" s="1"/>
  <c r="Z780" i="4"/>
  <c r="AB780" i="4" s="1"/>
  <c r="AC780" i="4" s="1"/>
  <c r="Z864" i="4"/>
  <c r="AB864" i="4" s="1"/>
  <c r="AC864" i="4" s="1"/>
  <c r="Z892" i="4"/>
  <c r="AB892" i="4" s="1"/>
  <c r="AC892" i="4" s="1"/>
  <c r="Z807" i="4"/>
  <c r="AB807" i="4" s="1"/>
  <c r="AC807" i="4" s="1"/>
  <c r="Z885" i="4"/>
  <c r="AB885" i="4" s="1"/>
  <c r="AC885" i="4" s="1"/>
  <c r="Z909" i="4"/>
  <c r="AB909" i="4" s="1"/>
  <c r="AC909" i="4" s="1"/>
  <c r="Z857" i="4"/>
  <c r="AB857" i="4" s="1"/>
  <c r="AC857" i="4" s="1"/>
  <c r="Z921" i="4"/>
  <c r="AB921" i="4" s="1"/>
  <c r="AC921" i="4" s="1"/>
  <c r="Z926" i="4"/>
  <c r="AB926" i="4" s="1"/>
  <c r="AC926" i="4" s="1"/>
  <c r="Z893" i="4"/>
  <c r="AB893" i="4" s="1"/>
  <c r="AC893" i="4" s="1"/>
  <c r="Z949" i="4"/>
  <c r="AB949" i="4" s="1"/>
  <c r="AC949" i="4" s="1"/>
  <c r="Z959" i="4"/>
  <c r="AB959" i="4" s="1"/>
  <c r="AC959" i="4" s="1"/>
  <c r="Z963" i="4"/>
  <c r="AB963" i="4" s="1"/>
  <c r="AC963" i="4" s="1"/>
  <c r="Z943" i="4"/>
  <c r="AB943" i="4" s="1"/>
  <c r="AC943" i="4" s="1"/>
  <c r="Z970" i="4"/>
  <c r="AB970" i="4" s="1"/>
  <c r="AC970" i="4" s="1"/>
  <c r="Z998" i="4"/>
  <c r="AB998" i="4" s="1"/>
  <c r="AC998" i="4" s="1"/>
  <c r="Z997" i="4"/>
  <c r="AB997" i="4" s="1"/>
  <c r="AC997" i="4" s="1"/>
  <c r="Z996" i="4"/>
  <c r="AB996" i="4" s="1"/>
  <c r="AC996" i="4" s="1"/>
  <c r="L75" i="4"/>
  <c r="N75" i="4" s="1"/>
  <c r="O75" i="4" s="1"/>
  <c r="L300" i="4"/>
  <c r="N300" i="4" s="1"/>
  <c r="O300" i="4" s="1"/>
  <c r="L212" i="4"/>
  <c r="N212" i="4" s="1"/>
  <c r="O212" i="4" s="1"/>
  <c r="L181" i="4"/>
  <c r="N181" i="4" s="1"/>
  <c r="O181" i="4" s="1"/>
  <c r="L142" i="4"/>
  <c r="N142" i="4" s="1"/>
  <c r="O142" i="4" s="1"/>
  <c r="L37" i="4"/>
  <c r="N37" i="4" s="1"/>
  <c r="O37" i="4" s="1"/>
  <c r="L129" i="4"/>
  <c r="N129" i="4" s="1"/>
  <c r="O129" i="4" s="1"/>
  <c r="L60" i="4"/>
  <c r="N60" i="4" s="1"/>
  <c r="O60" i="4" s="1"/>
  <c r="L186" i="4"/>
  <c r="N186" i="4" s="1"/>
  <c r="O186" i="4" s="1"/>
  <c r="L102" i="4"/>
  <c r="N102" i="4" s="1"/>
  <c r="O102" i="4" s="1"/>
  <c r="L225" i="4"/>
  <c r="N225" i="4" s="1"/>
  <c r="O225" i="4" s="1"/>
  <c r="L159" i="4"/>
  <c r="N159" i="4" s="1"/>
  <c r="O159" i="4" s="1"/>
  <c r="L226" i="4"/>
  <c r="N226" i="4" s="1"/>
  <c r="O226" i="4" s="1"/>
  <c r="L156" i="4"/>
  <c r="N156" i="4" s="1"/>
  <c r="O156" i="4" s="1"/>
  <c r="L204" i="4"/>
  <c r="N204" i="4" s="1"/>
  <c r="O204" i="4" s="1"/>
  <c r="L100" i="4"/>
  <c r="N100" i="4" s="1"/>
  <c r="O100" i="4" s="1"/>
  <c r="L171" i="4"/>
  <c r="N171" i="4" s="1"/>
  <c r="O171" i="4" s="1"/>
  <c r="L345" i="4"/>
  <c r="N345" i="4" s="1"/>
  <c r="O345" i="4" s="1"/>
  <c r="L361" i="4"/>
  <c r="N361" i="4" s="1"/>
  <c r="O361" i="4" s="1"/>
  <c r="L364" i="4"/>
  <c r="N364" i="4" s="1"/>
  <c r="O364" i="4" s="1"/>
  <c r="L291" i="4"/>
  <c r="N291" i="4" s="1"/>
  <c r="O291" i="4" s="1"/>
  <c r="L427" i="4"/>
  <c r="N427" i="4" s="1"/>
  <c r="O427" i="4" s="1"/>
  <c r="L281" i="4"/>
  <c r="N281" i="4" s="1"/>
  <c r="O281" i="4" s="1"/>
  <c r="L230" i="4"/>
  <c r="N230" i="4" s="1"/>
  <c r="O230" i="4" s="1"/>
  <c r="L413" i="4"/>
  <c r="N413" i="4" s="1"/>
  <c r="O413" i="4" s="1"/>
  <c r="L185" i="4"/>
  <c r="N185" i="4" s="1"/>
  <c r="O185" i="4" s="1"/>
  <c r="L270" i="4"/>
  <c r="N270" i="4" s="1"/>
  <c r="O270" i="4" s="1"/>
  <c r="L375" i="4"/>
  <c r="N375" i="4" s="1"/>
  <c r="O375" i="4" s="1"/>
  <c r="L549" i="4"/>
  <c r="N549" i="4" s="1"/>
  <c r="O549" i="4" s="1"/>
  <c r="L434" i="4"/>
  <c r="N434" i="4" s="1"/>
  <c r="O434" i="4" s="1"/>
  <c r="L349" i="4"/>
  <c r="N349" i="4" s="1"/>
  <c r="O349" i="4" s="1"/>
  <c r="L356" i="4"/>
  <c r="N356" i="4" s="1"/>
  <c r="O356" i="4" s="1"/>
  <c r="L254" i="4"/>
  <c r="N254" i="4" s="1"/>
  <c r="O254" i="4" s="1"/>
  <c r="L304" i="4"/>
  <c r="N304" i="4" s="1"/>
  <c r="O304" i="4" s="1"/>
  <c r="L363" i="4"/>
  <c r="N363" i="4" s="1"/>
  <c r="O363" i="4" s="1"/>
  <c r="L398" i="4"/>
  <c r="N398" i="4" s="1"/>
  <c r="O398" i="4" s="1"/>
  <c r="L401" i="4"/>
  <c r="N401" i="4" s="1"/>
  <c r="O401" i="4" s="1"/>
  <c r="L409" i="4"/>
  <c r="N409" i="4" s="1"/>
  <c r="O409" i="4" s="1"/>
  <c r="L567" i="4"/>
  <c r="N567" i="4" s="1"/>
  <c r="O567" i="4" s="1"/>
  <c r="L457" i="4"/>
  <c r="N457" i="4" s="1"/>
  <c r="O457" i="4" s="1"/>
  <c r="L439" i="4"/>
  <c r="N439" i="4" s="1"/>
  <c r="O439" i="4" s="1"/>
  <c r="L447" i="4"/>
  <c r="N447" i="4" s="1"/>
  <c r="O447" i="4" s="1"/>
  <c r="L529" i="4"/>
  <c r="N529" i="4" s="1"/>
  <c r="O529" i="4" s="1"/>
  <c r="L422" i="4"/>
  <c r="N422" i="4" s="1"/>
  <c r="O422" i="4" s="1"/>
  <c r="L496" i="4"/>
  <c r="N496" i="4" s="1"/>
  <c r="O496" i="4" s="1"/>
  <c r="L585" i="4"/>
  <c r="N585" i="4" s="1"/>
  <c r="O585" i="4" s="1"/>
  <c r="L519" i="4"/>
  <c r="N519" i="4" s="1"/>
  <c r="O519" i="4" s="1"/>
  <c r="L547" i="4"/>
  <c r="N547" i="4" s="1"/>
  <c r="O547" i="4" s="1"/>
  <c r="L544" i="4"/>
  <c r="N544" i="4" s="1"/>
  <c r="O544" i="4" s="1"/>
  <c r="L562" i="4"/>
  <c r="N562" i="4" s="1"/>
  <c r="O562" i="4" s="1"/>
  <c r="L443" i="4"/>
  <c r="N443" i="4" s="1"/>
  <c r="O443" i="4" s="1"/>
  <c r="E89" i="4"/>
  <c r="G89" i="4" s="1"/>
  <c r="H89" i="4" s="1"/>
  <c r="E220" i="4"/>
  <c r="G220" i="4" s="1"/>
  <c r="H220" i="4" s="1"/>
  <c r="E210" i="4"/>
  <c r="G210" i="4" s="1"/>
  <c r="H210" i="4" s="1"/>
  <c r="E119" i="4"/>
  <c r="G119" i="4" s="1"/>
  <c r="H119" i="4" s="1"/>
  <c r="E144" i="4"/>
  <c r="G144" i="4" s="1"/>
  <c r="H144" i="4" s="1"/>
  <c r="E52" i="4"/>
  <c r="G52" i="4" s="1"/>
  <c r="H52" i="4" s="1"/>
  <c r="E163" i="4"/>
  <c r="G163" i="4" s="1"/>
  <c r="H163" i="4" s="1"/>
  <c r="E271" i="4"/>
  <c r="G271" i="4" s="1"/>
  <c r="H271" i="4" s="1"/>
  <c r="E340" i="4"/>
  <c r="G340" i="4" s="1"/>
  <c r="H340" i="4" s="1"/>
  <c r="E151" i="4"/>
  <c r="G151" i="4" s="1"/>
  <c r="H151" i="4" s="1"/>
  <c r="E264" i="4"/>
  <c r="G264" i="4" s="1"/>
  <c r="H264" i="4" s="1"/>
  <c r="E148" i="4"/>
  <c r="G148" i="4" s="1"/>
  <c r="H148" i="4" s="1"/>
  <c r="E255" i="4"/>
  <c r="G255" i="4" s="1"/>
  <c r="H255" i="4" s="1"/>
  <c r="E83" i="4"/>
  <c r="G83" i="4" s="1"/>
  <c r="H83" i="4" s="1"/>
  <c r="E133" i="4"/>
  <c r="G133" i="4" s="1"/>
  <c r="H133" i="4" s="1"/>
  <c r="E228" i="4"/>
  <c r="G228" i="4" s="1"/>
  <c r="H228" i="4" s="1"/>
  <c r="E198" i="4"/>
  <c r="G198" i="4" s="1"/>
  <c r="H198" i="4" s="1"/>
  <c r="E284" i="4"/>
  <c r="G284" i="4" s="1"/>
  <c r="H284" i="4" s="1"/>
  <c r="E408" i="4"/>
  <c r="G408" i="4" s="1"/>
  <c r="H408" i="4" s="1"/>
  <c r="E373" i="4"/>
  <c r="G373" i="4" s="1"/>
  <c r="H373" i="4" s="1"/>
  <c r="E258" i="4"/>
  <c r="G258" i="4" s="1"/>
  <c r="H258" i="4" s="1"/>
  <c r="E325" i="4"/>
  <c r="G325" i="4" s="1"/>
  <c r="H325" i="4" s="1"/>
  <c r="E216" i="4"/>
  <c r="G216" i="4" s="1"/>
  <c r="H216" i="4" s="1"/>
  <c r="E300" i="4"/>
  <c r="G300" i="4" s="1"/>
  <c r="H300" i="4" s="1"/>
  <c r="E293" i="4"/>
  <c r="G293" i="4" s="1"/>
  <c r="H293" i="4" s="1"/>
  <c r="E356" i="4"/>
  <c r="G356" i="4" s="1"/>
  <c r="H356" i="4" s="1"/>
  <c r="E447" i="4"/>
  <c r="G447" i="4" s="1"/>
  <c r="H447" i="4" s="1"/>
  <c r="E354" i="4"/>
  <c r="G354" i="4" s="1"/>
  <c r="H354" i="4" s="1"/>
  <c r="E565" i="4"/>
  <c r="G565" i="4" s="1"/>
  <c r="H565" i="4" s="1"/>
  <c r="E381" i="4"/>
  <c r="G381" i="4" s="1"/>
  <c r="H381" i="4" s="1"/>
  <c r="E342" i="4"/>
  <c r="G342" i="4" s="1"/>
  <c r="H342" i="4" s="1"/>
  <c r="E217" i="4"/>
  <c r="G217" i="4" s="1"/>
  <c r="H217" i="4" s="1"/>
  <c r="E267" i="4"/>
  <c r="G267" i="4" s="1"/>
  <c r="H267" i="4" s="1"/>
  <c r="E317" i="4"/>
  <c r="G317" i="4" s="1"/>
  <c r="H317" i="4" s="1"/>
  <c r="E483" i="4"/>
  <c r="G483" i="4" s="1"/>
  <c r="H483" i="4" s="1"/>
  <c r="E439" i="4"/>
  <c r="G439" i="4" s="1"/>
  <c r="H439" i="4" s="1"/>
  <c r="E513" i="4"/>
  <c r="G513" i="4" s="1"/>
  <c r="H513" i="4" s="1"/>
  <c r="E437" i="4"/>
  <c r="G437" i="4" s="1"/>
  <c r="H437" i="4" s="1"/>
  <c r="E515" i="4"/>
  <c r="G515" i="4" s="1"/>
  <c r="H515" i="4" s="1"/>
  <c r="E458" i="4"/>
  <c r="G458" i="4" s="1"/>
  <c r="H458" i="4" s="1"/>
  <c r="E350" i="4"/>
  <c r="G350" i="4" s="1"/>
  <c r="H350" i="4" s="1"/>
  <c r="E400" i="4"/>
  <c r="G400" i="4" s="1"/>
  <c r="H400" i="4" s="1"/>
  <c r="E459" i="4"/>
  <c r="G459" i="4" s="1"/>
  <c r="H459" i="4" s="1"/>
  <c r="E491" i="4"/>
  <c r="G491" i="4" s="1"/>
  <c r="H491" i="4" s="1"/>
  <c r="E566" i="4"/>
  <c r="G566" i="4" s="1"/>
  <c r="H566" i="4" s="1"/>
  <c r="E517" i="4"/>
  <c r="G517" i="4" s="1"/>
  <c r="H517" i="4" s="1"/>
  <c r="E590" i="4"/>
  <c r="G590" i="4" s="1"/>
  <c r="H590" i="4" s="1"/>
  <c r="E499" i="4"/>
  <c r="G499" i="4" s="1"/>
  <c r="H499" i="4" s="1"/>
  <c r="E541" i="4"/>
  <c r="G541" i="4" s="1"/>
  <c r="H541" i="4" s="1"/>
  <c r="E650" i="4"/>
  <c r="G650" i="4" s="1"/>
  <c r="H650" i="4" s="1"/>
  <c r="E589" i="4"/>
  <c r="G589" i="4" s="1"/>
  <c r="H589" i="4" s="1"/>
  <c r="E585" i="4"/>
  <c r="G585" i="4" s="1"/>
  <c r="H585" i="4" s="1"/>
  <c r="E618" i="4"/>
  <c r="G618" i="4" s="1"/>
  <c r="H618" i="4" s="1"/>
  <c r="E552" i="4"/>
  <c r="G552" i="4" s="1"/>
  <c r="H552" i="4" s="1"/>
  <c r="E643" i="4"/>
  <c r="G643" i="4" s="1"/>
  <c r="H643" i="4" s="1"/>
  <c r="E635" i="4"/>
  <c r="G635" i="4" s="1"/>
  <c r="H635" i="4" s="1"/>
  <c r="E665" i="4"/>
  <c r="G665" i="4" s="1"/>
  <c r="H665" i="4" s="1"/>
  <c r="E689" i="4"/>
  <c r="G689" i="4" s="1"/>
  <c r="H689" i="4" s="1"/>
  <c r="E651" i="4"/>
  <c r="G651" i="4" s="1"/>
  <c r="H651" i="4" s="1"/>
  <c r="E705" i="4"/>
  <c r="G705" i="4" s="1"/>
  <c r="H705" i="4" s="1"/>
  <c r="E673" i="4"/>
  <c r="G673" i="4" s="1"/>
  <c r="H673" i="4" s="1"/>
  <c r="E681" i="4"/>
  <c r="G681" i="4" s="1"/>
  <c r="H681" i="4" s="1"/>
  <c r="E761" i="4"/>
  <c r="G761" i="4" s="1"/>
  <c r="H761" i="4" s="1"/>
  <c r="E755" i="4"/>
  <c r="G755" i="4" s="1"/>
  <c r="H755" i="4" s="1"/>
  <c r="E693" i="4"/>
  <c r="G693" i="4" s="1"/>
  <c r="H693" i="4" s="1"/>
  <c r="E717" i="4"/>
  <c r="G717" i="4" s="1"/>
  <c r="H717" i="4" s="1"/>
  <c r="E738" i="4"/>
  <c r="G738" i="4" s="1"/>
  <c r="H738" i="4" s="1"/>
  <c r="E731" i="4"/>
  <c r="G731" i="4" s="1"/>
  <c r="H731" i="4" s="1"/>
  <c r="E718" i="4"/>
  <c r="G718" i="4" s="1"/>
  <c r="H718" i="4" s="1"/>
  <c r="E845" i="4"/>
  <c r="G845" i="4" s="1"/>
  <c r="H845" i="4" s="1"/>
  <c r="E791" i="4"/>
  <c r="G791" i="4" s="1"/>
  <c r="H791" i="4" s="1"/>
  <c r="E786" i="4"/>
  <c r="G786" i="4" s="1"/>
  <c r="H786" i="4" s="1"/>
  <c r="E764" i="4"/>
  <c r="G764" i="4" s="1"/>
  <c r="H764" i="4" s="1"/>
  <c r="E797" i="4"/>
  <c r="G797" i="4" s="1"/>
  <c r="H797" i="4" s="1"/>
  <c r="E818" i="4"/>
  <c r="G818" i="4" s="1"/>
  <c r="H818" i="4" s="1"/>
  <c r="E820" i="4"/>
  <c r="G820" i="4" s="1"/>
  <c r="H820" i="4" s="1"/>
  <c r="E835" i="4"/>
  <c r="G835" i="4" s="1"/>
  <c r="H835" i="4" s="1"/>
  <c r="E892" i="4"/>
  <c r="G892" i="4" s="1"/>
  <c r="H892" i="4" s="1"/>
  <c r="E905" i="4"/>
  <c r="G905" i="4" s="1"/>
  <c r="H905" i="4" s="1"/>
  <c r="E878" i="4"/>
  <c r="G878" i="4" s="1"/>
  <c r="H878" i="4" s="1"/>
  <c r="E862" i="4"/>
  <c r="G862" i="4" s="1"/>
  <c r="H862" i="4" s="1"/>
  <c r="E926" i="4"/>
  <c r="G926" i="4" s="1"/>
  <c r="H926" i="4" s="1"/>
  <c r="E904" i="4"/>
  <c r="G904" i="4" s="1"/>
  <c r="H904" i="4" s="1"/>
  <c r="E931" i="4"/>
  <c r="G931" i="4" s="1"/>
  <c r="H931" i="4" s="1"/>
  <c r="E895" i="4"/>
  <c r="G895" i="4" s="1"/>
  <c r="H895" i="4" s="1"/>
  <c r="E961" i="4"/>
  <c r="G961" i="4" s="1"/>
  <c r="H961" i="4" s="1"/>
  <c r="E917" i="4"/>
  <c r="G917" i="4" s="1"/>
  <c r="H917" i="4" s="1"/>
  <c r="E928" i="4"/>
  <c r="G928" i="4" s="1"/>
  <c r="H928" i="4" s="1"/>
  <c r="E1002" i="4"/>
  <c r="G1002" i="4" s="1"/>
  <c r="H1002" i="4" s="1"/>
  <c r="E949" i="4"/>
  <c r="G949" i="4" s="1"/>
  <c r="H949" i="4" s="1"/>
  <c r="E987" i="4"/>
  <c r="G987" i="4" s="1"/>
  <c r="H987" i="4" s="1"/>
  <c r="E983" i="4"/>
  <c r="G983" i="4" s="1"/>
  <c r="H983" i="4" s="1"/>
  <c r="S126" i="4"/>
  <c r="U126" i="4" s="1"/>
  <c r="V126" i="4" s="1"/>
  <c r="AJ145" i="4"/>
  <c r="S112" i="4"/>
  <c r="U112" i="4" s="1"/>
  <c r="V112" i="4" s="1"/>
  <c r="AC25" i="4"/>
  <c r="AC77" i="4"/>
  <c r="AC193" i="4"/>
  <c r="Z261" i="4"/>
  <c r="AB261" i="4" s="1"/>
  <c r="AC261" i="4" s="1"/>
  <c r="Z247" i="4"/>
  <c r="AB247" i="4" s="1"/>
  <c r="AC247" i="4" s="1"/>
  <c r="Z100" i="4"/>
  <c r="AB100" i="4" s="1"/>
  <c r="AC100" i="4" s="1"/>
  <c r="Z33" i="4"/>
  <c r="AB33" i="4" s="1"/>
  <c r="AC33" i="4" s="1"/>
  <c r="Z94" i="4"/>
  <c r="AB94" i="4" s="1"/>
  <c r="AC94" i="4" s="1"/>
  <c r="Z82" i="4"/>
  <c r="AB82" i="4" s="1"/>
  <c r="AC82" i="4" s="1"/>
  <c r="Z78" i="4"/>
  <c r="AB78" i="4" s="1"/>
  <c r="AC78" i="4" s="1"/>
  <c r="Z203" i="4"/>
  <c r="AB203" i="4" s="1"/>
  <c r="AC203" i="4" s="1"/>
  <c r="Z360" i="4"/>
  <c r="AB360" i="4" s="1"/>
  <c r="AC360" i="4" s="1"/>
  <c r="Z139" i="4"/>
  <c r="AB139" i="4" s="1"/>
  <c r="AC139" i="4" s="1"/>
  <c r="Z192" i="4"/>
  <c r="AB192" i="4" s="1"/>
  <c r="AC192" i="4" s="1"/>
  <c r="Z363" i="4"/>
  <c r="AB363" i="4" s="1"/>
  <c r="AC363" i="4" s="1"/>
  <c r="Z106" i="4"/>
  <c r="AB106" i="4" s="1"/>
  <c r="AC106" i="4" s="1"/>
  <c r="Z170" i="4"/>
  <c r="AB170" i="4" s="1"/>
  <c r="AC170" i="4" s="1"/>
  <c r="Z259" i="4"/>
  <c r="AB259" i="4" s="1"/>
  <c r="AC259" i="4" s="1"/>
  <c r="Z263" i="4"/>
  <c r="AB263" i="4" s="1"/>
  <c r="AC263" i="4" s="1"/>
  <c r="Z374" i="4"/>
  <c r="AB374" i="4" s="1"/>
  <c r="AC374" i="4" s="1"/>
  <c r="Z386" i="4"/>
  <c r="AB386" i="4" s="1"/>
  <c r="AC386" i="4" s="1"/>
  <c r="Z394" i="4"/>
  <c r="AB394" i="4" s="1"/>
  <c r="AC394" i="4" s="1"/>
  <c r="Z343" i="4"/>
  <c r="AB343" i="4" s="1"/>
  <c r="AC343" i="4" s="1"/>
  <c r="Z229" i="4"/>
  <c r="AB229" i="4" s="1"/>
  <c r="AC229" i="4" s="1"/>
  <c r="Z151" i="4"/>
  <c r="AB151" i="4" s="1"/>
  <c r="AC151" i="4" s="1"/>
  <c r="Z201" i="4"/>
  <c r="AB201" i="4" s="1"/>
  <c r="AC201" i="4" s="1"/>
  <c r="Z314" i="4"/>
  <c r="AB314" i="4" s="1"/>
  <c r="AC314" i="4" s="1"/>
  <c r="Z376" i="4"/>
  <c r="AB376" i="4" s="1"/>
  <c r="AC376" i="4" s="1"/>
  <c r="Z361" i="4"/>
  <c r="AB361" i="4" s="1"/>
  <c r="AC361" i="4" s="1"/>
  <c r="Z333" i="4"/>
  <c r="AB333" i="4" s="1"/>
  <c r="AC333" i="4" s="1"/>
  <c r="Z399" i="4"/>
  <c r="AB399" i="4" s="1"/>
  <c r="AC399" i="4" s="1"/>
  <c r="Z485" i="4"/>
  <c r="AB485" i="4" s="1"/>
  <c r="AC485" i="4" s="1"/>
  <c r="Z280" i="4"/>
  <c r="AB280" i="4" s="1"/>
  <c r="AC280" i="4" s="1"/>
  <c r="Z330" i="4"/>
  <c r="AB330" i="4" s="1"/>
  <c r="AC330" i="4" s="1"/>
  <c r="Z491" i="4"/>
  <c r="AB491" i="4" s="1"/>
  <c r="AC491" i="4" s="1"/>
  <c r="E90" i="4"/>
  <c r="G90" i="4" s="1"/>
  <c r="H90" i="4" s="1"/>
  <c r="E231" i="4"/>
  <c r="G231" i="4" s="1"/>
  <c r="H231" i="4" s="1"/>
  <c r="E235" i="4"/>
  <c r="G235" i="4" s="1"/>
  <c r="H235" i="4" s="1"/>
  <c r="E122" i="4"/>
  <c r="G122" i="4" s="1"/>
  <c r="H122" i="4" s="1"/>
  <c r="E155" i="4"/>
  <c r="G155" i="4" s="1"/>
  <c r="H155" i="4" s="1"/>
  <c r="E59" i="4"/>
  <c r="G59" i="4" s="1"/>
  <c r="H59" i="4" s="1"/>
  <c r="E174" i="4"/>
  <c r="G174" i="4" s="1"/>
  <c r="H174" i="4" s="1"/>
  <c r="E278" i="4"/>
  <c r="G278" i="4" s="1"/>
  <c r="H278" i="4" s="1"/>
  <c r="E139" i="4"/>
  <c r="G139" i="4" s="1"/>
  <c r="H139" i="4" s="1"/>
  <c r="E281" i="4"/>
  <c r="G281" i="4" s="1"/>
  <c r="H281" i="4" s="1"/>
  <c r="E166" i="4"/>
  <c r="G166" i="4" s="1"/>
  <c r="H166" i="4" s="1"/>
  <c r="E268" i="4"/>
  <c r="G268" i="4" s="1"/>
  <c r="H268" i="4" s="1"/>
  <c r="E88" i="4"/>
  <c r="G88" i="4" s="1"/>
  <c r="H88" i="4" s="1"/>
  <c r="E138" i="4"/>
  <c r="G138" i="4" s="1"/>
  <c r="H138" i="4" s="1"/>
  <c r="E230" i="4"/>
  <c r="G230" i="4" s="1"/>
  <c r="H230" i="4" s="1"/>
  <c r="E203" i="4"/>
  <c r="G203" i="4" s="1"/>
  <c r="H203" i="4" s="1"/>
  <c r="E288" i="4"/>
  <c r="G288" i="4" s="1"/>
  <c r="H288" i="4" s="1"/>
  <c r="E419" i="4"/>
  <c r="G419" i="4" s="1"/>
  <c r="H419" i="4" s="1"/>
  <c r="E259" i="4"/>
  <c r="G259" i="4" s="1"/>
  <c r="H259" i="4" s="1"/>
  <c r="E260" i="4"/>
  <c r="G260" i="4" s="1"/>
  <c r="H260" i="4" s="1"/>
  <c r="E331" i="4"/>
  <c r="G331" i="4" s="1"/>
  <c r="H331" i="4" s="1"/>
  <c r="E219" i="4"/>
  <c r="G219" i="4" s="1"/>
  <c r="H219" i="4" s="1"/>
  <c r="E301" i="4"/>
  <c r="G301" i="4" s="1"/>
  <c r="H301" i="4" s="1"/>
  <c r="E295" i="4"/>
  <c r="G295" i="4" s="1"/>
  <c r="H295" i="4" s="1"/>
  <c r="E359" i="4"/>
  <c r="G359" i="4" s="1"/>
  <c r="H359" i="4" s="1"/>
  <c r="E487" i="4"/>
  <c r="G487" i="4" s="1"/>
  <c r="H487" i="4" s="1"/>
  <c r="E361" i="4"/>
  <c r="G361" i="4" s="1"/>
  <c r="H361" i="4" s="1"/>
  <c r="E571" i="4"/>
  <c r="G571" i="4" s="1"/>
  <c r="H571" i="4" s="1"/>
  <c r="E382" i="4"/>
  <c r="G382" i="4" s="1"/>
  <c r="H382" i="4" s="1"/>
  <c r="E352" i="4"/>
  <c r="G352" i="4" s="1"/>
  <c r="H352" i="4" s="1"/>
  <c r="E222" i="4"/>
  <c r="G222" i="4" s="1"/>
  <c r="H222" i="4" s="1"/>
  <c r="E272" i="4"/>
  <c r="G272" i="4" s="1"/>
  <c r="H272" i="4" s="1"/>
  <c r="E322" i="4"/>
  <c r="G322" i="4" s="1"/>
  <c r="H322" i="4" s="1"/>
  <c r="E493" i="4"/>
  <c r="G493" i="4" s="1"/>
  <c r="H493" i="4" s="1"/>
  <c r="E446" i="4"/>
  <c r="G446" i="4" s="1"/>
  <c r="H446" i="4" s="1"/>
  <c r="E525" i="4"/>
  <c r="G525" i="4" s="1"/>
  <c r="H525" i="4" s="1"/>
  <c r="E498" i="4"/>
  <c r="G498" i="4" s="1"/>
  <c r="H498" i="4" s="1"/>
  <c r="E578" i="4"/>
  <c r="G578" i="4" s="1"/>
  <c r="H578" i="4" s="1"/>
  <c r="E460" i="4"/>
  <c r="G460" i="4" s="1"/>
  <c r="H460" i="4" s="1"/>
  <c r="E355" i="4"/>
  <c r="G355" i="4" s="1"/>
  <c r="H355" i="4" s="1"/>
  <c r="E405" i="4"/>
  <c r="G405" i="4" s="1"/>
  <c r="H405" i="4" s="1"/>
  <c r="E510" i="4"/>
  <c r="G510" i="4" s="1"/>
  <c r="H510" i="4" s="1"/>
  <c r="E496" i="4"/>
  <c r="G496" i="4" s="1"/>
  <c r="H496" i="4" s="1"/>
  <c r="E601" i="4"/>
  <c r="G601" i="4" s="1"/>
  <c r="H601" i="4" s="1"/>
  <c r="E522" i="4"/>
  <c r="G522" i="4" s="1"/>
  <c r="H522" i="4" s="1"/>
  <c r="E604" i="4"/>
  <c r="G604" i="4" s="1"/>
  <c r="H604" i="4" s="1"/>
  <c r="E504" i="4"/>
  <c r="G504" i="4" s="1"/>
  <c r="H504" i="4" s="1"/>
  <c r="E545" i="4"/>
  <c r="G545" i="4" s="1"/>
  <c r="H545" i="4" s="1"/>
  <c r="E544" i="4"/>
  <c r="G544" i="4" s="1"/>
  <c r="H544" i="4" s="1"/>
  <c r="E596" i="4"/>
  <c r="G596" i="4" s="1"/>
  <c r="H596" i="4" s="1"/>
  <c r="E591" i="4"/>
  <c r="G591" i="4" s="1"/>
  <c r="H591" i="4" s="1"/>
  <c r="E631" i="4"/>
  <c r="G631" i="4" s="1"/>
  <c r="H631" i="4" s="1"/>
  <c r="E557" i="4"/>
  <c r="G557" i="4" s="1"/>
  <c r="H557" i="4" s="1"/>
  <c r="E667" i="4"/>
  <c r="G667" i="4" s="1"/>
  <c r="H667" i="4" s="1"/>
  <c r="E636" i="4"/>
  <c r="G636" i="4" s="1"/>
  <c r="H636" i="4" s="1"/>
  <c r="E675" i="4"/>
  <c r="G675" i="4" s="1"/>
  <c r="H675" i="4" s="1"/>
  <c r="E690" i="4"/>
  <c r="G690" i="4" s="1"/>
  <c r="H690" i="4" s="1"/>
  <c r="E653" i="4"/>
  <c r="G653" i="4" s="1"/>
  <c r="H653" i="4" s="1"/>
  <c r="E707" i="4"/>
  <c r="G707" i="4" s="1"/>
  <c r="H707" i="4" s="1"/>
  <c r="E701" i="4"/>
  <c r="G701" i="4" s="1"/>
  <c r="H701" i="4" s="1"/>
  <c r="E694" i="4"/>
  <c r="G694" i="4" s="1"/>
  <c r="H694" i="4" s="1"/>
  <c r="E773" i="4"/>
  <c r="G773" i="4" s="1"/>
  <c r="H773" i="4" s="1"/>
  <c r="E779" i="4"/>
  <c r="G779" i="4" s="1"/>
  <c r="H779" i="4" s="1"/>
  <c r="E719" i="4"/>
  <c r="G719" i="4" s="1"/>
  <c r="H719" i="4" s="1"/>
  <c r="E721" i="4"/>
  <c r="G721" i="4" s="1"/>
  <c r="H721" i="4" s="1"/>
  <c r="E745" i="4"/>
  <c r="G745" i="4" s="1"/>
  <c r="H745" i="4" s="1"/>
  <c r="E740" i="4"/>
  <c r="G740" i="4" s="1"/>
  <c r="H740" i="4" s="1"/>
  <c r="E723" i="4"/>
  <c r="G723" i="4" s="1"/>
  <c r="H723" i="4" s="1"/>
  <c r="E789" i="4"/>
  <c r="G789" i="4" s="1"/>
  <c r="H789" i="4" s="1"/>
  <c r="E792" i="4"/>
  <c r="G792" i="4" s="1"/>
  <c r="H792" i="4" s="1"/>
  <c r="E793" i="4"/>
  <c r="G793" i="4" s="1"/>
  <c r="H793" i="4" s="1"/>
  <c r="E769" i="4"/>
  <c r="G769" i="4" s="1"/>
  <c r="H769" i="4" s="1"/>
  <c r="E823" i="4"/>
  <c r="G823" i="4" s="1"/>
  <c r="H823" i="4" s="1"/>
  <c r="E819" i="4"/>
  <c r="G819" i="4" s="1"/>
  <c r="H819" i="4" s="1"/>
  <c r="E894" i="4"/>
  <c r="G894" i="4" s="1"/>
  <c r="H894" i="4" s="1"/>
  <c r="E807" i="4"/>
  <c r="G807" i="4" s="1"/>
  <c r="H807" i="4" s="1"/>
  <c r="E842" i="4"/>
  <c r="G842" i="4" s="1"/>
  <c r="H842" i="4" s="1"/>
  <c r="E882" i="4"/>
  <c r="G882" i="4" s="1"/>
  <c r="H882" i="4" s="1"/>
  <c r="E879" i="4"/>
  <c r="G879" i="4" s="1"/>
  <c r="H879" i="4" s="1"/>
  <c r="E866" i="4"/>
  <c r="G866" i="4" s="1"/>
  <c r="H866" i="4" s="1"/>
  <c r="E930" i="4"/>
  <c r="G930" i="4" s="1"/>
  <c r="H930" i="4" s="1"/>
  <c r="E906" i="4"/>
  <c r="G906" i="4" s="1"/>
  <c r="H906" i="4" s="1"/>
  <c r="E850" i="4"/>
  <c r="G850" i="4" s="1"/>
  <c r="H850" i="4" s="1"/>
  <c r="E936" i="4"/>
  <c r="G936" i="4" s="1"/>
  <c r="H936" i="4" s="1"/>
  <c r="E948" i="4"/>
  <c r="G948" i="4" s="1"/>
  <c r="H948" i="4" s="1"/>
  <c r="E967" i="4"/>
  <c r="G967" i="4" s="1"/>
  <c r="H967" i="4" s="1"/>
  <c r="E933" i="4"/>
  <c r="G933" i="4" s="1"/>
  <c r="H933" i="4" s="1"/>
  <c r="E1005" i="4"/>
  <c r="G1005" i="4" s="1"/>
  <c r="H1005" i="4" s="1"/>
  <c r="E954" i="4"/>
  <c r="G954" i="4" s="1"/>
  <c r="H954" i="4" s="1"/>
  <c r="E992" i="4"/>
  <c r="G992" i="4" s="1"/>
  <c r="H992" i="4" s="1"/>
  <c r="E989" i="4"/>
  <c r="G989" i="4" s="1"/>
  <c r="H989" i="4" s="1"/>
  <c r="S178" i="4"/>
  <c r="U178" i="4" s="1"/>
  <c r="V178" i="4" s="1"/>
  <c r="L144" i="4"/>
  <c r="N144" i="4" s="1"/>
  <c r="O144" i="4" s="1"/>
  <c r="AJ20" i="4"/>
  <c r="AC79" i="4"/>
  <c r="Z228" i="4"/>
  <c r="AB228" i="4" s="1"/>
  <c r="AC228" i="4" s="1"/>
  <c r="Z68" i="4"/>
  <c r="AB68" i="4" s="1"/>
  <c r="AC68" i="4" s="1"/>
  <c r="Z112" i="4"/>
  <c r="AB112" i="4" s="1"/>
  <c r="AC112" i="4" s="1"/>
  <c r="Z109" i="4"/>
  <c r="AB109" i="4" s="1"/>
  <c r="AC109" i="4" s="1"/>
  <c r="Z38" i="4"/>
  <c r="AB38" i="4" s="1"/>
  <c r="AC38" i="4" s="1"/>
  <c r="Z147" i="4"/>
  <c r="AB147" i="4" s="1"/>
  <c r="AC147" i="4" s="1"/>
  <c r="Z84" i="4"/>
  <c r="AB84" i="4" s="1"/>
  <c r="AC84" i="4" s="1"/>
  <c r="Z83" i="4"/>
  <c r="AB83" i="4" s="1"/>
  <c r="AC83" i="4" s="1"/>
  <c r="Z133" i="4"/>
  <c r="AB133" i="4" s="1"/>
  <c r="AC133" i="4" s="1"/>
  <c r="Z225" i="4"/>
  <c r="AB225" i="4" s="1"/>
  <c r="AC225" i="4" s="1"/>
  <c r="Z316" i="4"/>
  <c r="AB316" i="4" s="1"/>
  <c r="AC316" i="4" s="1"/>
  <c r="Z144" i="4"/>
  <c r="AB144" i="4" s="1"/>
  <c r="AC144" i="4" s="1"/>
  <c r="Z195" i="4"/>
  <c r="AB195" i="4" s="1"/>
  <c r="AC195" i="4" s="1"/>
  <c r="Z173" i="4"/>
  <c r="AB173" i="4" s="1"/>
  <c r="AC173" i="4" s="1"/>
  <c r="Z111" i="4"/>
  <c r="AB111" i="4" s="1"/>
  <c r="AC111" i="4" s="1"/>
  <c r="Z174" i="4"/>
  <c r="AB174" i="4" s="1"/>
  <c r="AC174" i="4" s="1"/>
  <c r="Z267" i="4"/>
  <c r="AB267" i="4" s="1"/>
  <c r="AC267" i="4" s="1"/>
  <c r="Z271" i="4"/>
  <c r="AB271" i="4" s="1"/>
  <c r="AC271" i="4" s="1"/>
  <c r="Z409" i="4"/>
  <c r="AB409" i="4" s="1"/>
  <c r="AC409" i="4" s="1"/>
  <c r="Z391" i="4"/>
  <c r="AB391" i="4" s="1"/>
  <c r="AC391" i="4" s="1"/>
  <c r="Z397" i="4"/>
  <c r="AB397" i="4" s="1"/>
  <c r="AC397" i="4" s="1"/>
  <c r="Z354" i="4"/>
  <c r="AB354" i="4" s="1"/>
  <c r="AC354" i="4" s="1"/>
  <c r="Z282" i="4"/>
  <c r="AB282" i="4" s="1"/>
  <c r="AC282" i="4" s="1"/>
  <c r="Z156" i="4"/>
  <c r="AB156" i="4" s="1"/>
  <c r="AC156" i="4" s="1"/>
  <c r="Z206" i="4"/>
  <c r="AB206" i="4" s="1"/>
  <c r="AC206" i="4" s="1"/>
  <c r="Z326" i="4"/>
  <c r="AB326" i="4" s="1"/>
  <c r="AC326" i="4" s="1"/>
  <c r="Z389" i="4"/>
  <c r="AB389" i="4" s="1"/>
  <c r="AC389" i="4" s="1"/>
  <c r="Z371" i="4"/>
  <c r="AB371" i="4" s="1"/>
  <c r="AC371" i="4" s="1"/>
  <c r="Z338" i="4"/>
  <c r="AB338" i="4" s="1"/>
  <c r="AC338" i="4" s="1"/>
  <c r="Z412" i="4"/>
  <c r="AB412" i="4" s="1"/>
  <c r="AC412" i="4" s="1"/>
  <c r="Z508" i="4"/>
  <c r="AB508" i="4" s="1"/>
  <c r="AC508" i="4" s="1"/>
  <c r="Z285" i="4"/>
  <c r="AB285" i="4" s="1"/>
  <c r="AC285" i="4" s="1"/>
  <c r="Z335" i="4"/>
  <c r="AB335" i="4" s="1"/>
  <c r="AC335" i="4" s="1"/>
  <c r="Z492" i="4"/>
  <c r="AB492" i="4" s="1"/>
  <c r="AC492" i="4" s="1"/>
  <c r="Z558" i="4"/>
  <c r="AB558" i="4" s="1"/>
  <c r="AC558" i="4" s="1"/>
  <c r="Z390" i="4"/>
  <c r="AB390" i="4" s="1"/>
  <c r="AC390" i="4" s="1"/>
  <c r="Z461" i="4"/>
  <c r="AB461" i="4" s="1"/>
  <c r="AC461" i="4" s="1"/>
  <c r="Z493" i="4"/>
  <c r="AB493" i="4" s="1"/>
  <c r="AC493" i="4" s="1"/>
  <c r="Z458" i="4"/>
  <c r="AB458" i="4" s="1"/>
  <c r="AC458" i="4" s="1"/>
  <c r="Z611" i="4"/>
  <c r="AB611" i="4" s="1"/>
  <c r="AC611" i="4" s="1"/>
  <c r="Z393" i="4"/>
  <c r="AB393" i="4" s="1"/>
  <c r="AC393" i="4" s="1"/>
  <c r="Z448" i="4"/>
  <c r="AB448" i="4" s="1"/>
  <c r="AC448" i="4" s="1"/>
  <c r="Z518" i="4"/>
  <c r="AB518" i="4" s="1"/>
  <c r="AC518" i="4" s="1"/>
  <c r="Z543" i="4"/>
  <c r="AB543" i="4" s="1"/>
  <c r="AC543" i="4" s="1"/>
  <c r="Z510" i="4"/>
  <c r="AB510" i="4" s="1"/>
  <c r="AC510" i="4" s="1"/>
  <c r="Z655" i="4"/>
  <c r="AB655" i="4" s="1"/>
  <c r="AC655" i="4" s="1"/>
  <c r="Z584" i="4"/>
  <c r="AB584" i="4" s="1"/>
  <c r="AC584" i="4" s="1"/>
  <c r="Z612" i="4"/>
  <c r="AB612" i="4" s="1"/>
  <c r="AC612" i="4" s="1"/>
  <c r="Z640" i="4"/>
  <c r="AB640" i="4" s="1"/>
  <c r="AC640" i="4" s="1"/>
  <c r="Z459" i="4"/>
  <c r="AB459" i="4" s="1"/>
  <c r="AC459" i="4" s="1"/>
  <c r="Z509" i="4"/>
  <c r="AB509" i="4" s="1"/>
  <c r="AC509" i="4" s="1"/>
  <c r="Z633" i="4"/>
  <c r="AB633" i="4" s="1"/>
  <c r="AC633" i="4" s="1"/>
  <c r="Z625" i="4"/>
  <c r="AB625" i="4" s="1"/>
  <c r="AC625" i="4" s="1"/>
  <c r="Z616" i="4"/>
  <c r="AB616" i="4" s="1"/>
  <c r="AC616" i="4" s="1"/>
  <c r="Z557" i="4"/>
  <c r="AB557" i="4" s="1"/>
  <c r="AC557" i="4" s="1"/>
  <c r="Z631" i="4"/>
  <c r="AB631" i="4" s="1"/>
  <c r="AC631" i="4" s="1"/>
  <c r="Z660" i="4"/>
  <c r="AB660" i="4" s="1"/>
  <c r="AC660" i="4" s="1"/>
  <c r="Z599" i="4"/>
  <c r="AB599" i="4" s="1"/>
  <c r="AC599" i="4" s="1"/>
  <c r="Z658" i="4"/>
  <c r="AB658" i="4" s="1"/>
  <c r="AC658" i="4" s="1"/>
  <c r="Z846" i="4"/>
  <c r="AB846" i="4" s="1"/>
  <c r="AC846" i="4" s="1"/>
  <c r="Z680" i="4"/>
  <c r="AB680" i="4" s="1"/>
  <c r="AC680" i="4" s="1"/>
  <c r="Z722" i="4"/>
  <c r="AB722" i="4" s="1"/>
  <c r="AC722" i="4" s="1"/>
  <c r="Z717" i="4"/>
  <c r="AB717" i="4" s="1"/>
  <c r="AC717" i="4" s="1"/>
  <c r="Z716" i="4"/>
  <c r="AB716" i="4" s="1"/>
  <c r="AC716" i="4" s="1"/>
  <c r="Z758" i="4"/>
  <c r="AB758" i="4" s="1"/>
  <c r="AC758" i="4" s="1"/>
  <c r="Z669" i="4"/>
  <c r="AB669" i="4" s="1"/>
  <c r="AC669" i="4" s="1"/>
  <c r="Z760" i="4"/>
  <c r="AB760" i="4" s="1"/>
  <c r="AC760" i="4" s="1"/>
  <c r="Z781" i="4"/>
  <c r="AB781" i="4" s="1"/>
  <c r="AC781" i="4" s="1"/>
  <c r="Z839" i="4"/>
  <c r="AB839" i="4" s="1"/>
  <c r="AC839" i="4" s="1"/>
  <c r="Z723" i="4"/>
  <c r="AB723" i="4" s="1"/>
  <c r="AC723" i="4" s="1"/>
  <c r="Z848" i="4"/>
  <c r="AB848" i="4" s="1"/>
  <c r="AC848" i="4" s="1"/>
  <c r="Z811" i="4"/>
  <c r="AB811" i="4" s="1"/>
  <c r="AC811" i="4" s="1"/>
  <c r="Z749" i="4"/>
  <c r="AB749" i="4" s="1"/>
  <c r="AC749" i="4" s="1"/>
  <c r="Z823" i="4"/>
  <c r="AB823" i="4" s="1"/>
  <c r="AC823" i="4" s="1"/>
  <c r="Z829" i="4"/>
  <c r="AB829" i="4" s="1"/>
  <c r="AC829" i="4" s="1"/>
  <c r="Z790" i="4"/>
  <c r="AB790" i="4" s="1"/>
  <c r="AC790" i="4" s="1"/>
  <c r="Z875" i="4"/>
  <c r="AB875" i="4" s="1"/>
  <c r="AC875" i="4" s="1"/>
  <c r="Z894" i="4"/>
  <c r="AB894" i="4" s="1"/>
  <c r="AC894" i="4" s="1"/>
  <c r="Z817" i="4"/>
  <c r="AB817" i="4" s="1"/>
  <c r="AC817" i="4" s="1"/>
  <c r="Z908" i="4"/>
  <c r="AB908" i="4" s="1"/>
  <c r="AC908" i="4" s="1"/>
  <c r="Z876" i="4"/>
  <c r="AB876" i="4" s="1"/>
  <c r="AC876" i="4" s="1"/>
  <c r="Z861" i="4"/>
  <c r="AB861" i="4" s="1"/>
  <c r="AC861" i="4" s="1"/>
  <c r="Z925" i="4"/>
  <c r="AB925" i="4" s="1"/>
  <c r="AC925" i="4" s="1"/>
  <c r="Z853" i="4"/>
  <c r="AB853" i="4" s="1"/>
  <c r="AC853" i="4" s="1"/>
  <c r="Z895" i="4"/>
  <c r="AB895" i="4" s="1"/>
  <c r="AC895" i="4" s="1"/>
  <c r="Z948" i="4"/>
  <c r="AB948" i="4" s="1"/>
  <c r="AC948" i="4" s="1"/>
  <c r="Z902" i="4"/>
  <c r="AB902" i="4" s="1"/>
  <c r="AC902" i="4" s="1"/>
  <c r="Z971" i="4"/>
  <c r="AB971" i="4" s="1"/>
  <c r="AC971" i="4" s="1"/>
  <c r="Z991" i="4"/>
  <c r="AB991" i="4" s="1"/>
  <c r="AC991" i="4" s="1"/>
  <c r="Z978" i="4"/>
  <c r="AB978" i="4" s="1"/>
  <c r="AC978" i="4" s="1"/>
  <c r="Z952" i="4"/>
  <c r="AB952" i="4" s="1"/>
  <c r="AC952" i="4" s="1"/>
  <c r="Z993" i="4"/>
  <c r="AB993" i="4" s="1"/>
  <c r="AC993" i="4" s="1"/>
  <c r="Z983" i="4"/>
  <c r="AB983" i="4" s="1"/>
  <c r="AC983" i="4" s="1"/>
  <c r="L211" i="4"/>
  <c r="N211" i="4" s="1"/>
  <c r="O211" i="4" s="1"/>
  <c r="L69" i="4"/>
  <c r="N69" i="4" s="1"/>
  <c r="O69" i="4" s="1"/>
  <c r="L252" i="4"/>
  <c r="N252" i="4" s="1"/>
  <c r="O252" i="4" s="1"/>
  <c r="L172" i="4"/>
  <c r="N172" i="4" s="1"/>
  <c r="O172" i="4" s="1"/>
  <c r="L53" i="4"/>
  <c r="N53" i="4" s="1"/>
  <c r="O53" i="4" s="1"/>
  <c r="L149" i="4"/>
  <c r="N149" i="4" s="1"/>
  <c r="O149" i="4" s="1"/>
  <c r="L74" i="4"/>
  <c r="N74" i="4" s="1"/>
  <c r="O74" i="4" s="1"/>
  <c r="L246" i="4"/>
  <c r="N246" i="4" s="1"/>
  <c r="O246" i="4" s="1"/>
  <c r="L112" i="4"/>
  <c r="N112" i="4" s="1"/>
  <c r="O112" i="4" s="1"/>
  <c r="L241" i="4"/>
  <c r="N241" i="4" s="1"/>
  <c r="O241" i="4" s="1"/>
  <c r="L176" i="4"/>
  <c r="N176" i="4" s="1"/>
  <c r="O176" i="4" s="1"/>
  <c r="L243" i="4"/>
  <c r="N243" i="4" s="1"/>
  <c r="O243" i="4" s="1"/>
  <c r="L178" i="4"/>
  <c r="N178" i="4" s="1"/>
  <c r="O178" i="4" s="1"/>
  <c r="L222" i="4"/>
  <c r="N222" i="4" s="1"/>
  <c r="O222" i="4" s="1"/>
  <c r="L110" i="4"/>
  <c r="N110" i="4" s="1"/>
  <c r="O110" i="4" s="1"/>
  <c r="L216" i="4"/>
  <c r="N216" i="4" s="1"/>
  <c r="O216" i="4" s="1"/>
  <c r="L157" i="4"/>
  <c r="N157" i="4" s="1"/>
  <c r="O157" i="4" s="1"/>
  <c r="L234" i="4"/>
  <c r="N234" i="4" s="1"/>
  <c r="O234" i="4" s="1"/>
  <c r="L418" i="4"/>
  <c r="N418" i="4" s="1"/>
  <c r="O418" i="4" s="1"/>
  <c r="L297" i="4"/>
  <c r="N297" i="4" s="1"/>
  <c r="O297" i="4" s="1"/>
  <c r="L286" i="4"/>
  <c r="N286" i="4" s="1"/>
  <c r="O286" i="4" s="1"/>
  <c r="L287" i="4"/>
  <c r="N287" i="4" s="1"/>
  <c r="O287" i="4" s="1"/>
  <c r="L276" i="4"/>
  <c r="N276" i="4" s="1"/>
  <c r="O276" i="4" s="1"/>
  <c r="L145" i="4"/>
  <c r="N145" i="4" s="1"/>
  <c r="O145" i="4" s="1"/>
  <c r="L195" i="4"/>
  <c r="N195" i="4" s="1"/>
  <c r="O195" i="4" s="1"/>
  <c r="L273" i="4"/>
  <c r="N273" i="4" s="1"/>
  <c r="O273" i="4" s="1"/>
  <c r="L347" i="4"/>
  <c r="N347" i="4" s="1"/>
  <c r="O347" i="4" s="1"/>
  <c r="L564" i="4"/>
  <c r="N564" i="4" s="1"/>
  <c r="O564" i="4" s="1"/>
  <c r="L533" i="4"/>
  <c r="N533" i="4" s="1"/>
  <c r="O533" i="4" s="1"/>
  <c r="L369" i="4"/>
  <c r="N369" i="4" s="1"/>
  <c r="O369" i="4" s="1"/>
  <c r="L376" i="4"/>
  <c r="N376" i="4" s="1"/>
  <c r="O376" i="4" s="1"/>
  <c r="L264" i="4"/>
  <c r="N264" i="4" s="1"/>
  <c r="O264" i="4" s="1"/>
  <c r="L314" i="4"/>
  <c r="N314" i="4" s="1"/>
  <c r="O314" i="4" s="1"/>
  <c r="L408" i="4"/>
  <c r="N408" i="4" s="1"/>
  <c r="O408" i="4" s="1"/>
  <c r="L470" i="4"/>
  <c r="N470" i="4" s="1"/>
  <c r="O470" i="4" s="1"/>
  <c r="L430" i="4"/>
  <c r="N430" i="4" s="1"/>
  <c r="O430" i="4" s="1"/>
  <c r="L419" i="4"/>
  <c r="N419" i="4" s="1"/>
  <c r="O419" i="4" s="1"/>
  <c r="L606" i="4"/>
  <c r="N606" i="4" s="1"/>
  <c r="O606" i="4" s="1"/>
  <c r="L472" i="4"/>
  <c r="N472" i="4" s="1"/>
  <c r="O472" i="4" s="1"/>
  <c r="L450" i="4"/>
  <c r="N450" i="4" s="1"/>
  <c r="O450" i="4" s="1"/>
  <c r="L462" i="4"/>
  <c r="N462" i="4" s="1"/>
  <c r="O462" i="4" s="1"/>
  <c r="L655" i="4"/>
  <c r="N655" i="4" s="1"/>
  <c r="O655" i="4" s="1"/>
  <c r="L474" i="4"/>
  <c r="N474" i="4" s="1"/>
  <c r="O474" i="4" s="1"/>
  <c r="L540" i="4"/>
  <c r="N540" i="4" s="1"/>
  <c r="O540" i="4" s="1"/>
  <c r="L591" i="4"/>
  <c r="N591" i="4" s="1"/>
  <c r="O591" i="4" s="1"/>
  <c r="L539" i="4"/>
  <c r="N539" i="4" s="1"/>
  <c r="O539" i="4" s="1"/>
  <c r="L579" i="4"/>
  <c r="N579" i="4" s="1"/>
  <c r="O579" i="4" s="1"/>
  <c r="L553" i="4"/>
  <c r="N553" i="4" s="1"/>
  <c r="O553" i="4" s="1"/>
  <c r="L607" i="4"/>
  <c r="N607" i="4" s="1"/>
  <c r="O607" i="4" s="1"/>
  <c r="L453" i="4"/>
  <c r="N453" i="4" s="1"/>
  <c r="O453" i="4" s="1"/>
  <c r="L503" i="4"/>
  <c r="N503" i="4" s="1"/>
  <c r="O503" i="4" s="1"/>
  <c r="L681" i="4"/>
  <c r="N681" i="4" s="1"/>
  <c r="O681" i="4" s="1"/>
  <c r="L625" i="4"/>
  <c r="N625" i="4" s="1"/>
  <c r="O625" i="4" s="1"/>
  <c r="L649" i="4"/>
  <c r="N649" i="4" s="1"/>
  <c r="O649" i="4" s="1"/>
  <c r="L541" i="4"/>
  <c r="N541" i="4" s="1"/>
  <c r="O541" i="4" s="1"/>
  <c r="L590" i="4"/>
  <c r="N590" i="4" s="1"/>
  <c r="O590" i="4" s="1"/>
  <c r="L654" i="4"/>
  <c r="N654" i="4" s="1"/>
  <c r="O654" i="4" s="1"/>
  <c r="L670" i="4"/>
  <c r="N670" i="4" s="1"/>
  <c r="O670" i="4" s="1"/>
  <c r="L744" i="4"/>
  <c r="N744" i="4" s="1"/>
  <c r="O744" i="4" s="1"/>
  <c r="L665" i="4"/>
  <c r="N665" i="4" s="1"/>
  <c r="O665" i="4" s="1"/>
  <c r="L723" i="4"/>
  <c r="N723" i="4" s="1"/>
  <c r="O723" i="4" s="1"/>
  <c r="L797" i="4"/>
  <c r="N797" i="4" s="1"/>
  <c r="O797" i="4" s="1"/>
  <c r="L708" i="4"/>
  <c r="N708" i="4" s="1"/>
  <c r="O708" i="4" s="1"/>
  <c r="L809" i="4"/>
  <c r="N809" i="4" s="1"/>
  <c r="O809" i="4" s="1"/>
  <c r="L628" i="4"/>
  <c r="N628" i="4" s="1"/>
  <c r="O628" i="4" s="1"/>
  <c r="L678" i="4"/>
  <c r="N678" i="4" s="1"/>
  <c r="O678" i="4" s="1"/>
  <c r="L762" i="4"/>
  <c r="N762" i="4" s="1"/>
  <c r="O762" i="4" s="1"/>
  <c r="L764" i="4"/>
  <c r="N764" i="4" s="1"/>
  <c r="O764" i="4" s="1"/>
  <c r="L823" i="4"/>
  <c r="N823" i="4" s="1"/>
  <c r="O823" i="4" s="1"/>
  <c r="L722" i="4"/>
  <c r="N722" i="4" s="1"/>
  <c r="O722" i="4" s="1"/>
  <c r="L783" i="4"/>
  <c r="N783" i="4" s="1"/>
  <c r="O783" i="4" s="1"/>
  <c r="L798" i="4"/>
  <c r="N798" i="4" s="1"/>
  <c r="O798" i="4" s="1"/>
  <c r="L768" i="4"/>
  <c r="N768" i="4" s="1"/>
  <c r="O768" i="4" s="1"/>
  <c r="L819" i="4"/>
  <c r="N819" i="4" s="1"/>
  <c r="O819" i="4" s="1"/>
  <c r="L839" i="4"/>
  <c r="N839" i="4" s="1"/>
  <c r="O839" i="4" s="1"/>
  <c r="L834" i="4"/>
  <c r="N834" i="4" s="1"/>
  <c r="O834" i="4" s="1"/>
  <c r="L885" i="4"/>
  <c r="N885" i="4" s="1"/>
  <c r="O885" i="4" s="1"/>
  <c r="L856" i="4"/>
  <c r="N856" i="4" s="1"/>
  <c r="O856" i="4" s="1"/>
  <c r="L883" i="4"/>
  <c r="N883" i="4" s="1"/>
  <c r="O883" i="4" s="1"/>
  <c r="L865" i="4"/>
  <c r="N865" i="4" s="1"/>
  <c r="O865" i="4" s="1"/>
  <c r="E115" i="4"/>
  <c r="G115" i="4" s="1"/>
  <c r="H115" i="4" s="1"/>
  <c r="E269" i="4"/>
  <c r="G269" i="4" s="1"/>
  <c r="H269" i="4" s="1"/>
  <c r="E273" i="4"/>
  <c r="G273" i="4" s="1"/>
  <c r="H273" i="4" s="1"/>
  <c r="E131" i="4"/>
  <c r="G131" i="4" s="1"/>
  <c r="H131" i="4" s="1"/>
  <c r="E171" i="4"/>
  <c r="G171" i="4" s="1"/>
  <c r="H171" i="4" s="1"/>
  <c r="E62" i="4"/>
  <c r="G62" i="4" s="1"/>
  <c r="H62" i="4" s="1"/>
  <c r="E176" i="4"/>
  <c r="G176" i="4" s="1"/>
  <c r="H176" i="4" s="1"/>
  <c r="E286" i="4"/>
  <c r="G286" i="4" s="1"/>
  <c r="H286" i="4" s="1"/>
  <c r="E147" i="4"/>
  <c r="G147" i="4" s="1"/>
  <c r="H147" i="4" s="1"/>
  <c r="E187" i="4"/>
  <c r="G187" i="4" s="1"/>
  <c r="H187" i="4" s="1"/>
  <c r="E283" i="4"/>
  <c r="G283" i="4" s="1"/>
  <c r="H283" i="4" s="1"/>
  <c r="E173" i="4"/>
  <c r="G173" i="4" s="1"/>
  <c r="H173" i="4" s="1"/>
  <c r="E320" i="4"/>
  <c r="G320" i="4" s="1"/>
  <c r="H320" i="4" s="1"/>
  <c r="E93" i="4"/>
  <c r="G93" i="4" s="1"/>
  <c r="H93" i="4" s="1"/>
  <c r="E145" i="4"/>
  <c r="G145" i="4" s="1"/>
  <c r="H145" i="4" s="1"/>
  <c r="E253" i="4"/>
  <c r="G253" i="4" s="1"/>
  <c r="H253" i="4" s="1"/>
  <c r="E208" i="4"/>
  <c r="G208" i="4" s="1"/>
  <c r="H208" i="4" s="1"/>
  <c r="E290" i="4"/>
  <c r="G290" i="4" s="1"/>
  <c r="H290" i="4" s="1"/>
  <c r="E393" i="4"/>
  <c r="G393" i="4" s="1"/>
  <c r="H393" i="4" s="1"/>
  <c r="E263" i="4"/>
  <c r="G263" i="4" s="1"/>
  <c r="H263" i="4" s="1"/>
  <c r="E261" i="4"/>
  <c r="G261" i="4" s="1"/>
  <c r="H261" i="4" s="1"/>
  <c r="E339" i="4"/>
  <c r="G339" i="4" s="1"/>
  <c r="H339" i="4" s="1"/>
  <c r="E229" i="4"/>
  <c r="G229" i="4" s="1"/>
  <c r="H229" i="4" s="1"/>
  <c r="E310" i="4"/>
  <c r="G310" i="4" s="1"/>
  <c r="H310" i="4" s="1"/>
  <c r="E296" i="4"/>
  <c r="G296" i="4" s="1"/>
  <c r="H296" i="4" s="1"/>
  <c r="E366" i="4"/>
  <c r="G366" i="4" s="1"/>
  <c r="H366" i="4" s="1"/>
  <c r="E495" i="4"/>
  <c r="G495" i="4" s="1"/>
  <c r="H495" i="4" s="1"/>
  <c r="E364" i="4"/>
  <c r="G364" i="4" s="1"/>
  <c r="H364" i="4" s="1"/>
  <c r="E383" i="4"/>
  <c r="G383" i="4" s="1"/>
  <c r="H383" i="4" s="1"/>
  <c r="E397" i="4"/>
  <c r="G397" i="4" s="1"/>
  <c r="H397" i="4" s="1"/>
  <c r="E362" i="4"/>
  <c r="G362" i="4" s="1"/>
  <c r="H362" i="4" s="1"/>
  <c r="E227" i="4"/>
  <c r="G227" i="4" s="1"/>
  <c r="H227" i="4" s="1"/>
  <c r="E277" i="4"/>
  <c r="G277" i="4" s="1"/>
  <c r="H277" i="4" s="1"/>
  <c r="E327" i="4"/>
  <c r="G327" i="4" s="1"/>
  <c r="H327" i="4" s="1"/>
  <c r="E568" i="4"/>
  <c r="G568" i="4" s="1"/>
  <c r="H568" i="4" s="1"/>
  <c r="E448" i="4"/>
  <c r="G448" i="4" s="1"/>
  <c r="H448" i="4" s="1"/>
  <c r="E535" i="4"/>
  <c r="G535" i="4" s="1"/>
  <c r="H535" i="4" s="1"/>
  <c r="E531" i="4"/>
  <c r="G531" i="4" s="1"/>
  <c r="H531" i="4" s="1"/>
  <c r="E641" i="4"/>
  <c r="G641" i="4" s="1"/>
  <c r="H641" i="4" s="1"/>
  <c r="E463" i="4"/>
  <c r="G463" i="4" s="1"/>
  <c r="H463" i="4" s="1"/>
  <c r="E360" i="4"/>
  <c r="G360" i="4" s="1"/>
  <c r="H360" i="4" s="1"/>
  <c r="E410" i="4"/>
  <c r="G410" i="4" s="1"/>
  <c r="H410" i="4" s="1"/>
  <c r="E451" i="4"/>
  <c r="G451" i="4" s="1"/>
  <c r="H451" i="4" s="1"/>
  <c r="E501" i="4"/>
  <c r="G501" i="4" s="1"/>
  <c r="H501" i="4" s="1"/>
  <c r="E532" i="4"/>
  <c r="G532" i="4" s="1"/>
  <c r="H532" i="4" s="1"/>
  <c r="E536" i="4"/>
  <c r="G536" i="4" s="1"/>
  <c r="H536" i="4" s="1"/>
  <c r="E638" i="4"/>
  <c r="G638" i="4" s="1"/>
  <c r="H638" i="4" s="1"/>
  <c r="E509" i="4"/>
  <c r="G509" i="4" s="1"/>
  <c r="H509" i="4" s="1"/>
  <c r="E548" i="4"/>
  <c r="G548" i="4" s="1"/>
  <c r="H548" i="4" s="1"/>
  <c r="E549" i="4"/>
  <c r="G549" i="4" s="1"/>
  <c r="H549" i="4" s="1"/>
  <c r="E668" i="4"/>
  <c r="G668" i="4" s="1"/>
  <c r="H668" i="4" s="1"/>
  <c r="E610" i="4"/>
  <c r="G610" i="4" s="1"/>
  <c r="H610" i="4" s="1"/>
  <c r="E634" i="4"/>
  <c r="G634" i="4" s="1"/>
  <c r="H634" i="4" s="1"/>
  <c r="E562" i="4"/>
  <c r="G562" i="4" s="1"/>
  <c r="H562" i="4" s="1"/>
  <c r="E682" i="4"/>
  <c r="G682" i="4" s="1"/>
  <c r="H682" i="4" s="1"/>
  <c r="E652" i="4"/>
  <c r="G652" i="4" s="1"/>
  <c r="H652" i="4" s="1"/>
  <c r="E844" i="4"/>
  <c r="G844" i="4" s="1"/>
  <c r="H844" i="4" s="1"/>
  <c r="E696" i="4"/>
  <c r="G696" i="4" s="1"/>
  <c r="H696" i="4" s="1"/>
  <c r="E662" i="4"/>
  <c r="G662" i="4" s="1"/>
  <c r="H662" i="4" s="1"/>
  <c r="E725" i="4"/>
  <c r="G725" i="4" s="1"/>
  <c r="H725" i="4" s="1"/>
  <c r="E626" i="4"/>
  <c r="G626" i="4" s="1"/>
  <c r="H626" i="4" s="1"/>
  <c r="E710" i="4"/>
  <c r="G710" i="4" s="1"/>
  <c r="H710" i="4" s="1"/>
  <c r="E778" i="4"/>
  <c r="G778" i="4" s="1"/>
  <c r="H778" i="4" s="1"/>
  <c r="E644" i="4"/>
  <c r="G644" i="4" s="1"/>
  <c r="H644" i="4" s="1"/>
  <c r="E720" i="4"/>
  <c r="G720" i="4" s="1"/>
  <c r="H720" i="4" s="1"/>
  <c r="E742" i="4"/>
  <c r="G742" i="4" s="1"/>
  <c r="H742" i="4" s="1"/>
  <c r="E746" i="4"/>
  <c r="G746" i="4" s="1"/>
  <c r="H746" i="4" s="1"/>
  <c r="E741" i="4"/>
  <c r="G741" i="4" s="1"/>
  <c r="H741" i="4" s="1"/>
  <c r="E728" i="4"/>
  <c r="G728" i="4" s="1"/>
  <c r="H728" i="4" s="1"/>
  <c r="E804" i="4"/>
  <c r="G804" i="4" s="1"/>
  <c r="H804" i="4" s="1"/>
  <c r="E794" i="4"/>
  <c r="G794" i="4" s="1"/>
  <c r="H794" i="4" s="1"/>
  <c r="E801" i="4"/>
  <c r="G801" i="4" s="1"/>
  <c r="H801" i="4" s="1"/>
  <c r="E774" i="4"/>
  <c r="G774" i="4" s="1"/>
  <c r="H774" i="4" s="1"/>
  <c r="E824" i="4"/>
  <c r="G824" i="4" s="1"/>
  <c r="H824" i="4" s="1"/>
  <c r="E821" i="4"/>
  <c r="G821" i="4" s="1"/>
  <c r="H821" i="4" s="1"/>
  <c r="E861" i="4"/>
  <c r="G861" i="4" s="1"/>
  <c r="H861" i="4" s="1"/>
  <c r="E812" i="4"/>
  <c r="G812" i="4" s="1"/>
  <c r="H812" i="4" s="1"/>
  <c r="E872" i="4"/>
  <c r="G872" i="4" s="1"/>
  <c r="H872" i="4" s="1"/>
  <c r="E886" i="4"/>
  <c r="G886" i="4" s="1"/>
  <c r="H886" i="4" s="1"/>
  <c r="E898" i="4"/>
  <c r="G898" i="4" s="1"/>
  <c r="H898" i="4" s="1"/>
  <c r="E868" i="4"/>
  <c r="G868" i="4" s="1"/>
  <c r="H868" i="4" s="1"/>
  <c r="E934" i="4"/>
  <c r="G934" i="4" s="1"/>
  <c r="H934" i="4" s="1"/>
  <c r="E910" i="4"/>
  <c r="G910" i="4" s="1"/>
  <c r="H910" i="4" s="1"/>
  <c r="E855" i="4"/>
  <c r="G855" i="4" s="1"/>
  <c r="H855" i="4" s="1"/>
  <c r="E944" i="4"/>
  <c r="G944" i="4" s="1"/>
  <c r="H944" i="4" s="1"/>
  <c r="E951" i="4"/>
  <c r="G951" i="4" s="1"/>
  <c r="H951" i="4" s="1"/>
  <c r="E972" i="4"/>
  <c r="G972" i="4" s="1"/>
  <c r="H972" i="4" s="1"/>
  <c r="E938" i="4"/>
  <c r="G938" i="4" s="1"/>
  <c r="H938" i="4" s="1"/>
  <c r="E982" i="4"/>
  <c r="G982" i="4" s="1"/>
  <c r="H982" i="4" s="1"/>
  <c r="E959" i="4"/>
  <c r="G959" i="4" s="1"/>
  <c r="H959" i="4" s="1"/>
  <c r="E998" i="4"/>
  <c r="G998" i="4" s="1"/>
  <c r="H998" i="4" s="1"/>
  <c r="E999" i="4"/>
  <c r="G999" i="4" s="1"/>
  <c r="H999" i="4" s="1"/>
  <c r="Z165" i="4"/>
  <c r="AB165" i="4" s="1"/>
  <c r="AC165" i="4" s="1"/>
  <c r="L143" i="4"/>
  <c r="N143" i="4" s="1"/>
  <c r="O143" i="4" s="1"/>
  <c r="AC35" i="4"/>
  <c r="Z273" i="4"/>
  <c r="AB273" i="4" s="1"/>
  <c r="AC273" i="4" s="1"/>
  <c r="Z71" i="4"/>
  <c r="AB71" i="4" s="1"/>
  <c r="AC71" i="4" s="1"/>
  <c r="Z115" i="4"/>
  <c r="AB115" i="4" s="1"/>
  <c r="AC115" i="4" s="1"/>
  <c r="Z132" i="4"/>
  <c r="AB132" i="4" s="1"/>
  <c r="AC132" i="4" s="1"/>
  <c r="Z43" i="4"/>
  <c r="AB43" i="4" s="1"/>
  <c r="AC43" i="4" s="1"/>
  <c r="Z148" i="4"/>
  <c r="AB148" i="4" s="1"/>
  <c r="AC148" i="4" s="1"/>
  <c r="Z85" i="4"/>
  <c r="AB85" i="4" s="1"/>
  <c r="AC85" i="4" s="1"/>
  <c r="Z88" i="4"/>
  <c r="AB88" i="4" s="1"/>
  <c r="AC88" i="4" s="1"/>
  <c r="Z238" i="4"/>
  <c r="AB238" i="4" s="1"/>
  <c r="AC238" i="4" s="1"/>
  <c r="Z337" i="4"/>
  <c r="AB337" i="4" s="1"/>
  <c r="AC337" i="4" s="1"/>
  <c r="Z155" i="4"/>
  <c r="AB155" i="4" s="1"/>
  <c r="AC155" i="4" s="1"/>
  <c r="Z198" i="4"/>
  <c r="AB198" i="4" s="1"/>
  <c r="AC198" i="4" s="1"/>
  <c r="Z175" i="4"/>
  <c r="AB175" i="4" s="1"/>
  <c r="AC175" i="4" s="1"/>
  <c r="Z116" i="4"/>
  <c r="AB116" i="4" s="1"/>
  <c r="AC116" i="4" s="1"/>
  <c r="Z188" i="4"/>
  <c r="AB188" i="4" s="1"/>
  <c r="AC188" i="4" s="1"/>
  <c r="Z302" i="4"/>
  <c r="AB302" i="4" s="1"/>
  <c r="AC302" i="4" s="1"/>
  <c r="Z223" i="4"/>
  <c r="AB223" i="4" s="1"/>
  <c r="AC223" i="4" s="1"/>
  <c r="Z460" i="4"/>
  <c r="AB460" i="4" s="1"/>
  <c r="AC460" i="4" s="1"/>
  <c r="Z402" i="4"/>
  <c r="AB402" i="4" s="1"/>
  <c r="AC402" i="4" s="1"/>
  <c r="Z248" i="4"/>
  <c r="AB248" i="4" s="1"/>
  <c r="AC248" i="4" s="1"/>
  <c r="Z414" i="4"/>
  <c r="AB414" i="4" s="1"/>
  <c r="AC414" i="4" s="1"/>
  <c r="Z284" i="4"/>
  <c r="AB284" i="4" s="1"/>
  <c r="AC284" i="4" s="1"/>
  <c r="Z161" i="4"/>
  <c r="AB161" i="4" s="1"/>
  <c r="AC161" i="4" s="1"/>
  <c r="Z211" i="4"/>
  <c r="AB211" i="4" s="1"/>
  <c r="AC211" i="4" s="1"/>
  <c r="Z344" i="4"/>
  <c r="AB344" i="4" s="1"/>
  <c r="AC344" i="4" s="1"/>
  <c r="Z392" i="4"/>
  <c r="AB392" i="4" s="1"/>
  <c r="AC392" i="4" s="1"/>
  <c r="Z379" i="4"/>
  <c r="AB379" i="4" s="1"/>
  <c r="AC379" i="4" s="1"/>
  <c r="Z345" i="4"/>
  <c r="AB345" i="4" s="1"/>
  <c r="AC345" i="4" s="1"/>
  <c r="Z419" i="4"/>
  <c r="AB419" i="4" s="1"/>
  <c r="AC419" i="4" s="1"/>
  <c r="Z240" i="4"/>
  <c r="AB240" i="4" s="1"/>
  <c r="AC240" i="4" s="1"/>
  <c r="Z290" i="4"/>
  <c r="AB290" i="4" s="1"/>
  <c r="AC290" i="4" s="1"/>
  <c r="Z340" i="4"/>
  <c r="AB340" i="4" s="1"/>
  <c r="AC340" i="4" s="1"/>
  <c r="Z507" i="4"/>
  <c r="AB507" i="4" s="1"/>
  <c r="AC507" i="4" s="1"/>
  <c r="Z476" i="4"/>
  <c r="AB476" i="4" s="1"/>
  <c r="AC476" i="4" s="1"/>
  <c r="Z395" i="4"/>
  <c r="AB395" i="4" s="1"/>
  <c r="AC395" i="4" s="1"/>
  <c r="Z477" i="4"/>
  <c r="AB477" i="4" s="1"/>
  <c r="AC477" i="4" s="1"/>
  <c r="Z511" i="4"/>
  <c r="AB511" i="4" s="1"/>
  <c r="AC511" i="4" s="1"/>
  <c r="Z472" i="4"/>
  <c r="AB472" i="4" s="1"/>
  <c r="AC472" i="4" s="1"/>
  <c r="Z451" i="4"/>
  <c r="AB451" i="4" s="1"/>
  <c r="AC451" i="4" s="1"/>
  <c r="Z398" i="4"/>
  <c r="AB398" i="4" s="1"/>
  <c r="AC398" i="4" s="1"/>
  <c r="Z450" i="4"/>
  <c r="AB450" i="4" s="1"/>
  <c r="AC450" i="4" s="1"/>
  <c r="Z447" i="4"/>
  <c r="AB447" i="4" s="1"/>
  <c r="AC447" i="4" s="1"/>
  <c r="Z546" i="4"/>
  <c r="AB546" i="4" s="1"/>
  <c r="AC546" i="4" s="1"/>
  <c r="Z515" i="4"/>
  <c r="AB515" i="4" s="1"/>
  <c r="AC515" i="4" s="1"/>
  <c r="Z529" i="4"/>
  <c r="AB529" i="4" s="1"/>
  <c r="AC529" i="4" s="1"/>
  <c r="Z695" i="4"/>
  <c r="AB695" i="4" s="1"/>
  <c r="AC695" i="4" s="1"/>
  <c r="Z550" i="4"/>
  <c r="AB550" i="4" s="1"/>
  <c r="AC550" i="4" s="1"/>
  <c r="Z687" i="4"/>
  <c r="AB687" i="4" s="1"/>
  <c r="AC687" i="4" s="1"/>
  <c r="Z464" i="4"/>
  <c r="AB464" i="4" s="1"/>
  <c r="AC464" i="4" s="1"/>
  <c r="Z514" i="4"/>
  <c r="AB514" i="4" s="1"/>
  <c r="AC514" i="4" s="1"/>
  <c r="Z642" i="4"/>
  <c r="AB642" i="4" s="1"/>
  <c r="AC642" i="4" s="1"/>
  <c r="Z667" i="4"/>
  <c r="AB667" i="4" s="1"/>
  <c r="AC667" i="4" s="1"/>
  <c r="Z622" i="4"/>
  <c r="AB622" i="4" s="1"/>
  <c r="AC622" i="4" s="1"/>
  <c r="Z562" i="4"/>
  <c r="AB562" i="4" s="1"/>
  <c r="AC562" i="4" s="1"/>
  <c r="Z643" i="4"/>
  <c r="AB643" i="4" s="1"/>
  <c r="AC643" i="4" s="1"/>
  <c r="Z763" i="4"/>
  <c r="AB763" i="4" s="1"/>
  <c r="AC763" i="4" s="1"/>
  <c r="Z604" i="4"/>
  <c r="AB604" i="4" s="1"/>
  <c r="AC604" i="4" s="1"/>
  <c r="Z661" i="4"/>
  <c r="AB661" i="4" s="1"/>
  <c r="AC661" i="4" s="1"/>
  <c r="Z675" i="4"/>
  <c r="AB675" i="4" s="1"/>
  <c r="AC675" i="4" s="1"/>
  <c r="Z752" i="4"/>
  <c r="AB752" i="4" s="1"/>
  <c r="AC752" i="4" s="1"/>
  <c r="Z743" i="4"/>
  <c r="AB743" i="4" s="1"/>
  <c r="AC743" i="4" s="1"/>
  <c r="Z719" i="4"/>
  <c r="AB719" i="4" s="1"/>
  <c r="AC719" i="4" s="1"/>
  <c r="Z847" i="4"/>
  <c r="AB847" i="4" s="1"/>
  <c r="AC847" i="4" s="1"/>
  <c r="Z784" i="4"/>
  <c r="AB784" i="4" s="1"/>
  <c r="AC784" i="4" s="1"/>
  <c r="Z674" i="4"/>
  <c r="AB674" i="4" s="1"/>
  <c r="AC674" i="4" s="1"/>
  <c r="Z772" i="4"/>
  <c r="AB772" i="4" s="1"/>
  <c r="AC772" i="4" s="1"/>
  <c r="Z735" i="4"/>
  <c r="AB735" i="4" s="1"/>
  <c r="AC735" i="4" s="1"/>
  <c r="Z881" i="4"/>
  <c r="AB881" i="4" s="1"/>
  <c r="AC881" i="4" s="1"/>
  <c r="Z728" i="4"/>
  <c r="AB728" i="4" s="1"/>
  <c r="AC728" i="4" s="1"/>
  <c r="Z880" i="4"/>
  <c r="AB880" i="4" s="1"/>
  <c r="AC880" i="4" s="1"/>
  <c r="Z872" i="4"/>
  <c r="AB872" i="4" s="1"/>
  <c r="AC872" i="4" s="1"/>
  <c r="Z754" i="4"/>
  <c r="AB754" i="4" s="1"/>
  <c r="AC754" i="4" s="1"/>
  <c r="Z824" i="4"/>
  <c r="AB824" i="4" s="1"/>
  <c r="AC824" i="4" s="1"/>
  <c r="Z834" i="4"/>
  <c r="AB834" i="4" s="1"/>
  <c r="AC834" i="4" s="1"/>
  <c r="Z795" i="4"/>
  <c r="AB795" i="4" s="1"/>
  <c r="AC795" i="4" s="1"/>
  <c r="Z833" i="4"/>
  <c r="AB833" i="4" s="1"/>
  <c r="AC833" i="4" s="1"/>
  <c r="Z842" i="4"/>
  <c r="AB842" i="4" s="1"/>
  <c r="AC842" i="4" s="1"/>
  <c r="Z822" i="4"/>
  <c r="AB822" i="4" s="1"/>
  <c r="AC822" i="4" s="1"/>
  <c r="Z910" i="4"/>
  <c r="AB910" i="4" s="1"/>
  <c r="AC910" i="4" s="1"/>
  <c r="Z913" i="4"/>
  <c r="AB913" i="4" s="1"/>
  <c r="AC913" i="4" s="1"/>
  <c r="Z916" i="4"/>
  <c r="AB916" i="4" s="1"/>
  <c r="AC916" i="4" s="1"/>
  <c r="Z927" i="4"/>
  <c r="AB927" i="4" s="1"/>
  <c r="AC927" i="4" s="1"/>
  <c r="Z858" i="4"/>
  <c r="AB858" i="4" s="1"/>
  <c r="AC858" i="4" s="1"/>
  <c r="Z955" i="4"/>
  <c r="AB955" i="4" s="1"/>
  <c r="AC955" i="4" s="1"/>
  <c r="Z950" i="4"/>
  <c r="AB950" i="4" s="1"/>
  <c r="AC950" i="4" s="1"/>
  <c r="Z907" i="4"/>
  <c r="AB907" i="4" s="1"/>
  <c r="AC907" i="4" s="1"/>
  <c r="Z969" i="4"/>
  <c r="AB969" i="4" s="1"/>
  <c r="AC969" i="4" s="1"/>
  <c r="Z990" i="4"/>
  <c r="AB990" i="4" s="1"/>
  <c r="AC990" i="4" s="1"/>
  <c r="Z979" i="4"/>
  <c r="AB979" i="4" s="1"/>
  <c r="AC979" i="4" s="1"/>
  <c r="Z957" i="4"/>
  <c r="AB957" i="4" s="1"/>
  <c r="AC957" i="4" s="1"/>
  <c r="Z972" i="4"/>
  <c r="AB972" i="4" s="1"/>
  <c r="AC972" i="4" s="1"/>
  <c r="Z1011" i="4"/>
  <c r="AB1011" i="4" s="1"/>
  <c r="AC1011" i="4" s="1"/>
  <c r="O29" i="4"/>
  <c r="L108" i="4"/>
  <c r="N108" i="4" s="1"/>
  <c r="O108" i="4" s="1"/>
  <c r="L242" i="4"/>
  <c r="N242" i="4" s="1"/>
  <c r="O242" i="4" s="1"/>
  <c r="L88" i="4"/>
  <c r="N88" i="4" s="1"/>
  <c r="O88" i="4" s="1"/>
  <c r="L267" i="4"/>
  <c r="N267" i="4" s="1"/>
  <c r="O267" i="4" s="1"/>
  <c r="L196" i="4"/>
  <c r="N196" i="4" s="1"/>
  <c r="O196" i="4" s="1"/>
  <c r="L63" i="4"/>
  <c r="N63" i="4" s="1"/>
  <c r="O63" i="4" s="1"/>
  <c r="L158" i="4"/>
  <c r="N158" i="4" s="1"/>
  <c r="O158" i="4" s="1"/>
  <c r="L76" i="4"/>
  <c r="N76" i="4" s="1"/>
  <c r="O76" i="4" s="1"/>
  <c r="L255" i="4"/>
  <c r="N255" i="4" s="1"/>
  <c r="O255" i="4" s="1"/>
  <c r="L117" i="4"/>
  <c r="N117" i="4" s="1"/>
  <c r="O117" i="4" s="1"/>
  <c r="L263" i="4"/>
  <c r="N263" i="4" s="1"/>
  <c r="O263" i="4" s="1"/>
  <c r="L177" i="4"/>
  <c r="N177" i="4" s="1"/>
  <c r="O177" i="4" s="1"/>
  <c r="L261" i="4"/>
  <c r="N261" i="4" s="1"/>
  <c r="O261" i="4" s="1"/>
  <c r="L201" i="4"/>
  <c r="N201" i="4" s="1"/>
  <c r="O201" i="4" s="1"/>
  <c r="L240" i="4"/>
  <c r="N240" i="4" s="1"/>
  <c r="O240" i="4" s="1"/>
  <c r="L115" i="4"/>
  <c r="N115" i="4" s="1"/>
  <c r="O115" i="4" s="1"/>
  <c r="L218" i="4"/>
  <c r="N218" i="4" s="1"/>
  <c r="O218" i="4" s="1"/>
  <c r="L164" i="4"/>
  <c r="N164" i="4" s="1"/>
  <c r="O164" i="4" s="1"/>
  <c r="L265" i="4"/>
  <c r="N265" i="4" s="1"/>
  <c r="O265" i="4" s="1"/>
  <c r="L374" i="4"/>
  <c r="N374" i="4" s="1"/>
  <c r="O374" i="4" s="1"/>
  <c r="L318" i="4"/>
  <c r="N318" i="4" s="1"/>
  <c r="O318" i="4" s="1"/>
  <c r="L288" i="4"/>
  <c r="N288" i="4" s="1"/>
  <c r="O288" i="4" s="1"/>
  <c r="L340" i="4"/>
  <c r="N340" i="4" s="1"/>
  <c r="O340" i="4" s="1"/>
  <c r="L278" i="4"/>
  <c r="N278" i="4" s="1"/>
  <c r="O278" i="4" s="1"/>
  <c r="L150" i="4"/>
  <c r="N150" i="4" s="1"/>
  <c r="O150" i="4" s="1"/>
  <c r="L200" i="4"/>
  <c r="N200" i="4" s="1"/>
  <c r="O200" i="4" s="1"/>
  <c r="L277" i="4"/>
  <c r="N277" i="4" s="1"/>
  <c r="O277" i="4" s="1"/>
  <c r="L357" i="4"/>
  <c r="N357" i="4" s="1"/>
  <c r="O357" i="4" s="1"/>
  <c r="L485" i="4"/>
  <c r="N485" i="4" s="1"/>
  <c r="O485" i="4" s="1"/>
  <c r="L307" i="4"/>
  <c r="N307" i="4" s="1"/>
  <c r="O307" i="4" s="1"/>
  <c r="L393" i="4"/>
  <c r="N393" i="4" s="1"/>
  <c r="O393" i="4" s="1"/>
  <c r="L390" i="4"/>
  <c r="N390" i="4" s="1"/>
  <c r="O390" i="4" s="1"/>
  <c r="L269" i="4"/>
  <c r="N269" i="4" s="1"/>
  <c r="O269" i="4" s="1"/>
  <c r="L319" i="4"/>
  <c r="N319" i="4" s="1"/>
  <c r="O319" i="4" s="1"/>
  <c r="L425" i="4"/>
  <c r="N425" i="4" s="1"/>
  <c r="O425" i="4" s="1"/>
  <c r="L502" i="4"/>
  <c r="N502" i="4" s="1"/>
  <c r="O502" i="4" s="1"/>
  <c r="L525" i="4"/>
  <c r="N525" i="4" s="1"/>
  <c r="O525" i="4" s="1"/>
  <c r="L444" i="4"/>
  <c r="N444" i="4" s="1"/>
  <c r="O444" i="4" s="1"/>
  <c r="L651" i="4"/>
  <c r="N651" i="4" s="1"/>
  <c r="O651" i="4" s="1"/>
  <c r="L475" i="4"/>
  <c r="N475" i="4" s="1"/>
  <c r="O475" i="4" s="1"/>
  <c r="L452" i="4"/>
  <c r="N452" i="4" s="1"/>
  <c r="O452" i="4" s="1"/>
  <c r="L465" i="4"/>
  <c r="N465" i="4" s="1"/>
  <c r="O465" i="4" s="1"/>
  <c r="L387" i="4"/>
  <c r="N387" i="4" s="1"/>
  <c r="O387" i="4" s="1"/>
  <c r="L515" i="4"/>
  <c r="N515" i="4" s="1"/>
  <c r="O515" i="4" s="1"/>
  <c r="L578" i="4"/>
  <c r="N578" i="4" s="1"/>
  <c r="O578" i="4" s="1"/>
  <c r="L612" i="4"/>
  <c r="N612" i="4" s="1"/>
  <c r="O612" i="4" s="1"/>
  <c r="L554" i="4"/>
  <c r="N554" i="4" s="1"/>
  <c r="O554" i="4" s="1"/>
  <c r="L595" i="4"/>
  <c r="N595" i="4" s="1"/>
  <c r="O595" i="4" s="1"/>
  <c r="L569" i="4"/>
  <c r="N569" i="4" s="1"/>
  <c r="O569" i="4" s="1"/>
  <c r="L619" i="4"/>
  <c r="N619" i="4" s="1"/>
  <c r="O619" i="4" s="1"/>
  <c r="L458" i="4"/>
  <c r="N458" i="4" s="1"/>
  <c r="O458" i="4" s="1"/>
  <c r="L508" i="4"/>
  <c r="N508" i="4" s="1"/>
  <c r="O508" i="4" s="1"/>
  <c r="L594" i="4"/>
  <c r="N594" i="4" s="1"/>
  <c r="O594" i="4" s="1"/>
  <c r="L637" i="4"/>
  <c r="N637" i="4" s="1"/>
  <c r="O637" i="4" s="1"/>
  <c r="L604" i="4"/>
  <c r="N604" i="4" s="1"/>
  <c r="O604" i="4" s="1"/>
  <c r="L546" i="4"/>
  <c r="N546" i="4" s="1"/>
  <c r="O546" i="4" s="1"/>
  <c r="L597" i="4"/>
  <c r="N597" i="4" s="1"/>
  <c r="O597" i="4" s="1"/>
  <c r="L593" i="4"/>
  <c r="N593" i="4" s="1"/>
  <c r="O593" i="4" s="1"/>
  <c r="L671" i="4"/>
  <c r="N671" i="4" s="1"/>
  <c r="O671" i="4" s="1"/>
  <c r="L689" i="4"/>
  <c r="N689" i="4" s="1"/>
  <c r="O689" i="4" s="1"/>
  <c r="L667" i="4"/>
  <c r="N667" i="4" s="1"/>
  <c r="O667" i="4" s="1"/>
  <c r="L730" i="4"/>
  <c r="N730" i="4" s="1"/>
  <c r="O730" i="4" s="1"/>
  <c r="L686" i="4"/>
  <c r="N686" i="4" s="1"/>
  <c r="O686" i="4" s="1"/>
  <c r="L709" i="4"/>
  <c r="N709" i="4" s="1"/>
  <c r="O709" i="4" s="1"/>
  <c r="L698" i="4"/>
  <c r="N698" i="4" s="1"/>
  <c r="O698" i="4" s="1"/>
  <c r="L633" i="4"/>
  <c r="N633" i="4" s="1"/>
  <c r="O633" i="4" s="1"/>
  <c r="L680" i="4"/>
  <c r="N680" i="4" s="1"/>
  <c r="O680" i="4" s="1"/>
  <c r="L765" i="4"/>
  <c r="N765" i="4" s="1"/>
  <c r="O765" i="4" s="1"/>
  <c r="L782" i="4"/>
  <c r="N782" i="4" s="1"/>
  <c r="O782" i="4" s="1"/>
  <c r="L827" i="4"/>
  <c r="N827" i="4" s="1"/>
  <c r="O827" i="4" s="1"/>
  <c r="L727" i="4"/>
  <c r="N727" i="4" s="1"/>
  <c r="O727" i="4" s="1"/>
  <c r="L822" i="4"/>
  <c r="N822" i="4" s="1"/>
  <c r="O822" i="4" s="1"/>
  <c r="L800" i="4"/>
  <c r="N800" i="4" s="1"/>
  <c r="O800" i="4" s="1"/>
  <c r="L773" i="4"/>
  <c r="N773" i="4" s="1"/>
  <c r="O773" i="4" s="1"/>
  <c r="L845" i="4"/>
  <c r="N845" i="4" s="1"/>
  <c r="O845" i="4" s="1"/>
  <c r="L864" i="4"/>
  <c r="N864" i="4" s="1"/>
  <c r="O864" i="4" s="1"/>
  <c r="L861" i="4"/>
  <c r="N861" i="4" s="1"/>
  <c r="O861" i="4" s="1"/>
  <c r="L837" i="4"/>
  <c r="N837" i="4" s="1"/>
  <c r="O837" i="4" s="1"/>
  <c r="L880" i="4"/>
  <c r="N880" i="4" s="1"/>
  <c r="O880" i="4" s="1"/>
  <c r="L796" i="4"/>
  <c r="N796" i="4" s="1"/>
  <c r="O796" i="4" s="1"/>
  <c r="L879" i="4"/>
  <c r="N879" i="4" s="1"/>
  <c r="O879" i="4" s="1"/>
  <c r="L899" i="4"/>
  <c r="N899" i="4" s="1"/>
  <c r="O899" i="4" s="1"/>
  <c r="L909" i="4"/>
  <c r="N909" i="4" s="1"/>
  <c r="O909" i="4" s="1"/>
  <c r="L857" i="4"/>
  <c r="N857" i="4" s="1"/>
  <c r="O857" i="4" s="1"/>
  <c r="L920" i="4"/>
  <c r="N920" i="4" s="1"/>
  <c r="O920" i="4" s="1"/>
  <c r="L941" i="4"/>
  <c r="N941" i="4" s="1"/>
  <c r="O941" i="4" s="1"/>
  <c r="L940" i="4"/>
  <c r="N940" i="4" s="1"/>
  <c r="O940" i="4" s="1"/>
  <c r="L931" i="4"/>
  <c r="N931" i="4" s="1"/>
  <c r="O931" i="4" s="1"/>
  <c r="L963" i="4"/>
  <c r="N963" i="4" s="1"/>
  <c r="O963" i="4" s="1"/>
  <c r="L960" i="4"/>
  <c r="N960" i="4" s="1"/>
  <c r="O960" i="4" s="1"/>
  <c r="L1008" i="4"/>
  <c r="N1008" i="4" s="1"/>
  <c r="O1008" i="4" s="1"/>
  <c r="L994" i="4"/>
  <c r="N994" i="4" s="1"/>
  <c r="O994" i="4" s="1"/>
  <c r="L1010" i="4"/>
  <c r="N1010" i="4" s="1"/>
  <c r="O1010" i="4" s="1"/>
  <c r="L997" i="4"/>
  <c r="N997" i="4" s="1"/>
  <c r="O997" i="4" s="1"/>
  <c r="L168" i="4"/>
  <c r="N168" i="4" s="1"/>
  <c r="O168" i="4" s="1"/>
  <c r="AC37" i="4"/>
  <c r="L28" i="4"/>
  <c r="N28" i="4" s="1"/>
  <c r="O28" i="4" s="1"/>
  <c r="AJ71" i="4"/>
  <c r="L119" i="4"/>
  <c r="N119" i="4" s="1"/>
  <c r="O119" i="4" s="1"/>
  <c r="AJ48" i="4"/>
  <c r="AC26" i="4"/>
  <c r="E280" i="4"/>
  <c r="G280" i="4" s="1"/>
  <c r="H280" i="4" s="1"/>
  <c r="E164" i="4"/>
  <c r="G164" i="4" s="1"/>
  <c r="H164" i="4" s="1"/>
  <c r="E15" i="4"/>
  <c r="G15" i="4" s="1"/>
  <c r="H15" i="4" s="1"/>
  <c r="E69" i="4"/>
  <c r="G69" i="4" s="1"/>
  <c r="H69" i="4" s="1"/>
  <c r="E321" i="4"/>
  <c r="G321" i="4" s="1"/>
  <c r="H321" i="4" s="1"/>
  <c r="E154" i="4"/>
  <c r="G154" i="4" s="1"/>
  <c r="H154" i="4" s="1"/>
  <c r="E190" i="4"/>
  <c r="G190" i="4" s="1"/>
  <c r="H190" i="4" s="1"/>
  <c r="E308" i="4"/>
  <c r="G308" i="4" s="1"/>
  <c r="H308" i="4" s="1"/>
  <c r="E180" i="4"/>
  <c r="G180" i="4" s="1"/>
  <c r="H180" i="4" s="1"/>
  <c r="H48" i="4"/>
  <c r="E98" i="4"/>
  <c r="G98" i="4" s="1"/>
  <c r="H98" i="4" s="1"/>
  <c r="E152" i="4"/>
  <c r="G152" i="4" s="1"/>
  <c r="H152" i="4" s="1"/>
  <c r="E275" i="4"/>
  <c r="G275" i="4" s="1"/>
  <c r="H275" i="4" s="1"/>
  <c r="E213" i="4"/>
  <c r="G213" i="4" s="1"/>
  <c r="H213" i="4" s="1"/>
  <c r="E291" i="4"/>
  <c r="G291" i="4" s="1"/>
  <c r="H291" i="4" s="1"/>
  <c r="E450" i="4"/>
  <c r="G450" i="4" s="1"/>
  <c r="H450" i="4" s="1"/>
  <c r="E265" i="4"/>
  <c r="G265" i="4" s="1"/>
  <c r="H265" i="4" s="1"/>
  <c r="E304" i="4"/>
  <c r="G304" i="4" s="1"/>
  <c r="H304" i="4" s="1"/>
  <c r="E341" i="4"/>
  <c r="G341" i="4" s="1"/>
  <c r="H341" i="4" s="1"/>
  <c r="E239" i="4"/>
  <c r="G239" i="4" s="1"/>
  <c r="H239" i="4" s="1"/>
  <c r="E316" i="4"/>
  <c r="G316" i="4" s="1"/>
  <c r="H316" i="4" s="1"/>
  <c r="E324" i="4"/>
  <c r="G324" i="4" s="1"/>
  <c r="H324" i="4" s="1"/>
  <c r="E369" i="4"/>
  <c r="G369" i="4" s="1"/>
  <c r="H369" i="4" s="1"/>
  <c r="E534" i="4"/>
  <c r="G534" i="4" s="1"/>
  <c r="H534" i="4" s="1"/>
  <c r="E371" i="4"/>
  <c r="G371" i="4" s="1"/>
  <c r="H371" i="4" s="1"/>
  <c r="E406" i="4"/>
  <c r="G406" i="4" s="1"/>
  <c r="H406" i="4" s="1"/>
  <c r="E402" i="4"/>
  <c r="G402" i="4" s="1"/>
  <c r="H402" i="4" s="1"/>
  <c r="E372" i="4"/>
  <c r="G372" i="4" s="1"/>
  <c r="H372" i="4" s="1"/>
  <c r="E232" i="4"/>
  <c r="G232" i="4" s="1"/>
  <c r="H232" i="4" s="1"/>
  <c r="E282" i="4"/>
  <c r="G282" i="4" s="1"/>
  <c r="H282" i="4" s="1"/>
  <c r="E332" i="4"/>
  <c r="G332" i="4" s="1"/>
  <c r="H332" i="4" s="1"/>
  <c r="E593" i="4"/>
  <c r="G593" i="4" s="1"/>
  <c r="H593" i="4" s="1"/>
  <c r="E452" i="4"/>
  <c r="G452" i="4" s="1"/>
  <c r="H452" i="4" s="1"/>
  <c r="E543" i="4"/>
  <c r="G543" i="4" s="1"/>
  <c r="H543" i="4" s="1"/>
  <c r="E556" i="4"/>
  <c r="G556" i="4" s="1"/>
  <c r="H556" i="4" s="1"/>
  <c r="E445" i="4"/>
  <c r="G445" i="4" s="1"/>
  <c r="H445" i="4" s="1"/>
  <c r="E482" i="4"/>
  <c r="G482" i="4" s="1"/>
  <c r="H482" i="4" s="1"/>
  <c r="E365" i="4"/>
  <c r="G365" i="4" s="1"/>
  <c r="H365" i="4" s="1"/>
  <c r="E415" i="4"/>
  <c r="G415" i="4" s="1"/>
  <c r="H415" i="4" s="1"/>
  <c r="E456" i="4"/>
  <c r="G456" i="4" s="1"/>
  <c r="H456" i="4" s="1"/>
  <c r="E506" i="4"/>
  <c r="G506" i="4" s="1"/>
  <c r="H506" i="4" s="1"/>
  <c r="E586" i="4"/>
  <c r="G586" i="4" s="1"/>
  <c r="H586" i="4" s="1"/>
  <c r="E555" i="4"/>
  <c r="G555" i="4" s="1"/>
  <c r="H555" i="4" s="1"/>
  <c r="E464" i="4"/>
  <c r="G464" i="4" s="1"/>
  <c r="H464" i="4" s="1"/>
  <c r="E514" i="4"/>
  <c r="G514" i="4" s="1"/>
  <c r="H514" i="4" s="1"/>
  <c r="E551" i="4"/>
  <c r="G551" i="4" s="1"/>
  <c r="H551" i="4" s="1"/>
  <c r="E554" i="4"/>
  <c r="G554" i="4" s="1"/>
  <c r="H554" i="4" s="1"/>
  <c r="E678" i="4"/>
  <c r="G678" i="4" s="1"/>
  <c r="H678" i="4" s="1"/>
  <c r="E611" i="4"/>
  <c r="G611" i="4" s="1"/>
  <c r="H611" i="4" s="1"/>
  <c r="E645" i="4"/>
  <c r="G645" i="4" s="1"/>
  <c r="H645" i="4" s="1"/>
  <c r="E567" i="4"/>
  <c r="G567" i="4" s="1"/>
  <c r="H567" i="4" s="1"/>
  <c r="E687" i="4"/>
  <c r="G687" i="4" s="1"/>
  <c r="H687" i="4" s="1"/>
  <c r="E656" i="4"/>
  <c r="G656" i="4" s="1"/>
  <c r="H656" i="4" s="1"/>
  <c r="E684" i="4"/>
  <c r="G684" i="4" s="1"/>
  <c r="H684" i="4" s="1"/>
  <c r="E617" i="4"/>
  <c r="G617" i="4" s="1"/>
  <c r="H617" i="4" s="1"/>
  <c r="E785" i="4"/>
  <c r="G785" i="4" s="1"/>
  <c r="H785" i="4" s="1"/>
  <c r="E729" i="4"/>
  <c r="G729" i="4" s="1"/>
  <c r="H729" i="4" s="1"/>
  <c r="E642" i="4"/>
  <c r="G642" i="4" s="1"/>
  <c r="H642" i="4" s="1"/>
  <c r="E712" i="4"/>
  <c r="G712" i="4" s="1"/>
  <c r="H712" i="4" s="1"/>
  <c r="E672" i="4"/>
  <c r="G672" i="4" s="1"/>
  <c r="H672" i="4" s="1"/>
  <c r="E649" i="4"/>
  <c r="G649" i="4" s="1"/>
  <c r="H649" i="4" s="1"/>
  <c r="E722" i="4"/>
  <c r="G722" i="4" s="1"/>
  <c r="H722" i="4" s="1"/>
  <c r="E750" i="4"/>
  <c r="G750" i="4" s="1"/>
  <c r="H750" i="4" s="1"/>
  <c r="E748" i="4"/>
  <c r="G748" i="4" s="1"/>
  <c r="H748" i="4" s="1"/>
  <c r="E743" i="4"/>
  <c r="G743" i="4" s="1"/>
  <c r="H743" i="4" s="1"/>
  <c r="E732" i="4"/>
  <c r="G732" i="4" s="1"/>
  <c r="H732" i="4" s="1"/>
  <c r="E811" i="4"/>
  <c r="G811" i="4" s="1"/>
  <c r="H811" i="4" s="1"/>
  <c r="E806" i="4"/>
  <c r="G806" i="4" s="1"/>
  <c r="H806" i="4" s="1"/>
  <c r="E805" i="4"/>
  <c r="G805" i="4" s="1"/>
  <c r="H805" i="4" s="1"/>
  <c r="E799" i="4"/>
  <c r="G799" i="4" s="1"/>
  <c r="H799" i="4" s="1"/>
  <c r="E826" i="4"/>
  <c r="G826" i="4" s="1"/>
  <c r="H826" i="4" s="1"/>
  <c r="E825" i="4"/>
  <c r="G825" i="4" s="1"/>
  <c r="H825" i="4" s="1"/>
  <c r="E846" i="4"/>
  <c r="G846" i="4" s="1"/>
  <c r="H846" i="4" s="1"/>
  <c r="E817" i="4"/>
  <c r="G817" i="4" s="1"/>
  <c r="H817" i="4" s="1"/>
  <c r="E901" i="4"/>
  <c r="G901" i="4" s="1"/>
  <c r="H901" i="4" s="1"/>
  <c r="E888" i="4"/>
  <c r="G888" i="4" s="1"/>
  <c r="H888" i="4" s="1"/>
  <c r="E913" i="4"/>
  <c r="G913" i="4" s="1"/>
  <c r="H913" i="4" s="1"/>
  <c r="E869" i="4"/>
  <c r="G869" i="4" s="1"/>
  <c r="H869" i="4" s="1"/>
  <c r="E921" i="4"/>
  <c r="G921" i="4" s="1"/>
  <c r="H921" i="4" s="1"/>
  <c r="E925" i="4"/>
  <c r="G925" i="4" s="1"/>
  <c r="H925" i="4" s="1"/>
  <c r="E860" i="4"/>
  <c r="G860" i="4" s="1"/>
  <c r="H860" i="4" s="1"/>
  <c r="E945" i="4"/>
  <c r="G945" i="4" s="1"/>
  <c r="H945" i="4" s="1"/>
  <c r="E957" i="4"/>
  <c r="G957" i="4" s="1"/>
  <c r="H957" i="4" s="1"/>
  <c r="E950" i="4"/>
  <c r="G950" i="4" s="1"/>
  <c r="H950" i="4" s="1"/>
  <c r="E943" i="4"/>
  <c r="G943" i="4" s="1"/>
  <c r="H943" i="4" s="1"/>
  <c r="E985" i="4"/>
  <c r="G985" i="4" s="1"/>
  <c r="H985" i="4" s="1"/>
  <c r="E964" i="4"/>
  <c r="G964" i="4" s="1"/>
  <c r="H964" i="4" s="1"/>
  <c r="E1000" i="4"/>
  <c r="G1000" i="4" s="1"/>
  <c r="H1000" i="4" s="1"/>
  <c r="E986" i="4"/>
  <c r="G986" i="4" s="1"/>
  <c r="H986" i="4" s="1"/>
  <c r="AC64" i="4"/>
  <c r="AC125" i="4"/>
  <c r="AC105" i="4"/>
  <c r="E126" i="4"/>
  <c r="G126" i="4" s="1"/>
  <c r="H126" i="4" s="1"/>
  <c r="AJ36" i="4"/>
  <c r="AC40" i="4"/>
  <c r="Z81" i="4"/>
  <c r="AB81" i="4" s="1"/>
  <c r="AC81" i="4" s="1"/>
  <c r="Z127" i="4"/>
  <c r="AB127" i="4" s="1"/>
  <c r="AC127" i="4" s="1"/>
  <c r="Z124" i="4"/>
  <c r="AB124" i="4" s="1"/>
  <c r="AC124" i="4" s="1"/>
  <c r="Z135" i="4"/>
  <c r="AB135" i="4" s="1"/>
  <c r="AC135" i="4" s="1"/>
  <c r="Z52" i="4"/>
  <c r="AB52" i="4" s="1"/>
  <c r="AC52" i="4" s="1"/>
  <c r="Z234" i="4"/>
  <c r="AB234" i="4" s="1"/>
  <c r="AC234" i="4" s="1"/>
  <c r="Z86" i="4"/>
  <c r="AB86" i="4" s="1"/>
  <c r="AC86" i="4" s="1"/>
  <c r="Z241" i="4"/>
  <c r="AB241" i="4" s="1"/>
  <c r="AC241" i="4" s="1"/>
  <c r="Z158" i="4"/>
  <c r="AB158" i="4" s="1"/>
  <c r="AC158" i="4" s="1"/>
  <c r="Z162" i="4"/>
  <c r="AB162" i="4" s="1"/>
  <c r="AC162" i="4" s="1"/>
  <c r="Z214" i="4"/>
  <c r="AB214" i="4" s="1"/>
  <c r="AC214" i="4" s="1"/>
  <c r="Z177" i="4"/>
  <c r="AB177" i="4" s="1"/>
  <c r="AC177" i="4" s="1"/>
  <c r="Z121" i="4"/>
  <c r="AB121" i="4" s="1"/>
  <c r="AC121" i="4" s="1"/>
  <c r="Z204" i="4"/>
  <c r="AB204" i="4" s="1"/>
  <c r="AC204" i="4" s="1"/>
  <c r="Z304" i="4"/>
  <c r="AB304" i="4" s="1"/>
  <c r="AC304" i="4" s="1"/>
  <c r="Z233" i="4"/>
  <c r="AB233" i="4" s="1"/>
  <c r="AC233" i="4" s="1"/>
  <c r="Z382" i="4"/>
  <c r="AB382" i="4" s="1"/>
  <c r="AC382" i="4" s="1"/>
  <c r="Z297" i="4"/>
  <c r="AB297" i="4" s="1"/>
  <c r="AC297" i="4" s="1"/>
  <c r="Z292" i="4"/>
  <c r="AB292" i="4" s="1"/>
  <c r="AC292" i="4" s="1"/>
  <c r="Z287" i="4"/>
  <c r="AB287" i="4" s="1"/>
  <c r="AC287" i="4" s="1"/>
  <c r="Z286" i="4"/>
  <c r="AB286" i="4" s="1"/>
  <c r="AC286" i="4" s="1"/>
  <c r="Z166" i="4"/>
  <c r="AB166" i="4" s="1"/>
  <c r="AC166" i="4" s="1"/>
  <c r="Z216" i="4"/>
  <c r="AB216" i="4" s="1"/>
  <c r="AC216" i="4" s="1"/>
  <c r="Z350" i="4"/>
  <c r="AB350" i="4" s="1"/>
  <c r="AC350" i="4" s="1"/>
  <c r="Z406" i="4"/>
  <c r="AB406" i="4" s="1"/>
  <c r="AC406" i="4" s="1"/>
  <c r="Z381" i="4"/>
  <c r="AB381" i="4" s="1"/>
  <c r="AC381" i="4" s="1"/>
  <c r="Z348" i="4"/>
  <c r="AB348" i="4" s="1"/>
  <c r="AC348" i="4" s="1"/>
  <c r="Z482" i="4"/>
  <c r="AB482" i="4" s="1"/>
  <c r="AC482" i="4" s="1"/>
  <c r="Z245" i="4"/>
  <c r="AB245" i="4" s="1"/>
  <c r="AC245" i="4" s="1"/>
  <c r="Z295" i="4"/>
  <c r="AB295" i="4" s="1"/>
  <c r="AC295" i="4" s="1"/>
  <c r="Z342" i="4"/>
  <c r="AB342" i="4" s="1"/>
  <c r="AC342" i="4" s="1"/>
  <c r="Z513" i="4"/>
  <c r="AB513" i="4" s="1"/>
  <c r="AC513" i="4" s="1"/>
  <c r="Z564" i="4"/>
  <c r="AB564" i="4" s="1"/>
  <c r="AC564" i="4" s="1"/>
  <c r="Z400" i="4"/>
  <c r="AB400" i="4" s="1"/>
  <c r="AC400" i="4" s="1"/>
  <c r="Z480" i="4"/>
  <c r="AB480" i="4" s="1"/>
  <c r="AC480" i="4" s="1"/>
  <c r="Z523" i="4"/>
  <c r="AB523" i="4" s="1"/>
  <c r="AC523" i="4" s="1"/>
  <c r="Z475" i="4"/>
  <c r="AB475" i="4" s="1"/>
  <c r="AC475" i="4" s="1"/>
  <c r="Z453" i="4"/>
  <c r="AB453" i="4" s="1"/>
  <c r="AC453" i="4" s="1"/>
  <c r="Z403" i="4"/>
  <c r="AB403" i="4" s="1"/>
  <c r="AC403" i="4" s="1"/>
  <c r="Z452" i="4"/>
  <c r="AB452" i="4" s="1"/>
  <c r="AC452" i="4" s="1"/>
  <c r="Z501" i="4"/>
  <c r="AB501" i="4" s="1"/>
  <c r="AC501" i="4" s="1"/>
  <c r="Z549" i="4"/>
  <c r="AB549" i="4" s="1"/>
  <c r="AC549" i="4" s="1"/>
  <c r="Z520" i="4"/>
  <c r="AB520" i="4" s="1"/>
  <c r="AC520" i="4" s="1"/>
  <c r="Z538" i="4"/>
  <c r="AB538" i="4" s="1"/>
  <c r="AC538" i="4" s="1"/>
  <c r="Z740" i="4"/>
  <c r="AB740" i="4" s="1"/>
  <c r="AC740" i="4" s="1"/>
  <c r="Z553" i="4"/>
  <c r="AB553" i="4" s="1"/>
  <c r="AC553" i="4" s="1"/>
  <c r="Z694" i="4"/>
  <c r="AB694" i="4" s="1"/>
  <c r="AC694" i="4" s="1"/>
  <c r="Z469" i="4"/>
  <c r="AB469" i="4" s="1"/>
  <c r="AC469" i="4" s="1"/>
  <c r="Z519" i="4"/>
  <c r="AB519" i="4" s="1"/>
  <c r="AC519" i="4" s="1"/>
  <c r="Z651" i="4"/>
  <c r="AB651" i="4" s="1"/>
  <c r="AC651" i="4" s="1"/>
  <c r="Z595" i="4"/>
  <c r="AB595" i="4" s="1"/>
  <c r="AC595" i="4" s="1"/>
  <c r="Z657" i="4"/>
  <c r="AB657" i="4" s="1"/>
  <c r="AC657" i="4" s="1"/>
  <c r="Z567" i="4"/>
  <c r="AB567" i="4" s="1"/>
  <c r="AC567" i="4" s="1"/>
  <c r="Z645" i="4"/>
  <c r="AB645" i="4" s="1"/>
  <c r="AC645" i="4" s="1"/>
  <c r="Z845" i="4"/>
  <c r="AB845" i="4" s="1"/>
  <c r="AC845" i="4" s="1"/>
  <c r="Z609" i="4"/>
  <c r="AB609" i="4" s="1"/>
  <c r="AC609" i="4" s="1"/>
  <c r="Z665" i="4"/>
  <c r="AB665" i="4" s="1"/>
  <c r="AC665" i="4" s="1"/>
  <c r="Z678" i="4"/>
  <c r="AB678" i="4" s="1"/>
  <c r="AC678" i="4" s="1"/>
  <c r="Z668" i="4"/>
  <c r="AB668" i="4" s="1"/>
  <c r="AC668" i="4" s="1"/>
  <c r="Z745" i="4"/>
  <c r="AB745" i="4" s="1"/>
  <c r="AC745" i="4" s="1"/>
  <c r="Z720" i="4"/>
  <c r="AB720" i="4" s="1"/>
  <c r="AC720" i="4" s="1"/>
  <c r="Z679" i="4"/>
  <c r="AB679" i="4" s="1"/>
  <c r="AC679" i="4" s="1"/>
  <c r="Z629" i="4"/>
  <c r="AB629" i="4" s="1"/>
  <c r="AC629" i="4" s="1"/>
  <c r="Z690" i="4"/>
  <c r="AB690" i="4" s="1"/>
  <c r="AC690" i="4" s="1"/>
  <c r="Z742" i="4"/>
  <c r="AB742" i="4" s="1"/>
  <c r="AC742" i="4" s="1"/>
  <c r="Z773" i="4"/>
  <c r="AB773" i="4" s="1"/>
  <c r="AC773" i="4" s="1"/>
  <c r="Z683" i="4"/>
  <c r="AB683" i="4" s="1"/>
  <c r="AC683" i="4" s="1"/>
  <c r="Z736" i="4"/>
  <c r="AB736" i="4" s="1"/>
  <c r="AC736" i="4" s="1"/>
  <c r="Z770" i="4"/>
  <c r="AB770" i="4" s="1"/>
  <c r="AC770" i="4" s="1"/>
  <c r="Z783" i="4"/>
  <c r="AB783" i="4" s="1"/>
  <c r="AC783" i="4" s="1"/>
  <c r="Z759" i="4"/>
  <c r="AB759" i="4" s="1"/>
  <c r="AC759" i="4" s="1"/>
  <c r="Z825" i="4"/>
  <c r="AB825" i="4" s="1"/>
  <c r="AC825" i="4" s="1"/>
  <c r="Z874" i="4"/>
  <c r="AB874" i="4" s="1"/>
  <c r="AC874" i="4" s="1"/>
  <c r="Z803" i="4"/>
  <c r="AB803" i="4" s="1"/>
  <c r="AC803" i="4" s="1"/>
  <c r="Z838" i="4"/>
  <c r="AB838" i="4" s="1"/>
  <c r="AC838" i="4" s="1"/>
  <c r="Z865" i="4"/>
  <c r="AB865" i="4" s="1"/>
  <c r="AC865" i="4" s="1"/>
  <c r="Z827" i="4"/>
  <c r="AB827" i="4" s="1"/>
  <c r="AC827" i="4" s="1"/>
  <c r="Z914" i="4"/>
  <c r="AB914" i="4" s="1"/>
  <c r="AC914" i="4" s="1"/>
  <c r="Z915" i="4"/>
  <c r="AB915" i="4" s="1"/>
  <c r="AC915" i="4" s="1"/>
  <c r="Z843" i="4"/>
  <c r="AB843" i="4" s="1"/>
  <c r="AC843" i="4" s="1"/>
  <c r="Z929" i="4"/>
  <c r="AB929" i="4" s="1"/>
  <c r="AC929" i="4" s="1"/>
  <c r="Z863" i="4"/>
  <c r="AB863" i="4" s="1"/>
  <c r="AC863" i="4" s="1"/>
  <c r="Z954" i="4"/>
  <c r="AB954" i="4" s="1"/>
  <c r="AC954" i="4" s="1"/>
  <c r="Z951" i="4"/>
  <c r="AB951" i="4" s="1"/>
  <c r="AC951" i="4" s="1"/>
  <c r="Z912" i="4"/>
  <c r="AB912" i="4" s="1"/>
  <c r="AC912" i="4" s="1"/>
  <c r="Z966" i="4"/>
  <c r="AB966" i="4" s="1"/>
  <c r="AC966" i="4" s="1"/>
  <c r="Z992" i="4"/>
  <c r="AB992" i="4" s="1"/>
  <c r="AC992" i="4" s="1"/>
  <c r="Z980" i="4"/>
  <c r="AB980" i="4" s="1"/>
  <c r="AC980" i="4" s="1"/>
  <c r="Z962" i="4"/>
  <c r="AB962" i="4" s="1"/>
  <c r="AC962" i="4" s="1"/>
  <c r="Z977" i="4"/>
  <c r="AB977" i="4" s="1"/>
  <c r="AC977" i="4" s="1"/>
  <c r="Z1005" i="4"/>
  <c r="AB1005" i="4" s="1"/>
  <c r="AC1005" i="4" s="1"/>
  <c r="L34" i="4"/>
  <c r="N34" i="4" s="1"/>
  <c r="O34" i="4" s="1"/>
  <c r="L184" i="4"/>
  <c r="N184" i="4" s="1"/>
  <c r="O184" i="4" s="1"/>
  <c r="L223" i="4"/>
  <c r="N223" i="4" s="1"/>
  <c r="O223" i="4" s="1"/>
  <c r="L89" i="4"/>
  <c r="N89" i="4" s="1"/>
  <c r="O89" i="4" s="1"/>
  <c r="L83" i="4"/>
  <c r="N83" i="4" s="1"/>
  <c r="O83" i="4" s="1"/>
  <c r="L221" i="4"/>
  <c r="N221" i="4" s="1"/>
  <c r="O221" i="4" s="1"/>
  <c r="L73" i="4"/>
  <c r="N73" i="4" s="1"/>
  <c r="O73" i="4" s="1"/>
  <c r="L193" i="4"/>
  <c r="N193" i="4" s="1"/>
  <c r="O193" i="4" s="1"/>
  <c r="L80" i="4"/>
  <c r="N80" i="4" s="1"/>
  <c r="O80" i="4" s="1"/>
  <c r="L262" i="4"/>
  <c r="N262" i="4" s="1"/>
  <c r="O262" i="4" s="1"/>
  <c r="L122" i="4"/>
  <c r="N122" i="4" s="1"/>
  <c r="O122" i="4" s="1"/>
  <c r="L295" i="4"/>
  <c r="N295" i="4" s="1"/>
  <c r="O295" i="4" s="1"/>
  <c r="L179" i="4"/>
  <c r="N179" i="4" s="1"/>
  <c r="O179" i="4" s="1"/>
  <c r="L296" i="4"/>
  <c r="N296" i="4" s="1"/>
  <c r="O296" i="4" s="1"/>
  <c r="L235" i="4"/>
  <c r="N235" i="4" s="1"/>
  <c r="O235" i="4" s="1"/>
  <c r="L257" i="4"/>
  <c r="N257" i="4" s="1"/>
  <c r="O257" i="4" s="1"/>
  <c r="L120" i="4"/>
  <c r="N120" i="4" s="1"/>
  <c r="O120" i="4" s="1"/>
  <c r="L231" i="4"/>
  <c r="N231" i="4" s="1"/>
  <c r="O231" i="4" s="1"/>
  <c r="L188" i="4"/>
  <c r="N188" i="4" s="1"/>
  <c r="O188" i="4" s="1"/>
  <c r="L266" i="4"/>
  <c r="N266" i="4" s="1"/>
  <c r="O266" i="4" s="1"/>
  <c r="L400" i="4"/>
  <c r="N400" i="4" s="1"/>
  <c r="O400" i="4" s="1"/>
  <c r="L321" i="4"/>
  <c r="N321" i="4" s="1"/>
  <c r="O321" i="4" s="1"/>
  <c r="L292" i="4"/>
  <c r="N292" i="4" s="1"/>
  <c r="O292" i="4" s="1"/>
  <c r="L365" i="4"/>
  <c r="N365" i="4" s="1"/>
  <c r="O365" i="4" s="1"/>
  <c r="L282" i="4"/>
  <c r="N282" i="4" s="1"/>
  <c r="O282" i="4" s="1"/>
  <c r="L155" i="4"/>
  <c r="N155" i="4" s="1"/>
  <c r="O155" i="4" s="1"/>
  <c r="L205" i="4"/>
  <c r="N205" i="4" s="1"/>
  <c r="O205" i="4" s="1"/>
  <c r="L308" i="4"/>
  <c r="N308" i="4" s="1"/>
  <c r="O308" i="4" s="1"/>
  <c r="L367" i="4"/>
  <c r="N367" i="4" s="1"/>
  <c r="O367" i="4" s="1"/>
  <c r="L555" i="4"/>
  <c r="N555" i="4" s="1"/>
  <c r="O555" i="4" s="1"/>
  <c r="L312" i="4"/>
  <c r="N312" i="4" s="1"/>
  <c r="O312" i="4" s="1"/>
  <c r="L396" i="4"/>
  <c r="N396" i="4" s="1"/>
  <c r="O396" i="4" s="1"/>
  <c r="L403" i="4"/>
  <c r="N403" i="4" s="1"/>
  <c r="O403" i="4" s="1"/>
  <c r="L274" i="4"/>
  <c r="N274" i="4" s="1"/>
  <c r="O274" i="4" s="1"/>
  <c r="L324" i="4"/>
  <c r="N324" i="4" s="1"/>
  <c r="O324" i="4" s="1"/>
  <c r="L469" i="4"/>
  <c r="N469" i="4" s="1"/>
  <c r="O469" i="4" s="1"/>
  <c r="L517" i="4"/>
  <c r="N517" i="4" s="1"/>
  <c r="O517" i="4" s="1"/>
  <c r="L379" i="4"/>
  <c r="N379" i="4" s="1"/>
  <c r="O379" i="4" s="1"/>
  <c r="L464" i="4"/>
  <c r="N464" i="4" s="1"/>
  <c r="O464" i="4" s="1"/>
  <c r="L610" i="4"/>
  <c r="N610" i="4" s="1"/>
  <c r="O610" i="4" s="1"/>
  <c r="L491" i="4"/>
  <c r="N491" i="4" s="1"/>
  <c r="O491" i="4" s="1"/>
  <c r="L456" i="4"/>
  <c r="N456" i="4" s="1"/>
  <c r="O456" i="4" s="1"/>
  <c r="L481" i="4"/>
  <c r="N481" i="4" s="1"/>
  <c r="O481" i="4" s="1"/>
  <c r="L392" i="4"/>
  <c r="N392" i="4" s="1"/>
  <c r="O392" i="4" s="1"/>
  <c r="L685" i="4"/>
  <c r="N685" i="4" s="1"/>
  <c r="O685" i="4" s="1"/>
  <c r="L601" i="4"/>
  <c r="N601" i="4" s="1"/>
  <c r="O601" i="4" s="1"/>
  <c r="L647" i="4"/>
  <c r="N647" i="4" s="1"/>
  <c r="O647" i="4" s="1"/>
  <c r="L560" i="4"/>
  <c r="N560" i="4" s="1"/>
  <c r="O560" i="4" s="1"/>
  <c r="L605" i="4"/>
  <c r="N605" i="4" s="1"/>
  <c r="O605" i="4" s="1"/>
  <c r="L575" i="4"/>
  <c r="N575" i="4" s="1"/>
  <c r="O575" i="4" s="1"/>
  <c r="L636" i="4"/>
  <c r="N636" i="4" s="1"/>
  <c r="O636" i="4" s="1"/>
  <c r="V518" i="4"/>
  <c r="V551" i="4"/>
  <c r="V604" i="4"/>
  <c r="V612" i="4"/>
  <c r="V640" i="4"/>
  <c r="V752" i="4"/>
  <c r="V740" i="4"/>
  <c r="V889" i="4"/>
  <c r="V876" i="4"/>
  <c r="V948" i="4"/>
  <c r="V962" i="4"/>
  <c r="V924" i="4"/>
  <c r="V1003" i="4"/>
  <c r="V980" i="4"/>
  <c r="E18" i="4"/>
  <c r="G18" i="4" s="1"/>
  <c r="H18" i="4" s="1"/>
  <c r="E66" i="4"/>
  <c r="G66" i="4" s="1"/>
  <c r="H66" i="4" s="1"/>
  <c r="E135" i="4"/>
  <c r="G135" i="4" s="1"/>
  <c r="H135" i="4" s="1"/>
  <c r="S62" i="4"/>
  <c r="U62" i="4" s="1"/>
  <c r="V62" i="4" s="1"/>
  <c r="Z154" i="4"/>
  <c r="AB154" i="4" s="1"/>
  <c r="AC154" i="4" s="1"/>
  <c r="O26" i="4"/>
  <c r="E127" i="4"/>
  <c r="G127" i="4" s="1"/>
  <c r="H127" i="4" s="1"/>
  <c r="E270" i="4"/>
  <c r="G270" i="4" s="1"/>
  <c r="H270" i="4" s="1"/>
  <c r="E71" i="4"/>
  <c r="G71" i="4" s="1"/>
  <c r="H71" i="4" s="1"/>
  <c r="E65" i="4"/>
  <c r="G65" i="4" s="1"/>
  <c r="H65" i="4" s="1"/>
  <c r="E20" i="4"/>
  <c r="G20" i="4" s="1"/>
  <c r="H20" i="4" s="1"/>
  <c r="E72" i="4"/>
  <c r="G72" i="4" s="1"/>
  <c r="H72" i="4" s="1"/>
  <c r="E189" i="4"/>
  <c r="G189" i="4" s="1"/>
  <c r="H189" i="4" s="1"/>
  <c r="E329" i="4"/>
  <c r="G329" i="4" s="1"/>
  <c r="H329" i="4" s="1"/>
  <c r="E165" i="4"/>
  <c r="G165" i="4" s="1"/>
  <c r="H165" i="4" s="1"/>
  <c r="E209" i="4"/>
  <c r="G209" i="4" s="1"/>
  <c r="H209" i="4" s="1"/>
  <c r="E314" i="4"/>
  <c r="G314" i="4" s="1"/>
  <c r="H314" i="4" s="1"/>
  <c r="E184" i="4"/>
  <c r="G184" i="4" s="1"/>
  <c r="H184" i="4" s="1"/>
  <c r="E53" i="4"/>
  <c r="G53" i="4" s="1"/>
  <c r="H53" i="4" s="1"/>
  <c r="E103" i="4"/>
  <c r="G103" i="4" s="1"/>
  <c r="H103" i="4" s="1"/>
  <c r="E159" i="4"/>
  <c r="G159" i="4" s="1"/>
  <c r="H159" i="4" s="1"/>
  <c r="E315" i="4"/>
  <c r="G315" i="4" s="1"/>
  <c r="H315" i="4" s="1"/>
  <c r="E223" i="4"/>
  <c r="G223" i="4" s="1"/>
  <c r="H223" i="4" s="1"/>
  <c r="E309" i="4"/>
  <c r="G309" i="4" s="1"/>
  <c r="H309" i="4" s="1"/>
  <c r="E396" i="4"/>
  <c r="G396" i="4" s="1"/>
  <c r="H396" i="4" s="1"/>
  <c r="E266" i="4"/>
  <c r="G266" i="4" s="1"/>
  <c r="H266" i="4" s="1"/>
  <c r="E319" i="4"/>
  <c r="G319" i="4" s="1"/>
  <c r="H319" i="4" s="1"/>
  <c r="E377" i="4"/>
  <c r="G377" i="4" s="1"/>
  <c r="H377" i="4" s="1"/>
  <c r="E244" i="4"/>
  <c r="G244" i="4" s="1"/>
  <c r="H244" i="4" s="1"/>
  <c r="E418" i="4"/>
  <c r="G418" i="4" s="1"/>
  <c r="H418" i="4" s="1"/>
  <c r="E334" i="4"/>
  <c r="G334" i="4" s="1"/>
  <c r="H334" i="4" s="1"/>
  <c r="E376" i="4"/>
  <c r="G376" i="4" s="1"/>
  <c r="H376" i="4" s="1"/>
  <c r="E520" i="4"/>
  <c r="G520" i="4" s="1"/>
  <c r="H520" i="4" s="1"/>
  <c r="E374" i="4"/>
  <c r="G374" i="4" s="1"/>
  <c r="H374" i="4" s="1"/>
  <c r="E443" i="4"/>
  <c r="G443" i="4" s="1"/>
  <c r="H443" i="4" s="1"/>
  <c r="E404" i="4"/>
  <c r="G404" i="4" s="1"/>
  <c r="H404" i="4" s="1"/>
  <c r="E379" i="4"/>
  <c r="G379" i="4" s="1"/>
  <c r="H379" i="4" s="1"/>
  <c r="E237" i="4"/>
  <c r="G237" i="4" s="1"/>
  <c r="H237" i="4" s="1"/>
  <c r="E287" i="4"/>
  <c r="G287" i="4" s="1"/>
  <c r="H287" i="4" s="1"/>
  <c r="E337" i="4"/>
  <c r="G337" i="4" s="1"/>
  <c r="H337" i="4" s="1"/>
  <c r="E508" i="4"/>
  <c r="G508" i="4" s="1"/>
  <c r="H508" i="4" s="1"/>
  <c r="E454" i="4"/>
  <c r="G454" i="4" s="1"/>
  <c r="H454" i="4" s="1"/>
  <c r="E613" i="4"/>
  <c r="G613" i="4" s="1"/>
  <c r="H613" i="4" s="1"/>
  <c r="E583" i="4"/>
  <c r="G583" i="4" s="1"/>
  <c r="H583" i="4" s="1"/>
  <c r="E500" i="4"/>
  <c r="G500" i="4" s="1"/>
  <c r="H500" i="4" s="1"/>
  <c r="E485" i="4"/>
  <c r="G485" i="4" s="1"/>
  <c r="H485" i="4" s="1"/>
  <c r="E370" i="4"/>
  <c r="G370" i="4" s="1"/>
  <c r="H370" i="4" s="1"/>
  <c r="E420" i="4"/>
  <c r="G420" i="4" s="1"/>
  <c r="H420" i="4" s="1"/>
  <c r="E461" i="4"/>
  <c r="G461" i="4" s="1"/>
  <c r="H461" i="4" s="1"/>
  <c r="E511" i="4"/>
  <c r="G511" i="4" s="1"/>
  <c r="H511" i="4" s="1"/>
  <c r="E627" i="4"/>
  <c r="G627" i="4" s="1"/>
  <c r="H627" i="4" s="1"/>
  <c r="E558" i="4"/>
  <c r="G558" i="4" s="1"/>
  <c r="H558" i="4" s="1"/>
  <c r="E469" i="4"/>
  <c r="G469" i="4" s="1"/>
  <c r="H469" i="4" s="1"/>
  <c r="E519" i="4"/>
  <c r="G519" i="4" s="1"/>
  <c r="H519" i="4" s="1"/>
  <c r="E570" i="4"/>
  <c r="G570" i="4" s="1"/>
  <c r="H570" i="4" s="1"/>
  <c r="E559" i="4"/>
  <c r="G559" i="4" s="1"/>
  <c r="H559" i="4" s="1"/>
  <c r="E598" i="4"/>
  <c r="G598" i="4" s="1"/>
  <c r="H598" i="4" s="1"/>
  <c r="E615" i="4"/>
  <c r="G615" i="4" s="1"/>
  <c r="H615" i="4" s="1"/>
  <c r="E646" i="4"/>
  <c r="G646" i="4" s="1"/>
  <c r="H646" i="4" s="1"/>
  <c r="E572" i="4"/>
  <c r="G572" i="4" s="1"/>
  <c r="H572" i="4" s="1"/>
  <c r="E691" i="4"/>
  <c r="G691" i="4" s="1"/>
  <c r="H691" i="4" s="1"/>
  <c r="E633" i="4"/>
  <c r="G633" i="4" s="1"/>
  <c r="H633" i="4" s="1"/>
  <c r="E695" i="4"/>
  <c r="G695" i="4" s="1"/>
  <c r="H695" i="4" s="1"/>
  <c r="E620" i="4"/>
  <c r="G620" i="4" s="1"/>
  <c r="H620" i="4" s="1"/>
  <c r="E709" i="4"/>
  <c r="G709" i="4" s="1"/>
  <c r="H709" i="4" s="1"/>
  <c r="E758" i="4"/>
  <c r="G758" i="4" s="1"/>
  <c r="H758" i="4" s="1"/>
  <c r="E676" i="4"/>
  <c r="G676" i="4" s="1"/>
  <c r="H676" i="4" s="1"/>
  <c r="E727" i="4"/>
  <c r="G727" i="4" s="1"/>
  <c r="H727" i="4" s="1"/>
  <c r="E677" i="4"/>
  <c r="G677" i="4" s="1"/>
  <c r="H677" i="4" s="1"/>
  <c r="E654" i="4"/>
  <c r="G654" i="4" s="1"/>
  <c r="H654" i="4" s="1"/>
  <c r="E770" i="4"/>
  <c r="G770" i="4" s="1"/>
  <c r="H770" i="4" s="1"/>
  <c r="E751" i="4"/>
  <c r="G751" i="4" s="1"/>
  <c r="H751" i="4" s="1"/>
  <c r="E752" i="4"/>
  <c r="G752" i="4" s="1"/>
  <c r="H752" i="4" s="1"/>
  <c r="E747" i="4"/>
  <c r="G747" i="4" s="1"/>
  <c r="H747" i="4" s="1"/>
  <c r="E765" i="4"/>
  <c r="G765" i="4" s="1"/>
  <c r="H765" i="4" s="1"/>
  <c r="E836" i="4"/>
  <c r="G836" i="4" s="1"/>
  <c r="H836" i="4" s="1"/>
  <c r="E808" i="4"/>
  <c r="G808" i="4" s="1"/>
  <c r="H808" i="4" s="1"/>
  <c r="E810" i="4"/>
  <c r="G810" i="4" s="1"/>
  <c r="H810" i="4" s="1"/>
  <c r="E851" i="4"/>
  <c r="G851" i="4" s="1"/>
  <c r="H851" i="4" s="1"/>
  <c r="E838" i="4"/>
  <c r="G838" i="4" s="1"/>
  <c r="H838" i="4" s="1"/>
  <c r="E833" i="4"/>
  <c r="G833" i="4" s="1"/>
  <c r="H833" i="4" s="1"/>
  <c r="E857" i="4"/>
  <c r="G857" i="4" s="1"/>
  <c r="H857" i="4" s="1"/>
  <c r="E822" i="4"/>
  <c r="G822" i="4" s="1"/>
  <c r="H822" i="4" s="1"/>
  <c r="E896" i="4"/>
  <c r="G896" i="4" s="1"/>
  <c r="H896" i="4" s="1"/>
  <c r="E889" i="4"/>
  <c r="G889" i="4" s="1"/>
  <c r="H889" i="4" s="1"/>
  <c r="E848" i="4"/>
  <c r="G848" i="4" s="1"/>
  <c r="H848" i="4" s="1"/>
  <c r="E897" i="4"/>
  <c r="G897" i="4" s="1"/>
  <c r="H897" i="4" s="1"/>
  <c r="E941" i="4"/>
  <c r="G941" i="4" s="1"/>
  <c r="H941" i="4" s="1"/>
  <c r="E927" i="4"/>
  <c r="G927" i="4" s="1"/>
  <c r="H927" i="4" s="1"/>
  <c r="E865" i="4"/>
  <c r="G865" i="4" s="1"/>
  <c r="H865" i="4" s="1"/>
  <c r="E955" i="4"/>
  <c r="G955" i="4" s="1"/>
  <c r="H955" i="4" s="1"/>
  <c r="E966" i="4"/>
  <c r="G966" i="4" s="1"/>
  <c r="H966" i="4" s="1"/>
  <c r="E952" i="4"/>
  <c r="G952" i="4" s="1"/>
  <c r="H952" i="4" s="1"/>
  <c r="E970" i="4"/>
  <c r="G970" i="4" s="1"/>
  <c r="H970" i="4" s="1"/>
  <c r="E988" i="4"/>
  <c r="G988" i="4" s="1"/>
  <c r="H988" i="4" s="1"/>
  <c r="E969" i="4"/>
  <c r="G969" i="4" s="1"/>
  <c r="H969" i="4" s="1"/>
  <c r="E995" i="4"/>
  <c r="G995" i="4" s="1"/>
  <c r="H995" i="4" s="1"/>
  <c r="E991" i="4"/>
  <c r="G991" i="4" s="1"/>
  <c r="H991" i="4" s="1"/>
  <c r="L116" i="4"/>
  <c r="N116" i="4" s="1"/>
  <c r="O116" i="4" s="1"/>
  <c r="L64" i="4"/>
  <c r="N64" i="4" s="1"/>
  <c r="O64" i="4" s="1"/>
  <c r="E160" i="4"/>
  <c r="G160" i="4" s="1"/>
  <c r="H160" i="4" s="1"/>
  <c r="E105" i="4"/>
  <c r="G105" i="4" s="1"/>
  <c r="H105" i="4" s="1"/>
  <c r="Z46" i="4"/>
  <c r="AB46" i="4" s="1"/>
  <c r="AC46" i="4" s="1"/>
  <c r="Z232" i="4"/>
  <c r="AB232" i="4" s="1"/>
  <c r="AC232" i="4" s="1"/>
  <c r="Z130" i="4"/>
  <c r="AB130" i="4" s="1"/>
  <c r="AC130" i="4" s="1"/>
  <c r="Z164" i="4"/>
  <c r="AB164" i="4" s="1"/>
  <c r="AC164" i="4" s="1"/>
  <c r="Z237" i="4"/>
  <c r="AB237" i="4" s="1"/>
  <c r="AC237" i="4" s="1"/>
  <c r="Z62" i="4"/>
  <c r="AB62" i="4" s="1"/>
  <c r="AC62" i="4" s="1"/>
  <c r="Z251" i="4"/>
  <c r="AB251" i="4" s="1"/>
  <c r="AC251" i="4" s="1"/>
  <c r="Z117" i="4"/>
  <c r="AB117" i="4" s="1"/>
  <c r="AC117" i="4" s="1"/>
  <c r="AC149" i="4"/>
  <c r="Z252" i="4"/>
  <c r="AB252" i="4" s="1"/>
  <c r="AC252" i="4" s="1"/>
  <c r="Z183" i="4"/>
  <c r="AB183" i="4" s="1"/>
  <c r="AC183" i="4" s="1"/>
  <c r="Z169" i="4"/>
  <c r="AB169" i="4" s="1"/>
  <c r="AC169" i="4" s="1"/>
  <c r="Z222" i="4"/>
  <c r="AB222" i="4" s="1"/>
  <c r="AC222" i="4" s="1"/>
  <c r="Z179" i="4"/>
  <c r="AB179" i="4" s="1"/>
  <c r="AC179" i="4" s="1"/>
  <c r="Z126" i="4"/>
  <c r="AB126" i="4" s="1"/>
  <c r="AC126" i="4" s="1"/>
  <c r="Z207" i="4"/>
  <c r="AB207" i="4" s="1"/>
  <c r="AC207" i="4" s="1"/>
  <c r="Z307" i="4"/>
  <c r="AB307" i="4" s="1"/>
  <c r="AC307" i="4" s="1"/>
  <c r="Z272" i="4"/>
  <c r="AB272" i="4" s="1"/>
  <c r="AC272" i="4" s="1"/>
  <c r="Z431" i="4"/>
  <c r="AB431" i="4" s="1"/>
  <c r="AC431" i="4" s="1"/>
  <c r="Z299" i="4"/>
  <c r="AB299" i="4" s="1"/>
  <c r="AC299" i="4" s="1"/>
  <c r="Z294" i="4"/>
  <c r="AB294" i="4" s="1"/>
  <c r="AC294" i="4" s="1"/>
  <c r="Z289" i="4"/>
  <c r="AB289" i="4" s="1"/>
  <c r="AC289" i="4" s="1"/>
  <c r="Z288" i="4"/>
  <c r="AB288" i="4" s="1"/>
  <c r="AC288" i="4" s="1"/>
  <c r="Z171" i="4"/>
  <c r="AB171" i="4" s="1"/>
  <c r="AC171" i="4" s="1"/>
  <c r="Z226" i="4"/>
  <c r="AB226" i="4" s="1"/>
  <c r="AC226" i="4" s="1"/>
  <c r="V552" i="4"/>
  <c r="V523" i="4"/>
  <c r="V505" i="4"/>
  <c r="V570" i="4"/>
  <c r="V553" i="4"/>
  <c r="V608" i="4"/>
  <c r="V659" i="4"/>
  <c r="V678" i="4"/>
  <c r="V645" i="4"/>
  <c r="V754" i="4"/>
  <c r="V769" i="4"/>
  <c r="V704" i="4"/>
  <c r="V762" i="4"/>
  <c r="V807" i="4"/>
  <c r="V827" i="4"/>
  <c r="V857" i="4"/>
  <c r="V818" i="4"/>
  <c r="V926" i="4"/>
  <c r="V931" i="4"/>
  <c r="V881" i="4"/>
  <c r="V929" i="4"/>
  <c r="E12" i="4"/>
  <c r="G12" i="4" s="1"/>
  <c r="H12" i="4" s="1"/>
  <c r="E204" i="4"/>
  <c r="G204" i="4" s="1"/>
  <c r="H204" i="4" s="1"/>
  <c r="S63" i="4"/>
  <c r="U63" i="4" s="1"/>
  <c r="V63" i="4" s="1"/>
  <c r="Z45" i="4"/>
  <c r="AB45" i="4" s="1"/>
  <c r="AC45" i="4" s="1"/>
  <c r="E117" i="4"/>
  <c r="G117" i="4" s="1"/>
  <c r="H117" i="4" s="1"/>
  <c r="AC70" i="4"/>
  <c r="H74" i="4"/>
  <c r="S81" i="4"/>
  <c r="U81" i="4" s="1"/>
  <c r="V81" i="4" s="1"/>
  <c r="V52" i="4"/>
  <c r="H36" i="4"/>
  <c r="E134" i="4"/>
  <c r="G134" i="4" s="1"/>
  <c r="H134" i="4" s="1"/>
  <c r="E274" i="4"/>
  <c r="G274" i="4" s="1"/>
  <c r="H274" i="4" s="1"/>
  <c r="E96" i="4"/>
  <c r="G96" i="4" s="1"/>
  <c r="H96" i="4" s="1"/>
  <c r="E95" i="4"/>
  <c r="G95" i="4" s="1"/>
  <c r="H95" i="4" s="1"/>
  <c r="E25" i="4"/>
  <c r="G25" i="4" s="1"/>
  <c r="H25" i="4" s="1"/>
  <c r="E92" i="4"/>
  <c r="G92" i="4" s="1"/>
  <c r="H92" i="4" s="1"/>
  <c r="E192" i="4"/>
  <c r="G192" i="4" s="1"/>
  <c r="H192" i="4" s="1"/>
  <c r="E363" i="4"/>
  <c r="G363" i="4" s="1"/>
  <c r="H363" i="4" s="1"/>
  <c r="E172" i="4"/>
  <c r="G172" i="4" s="1"/>
  <c r="H172" i="4" s="1"/>
  <c r="E212" i="4"/>
  <c r="G212" i="4" s="1"/>
  <c r="H212" i="4" s="1"/>
  <c r="E162" i="4"/>
  <c r="G162" i="4" s="1"/>
  <c r="H162" i="4" s="1"/>
  <c r="E186" i="4"/>
  <c r="G186" i="4" s="1"/>
  <c r="H186" i="4" s="1"/>
  <c r="E58" i="4"/>
  <c r="G58" i="4" s="1"/>
  <c r="H58" i="4" s="1"/>
  <c r="E108" i="4"/>
  <c r="G108" i="4" s="1"/>
  <c r="H108" i="4" s="1"/>
  <c r="E170" i="4"/>
  <c r="G170" i="4" s="1"/>
  <c r="H170" i="4" s="1"/>
  <c r="E323" i="4"/>
  <c r="G323" i="4" s="1"/>
  <c r="H323" i="4" s="1"/>
  <c r="E226" i="4"/>
  <c r="G226" i="4" s="1"/>
  <c r="H226" i="4" s="1"/>
  <c r="E318" i="4"/>
  <c r="G318" i="4" s="1"/>
  <c r="H318" i="4" s="1"/>
  <c r="E399" i="4"/>
  <c r="G399" i="4" s="1"/>
  <c r="H399" i="4" s="1"/>
  <c r="E305" i="4"/>
  <c r="G305" i="4" s="1"/>
  <c r="H305" i="4" s="1"/>
  <c r="E328" i="4"/>
  <c r="G328" i="4" s="1"/>
  <c r="H328" i="4" s="1"/>
  <c r="E191" i="4"/>
  <c r="G191" i="4" s="1"/>
  <c r="H191" i="4" s="1"/>
  <c r="E248" i="4"/>
  <c r="G248" i="4" s="1"/>
  <c r="H248" i="4" s="1"/>
  <c r="E490" i="4"/>
  <c r="G490" i="4" s="1"/>
  <c r="H490" i="4" s="1"/>
  <c r="E336" i="4"/>
  <c r="G336" i="4" s="1"/>
  <c r="H336" i="4" s="1"/>
  <c r="E414" i="4"/>
  <c r="G414" i="4" s="1"/>
  <c r="H414" i="4" s="1"/>
  <c r="E468" i="4"/>
  <c r="G468" i="4" s="1"/>
  <c r="H468" i="4" s="1"/>
  <c r="E386" i="4"/>
  <c r="G386" i="4" s="1"/>
  <c r="H386" i="4" s="1"/>
  <c r="E480" i="4"/>
  <c r="G480" i="4" s="1"/>
  <c r="H480" i="4" s="1"/>
  <c r="E411" i="4"/>
  <c r="G411" i="4" s="1"/>
  <c r="H411" i="4" s="1"/>
  <c r="E391" i="4"/>
  <c r="G391" i="4" s="1"/>
  <c r="H391" i="4" s="1"/>
  <c r="E242" i="4"/>
  <c r="G242" i="4" s="1"/>
  <c r="H242" i="4" s="1"/>
  <c r="E292" i="4"/>
  <c r="G292" i="4" s="1"/>
  <c r="H292" i="4" s="1"/>
  <c r="E388" i="4"/>
  <c r="G388" i="4" s="1"/>
  <c r="H388" i="4" s="1"/>
  <c r="E581" i="4"/>
  <c r="G581" i="4" s="1"/>
  <c r="H581" i="4" s="1"/>
  <c r="E455" i="4"/>
  <c r="G455" i="4" s="1"/>
  <c r="H455" i="4" s="1"/>
  <c r="E660" i="4"/>
  <c r="G660" i="4" s="1"/>
  <c r="H660" i="4" s="1"/>
  <c r="E434" i="4"/>
  <c r="G434" i="4" s="1"/>
  <c r="H434" i="4" s="1"/>
  <c r="E518" i="4"/>
  <c r="G518" i="4" s="1"/>
  <c r="H518" i="4" s="1"/>
  <c r="E488" i="4"/>
  <c r="G488" i="4" s="1"/>
  <c r="H488" i="4" s="1"/>
  <c r="E375" i="4"/>
  <c r="G375" i="4" s="1"/>
  <c r="H375" i="4" s="1"/>
  <c r="E428" i="4"/>
  <c r="G428" i="4" s="1"/>
  <c r="H428" i="4" s="1"/>
  <c r="E466" i="4"/>
  <c r="G466" i="4" s="1"/>
  <c r="H466" i="4" s="1"/>
  <c r="E516" i="4"/>
  <c r="G516" i="4" s="1"/>
  <c r="H516" i="4" s="1"/>
  <c r="E492" i="4"/>
  <c r="G492" i="4" s="1"/>
  <c r="H492" i="4" s="1"/>
  <c r="E561" i="4"/>
  <c r="G561" i="4" s="1"/>
  <c r="H561" i="4" s="1"/>
  <c r="E474" i="4"/>
  <c r="G474" i="4" s="1"/>
  <c r="H474" i="4" s="1"/>
  <c r="E524" i="4"/>
  <c r="G524" i="4" s="1"/>
  <c r="H524" i="4" s="1"/>
  <c r="E573" i="4"/>
  <c r="G573" i="4" s="1"/>
  <c r="H573" i="4" s="1"/>
  <c r="E564" i="4"/>
  <c r="G564" i="4" s="1"/>
  <c r="H564" i="4" s="1"/>
  <c r="E605" i="4"/>
  <c r="G605" i="4" s="1"/>
  <c r="H605" i="4" s="1"/>
  <c r="E619" i="4"/>
  <c r="G619" i="4" s="1"/>
  <c r="H619" i="4" s="1"/>
  <c r="E647" i="4"/>
  <c r="G647" i="4" s="1"/>
  <c r="H647" i="4" s="1"/>
  <c r="E577" i="4"/>
  <c r="G577" i="4" s="1"/>
  <c r="H577" i="4" s="1"/>
  <c r="E760" i="4"/>
  <c r="G760" i="4" s="1"/>
  <c r="H760" i="4" s="1"/>
  <c r="E657" i="4"/>
  <c r="G657" i="4" s="1"/>
  <c r="H657" i="4" s="1"/>
  <c r="E609" i="4"/>
  <c r="G609" i="4" s="1"/>
  <c r="H609" i="4" s="1"/>
  <c r="E622" i="4"/>
  <c r="G622" i="4" s="1"/>
  <c r="H622" i="4" s="1"/>
  <c r="E776" i="4"/>
  <c r="G776" i="4" s="1"/>
  <c r="H776" i="4" s="1"/>
  <c r="E787" i="4"/>
  <c r="G787" i="4" s="1"/>
  <c r="H787" i="4" s="1"/>
  <c r="E756" i="4"/>
  <c r="G756" i="4" s="1"/>
  <c r="H756" i="4" s="1"/>
  <c r="E733" i="4"/>
  <c r="G733" i="4" s="1"/>
  <c r="H733" i="4" s="1"/>
  <c r="E685" i="4"/>
  <c r="G685" i="4" s="1"/>
  <c r="H685" i="4" s="1"/>
  <c r="E659" i="4"/>
  <c r="G659" i="4" s="1"/>
  <c r="H659" i="4" s="1"/>
  <c r="E780" i="4"/>
  <c r="G780" i="4" s="1"/>
  <c r="H780" i="4" s="1"/>
  <c r="E753" i="4"/>
  <c r="G753" i="4" s="1"/>
  <c r="H753" i="4" s="1"/>
  <c r="E763" i="4"/>
  <c r="G763" i="4" s="1"/>
  <c r="H763" i="4" s="1"/>
  <c r="E766" i="4"/>
  <c r="G766" i="4" s="1"/>
  <c r="H766" i="4" s="1"/>
  <c r="E768" i="4"/>
  <c r="G768" i="4" s="1"/>
  <c r="H768" i="4" s="1"/>
  <c r="E762" i="4"/>
  <c r="G762" i="4" s="1"/>
  <c r="H762" i="4" s="1"/>
  <c r="E809" i="4"/>
  <c r="G809" i="4" s="1"/>
  <c r="H809" i="4" s="1"/>
  <c r="E739" i="4"/>
  <c r="G739" i="4" s="1"/>
  <c r="H739" i="4" s="1"/>
  <c r="E783" i="4"/>
  <c r="G783" i="4" s="1"/>
  <c r="H783" i="4" s="1"/>
  <c r="E843" i="4"/>
  <c r="G843" i="4" s="1"/>
  <c r="H843" i="4" s="1"/>
  <c r="E856" i="4"/>
  <c r="G856" i="4" s="1"/>
  <c r="H856" i="4" s="1"/>
  <c r="E859" i="4"/>
  <c r="G859" i="4" s="1"/>
  <c r="H859" i="4" s="1"/>
  <c r="E827" i="4"/>
  <c r="G827" i="4" s="1"/>
  <c r="H827" i="4" s="1"/>
  <c r="E916" i="4"/>
  <c r="G916" i="4" s="1"/>
  <c r="H916" i="4" s="1"/>
  <c r="E919" i="4"/>
  <c r="G919" i="4" s="1"/>
  <c r="H919" i="4" s="1"/>
  <c r="E867" i="4"/>
  <c r="G867" i="4" s="1"/>
  <c r="H867" i="4" s="1"/>
  <c r="E924" i="4"/>
  <c r="G924" i="4" s="1"/>
  <c r="H924" i="4" s="1"/>
  <c r="E908" i="4"/>
  <c r="G908" i="4" s="1"/>
  <c r="H908" i="4" s="1"/>
  <c r="E937" i="4"/>
  <c r="G937" i="4" s="1"/>
  <c r="H937" i="4" s="1"/>
  <c r="E870" i="4"/>
  <c r="G870" i="4" s="1"/>
  <c r="H870" i="4" s="1"/>
  <c r="E963" i="4"/>
  <c r="G963" i="4" s="1"/>
  <c r="H963" i="4" s="1"/>
  <c r="E956" i="4"/>
  <c r="G956" i="4" s="1"/>
  <c r="H956" i="4" s="1"/>
  <c r="E953" i="4"/>
  <c r="G953" i="4" s="1"/>
  <c r="H953" i="4" s="1"/>
  <c r="E975" i="4"/>
  <c r="G975" i="4" s="1"/>
  <c r="H975" i="4" s="1"/>
  <c r="E978" i="4"/>
  <c r="G978" i="4" s="1"/>
  <c r="H978" i="4" s="1"/>
  <c r="E973" i="4"/>
  <c r="G973" i="4" s="1"/>
  <c r="H973" i="4" s="1"/>
  <c r="E977" i="4"/>
  <c r="G977" i="4" s="1"/>
  <c r="H977" i="4" s="1"/>
  <c r="E996" i="4"/>
  <c r="G996" i="4" s="1"/>
  <c r="H996" i="4" s="1"/>
  <c r="O96" i="4"/>
  <c r="E80" i="4"/>
  <c r="G80" i="4" s="1"/>
  <c r="H80" i="4" s="1"/>
  <c r="AJ35" i="4"/>
  <c r="AC53" i="4"/>
  <c r="Z253" i="4"/>
  <c r="AB253" i="4" s="1"/>
  <c r="AC253" i="4" s="1"/>
  <c r="Z140" i="4"/>
  <c r="AB140" i="4" s="1"/>
  <c r="AC140" i="4" s="1"/>
  <c r="Z199" i="4"/>
  <c r="AB199" i="4" s="1"/>
  <c r="AC199" i="4" s="1"/>
  <c r="AC242" i="4"/>
  <c r="Z72" i="4"/>
  <c r="AB72" i="4" s="1"/>
  <c r="AC72" i="4" s="1"/>
  <c r="Z269" i="4"/>
  <c r="AB269" i="4" s="1"/>
  <c r="AC269" i="4" s="1"/>
  <c r="Z120" i="4"/>
  <c r="AB120" i="4" s="1"/>
  <c r="AC120" i="4" s="1"/>
  <c r="Z103" i="4"/>
  <c r="AB103" i="4" s="1"/>
  <c r="AC103" i="4" s="1"/>
  <c r="Z336" i="4"/>
  <c r="AB336" i="4" s="1"/>
  <c r="AC336" i="4" s="1"/>
  <c r="Z185" i="4"/>
  <c r="AB185" i="4" s="1"/>
  <c r="AC185" i="4" s="1"/>
  <c r="Z178" i="4"/>
  <c r="AB178" i="4" s="1"/>
  <c r="AC178" i="4" s="1"/>
  <c r="Z235" i="4"/>
  <c r="AB235" i="4" s="1"/>
  <c r="AC235" i="4" s="1"/>
  <c r="Z220" i="4"/>
  <c r="AB220" i="4" s="1"/>
  <c r="AC220" i="4" s="1"/>
  <c r="Z131" i="4"/>
  <c r="AB131" i="4" s="1"/>
  <c r="AC131" i="4" s="1"/>
  <c r="Z210" i="4"/>
  <c r="AB210" i="4" s="1"/>
  <c r="AC210" i="4" s="1"/>
  <c r="Z339" i="4"/>
  <c r="AB339" i="4" s="1"/>
  <c r="AC339" i="4" s="1"/>
  <c r="Z274" i="4"/>
  <c r="AB274" i="4" s="1"/>
  <c r="AC274" i="4" s="1"/>
  <c r="Z467" i="4"/>
  <c r="AB467" i="4" s="1"/>
  <c r="AC467" i="4" s="1"/>
  <c r="Z301" i="4"/>
  <c r="AB301" i="4" s="1"/>
  <c r="AC301" i="4" s="1"/>
  <c r="Z296" i="4"/>
  <c r="AB296" i="4" s="1"/>
  <c r="AC296" i="4" s="1"/>
  <c r="Z291" i="4"/>
  <c r="AB291" i="4" s="1"/>
  <c r="AC291" i="4" s="1"/>
  <c r="Z317" i="4"/>
  <c r="AB317" i="4" s="1"/>
  <c r="AC317" i="4" s="1"/>
  <c r="Z176" i="4"/>
  <c r="AB176" i="4" s="1"/>
  <c r="AC176" i="4" s="1"/>
  <c r="Z236" i="4"/>
  <c r="AB236" i="4" s="1"/>
  <c r="AC236" i="4" s="1"/>
  <c r="Z411" i="4"/>
  <c r="AB411" i="4" s="1"/>
  <c r="AC411" i="4" s="1"/>
  <c r="Z426" i="4"/>
  <c r="AB426" i="4" s="1"/>
  <c r="AC426" i="4" s="1"/>
  <c r="Z308" i="4"/>
  <c r="AB308" i="4" s="1"/>
  <c r="AC308" i="4" s="1"/>
  <c r="Z358" i="4"/>
  <c r="AB358" i="4" s="1"/>
  <c r="AC358" i="4" s="1"/>
  <c r="Z387" i="4"/>
  <c r="AB387" i="4" s="1"/>
  <c r="AC387" i="4" s="1"/>
  <c r="Z255" i="4"/>
  <c r="AB255" i="4" s="1"/>
  <c r="AC255" i="4" s="1"/>
  <c r="L493" i="4"/>
  <c r="N493" i="4" s="1"/>
  <c r="O493" i="4" s="1"/>
  <c r="L568" i="4"/>
  <c r="N568" i="4" s="1"/>
  <c r="O568" i="4" s="1"/>
  <c r="L614" i="4"/>
  <c r="N614" i="4" s="1"/>
  <c r="O614" i="4" s="1"/>
  <c r="L600" i="4"/>
  <c r="N600" i="4" s="1"/>
  <c r="O600" i="4" s="1"/>
  <c r="L531" i="4"/>
  <c r="N531" i="4" s="1"/>
  <c r="O531" i="4" s="1"/>
  <c r="L581" i="4"/>
  <c r="N581" i="4" s="1"/>
  <c r="O581" i="4" s="1"/>
  <c r="L693" i="4"/>
  <c r="N693" i="4" s="1"/>
  <c r="O693" i="4" s="1"/>
  <c r="L652" i="4"/>
  <c r="N652" i="4" s="1"/>
  <c r="O652" i="4" s="1"/>
  <c r="L696" i="4"/>
  <c r="N696" i="4" s="1"/>
  <c r="O696" i="4" s="1"/>
  <c r="L623" i="4"/>
  <c r="N623" i="4" s="1"/>
  <c r="O623" i="4" s="1"/>
  <c r="L666" i="4"/>
  <c r="N666" i="4" s="1"/>
  <c r="O666" i="4" s="1"/>
  <c r="L756" i="4"/>
  <c r="N756" i="4" s="1"/>
  <c r="O756" i="4" s="1"/>
  <c r="L785" i="4"/>
  <c r="N785" i="4" s="1"/>
  <c r="O785" i="4" s="1"/>
  <c r="L710" i="4"/>
  <c r="N710" i="4" s="1"/>
  <c r="O710" i="4" s="1"/>
  <c r="L749" i="4"/>
  <c r="N749" i="4" s="1"/>
  <c r="O749" i="4" s="1"/>
  <c r="L668" i="4"/>
  <c r="N668" i="4" s="1"/>
  <c r="O668" i="4" s="1"/>
  <c r="L751" i="4"/>
  <c r="N751" i="4" s="1"/>
  <c r="O751" i="4" s="1"/>
  <c r="L818" i="4"/>
  <c r="N818" i="4" s="1"/>
  <c r="O818" i="4" s="1"/>
  <c r="L767" i="4"/>
  <c r="N767" i="4" s="1"/>
  <c r="O767" i="4" s="1"/>
  <c r="L712" i="4"/>
  <c r="N712" i="4" s="1"/>
  <c r="O712" i="4" s="1"/>
  <c r="L844" i="4"/>
  <c r="N844" i="4" s="1"/>
  <c r="O844" i="4" s="1"/>
  <c r="L833" i="4"/>
  <c r="N833" i="4" s="1"/>
  <c r="O833" i="4" s="1"/>
  <c r="L758" i="4"/>
  <c r="N758" i="4" s="1"/>
  <c r="O758" i="4" s="1"/>
  <c r="L813" i="4"/>
  <c r="N813" i="4" s="1"/>
  <c r="O813" i="4" s="1"/>
  <c r="L814" i="4"/>
  <c r="N814" i="4" s="1"/>
  <c r="O814" i="4" s="1"/>
  <c r="L890" i="4"/>
  <c r="N890" i="4" s="1"/>
  <c r="O890" i="4" s="1"/>
  <c r="L870" i="4"/>
  <c r="N870" i="4" s="1"/>
  <c r="O870" i="4" s="1"/>
  <c r="L875" i="4"/>
  <c r="N875" i="4" s="1"/>
  <c r="O875" i="4" s="1"/>
  <c r="L871" i="4"/>
  <c r="N871" i="4" s="1"/>
  <c r="O871" i="4" s="1"/>
  <c r="L831" i="4"/>
  <c r="N831" i="4" s="1"/>
  <c r="O831" i="4" s="1"/>
  <c r="L910" i="4"/>
  <c r="N910" i="4" s="1"/>
  <c r="O910" i="4" s="1"/>
  <c r="L847" i="4"/>
  <c r="N847" i="4" s="1"/>
  <c r="O847" i="4" s="1"/>
  <c r="L924" i="4"/>
  <c r="N924" i="4" s="1"/>
  <c r="O924" i="4" s="1"/>
  <c r="L892" i="4"/>
  <c r="N892" i="4" s="1"/>
  <c r="O892" i="4" s="1"/>
  <c r="L968" i="4"/>
  <c r="N968" i="4" s="1"/>
  <c r="O968" i="4" s="1"/>
  <c r="L933" i="4"/>
  <c r="N933" i="4" s="1"/>
  <c r="O933" i="4" s="1"/>
  <c r="L921" i="4"/>
  <c r="N921" i="4" s="1"/>
  <c r="O921" i="4" s="1"/>
  <c r="L972" i="4"/>
  <c r="N972" i="4" s="1"/>
  <c r="O972" i="4" s="1"/>
  <c r="L942" i="4"/>
  <c r="N942" i="4" s="1"/>
  <c r="O942" i="4" s="1"/>
  <c r="L973" i="4"/>
  <c r="N973" i="4" s="1"/>
  <c r="O973" i="4" s="1"/>
  <c r="L966" i="4"/>
  <c r="N966" i="4" s="1"/>
  <c r="O966" i="4" s="1"/>
  <c r="L1005" i="4"/>
  <c r="N1005" i="4" s="1"/>
  <c r="O1005" i="4" s="1"/>
  <c r="L1000" i="4"/>
  <c r="N1000" i="4" s="1"/>
  <c r="O1000" i="4" s="1"/>
  <c r="Z506" i="4"/>
  <c r="AB506" i="4" s="1"/>
  <c r="AC506" i="4" s="1"/>
  <c r="Z385" i="4"/>
  <c r="AB385" i="4" s="1"/>
  <c r="AC385" i="4" s="1"/>
  <c r="Z443" i="4"/>
  <c r="AB443" i="4" s="1"/>
  <c r="AC443" i="4" s="1"/>
  <c r="Z441" i="4"/>
  <c r="AB441" i="4" s="1"/>
  <c r="AC441" i="4" s="1"/>
  <c r="Z456" i="4"/>
  <c r="AB456" i="4" s="1"/>
  <c r="AC456" i="4" s="1"/>
  <c r="Z554" i="4"/>
  <c r="AB554" i="4" s="1"/>
  <c r="AC554" i="4" s="1"/>
  <c r="Z388" i="4"/>
  <c r="AB388" i="4" s="1"/>
  <c r="AC388" i="4" s="1"/>
  <c r="Z446" i="4"/>
  <c r="AB446" i="4" s="1"/>
  <c r="AC446" i="4" s="1"/>
  <c r="Z498" i="4"/>
  <c r="AB498" i="4" s="1"/>
  <c r="AC498" i="4" s="1"/>
  <c r="Z534" i="4"/>
  <c r="AB534" i="4" s="1"/>
  <c r="AC534" i="4" s="1"/>
  <c r="Z505" i="4"/>
  <c r="AB505" i="4" s="1"/>
  <c r="AC505" i="4" s="1"/>
  <c r="Z619" i="4"/>
  <c r="AB619" i="4" s="1"/>
  <c r="AC619" i="4" s="1"/>
  <c r="Z569" i="4"/>
  <c r="AB569" i="4" s="1"/>
  <c r="AC569" i="4" s="1"/>
  <c r="Z590" i="4"/>
  <c r="AB590" i="4" s="1"/>
  <c r="AC590" i="4" s="1"/>
  <c r="Z610" i="4"/>
  <c r="AB610" i="4" s="1"/>
  <c r="AC610" i="4" s="1"/>
  <c r="Z454" i="4"/>
  <c r="AB454" i="4" s="1"/>
  <c r="AC454" i="4" s="1"/>
  <c r="Z504" i="4"/>
  <c r="AB504" i="4" s="1"/>
  <c r="AC504" i="4" s="1"/>
  <c r="Z620" i="4"/>
  <c r="AB620" i="4" s="1"/>
  <c r="AC620" i="4" s="1"/>
  <c r="Z607" i="4"/>
  <c r="AB607" i="4" s="1"/>
  <c r="AC607" i="4" s="1"/>
  <c r="Z603" i="4"/>
  <c r="AB603" i="4" s="1"/>
  <c r="AC603" i="4" s="1"/>
  <c r="Z552" i="4"/>
  <c r="AB552" i="4" s="1"/>
  <c r="AC552" i="4" s="1"/>
  <c r="Z623" i="4"/>
  <c r="AB623" i="4" s="1"/>
  <c r="AC623" i="4" s="1"/>
  <c r="Z756" i="4"/>
  <c r="AB756" i="4" s="1"/>
  <c r="AC756" i="4" s="1"/>
  <c r="Z594" i="4"/>
  <c r="AB594" i="4" s="1"/>
  <c r="AC594" i="4" s="1"/>
  <c r="Z656" i="4"/>
  <c r="AB656" i="4" s="1"/>
  <c r="AC656" i="4" s="1"/>
  <c r="Z691" i="4"/>
  <c r="AB691" i="4" s="1"/>
  <c r="AC691" i="4" s="1"/>
  <c r="Z637" i="4"/>
  <c r="AB637" i="4" s="1"/>
  <c r="AC637" i="4" s="1"/>
  <c r="Z685" i="4"/>
  <c r="AB685" i="4" s="1"/>
  <c r="AC685" i="4" s="1"/>
  <c r="Z696" i="4"/>
  <c r="AB696" i="4" s="1"/>
  <c r="AC696" i="4" s="1"/>
  <c r="Z715" i="4"/>
  <c r="AB715" i="4" s="1"/>
  <c r="AC715" i="4" s="1"/>
  <c r="Z727" i="4"/>
  <c r="AB727" i="4" s="1"/>
  <c r="AC727" i="4" s="1"/>
  <c r="Z664" i="4"/>
  <c r="AB664" i="4" s="1"/>
  <c r="AC664" i="4" s="1"/>
  <c r="Z737" i="4"/>
  <c r="AB737" i="4" s="1"/>
  <c r="AC737" i="4" s="1"/>
  <c r="Z768" i="4"/>
  <c r="AB768" i="4" s="1"/>
  <c r="AC768" i="4" s="1"/>
  <c r="Z788" i="4"/>
  <c r="AB788" i="4" s="1"/>
  <c r="AC788" i="4" s="1"/>
  <c r="Z718" i="4"/>
  <c r="AB718" i="4" s="1"/>
  <c r="AC718" i="4" s="1"/>
  <c r="Z793" i="4"/>
  <c r="AB793" i="4" s="1"/>
  <c r="AC793" i="4" s="1"/>
  <c r="Z889" i="4"/>
  <c r="AB889" i="4" s="1"/>
  <c r="AC889" i="4" s="1"/>
  <c r="Z744" i="4"/>
  <c r="AB744" i="4" s="1"/>
  <c r="AC744" i="4" s="1"/>
  <c r="Z821" i="4"/>
  <c r="AB821" i="4" s="1"/>
  <c r="AC821" i="4" s="1"/>
  <c r="Z870" i="4"/>
  <c r="AB870" i="4" s="1"/>
  <c r="AC870" i="4" s="1"/>
  <c r="Z785" i="4"/>
  <c r="AB785" i="4" s="1"/>
  <c r="AC785" i="4" s="1"/>
  <c r="Z866" i="4"/>
  <c r="AB866" i="4" s="1"/>
  <c r="AC866" i="4" s="1"/>
  <c r="Z879" i="4"/>
  <c r="AB879" i="4" s="1"/>
  <c r="AC879" i="4" s="1"/>
  <c r="Z812" i="4"/>
  <c r="AB812" i="4" s="1"/>
  <c r="AC812" i="4" s="1"/>
  <c r="Z906" i="4"/>
  <c r="AB906" i="4" s="1"/>
  <c r="AC906" i="4" s="1"/>
  <c r="Z911" i="4"/>
  <c r="AB911" i="4" s="1"/>
  <c r="AC911" i="4" s="1"/>
  <c r="Z859" i="4"/>
  <c r="AB859" i="4" s="1"/>
  <c r="AC859" i="4" s="1"/>
  <c r="Z935" i="4"/>
  <c r="AB935" i="4" s="1"/>
  <c r="AC935" i="4" s="1"/>
  <c r="Z930" i="4"/>
  <c r="AB930" i="4" s="1"/>
  <c r="AC930" i="4" s="1"/>
  <c r="Z936" i="4"/>
  <c r="AB936" i="4" s="1"/>
  <c r="AC936" i="4" s="1"/>
  <c r="Z953" i="4"/>
  <c r="AB953" i="4" s="1"/>
  <c r="AC953" i="4" s="1"/>
  <c r="Z897" i="4"/>
  <c r="AB897" i="4" s="1"/>
  <c r="AC897" i="4" s="1"/>
  <c r="Z965" i="4"/>
  <c r="AB965" i="4" s="1"/>
  <c r="AC965" i="4" s="1"/>
  <c r="Z964" i="4"/>
  <c r="AB964" i="4" s="1"/>
  <c r="AC964" i="4" s="1"/>
  <c r="Z976" i="4"/>
  <c r="AB976" i="4" s="1"/>
  <c r="AC976" i="4" s="1"/>
  <c r="Z1003" i="4"/>
  <c r="AB1003" i="4" s="1"/>
  <c r="AC1003" i="4" s="1"/>
  <c r="Z985" i="4"/>
  <c r="AB985" i="4" s="1"/>
  <c r="AC985" i="4" s="1"/>
  <c r="Z999" i="4"/>
  <c r="AB999" i="4" s="1"/>
  <c r="AC999" i="4" s="1"/>
  <c r="L19" i="4"/>
  <c r="N19" i="4" s="1"/>
  <c r="O19" i="4" s="1"/>
  <c r="L209" i="4"/>
  <c r="N209" i="4" s="1"/>
  <c r="O209" i="4" s="1"/>
  <c r="O59" i="4"/>
  <c r="L228" i="4"/>
  <c r="N228" i="4" s="1"/>
  <c r="O228" i="4" s="1"/>
  <c r="L162" i="4"/>
  <c r="N162" i="4" s="1"/>
  <c r="O162" i="4" s="1"/>
  <c r="L42" i="4"/>
  <c r="N42" i="4" s="1"/>
  <c r="O42" i="4" s="1"/>
  <c r="L141" i="4"/>
  <c r="N141" i="4" s="1"/>
  <c r="O141" i="4" s="1"/>
  <c r="L70" i="4"/>
  <c r="N70" i="4" s="1"/>
  <c r="O70" i="4" s="1"/>
  <c r="L236" i="4"/>
  <c r="N236" i="4" s="1"/>
  <c r="O236" i="4" s="1"/>
  <c r="L107" i="4"/>
  <c r="N107" i="4" s="1"/>
  <c r="O107" i="4" s="1"/>
  <c r="L238" i="4"/>
  <c r="N238" i="4" s="1"/>
  <c r="O238" i="4" s="1"/>
  <c r="L173" i="4"/>
  <c r="N173" i="4" s="1"/>
  <c r="O173" i="4" s="1"/>
  <c r="L239" i="4"/>
  <c r="N239" i="4" s="1"/>
  <c r="O239" i="4" s="1"/>
  <c r="L174" i="4"/>
  <c r="N174" i="4" s="1"/>
  <c r="O174" i="4" s="1"/>
  <c r="L207" i="4"/>
  <c r="N207" i="4" s="1"/>
  <c r="O207" i="4" s="1"/>
  <c r="L105" i="4"/>
  <c r="N105" i="4" s="1"/>
  <c r="O105" i="4" s="1"/>
  <c r="L191" i="4"/>
  <c r="N191" i="4" s="1"/>
  <c r="O191" i="4" s="1"/>
  <c r="L153" i="4"/>
  <c r="N153" i="4" s="1"/>
  <c r="O153" i="4" s="1"/>
  <c r="L224" i="4"/>
  <c r="N224" i="4" s="1"/>
  <c r="O224" i="4" s="1"/>
  <c r="L381" i="4"/>
  <c r="N381" i="4" s="1"/>
  <c r="O381" i="4" s="1"/>
  <c r="L293" i="4"/>
  <c r="N293" i="4" s="1"/>
  <c r="O293" i="4" s="1"/>
  <c r="L285" i="4"/>
  <c r="N285" i="4" s="1"/>
  <c r="O285" i="4" s="1"/>
  <c r="L283" i="4"/>
  <c r="N283" i="4" s="1"/>
  <c r="O283" i="4" s="1"/>
  <c r="L275" i="4"/>
  <c r="N275" i="4" s="1"/>
  <c r="O275" i="4" s="1"/>
  <c r="L432" i="4"/>
  <c r="N432" i="4" s="1"/>
  <c r="O432" i="4" s="1"/>
  <c r="L190" i="4"/>
  <c r="N190" i="4" s="1"/>
  <c r="O190" i="4" s="1"/>
  <c r="L271" i="4"/>
  <c r="N271" i="4" s="1"/>
  <c r="O271" i="4" s="1"/>
  <c r="L445" i="4"/>
  <c r="N445" i="4" s="1"/>
  <c r="O445" i="4" s="1"/>
  <c r="L557" i="4"/>
  <c r="N557" i="4" s="1"/>
  <c r="O557" i="4" s="1"/>
  <c r="L467" i="4"/>
  <c r="N467" i="4" s="1"/>
  <c r="O467" i="4" s="1"/>
  <c r="L359" i="4"/>
  <c r="N359" i="4" s="1"/>
  <c r="O359" i="4" s="1"/>
  <c r="L366" i="4"/>
  <c r="N366" i="4" s="1"/>
  <c r="O366" i="4" s="1"/>
  <c r="L259" i="4"/>
  <c r="N259" i="4" s="1"/>
  <c r="O259" i="4" s="1"/>
  <c r="L309" i="4"/>
  <c r="N309" i="4" s="1"/>
  <c r="O309" i="4" s="1"/>
  <c r="L373" i="4"/>
  <c r="N373" i="4" s="1"/>
  <c r="O373" i="4" s="1"/>
  <c r="L437" i="4"/>
  <c r="N437" i="4" s="1"/>
  <c r="O437" i="4" s="1"/>
  <c r="L410" i="4"/>
  <c r="N410" i="4" s="1"/>
  <c r="O410" i="4" s="1"/>
  <c r="L414" i="4"/>
  <c r="N414" i="4" s="1"/>
  <c r="O414" i="4" s="1"/>
  <c r="L599" i="4"/>
  <c r="N599" i="4" s="1"/>
  <c r="O599" i="4" s="1"/>
  <c r="L466" i="4"/>
  <c r="N466" i="4" s="1"/>
  <c r="O466" i="4" s="1"/>
  <c r="L449" i="4"/>
  <c r="N449" i="4" s="1"/>
  <c r="O449" i="4" s="1"/>
  <c r="L451" i="4"/>
  <c r="N451" i="4" s="1"/>
  <c r="O451" i="4" s="1"/>
  <c r="L542" i="4"/>
  <c r="N542" i="4" s="1"/>
  <c r="O542" i="4" s="1"/>
  <c r="L429" i="4"/>
  <c r="N429" i="4" s="1"/>
  <c r="O429" i="4" s="1"/>
  <c r="L538" i="4"/>
  <c r="N538" i="4" s="1"/>
  <c r="O538" i="4" s="1"/>
  <c r="L588" i="4"/>
  <c r="N588" i="4" s="1"/>
  <c r="O588" i="4" s="1"/>
  <c r="L524" i="4"/>
  <c r="N524" i="4" s="1"/>
  <c r="O524" i="4" s="1"/>
  <c r="L572" i="4"/>
  <c r="N572" i="4" s="1"/>
  <c r="O572" i="4" s="1"/>
  <c r="L550" i="4"/>
  <c r="N550" i="4" s="1"/>
  <c r="O550" i="4" s="1"/>
  <c r="L602" i="4"/>
  <c r="N602" i="4" s="1"/>
  <c r="O602" i="4" s="1"/>
  <c r="L448" i="4"/>
  <c r="N448" i="4" s="1"/>
  <c r="O448" i="4" s="1"/>
  <c r="L498" i="4"/>
  <c r="N498" i="4" s="1"/>
  <c r="O498" i="4" s="1"/>
  <c r="L584" i="4"/>
  <c r="N584" i="4" s="1"/>
  <c r="O584" i="4" s="1"/>
  <c r="L621" i="4"/>
  <c r="N621" i="4" s="1"/>
  <c r="O621" i="4" s="1"/>
  <c r="L627" i="4"/>
  <c r="N627" i="4" s="1"/>
  <c r="O627" i="4" s="1"/>
  <c r="L536" i="4"/>
  <c r="N536" i="4" s="1"/>
  <c r="O536" i="4" s="1"/>
  <c r="L586" i="4"/>
  <c r="N586" i="4" s="1"/>
  <c r="O586" i="4" s="1"/>
  <c r="L632" i="4"/>
  <c r="N632" i="4" s="1"/>
  <c r="O632" i="4" s="1"/>
  <c r="L669" i="4"/>
  <c r="N669" i="4" s="1"/>
  <c r="O669" i="4" s="1"/>
  <c r="L740" i="4"/>
  <c r="N740" i="4" s="1"/>
  <c r="O740" i="4" s="1"/>
  <c r="L664" i="4"/>
  <c r="N664" i="4" s="1"/>
  <c r="O664" i="4" s="1"/>
  <c r="L674" i="4"/>
  <c r="N674" i="4" s="1"/>
  <c r="O674" i="4" s="1"/>
  <c r="L786" i="4"/>
  <c r="N786" i="4" s="1"/>
  <c r="O786" i="4" s="1"/>
  <c r="L683" i="4"/>
  <c r="N683" i="4" s="1"/>
  <c r="O683" i="4" s="1"/>
  <c r="L769" i="4"/>
  <c r="N769" i="4" s="1"/>
  <c r="O769" i="4" s="1"/>
  <c r="L766" i="4"/>
  <c r="N766" i="4" s="1"/>
  <c r="O766" i="4" s="1"/>
  <c r="L673" i="4"/>
  <c r="N673" i="4" s="1"/>
  <c r="O673" i="4" s="1"/>
  <c r="L805" i="4"/>
  <c r="N805" i="4" s="1"/>
  <c r="O805" i="4" s="1"/>
  <c r="L830" i="4"/>
  <c r="N830" i="4" s="1"/>
  <c r="O830" i="4" s="1"/>
  <c r="L776" i="4"/>
  <c r="N776" i="4" s="1"/>
  <c r="O776" i="4" s="1"/>
  <c r="L717" i="4"/>
  <c r="N717" i="4" s="1"/>
  <c r="O717" i="4" s="1"/>
  <c r="L774" i="4"/>
  <c r="N774" i="4" s="1"/>
  <c r="O774" i="4" s="1"/>
  <c r="L846" i="4"/>
  <c r="N846" i="4" s="1"/>
  <c r="O846" i="4" s="1"/>
  <c r="L763" i="4"/>
  <c r="N763" i="4" s="1"/>
  <c r="O763" i="4" s="1"/>
  <c r="L815" i="4"/>
  <c r="N815" i="4" s="1"/>
  <c r="O815" i="4" s="1"/>
  <c r="L832" i="4"/>
  <c r="N832" i="4" s="1"/>
  <c r="O832" i="4" s="1"/>
  <c r="L804" i="4"/>
  <c r="N804" i="4" s="1"/>
  <c r="O804" i="4" s="1"/>
  <c r="L881" i="4"/>
  <c r="N881" i="4" s="1"/>
  <c r="O881" i="4" s="1"/>
  <c r="L876" i="4"/>
  <c r="N876" i="4" s="1"/>
  <c r="O876" i="4" s="1"/>
  <c r="L873" i="4"/>
  <c r="N873" i="4" s="1"/>
  <c r="O873" i="4" s="1"/>
  <c r="L836" i="4"/>
  <c r="N836" i="4" s="1"/>
  <c r="O836" i="4" s="1"/>
  <c r="L914" i="4"/>
  <c r="N914" i="4" s="1"/>
  <c r="O914" i="4" s="1"/>
  <c r="L893" i="4"/>
  <c r="N893" i="4" s="1"/>
  <c r="O893" i="4" s="1"/>
  <c r="L926" i="4"/>
  <c r="N926" i="4" s="1"/>
  <c r="O926" i="4" s="1"/>
  <c r="L917" i="4"/>
  <c r="N917" i="4" s="1"/>
  <c r="O917" i="4" s="1"/>
  <c r="L938" i="4"/>
  <c r="N938" i="4" s="1"/>
  <c r="O938" i="4" s="1"/>
  <c r="L934" i="4"/>
  <c r="N934" i="4" s="1"/>
  <c r="O934" i="4" s="1"/>
  <c r="L928" i="4"/>
  <c r="N928" i="4" s="1"/>
  <c r="O928" i="4" s="1"/>
  <c r="L986" i="4"/>
  <c r="N986" i="4" s="1"/>
  <c r="O986" i="4" s="1"/>
  <c r="L957" i="4"/>
  <c r="N957" i="4" s="1"/>
  <c r="O957" i="4" s="1"/>
  <c r="L975" i="4"/>
  <c r="N975" i="4" s="1"/>
  <c r="O975" i="4" s="1"/>
  <c r="L971" i="4"/>
  <c r="N971" i="4" s="1"/>
  <c r="O971" i="4" s="1"/>
  <c r="L989" i="4"/>
  <c r="N989" i="4" s="1"/>
  <c r="O989" i="4" s="1"/>
  <c r="L982" i="4"/>
  <c r="N982" i="4" s="1"/>
  <c r="O982" i="4" s="1"/>
  <c r="L905" i="4"/>
  <c r="N905" i="4" s="1"/>
  <c r="O905" i="4" s="1"/>
  <c r="L894" i="4"/>
  <c r="N894" i="4" s="1"/>
  <c r="O894" i="4" s="1"/>
  <c r="L930" i="4"/>
  <c r="N930" i="4" s="1"/>
  <c r="O930" i="4" s="1"/>
  <c r="L918" i="4"/>
  <c r="N918" i="4" s="1"/>
  <c r="O918" i="4" s="1"/>
  <c r="L939" i="4"/>
  <c r="N939" i="4" s="1"/>
  <c r="O939" i="4" s="1"/>
  <c r="L936" i="4"/>
  <c r="N936" i="4" s="1"/>
  <c r="O936" i="4" s="1"/>
  <c r="L929" i="4"/>
  <c r="N929" i="4" s="1"/>
  <c r="O929" i="4" s="1"/>
  <c r="L962" i="4"/>
  <c r="N962" i="4" s="1"/>
  <c r="O962" i="4" s="1"/>
  <c r="L958" i="4"/>
  <c r="N958" i="4" s="1"/>
  <c r="O958" i="4" s="1"/>
  <c r="L979" i="4"/>
  <c r="N979" i="4" s="1"/>
  <c r="O979" i="4" s="1"/>
  <c r="L984" i="4"/>
  <c r="N984" i="4" s="1"/>
  <c r="O984" i="4" s="1"/>
  <c r="L996" i="4"/>
  <c r="N996" i="4" s="1"/>
  <c r="O996" i="4" s="1"/>
  <c r="L987" i="4"/>
  <c r="N987" i="4" s="1"/>
  <c r="O987" i="4" s="1"/>
  <c r="L463" i="4"/>
  <c r="N463" i="4" s="1"/>
  <c r="O463" i="4" s="1"/>
  <c r="L513" i="4"/>
  <c r="N513" i="4" s="1"/>
  <c r="O513" i="4" s="1"/>
  <c r="L630" i="4"/>
  <c r="N630" i="4" s="1"/>
  <c r="O630" i="4" s="1"/>
  <c r="L640" i="4"/>
  <c r="N640" i="4" s="1"/>
  <c r="O640" i="4" s="1"/>
  <c r="L613" i="4"/>
  <c r="N613" i="4" s="1"/>
  <c r="O613" i="4" s="1"/>
  <c r="L551" i="4"/>
  <c r="N551" i="4" s="1"/>
  <c r="O551" i="4" s="1"/>
  <c r="L620" i="4"/>
  <c r="N620" i="4" s="1"/>
  <c r="O620" i="4" s="1"/>
  <c r="L598" i="4"/>
  <c r="N598" i="4" s="1"/>
  <c r="O598" i="4" s="1"/>
  <c r="L724" i="4"/>
  <c r="N724" i="4" s="1"/>
  <c r="O724" i="4" s="1"/>
  <c r="L690" i="4"/>
  <c r="N690" i="4" s="1"/>
  <c r="O690" i="4" s="1"/>
  <c r="L790" i="4"/>
  <c r="N790" i="4" s="1"/>
  <c r="O790" i="4" s="1"/>
  <c r="L718" i="4"/>
  <c r="N718" i="4" s="1"/>
  <c r="O718" i="4" s="1"/>
  <c r="L713" i="4"/>
  <c r="N713" i="4" s="1"/>
  <c r="O713" i="4" s="1"/>
  <c r="L711" i="4"/>
  <c r="N711" i="4" s="1"/>
  <c r="O711" i="4" s="1"/>
  <c r="L699" i="4"/>
  <c r="N699" i="4" s="1"/>
  <c r="O699" i="4" s="1"/>
  <c r="L638" i="4"/>
  <c r="N638" i="4" s="1"/>
  <c r="O638" i="4" s="1"/>
  <c r="L684" i="4"/>
  <c r="N684" i="4" s="1"/>
  <c r="O684" i="4" s="1"/>
  <c r="L772" i="4"/>
  <c r="N772" i="4" s="1"/>
  <c r="O772" i="4" s="1"/>
  <c r="L791" i="4"/>
  <c r="N791" i="4" s="1"/>
  <c r="O791" i="4" s="1"/>
  <c r="L682" i="4"/>
  <c r="N682" i="4" s="1"/>
  <c r="O682" i="4" s="1"/>
  <c r="L737" i="4"/>
  <c r="N737" i="4" s="1"/>
  <c r="O737" i="4" s="1"/>
  <c r="L780" i="4"/>
  <c r="N780" i="4" s="1"/>
  <c r="O780" i="4" s="1"/>
  <c r="L859" i="4"/>
  <c r="N859" i="4" s="1"/>
  <c r="O859" i="4" s="1"/>
  <c r="L778" i="4"/>
  <c r="N778" i="4" s="1"/>
  <c r="O778" i="4" s="1"/>
  <c r="L850" i="4"/>
  <c r="N850" i="4" s="1"/>
  <c r="O850" i="4" s="1"/>
  <c r="L868" i="4"/>
  <c r="N868" i="4" s="1"/>
  <c r="O868" i="4" s="1"/>
  <c r="L779" i="4"/>
  <c r="N779" i="4" s="1"/>
  <c r="O779" i="4" s="1"/>
  <c r="L884" i="4"/>
  <c r="N884" i="4" s="1"/>
  <c r="O884" i="4" s="1"/>
  <c r="L843" i="4"/>
  <c r="N843" i="4" s="1"/>
  <c r="O843" i="4" s="1"/>
  <c r="L801" i="4"/>
  <c r="N801" i="4" s="1"/>
  <c r="O801" i="4" s="1"/>
  <c r="L897" i="4"/>
  <c r="N897" i="4" s="1"/>
  <c r="O897" i="4" s="1"/>
  <c r="L902" i="4"/>
  <c r="N902" i="4" s="1"/>
  <c r="O902" i="4" s="1"/>
  <c r="L912" i="4"/>
  <c r="N912" i="4" s="1"/>
  <c r="O912" i="4" s="1"/>
  <c r="L862" i="4"/>
  <c r="N862" i="4" s="1"/>
  <c r="O862" i="4" s="1"/>
  <c r="L955" i="4"/>
  <c r="N955" i="4" s="1"/>
  <c r="O955" i="4" s="1"/>
  <c r="L945" i="4"/>
  <c r="N945" i="4" s="1"/>
  <c r="O945" i="4" s="1"/>
  <c r="L949" i="4"/>
  <c r="N949" i="4" s="1"/>
  <c r="O949" i="4" s="1"/>
  <c r="L935" i="4"/>
  <c r="N935" i="4" s="1"/>
  <c r="O935" i="4" s="1"/>
  <c r="L965" i="4"/>
  <c r="N965" i="4" s="1"/>
  <c r="O965" i="4" s="1"/>
  <c r="L964" i="4"/>
  <c r="N964" i="4" s="1"/>
  <c r="O964" i="4" s="1"/>
  <c r="L969" i="4"/>
  <c r="N969" i="4" s="1"/>
  <c r="O969" i="4" s="1"/>
  <c r="L1001" i="4"/>
  <c r="N1001" i="4" s="1"/>
  <c r="O1001" i="4" s="1"/>
  <c r="L976" i="4"/>
  <c r="N976" i="4" s="1"/>
  <c r="O976" i="4" s="1"/>
  <c r="L1009" i="4"/>
  <c r="N1009" i="4" s="1"/>
  <c r="O1009" i="4" s="1"/>
  <c r="Z353" i="4"/>
  <c r="AB353" i="4" s="1"/>
  <c r="AC353" i="4" s="1"/>
  <c r="Z423" i="4"/>
  <c r="AB423" i="4" s="1"/>
  <c r="AC423" i="4" s="1"/>
  <c r="Z605" i="4"/>
  <c r="AB605" i="4" s="1"/>
  <c r="AC605" i="4" s="1"/>
  <c r="Z355" i="4"/>
  <c r="AB355" i="4" s="1"/>
  <c r="AC355" i="4" s="1"/>
  <c r="Z384" i="4"/>
  <c r="AB384" i="4" s="1"/>
  <c r="AC384" i="4" s="1"/>
  <c r="Z250" i="4"/>
  <c r="AB250" i="4" s="1"/>
  <c r="AC250" i="4" s="1"/>
  <c r="Z300" i="4"/>
  <c r="AB300" i="4" s="1"/>
  <c r="AC300" i="4" s="1"/>
  <c r="Z352" i="4"/>
  <c r="AB352" i="4" s="1"/>
  <c r="AC352" i="4" s="1"/>
  <c r="Z349" i="4"/>
  <c r="AB349" i="4" s="1"/>
  <c r="AC349" i="4" s="1"/>
  <c r="Z531" i="4"/>
  <c r="AB531" i="4" s="1"/>
  <c r="AC531" i="4" s="1"/>
  <c r="Z405" i="4"/>
  <c r="AB405" i="4" s="1"/>
  <c r="AC405" i="4" s="1"/>
  <c r="Z483" i="4"/>
  <c r="AB483" i="4" s="1"/>
  <c r="AC483" i="4" s="1"/>
  <c r="Z579" i="4"/>
  <c r="AB579" i="4" s="1"/>
  <c r="AC579" i="4" s="1"/>
  <c r="Z478" i="4"/>
  <c r="AB478" i="4" s="1"/>
  <c r="AC478" i="4" s="1"/>
  <c r="Z455" i="4"/>
  <c r="AB455" i="4" s="1"/>
  <c r="AC455" i="4" s="1"/>
  <c r="Z408" i="4"/>
  <c r="AB408" i="4" s="1"/>
  <c r="AC408" i="4" s="1"/>
  <c r="Z462" i="4"/>
  <c r="AB462" i="4" s="1"/>
  <c r="AC462" i="4" s="1"/>
  <c r="Z521" i="4"/>
  <c r="AB521" i="4" s="1"/>
  <c r="AC521" i="4" s="1"/>
  <c r="Z565" i="4"/>
  <c r="AB565" i="4" s="1"/>
  <c r="AC565" i="4" s="1"/>
  <c r="Z525" i="4"/>
  <c r="AB525" i="4" s="1"/>
  <c r="AC525" i="4" s="1"/>
  <c r="Z539" i="4"/>
  <c r="AB539" i="4" s="1"/>
  <c r="AC539" i="4" s="1"/>
  <c r="Z512" i="4"/>
  <c r="AB512" i="4" s="1"/>
  <c r="AC512" i="4" s="1"/>
  <c r="Z556" i="4"/>
  <c r="AB556" i="4" s="1"/>
  <c r="AC556" i="4" s="1"/>
  <c r="Z424" i="4"/>
  <c r="AB424" i="4" s="1"/>
  <c r="AC424" i="4" s="1"/>
  <c r="Z474" i="4"/>
  <c r="AB474" i="4" s="1"/>
  <c r="AC474" i="4" s="1"/>
  <c r="Z524" i="4"/>
  <c r="AB524" i="4" s="1"/>
  <c r="AC524" i="4" s="1"/>
  <c r="Z663" i="4"/>
  <c r="AB663" i="4" s="1"/>
  <c r="AC663" i="4" s="1"/>
  <c r="Z602" i="4"/>
  <c r="AB602" i="4" s="1"/>
  <c r="AC602" i="4" s="1"/>
  <c r="Z662" i="4"/>
  <c r="AB662" i="4" s="1"/>
  <c r="AC662" i="4" s="1"/>
  <c r="Z572" i="4"/>
  <c r="AB572" i="4" s="1"/>
  <c r="AC572" i="4" s="1"/>
  <c r="Z647" i="4"/>
  <c r="AB647" i="4" s="1"/>
  <c r="AC647" i="4" s="1"/>
  <c r="Z670" i="4"/>
  <c r="AB670" i="4" s="1"/>
  <c r="AC670" i="4" s="1"/>
  <c r="Z617" i="4"/>
  <c r="AB617" i="4" s="1"/>
  <c r="AC617" i="4" s="1"/>
  <c r="Z672" i="4"/>
  <c r="AB672" i="4" s="1"/>
  <c r="AC672" i="4" s="1"/>
  <c r="Z699" i="4"/>
  <c r="AB699" i="4" s="1"/>
  <c r="AC699" i="4" s="1"/>
  <c r="Z692" i="4"/>
  <c r="AB692" i="4" s="1"/>
  <c r="AC692" i="4" s="1"/>
  <c r="Z747" i="4"/>
  <c r="AB747" i="4" s="1"/>
  <c r="AC747" i="4" s="1"/>
  <c r="Z721" i="4"/>
  <c r="AB721" i="4" s="1"/>
  <c r="AC721" i="4" s="1"/>
  <c r="Z686" i="4"/>
  <c r="AB686" i="4" s="1"/>
  <c r="AC686" i="4" s="1"/>
  <c r="Z634" i="4"/>
  <c r="AB634" i="4" s="1"/>
  <c r="AC634" i="4" s="1"/>
  <c r="Z702" i="4"/>
  <c r="AB702" i="4" s="1"/>
  <c r="AC702" i="4" s="1"/>
  <c r="Z762" i="4"/>
  <c r="AB762" i="4" s="1"/>
  <c r="AC762" i="4" s="1"/>
  <c r="Z884" i="4"/>
  <c r="AB884" i="4" s="1"/>
  <c r="AC884" i="4" s="1"/>
  <c r="Z688" i="4"/>
  <c r="AB688" i="4" s="1"/>
  <c r="AC688" i="4" s="1"/>
  <c r="Z771" i="4"/>
  <c r="AB771" i="4" s="1"/>
  <c r="AC771" i="4" s="1"/>
  <c r="Z775" i="4"/>
  <c r="AB775" i="4" s="1"/>
  <c r="AC775" i="4" s="1"/>
  <c r="Z800" i="4"/>
  <c r="AB800" i="4" s="1"/>
  <c r="AC800" i="4" s="1"/>
  <c r="Z764" i="4"/>
  <c r="AB764" i="4" s="1"/>
  <c r="AC764" i="4" s="1"/>
  <c r="Z840" i="4"/>
  <c r="AB840" i="4" s="1"/>
  <c r="AC840" i="4" s="1"/>
  <c r="Z798" i="4"/>
  <c r="AB798" i="4" s="1"/>
  <c r="AC798" i="4" s="1"/>
  <c r="Z804" i="4"/>
  <c r="AB804" i="4" s="1"/>
  <c r="AC804" i="4" s="1"/>
  <c r="Z849" i="4"/>
  <c r="AB849" i="4" s="1"/>
  <c r="AC849" i="4" s="1"/>
  <c r="Z867" i="4"/>
  <c r="AB867" i="4" s="1"/>
  <c r="AC867" i="4" s="1"/>
  <c r="Z832" i="4"/>
  <c r="AB832" i="4" s="1"/>
  <c r="AC832" i="4" s="1"/>
  <c r="Z898" i="4"/>
  <c r="AB898" i="4" s="1"/>
  <c r="AC898" i="4" s="1"/>
  <c r="Z899" i="4"/>
  <c r="AB899" i="4" s="1"/>
  <c r="AC899" i="4" s="1"/>
  <c r="Z852" i="4"/>
  <c r="AB852" i="4" s="1"/>
  <c r="AC852" i="4" s="1"/>
  <c r="Z931" i="4"/>
  <c r="AB931" i="4" s="1"/>
  <c r="AC931" i="4" s="1"/>
  <c r="Z868" i="4"/>
  <c r="AB868" i="4" s="1"/>
  <c r="AC868" i="4" s="1"/>
  <c r="Z958" i="4"/>
  <c r="AB958" i="4" s="1"/>
  <c r="AC958" i="4" s="1"/>
  <c r="Z956" i="4"/>
  <c r="AB956" i="4" s="1"/>
  <c r="AC956" i="4" s="1"/>
  <c r="Z917" i="4"/>
  <c r="AB917" i="4" s="1"/>
  <c r="AC917" i="4" s="1"/>
  <c r="Z982" i="4"/>
  <c r="AB982" i="4" s="1"/>
  <c r="AC982" i="4" s="1"/>
  <c r="Z995" i="4"/>
  <c r="AB995" i="4" s="1"/>
  <c r="AC995" i="4" s="1"/>
  <c r="Z1000" i="4"/>
  <c r="AB1000" i="4" s="1"/>
  <c r="AC1000" i="4" s="1"/>
  <c r="Z967" i="4"/>
  <c r="AB967" i="4" s="1"/>
  <c r="AC967" i="4" s="1"/>
  <c r="Z1009" i="4"/>
  <c r="AB1009" i="4" s="1"/>
  <c r="AC1009" i="4" s="1"/>
  <c r="Z1010" i="4"/>
  <c r="AB1010" i="4" s="1"/>
  <c r="AC1010" i="4" s="1"/>
  <c r="L39" i="4"/>
  <c r="N39" i="4" s="1"/>
  <c r="O39" i="4" s="1"/>
  <c r="L199" i="4"/>
  <c r="N199" i="4" s="1"/>
  <c r="O199" i="4" s="1"/>
  <c r="L250" i="4"/>
  <c r="N250" i="4" s="1"/>
  <c r="O250" i="4" s="1"/>
  <c r="L91" i="4"/>
  <c r="N91" i="4" s="1"/>
  <c r="O91" i="4" s="1"/>
  <c r="L84" i="4"/>
  <c r="N84" i="4" s="1"/>
  <c r="O84" i="4" s="1"/>
  <c r="L232" i="4"/>
  <c r="N232" i="4" s="1"/>
  <c r="O232" i="4" s="1"/>
  <c r="L78" i="4"/>
  <c r="N78" i="4" s="1"/>
  <c r="O78" i="4" s="1"/>
  <c r="L253" i="4"/>
  <c r="N253" i="4" s="1"/>
  <c r="O253" i="4" s="1"/>
  <c r="L111" i="4"/>
  <c r="N111" i="4" s="1"/>
  <c r="O111" i="4" s="1"/>
  <c r="L77" i="4"/>
  <c r="N77" i="4" s="1"/>
  <c r="O77" i="4" s="1"/>
  <c r="L127" i="4"/>
  <c r="N127" i="4" s="1"/>
  <c r="O127" i="4" s="1"/>
  <c r="L331" i="4"/>
  <c r="N331" i="4" s="1"/>
  <c r="O331" i="4" s="1"/>
  <c r="L183" i="4"/>
  <c r="N183" i="4" s="1"/>
  <c r="O183" i="4" s="1"/>
  <c r="L313" i="4"/>
  <c r="N313" i="4" s="1"/>
  <c r="O313" i="4" s="1"/>
  <c r="L247" i="4"/>
  <c r="N247" i="4" s="1"/>
  <c r="O247" i="4" s="1"/>
  <c r="L260" i="4"/>
  <c r="N260" i="4" s="1"/>
  <c r="O260" i="4" s="1"/>
  <c r="L125" i="4"/>
  <c r="N125" i="4" s="1"/>
  <c r="O125" i="4" s="1"/>
  <c r="L233" i="4"/>
  <c r="N233" i="4" s="1"/>
  <c r="O233" i="4" s="1"/>
  <c r="L194" i="4"/>
  <c r="N194" i="4" s="1"/>
  <c r="O194" i="4" s="1"/>
  <c r="L268" i="4"/>
  <c r="N268" i="4" s="1"/>
  <c r="O268" i="4" s="1"/>
  <c r="L411" i="4"/>
  <c r="N411" i="4" s="1"/>
  <c r="O411" i="4" s="1"/>
  <c r="L330" i="4"/>
  <c r="N330" i="4" s="1"/>
  <c r="O330" i="4" s="1"/>
  <c r="L306" i="4"/>
  <c r="N306" i="4" s="1"/>
  <c r="O306" i="4" s="1"/>
  <c r="L378" i="4"/>
  <c r="N378" i="4" s="1"/>
  <c r="O378" i="4" s="1"/>
  <c r="L323" i="4"/>
  <c r="N323" i="4" s="1"/>
  <c r="O323" i="4" s="1"/>
  <c r="L160" i="4"/>
  <c r="N160" i="4" s="1"/>
  <c r="O160" i="4" s="1"/>
  <c r="L210" i="4"/>
  <c r="N210" i="4" s="1"/>
  <c r="O210" i="4" s="1"/>
  <c r="L311" i="4"/>
  <c r="N311" i="4" s="1"/>
  <c r="O311" i="4" s="1"/>
  <c r="L377" i="4"/>
  <c r="N377" i="4" s="1"/>
  <c r="O377" i="4" s="1"/>
  <c r="L459" i="4"/>
  <c r="N459" i="4" s="1"/>
  <c r="O459" i="4" s="1"/>
  <c r="L317" i="4"/>
  <c r="N317" i="4" s="1"/>
  <c r="O317" i="4" s="1"/>
  <c r="L405" i="4"/>
  <c r="N405" i="4" s="1"/>
  <c r="O405" i="4" s="1"/>
  <c r="L461" i="4"/>
  <c r="N461" i="4" s="1"/>
  <c r="O461" i="4" s="1"/>
  <c r="L279" i="4"/>
  <c r="N279" i="4" s="1"/>
  <c r="O279" i="4" s="1"/>
  <c r="L329" i="4"/>
  <c r="N329" i="4" s="1"/>
  <c r="O329" i="4" s="1"/>
  <c r="L501" i="4"/>
  <c r="N501" i="4" s="1"/>
  <c r="O501" i="4" s="1"/>
  <c r="L510" i="4"/>
  <c r="N510" i="4" s="1"/>
  <c r="O510" i="4" s="1"/>
  <c r="L384" i="4"/>
  <c r="N384" i="4" s="1"/>
  <c r="O384" i="4" s="1"/>
  <c r="L489" i="4"/>
  <c r="N489" i="4" s="1"/>
  <c r="O489" i="4" s="1"/>
  <c r="L431" i="4"/>
  <c r="N431" i="4" s="1"/>
  <c r="O431" i="4" s="1"/>
  <c r="L506" i="4"/>
  <c r="N506" i="4" s="1"/>
  <c r="O506" i="4" s="1"/>
  <c r="L484" i="4"/>
  <c r="N484" i="4" s="1"/>
  <c r="O484" i="4" s="1"/>
  <c r="L487" i="4"/>
  <c r="N487" i="4" s="1"/>
  <c r="O487" i="4" s="1"/>
  <c r="L397" i="4"/>
  <c r="N397" i="4" s="1"/>
  <c r="O397" i="4" s="1"/>
  <c r="L436" i="4"/>
  <c r="N436" i="4" s="1"/>
  <c r="O436" i="4" s="1"/>
  <c r="L624" i="4"/>
  <c r="N624" i="4" s="1"/>
  <c r="O624" i="4" s="1"/>
  <c r="L494" i="4"/>
  <c r="N494" i="4" s="1"/>
  <c r="O494" i="4" s="1"/>
  <c r="L563" i="4"/>
  <c r="N563" i="4" s="1"/>
  <c r="O563" i="4" s="1"/>
  <c r="L609" i="4"/>
  <c r="N609" i="4" s="1"/>
  <c r="O609" i="4" s="1"/>
  <c r="L580" i="4"/>
  <c r="N580" i="4" s="1"/>
  <c r="O580" i="4" s="1"/>
  <c r="L645" i="4"/>
  <c r="N645" i="4" s="1"/>
  <c r="O645" i="4" s="1"/>
  <c r="L468" i="4"/>
  <c r="N468" i="4" s="1"/>
  <c r="O468" i="4" s="1"/>
  <c r="L518" i="4"/>
  <c r="N518" i="4" s="1"/>
  <c r="O518" i="4" s="1"/>
  <c r="L646" i="4"/>
  <c r="N646" i="4" s="1"/>
  <c r="O646" i="4" s="1"/>
  <c r="L672" i="4"/>
  <c r="N672" i="4" s="1"/>
  <c r="O672" i="4" s="1"/>
  <c r="L616" i="4"/>
  <c r="N616" i="4" s="1"/>
  <c r="O616" i="4" s="1"/>
  <c r="L556" i="4"/>
  <c r="N556" i="4" s="1"/>
  <c r="O556" i="4" s="1"/>
  <c r="L675" i="4"/>
  <c r="N675" i="4" s="1"/>
  <c r="O675" i="4" s="1"/>
  <c r="L603" i="4"/>
  <c r="N603" i="4" s="1"/>
  <c r="O603" i="4" s="1"/>
  <c r="L676" i="4"/>
  <c r="N676" i="4" s="1"/>
  <c r="O676" i="4" s="1"/>
  <c r="L741" i="4"/>
  <c r="N741" i="4" s="1"/>
  <c r="O741" i="4" s="1"/>
  <c r="L631" i="4"/>
  <c r="N631" i="4" s="1"/>
  <c r="O631" i="4" s="1"/>
  <c r="L719" i="4"/>
  <c r="N719" i="4" s="1"/>
  <c r="O719" i="4" s="1"/>
  <c r="L714" i="4"/>
  <c r="N714" i="4" s="1"/>
  <c r="O714" i="4" s="1"/>
  <c r="L715" i="4"/>
  <c r="N715" i="4" s="1"/>
  <c r="O715" i="4" s="1"/>
  <c r="L701" i="4"/>
  <c r="N701" i="4" s="1"/>
  <c r="O701" i="4" s="1"/>
  <c r="L643" i="4"/>
  <c r="N643" i="4" s="1"/>
  <c r="O643" i="4" s="1"/>
  <c r="L691" i="4"/>
  <c r="N691" i="4" s="1"/>
  <c r="O691" i="4" s="1"/>
  <c r="L817" i="4"/>
  <c r="N817" i="4" s="1"/>
  <c r="O817" i="4" s="1"/>
  <c r="L793" i="4"/>
  <c r="N793" i="4" s="1"/>
  <c r="O793" i="4" s="1"/>
  <c r="L687" i="4"/>
  <c r="N687" i="4" s="1"/>
  <c r="O687" i="4" s="1"/>
  <c r="L754" i="4"/>
  <c r="N754" i="4" s="1"/>
  <c r="O754" i="4" s="1"/>
  <c r="L835" i="4"/>
  <c r="N835" i="4" s="1"/>
  <c r="O835" i="4" s="1"/>
  <c r="L733" i="4"/>
  <c r="N733" i="4" s="1"/>
  <c r="O733" i="4" s="1"/>
  <c r="L781" i="4"/>
  <c r="N781" i="4" s="1"/>
  <c r="O781" i="4" s="1"/>
  <c r="L878" i="4"/>
  <c r="N878" i="4" s="1"/>
  <c r="O878" i="4" s="1"/>
  <c r="L886" i="4"/>
  <c r="N886" i="4" s="1"/>
  <c r="O886" i="4" s="1"/>
  <c r="L784" i="4"/>
  <c r="N784" i="4" s="1"/>
  <c r="O784" i="4" s="1"/>
  <c r="L888" i="4"/>
  <c r="N888" i="4" s="1"/>
  <c r="O888" i="4" s="1"/>
  <c r="L848" i="4"/>
  <c r="N848" i="4" s="1"/>
  <c r="O848" i="4" s="1"/>
  <c r="L806" i="4"/>
  <c r="N806" i="4" s="1"/>
  <c r="O806" i="4" s="1"/>
  <c r="L891" i="4"/>
  <c r="N891" i="4" s="1"/>
  <c r="O891" i="4" s="1"/>
  <c r="L855" i="4"/>
  <c r="N855" i="4" s="1"/>
  <c r="O855" i="4" s="1"/>
  <c r="L913" i="4"/>
  <c r="N913" i="4" s="1"/>
  <c r="O913" i="4" s="1"/>
  <c r="L867" i="4"/>
  <c r="N867" i="4" s="1"/>
  <c r="O867" i="4" s="1"/>
  <c r="L959" i="4"/>
  <c r="N959" i="4" s="1"/>
  <c r="O959" i="4" s="1"/>
  <c r="L947" i="4"/>
  <c r="N947" i="4" s="1"/>
  <c r="O947" i="4" s="1"/>
  <c r="L896" i="4"/>
  <c r="N896" i="4" s="1"/>
  <c r="O896" i="4" s="1"/>
  <c r="L970" i="4"/>
  <c r="N970" i="4" s="1"/>
  <c r="O970" i="4" s="1"/>
  <c r="L977" i="4"/>
  <c r="N977" i="4" s="1"/>
  <c r="O977" i="4" s="1"/>
  <c r="L988" i="4"/>
  <c r="N988" i="4" s="1"/>
  <c r="O988" i="4" s="1"/>
  <c r="L974" i="4"/>
  <c r="N974" i="4" s="1"/>
  <c r="O974" i="4" s="1"/>
  <c r="L1004" i="4"/>
  <c r="N1004" i="4" s="1"/>
  <c r="O1004" i="4" s="1"/>
  <c r="L981" i="4"/>
  <c r="N981" i="4" s="1"/>
  <c r="O981" i="4" s="1"/>
  <c r="Z305" i="4"/>
  <c r="AB305" i="4" s="1"/>
  <c r="AC305" i="4" s="1"/>
  <c r="Z362" i="4"/>
  <c r="AB362" i="4" s="1"/>
  <c r="AC362" i="4" s="1"/>
  <c r="Z359" i="4"/>
  <c r="AB359" i="4" s="1"/>
  <c r="AC359" i="4" s="1"/>
  <c r="Z404" i="4"/>
  <c r="AB404" i="4" s="1"/>
  <c r="AC404" i="4" s="1"/>
  <c r="Z410" i="4"/>
  <c r="AB410" i="4" s="1"/>
  <c r="AC410" i="4" s="1"/>
  <c r="Z486" i="4"/>
  <c r="AB486" i="4" s="1"/>
  <c r="AC486" i="4" s="1"/>
  <c r="Z598" i="4"/>
  <c r="AB598" i="4" s="1"/>
  <c r="AC598" i="4" s="1"/>
  <c r="Z481" i="4"/>
  <c r="AB481" i="4" s="1"/>
  <c r="AC481" i="4" s="1"/>
  <c r="Z457" i="4"/>
  <c r="AB457" i="4" s="1"/>
  <c r="AC457" i="4" s="1"/>
  <c r="Z413" i="4"/>
  <c r="AB413" i="4" s="1"/>
  <c r="AC413" i="4" s="1"/>
  <c r="Z465" i="4"/>
  <c r="AB465" i="4" s="1"/>
  <c r="AC465" i="4" s="1"/>
  <c r="Z535" i="4"/>
  <c r="AB535" i="4" s="1"/>
  <c r="AC535" i="4" s="1"/>
  <c r="Z568" i="4"/>
  <c r="AB568" i="4" s="1"/>
  <c r="AC568" i="4" s="1"/>
  <c r="Z536" i="4"/>
  <c r="AB536" i="4" s="1"/>
  <c r="AC536" i="4" s="1"/>
  <c r="Z540" i="4"/>
  <c r="AB540" i="4" s="1"/>
  <c r="AC540" i="4" s="1"/>
  <c r="Z517" i="4"/>
  <c r="AB517" i="4" s="1"/>
  <c r="AC517" i="4" s="1"/>
  <c r="Z559" i="4"/>
  <c r="AB559" i="4" s="1"/>
  <c r="AC559" i="4" s="1"/>
  <c r="Z429" i="4"/>
  <c r="AB429" i="4" s="1"/>
  <c r="AC429" i="4" s="1"/>
  <c r="Z479" i="4"/>
  <c r="AB479" i="4" s="1"/>
  <c r="AC479" i="4" s="1"/>
  <c r="Z530" i="4"/>
  <c r="AB530" i="4" s="1"/>
  <c r="AC530" i="4" s="1"/>
  <c r="Z578" i="4"/>
  <c r="AB578" i="4" s="1"/>
  <c r="AC578" i="4" s="1"/>
  <c r="Z626" i="4"/>
  <c r="AB626" i="4" s="1"/>
  <c r="AC626" i="4" s="1"/>
  <c r="Z527" i="4"/>
  <c r="AB527" i="4" s="1"/>
  <c r="AC527" i="4" s="1"/>
  <c r="Z577" i="4"/>
  <c r="AB577" i="4" s="1"/>
  <c r="AC577" i="4" s="1"/>
  <c r="Z627" i="4"/>
  <c r="AB627" i="4" s="1"/>
  <c r="AC627" i="4" s="1"/>
  <c r="Z671" i="4"/>
  <c r="AB671" i="4" s="1"/>
  <c r="AC671" i="4" s="1"/>
  <c r="Z632" i="4"/>
  <c r="AB632" i="4" s="1"/>
  <c r="AC632" i="4" s="1"/>
  <c r="Z681" i="4"/>
  <c r="AB681" i="4" s="1"/>
  <c r="AC681" i="4" s="1"/>
  <c r="Z700" i="4"/>
  <c r="AB700" i="4" s="1"/>
  <c r="AC700" i="4" s="1"/>
  <c r="Z724" i="4"/>
  <c r="AB724" i="4" s="1"/>
  <c r="AC724" i="4" s="1"/>
  <c r="Z755" i="4"/>
  <c r="AB755" i="4" s="1"/>
  <c r="AC755" i="4" s="1"/>
  <c r="Z733" i="4"/>
  <c r="AB733" i="4" s="1"/>
  <c r="AC733" i="4" s="1"/>
  <c r="Z697" i="4"/>
  <c r="AB697" i="4" s="1"/>
  <c r="AC697" i="4" s="1"/>
  <c r="Z639" i="4"/>
  <c r="AB639" i="4" s="1"/>
  <c r="AC639" i="4" s="1"/>
  <c r="Z704" i="4"/>
  <c r="AB704" i="4" s="1"/>
  <c r="AC704" i="4" s="1"/>
  <c r="Z778" i="4"/>
  <c r="AB778" i="4" s="1"/>
  <c r="AC778" i="4" s="1"/>
  <c r="Z776" i="4"/>
  <c r="AB776" i="4" s="1"/>
  <c r="AC776" i="4" s="1"/>
  <c r="Z693" i="4"/>
  <c r="AB693" i="4" s="1"/>
  <c r="AC693" i="4" s="1"/>
  <c r="Z831" i="4"/>
  <c r="AB831" i="4" s="1"/>
  <c r="AC831" i="4" s="1"/>
  <c r="Z782" i="4"/>
  <c r="AB782" i="4" s="1"/>
  <c r="AC782" i="4" s="1"/>
  <c r="Z813" i="4"/>
  <c r="AB813" i="4" s="1"/>
  <c r="AC813" i="4" s="1"/>
  <c r="Z769" i="4"/>
  <c r="AB769" i="4" s="1"/>
  <c r="AC769" i="4" s="1"/>
  <c r="Z801" i="4"/>
  <c r="AB801" i="4" s="1"/>
  <c r="AC801" i="4" s="1"/>
  <c r="Z806" i="4"/>
  <c r="AB806" i="4" s="1"/>
  <c r="AC806" i="4" s="1"/>
  <c r="Z805" i="4"/>
  <c r="AB805" i="4" s="1"/>
  <c r="AC805" i="4" s="1"/>
  <c r="Z860" i="4"/>
  <c r="AB860" i="4" s="1"/>
  <c r="AC860" i="4" s="1"/>
  <c r="Z882" i="4"/>
  <c r="AB882" i="4" s="1"/>
  <c r="AC882" i="4" s="1"/>
  <c r="Z837" i="4"/>
  <c r="AB837" i="4" s="1"/>
  <c r="AC837" i="4" s="1"/>
  <c r="Z900" i="4"/>
  <c r="AB900" i="4" s="1"/>
  <c r="AC900" i="4" s="1"/>
  <c r="Z904" i="4"/>
  <c r="AB904" i="4" s="1"/>
  <c r="AC904" i="4" s="1"/>
  <c r="Z854" i="4"/>
  <c r="AB854" i="4" s="1"/>
  <c r="AC854" i="4" s="1"/>
  <c r="Z932" i="4"/>
  <c r="AB932" i="4" s="1"/>
  <c r="AC932" i="4" s="1"/>
  <c r="Z873" i="4"/>
  <c r="AB873" i="4" s="1"/>
  <c r="AC873" i="4" s="1"/>
  <c r="Z961" i="4"/>
  <c r="AB961" i="4" s="1"/>
  <c r="AC961" i="4" s="1"/>
  <c r="Z960" i="4"/>
  <c r="AB960" i="4" s="1"/>
  <c r="AC960" i="4" s="1"/>
  <c r="Z937" i="4"/>
  <c r="AB937" i="4" s="1"/>
  <c r="AC937" i="4" s="1"/>
  <c r="Z923" i="4"/>
  <c r="AB923" i="4" s="1"/>
  <c r="AC923" i="4" s="1"/>
  <c r="Z1001" i="4"/>
  <c r="AB1001" i="4" s="1"/>
  <c r="AC1001" i="4" s="1"/>
  <c r="Z973" i="4"/>
  <c r="AB973" i="4" s="1"/>
  <c r="AC973" i="4" s="1"/>
  <c r="Z987" i="4"/>
  <c r="AB987" i="4" s="1"/>
  <c r="AC987" i="4" s="1"/>
  <c r="Z1007" i="4"/>
  <c r="AB1007" i="4" s="1"/>
  <c r="AC1007" i="4" s="1"/>
  <c r="L202" i="4"/>
  <c r="N202" i="4" s="1"/>
  <c r="O202" i="4" s="1"/>
  <c r="L251" i="4"/>
  <c r="N251" i="4" s="1"/>
  <c r="O251" i="4" s="1"/>
  <c r="L106" i="4"/>
  <c r="N106" i="4" s="1"/>
  <c r="O106" i="4" s="1"/>
  <c r="L86" i="4"/>
  <c r="N86" i="4" s="1"/>
  <c r="O86" i="4" s="1"/>
  <c r="L66" i="4"/>
  <c r="N66" i="4" s="1"/>
  <c r="O66" i="4" s="1"/>
  <c r="L79" i="4"/>
  <c r="N79" i="4" s="1"/>
  <c r="O79" i="4" s="1"/>
  <c r="L258" i="4"/>
  <c r="N258" i="4" s="1"/>
  <c r="O258" i="4" s="1"/>
  <c r="L114" i="4"/>
  <c r="N114" i="4" s="1"/>
  <c r="O114" i="4" s="1"/>
  <c r="L82" i="4"/>
  <c r="N82" i="4" s="1"/>
  <c r="O82" i="4" s="1"/>
  <c r="L132" i="4"/>
  <c r="N132" i="4" s="1"/>
  <c r="O132" i="4" s="1"/>
  <c r="L302" i="4"/>
  <c r="N302" i="4" s="1"/>
  <c r="O302" i="4" s="1"/>
  <c r="L189" i="4"/>
  <c r="N189" i="4" s="1"/>
  <c r="O189" i="4" s="1"/>
  <c r="L316" i="4"/>
  <c r="N316" i="4" s="1"/>
  <c r="O316" i="4" s="1"/>
  <c r="L310" i="4"/>
  <c r="N310" i="4" s="1"/>
  <c r="O310" i="4" s="1"/>
  <c r="L301" i="4"/>
  <c r="N301" i="4" s="1"/>
  <c r="O301" i="4" s="1"/>
  <c r="L130" i="4"/>
  <c r="N130" i="4" s="1"/>
  <c r="O130" i="4" s="1"/>
  <c r="L256" i="4"/>
  <c r="N256" i="4" s="1"/>
  <c r="O256" i="4" s="1"/>
  <c r="L197" i="4"/>
  <c r="N197" i="4" s="1"/>
  <c r="O197" i="4" s="1"/>
  <c r="L272" i="4"/>
  <c r="N272" i="4" s="1"/>
  <c r="O272" i="4" s="1"/>
  <c r="L415" i="4"/>
  <c r="N415" i="4" s="1"/>
  <c r="O415" i="4" s="1"/>
  <c r="L355" i="4"/>
  <c r="N355" i="4" s="1"/>
  <c r="O355" i="4" s="1"/>
  <c r="L315" i="4"/>
  <c r="N315" i="4" s="1"/>
  <c r="O315" i="4" s="1"/>
  <c r="L380" i="4"/>
  <c r="N380" i="4" s="1"/>
  <c r="O380" i="4" s="1"/>
  <c r="L326" i="4"/>
  <c r="N326" i="4" s="1"/>
  <c r="O326" i="4" s="1"/>
  <c r="L165" i="4"/>
  <c r="N165" i="4" s="1"/>
  <c r="O165" i="4" s="1"/>
  <c r="L215" i="4"/>
  <c r="N215" i="4" s="1"/>
  <c r="O215" i="4" s="1"/>
  <c r="L320" i="4"/>
  <c r="N320" i="4" s="1"/>
  <c r="O320" i="4" s="1"/>
  <c r="L383" i="4"/>
  <c r="N383" i="4" s="1"/>
  <c r="O383" i="4" s="1"/>
  <c r="L342" i="4"/>
  <c r="N342" i="4" s="1"/>
  <c r="O342" i="4" s="1"/>
  <c r="L322" i="4"/>
  <c r="N322" i="4" s="1"/>
  <c r="O322" i="4" s="1"/>
  <c r="L416" i="4"/>
  <c r="N416" i="4" s="1"/>
  <c r="O416" i="4" s="1"/>
  <c r="L479" i="4"/>
  <c r="N479" i="4" s="1"/>
  <c r="O479" i="4" s="1"/>
  <c r="L284" i="4"/>
  <c r="N284" i="4" s="1"/>
  <c r="O284" i="4" s="1"/>
  <c r="L334" i="4"/>
  <c r="N334" i="4" s="1"/>
  <c r="O334" i="4" s="1"/>
  <c r="L573" i="4"/>
  <c r="N573" i="4" s="1"/>
  <c r="O573" i="4" s="1"/>
  <c r="L522" i="4"/>
  <c r="N522" i="4" s="1"/>
  <c r="O522" i="4" s="1"/>
  <c r="L389" i="4"/>
  <c r="N389" i="4" s="1"/>
  <c r="O389" i="4" s="1"/>
  <c r="L497" i="4"/>
  <c r="N497" i="4" s="1"/>
  <c r="O497" i="4" s="1"/>
  <c r="L435" i="4"/>
  <c r="N435" i="4" s="1"/>
  <c r="O435" i="4" s="1"/>
  <c r="L520" i="4"/>
  <c r="N520" i="4" s="1"/>
  <c r="O520" i="4" s="1"/>
  <c r="L507" i="4"/>
  <c r="N507" i="4" s="1"/>
  <c r="O507" i="4" s="1"/>
  <c r="L490" i="4"/>
  <c r="N490" i="4" s="1"/>
  <c r="O490" i="4" s="1"/>
  <c r="L402" i="4"/>
  <c r="N402" i="4" s="1"/>
  <c r="O402" i="4" s="1"/>
  <c r="L440" i="4"/>
  <c r="N440" i="4" s="1"/>
  <c r="O440" i="4" s="1"/>
  <c r="L528" i="4"/>
  <c r="N528" i="4" s="1"/>
  <c r="O528" i="4" s="1"/>
  <c r="L499" i="4"/>
  <c r="N499" i="4" s="1"/>
  <c r="O499" i="4" s="1"/>
  <c r="L634" i="4"/>
  <c r="N634" i="4" s="1"/>
  <c r="O634" i="4" s="1"/>
  <c r="L511" i="4"/>
  <c r="N511" i="4" s="1"/>
  <c r="O511" i="4" s="1"/>
  <c r="L583" i="4"/>
  <c r="N583" i="4" s="1"/>
  <c r="O583" i="4" s="1"/>
  <c r="L423" i="4"/>
  <c r="N423" i="4" s="1"/>
  <c r="O423" i="4" s="1"/>
  <c r="L473" i="4"/>
  <c r="N473" i="4" s="1"/>
  <c r="O473" i="4" s="1"/>
  <c r="L523" i="4"/>
  <c r="N523" i="4" s="1"/>
  <c r="O523" i="4" s="1"/>
  <c r="L657" i="4"/>
  <c r="N657" i="4" s="1"/>
  <c r="O657" i="4" s="1"/>
  <c r="L589" i="4"/>
  <c r="N589" i="4" s="1"/>
  <c r="O589" i="4" s="1"/>
  <c r="L622" i="4"/>
  <c r="N622" i="4" s="1"/>
  <c r="O622" i="4" s="1"/>
  <c r="L561" i="4"/>
  <c r="N561" i="4" s="1"/>
  <c r="O561" i="4" s="1"/>
  <c r="L656" i="4"/>
  <c r="N656" i="4" s="1"/>
  <c r="O656" i="4" s="1"/>
  <c r="L608" i="4"/>
  <c r="N608" i="4" s="1"/>
  <c r="O608" i="4" s="1"/>
  <c r="L694" i="4"/>
  <c r="N694" i="4" s="1"/>
  <c r="O694" i="4" s="1"/>
  <c r="L750" i="4"/>
  <c r="N750" i="4" s="1"/>
  <c r="O750" i="4" s="1"/>
  <c r="L635" i="4"/>
  <c r="N635" i="4" s="1"/>
  <c r="O635" i="4" s="1"/>
  <c r="L721" i="4"/>
  <c r="N721" i="4" s="1"/>
  <c r="O721" i="4" s="1"/>
  <c r="L716" i="4"/>
  <c r="N716" i="4" s="1"/>
  <c r="O716" i="4" s="1"/>
  <c r="L777" i="4"/>
  <c r="N777" i="4" s="1"/>
  <c r="O777" i="4" s="1"/>
  <c r="L705" i="4"/>
  <c r="N705" i="4" s="1"/>
  <c r="O705" i="4" s="1"/>
  <c r="L648" i="4"/>
  <c r="N648" i="4" s="1"/>
  <c r="O648" i="4" s="1"/>
  <c r="L700" i="4"/>
  <c r="N700" i="4" s="1"/>
  <c r="O700" i="4" s="1"/>
  <c r="L728" i="4"/>
  <c r="N728" i="4" s="1"/>
  <c r="O728" i="4" s="1"/>
  <c r="L838" i="4"/>
  <c r="N838" i="4" s="1"/>
  <c r="O838" i="4" s="1"/>
  <c r="L692" i="4"/>
  <c r="N692" i="4" s="1"/>
  <c r="O692" i="4" s="1"/>
  <c r="L755" i="4"/>
  <c r="N755" i="4" s="1"/>
  <c r="O755" i="4" s="1"/>
  <c r="L866" i="4"/>
  <c r="N866" i="4" s="1"/>
  <c r="O866" i="4" s="1"/>
  <c r="L738" i="4"/>
  <c r="N738" i="4" s="1"/>
  <c r="O738" i="4" s="1"/>
  <c r="L788" i="4"/>
  <c r="N788" i="4" s="1"/>
  <c r="O788" i="4" s="1"/>
  <c r="L802" i="4"/>
  <c r="N802" i="4" s="1"/>
  <c r="O802" i="4" s="1"/>
  <c r="L889" i="4"/>
  <c r="N889" i="4" s="1"/>
  <c r="O889" i="4" s="1"/>
  <c r="L789" i="4"/>
  <c r="N789" i="4" s="1"/>
  <c r="O789" i="4" s="1"/>
  <c r="L849" i="4"/>
  <c r="N849" i="4" s="1"/>
  <c r="O849" i="4" s="1"/>
  <c r="L851" i="4"/>
  <c r="N851" i="4" s="1"/>
  <c r="O851" i="4" s="1"/>
  <c r="L811" i="4"/>
  <c r="N811" i="4" s="1"/>
  <c r="O811" i="4" s="1"/>
  <c r="L895" i="4"/>
  <c r="N895" i="4" s="1"/>
  <c r="O895" i="4" s="1"/>
  <c r="L903" i="4"/>
  <c r="N903" i="4" s="1"/>
  <c r="O903" i="4" s="1"/>
  <c r="L915" i="4"/>
  <c r="N915" i="4" s="1"/>
  <c r="O915" i="4" s="1"/>
  <c r="L872" i="4"/>
  <c r="N872" i="4" s="1"/>
  <c r="O872" i="4" s="1"/>
  <c r="L946" i="4"/>
  <c r="N946" i="4" s="1"/>
  <c r="O946" i="4" s="1"/>
  <c r="L948" i="4"/>
  <c r="N948" i="4" s="1"/>
  <c r="O948" i="4" s="1"/>
  <c r="L901" i="4"/>
  <c r="N901" i="4" s="1"/>
  <c r="O901" i="4" s="1"/>
  <c r="L980" i="4"/>
  <c r="N980" i="4" s="1"/>
  <c r="O980" i="4" s="1"/>
  <c r="L922" i="4"/>
  <c r="N922" i="4" s="1"/>
  <c r="O922" i="4" s="1"/>
  <c r="L998" i="4"/>
  <c r="N998" i="4" s="1"/>
  <c r="O998" i="4" s="1"/>
  <c r="L983" i="4"/>
  <c r="N983" i="4" s="1"/>
  <c r="O983" i="4" s="1"/>
  <c r="L999" i="4"/>
  <c r="N999" i="4" s="1"/>
  <c r="O999" i="4" s="1"/>
  <c r="L993" i="4"/>
  <c r="N993" i="4" s="1"/>
  <c r="O993" i="4" s="1"/>
  <c r="Z421" i="4"/>
  <c r="AB421" i="4" s="1"/>
  <c r="AC421" i="4" s="1"/>
  <c r="Z496" i="4"/>
  <c r="AB496" i="4" s="1"/>
  <c r="AC496" i="4" s="1"/>
  <c r="Z497" i="4"/>
  <c r="AB497" i="4" s="1"/>
  <c r="AC497" i="4" s="1"/>
  <c r="Z418" i="4"/>
  <c r="AB418" i="4" s="1"/>
  <c r="AC418" i="4" s="1"/>
  <c r="Z468" i="4"/>
  <c r="AB468" i="4" s="1"/>
  <c r="AC468" i="4" s="1"/>
  <c r="Z570" i="4"/>
  <c r="AB570" i="4" s="1"/>
  <c r="AC570" i="4" s="1"/>
  <c r="Z571" i="4"/>
  <c r="AB571" i="4" s="1"/>
  <c r="AC571" i="4" s="1"/>
  <c r="Z541" i="4"/>
  <c r="AB541" i="4" s="1"/>
  <c r="AC541" i="4" s="1"/>
  <c r="Z544" i="4"/>
  <c r="AB544" i="4" s="1"/>
  <c r="AC544" i="4" s="1"/>
  <c r="Z522" i="4"/>
  <c r="AB522" i="4" s="1"/>
  <c r="AC522" i="4" s="1"/>
  <c r="Z575" i="4"/>
  <c r="AB575" i="4" s="1"/>
  <c r="AC575" i="4" s="1"/>
  <c r="Z434" i="4"/>
  <c r="AB434" i="4" s="1"/>
  <c r="AC434" i="4" s="1"/>
  <c r="Z484" i="4"/>
  <c r="AB484" i="4" s="1"/>
  <c r="AC484" i="4" s="1"/>
  <c r="Z615" i="4"/>
  <c r="AB615" i="4" s="1"/>
  <c r="AC615" i="4" s="1"/>
  <c r="Z583" i="4"/>
  <c r="AB583" i="4" s="1"/>
  <c r="AC583" i="4" s="1"/>
  <c r="Z653" i="4"/>
  <c r="AB653" i="4" s="1"/>
  <c r="AC653" i="4" s="1"/>
  <c r="Z532" i="4"/>
  <c r="AB532" i="4" s="1"/>
  <c r="AC532" i="4" s="1"/>
  <c r="Z582" i="4"/>
  <c r="AB582" i="4" s="1"/>
  <c r="AC582" i="4" s="1"/>
  <c r="Z638" i="4"/>
  <c r="AB638" i="4" s="1"/>
  <c r="AC638" i="4" s="1"/>
  <c r="Z748" i="4"/>
  <c r="AB748" i="4" s="1"/>
  <c r="AC748" i="4" s="1"/>
  <c r="Z635" i="4"/>
  <c r="AB635" i="4" s="1"/>
  <c r="AC635" i="4" s="1"/>
  <c r="Z676" i="4"/>
  <c r="AB676" i="4" s="1"/>
  <c r="AC676" i="4" s="1"/>
  <c r="Z701" i="4"/>
  <c r="AB701" i="4" s="1"/>
  <c r="AC701" i="4" s="1"/>
  <c r="Z766" i="4"/>
  <c r="AB766" i="4" s="1"/>
  <c r="AC766" i="4" s="1"/>
  <c r="Z757" i="4"/>
  <c r="AB757" i="4" s="1"/>
  <c r="AC757" i="4" s="1"/>
  <c r="Z799" i="4"/>
  <c r="AB799" i="4" s="1"/>
  <c r="AC799" i="4" s="1"/>
  <c r="Z707" i="4"/>
  <c r="AB707" i="4" s="1"/>
  <c r="AC707" i="4" s="1"/>
  <c r="Z644" i="4"/>
  <c r="AB644" i="4" s="1"/>
  <c r="AC644" i="4" s="1"/>
  <c r="Z705" i="4"/>
  <c r="AB705" i="4" s="1"/>
  <c r="AC705" i="4" s="1"/>
  <c r="Z835" i="4"/>
  <c r="AB835" i="4" s="1"/>
  <c r="AC835" i="4" s="1"/>
  <c r="Z794" i="4"/>
  <c r="AB794" i="4" s="1"/>
  <c r="AC794" i="4" s="1"/>
  <c r="Z698" i="4"/>
  <c r="AB698" i="4" s="1"/>
  <c r="AC698" i="4" s="1"/>
  <c r="Z850" i="4"/>
  <c r="AB850" i="4" s="1"/>
  <c r="AC850" i="4" s="1"/>
  <c r="Z779" i="4"/>
  <c r="AB779" i="4" s="1"/>
  <c r="AC779" i="4" s="1"/>
  <c r="Z814" i="4"/>
  <c r="AB814" i="4" s="1"/>
  <c r="AC814" i="4" s="1"/>
  <c r="Z774" i="4"/>
  <c r="AB774" i="4" s="1"/>
  <c r="AC774" i="4" s="1"/>
  <c r="Z816" i="4"/>
  <c r="AB816" i="4" s="1"/>
  <c r="AC816" i="4" s="1"/>
  <c r="Z808" i="4"/>
  <c r="AB808" i="4" s="1"/>
  <c r="AC808" i="4" s="1"/>
  <c r="Z877" i="4"/>
  <c r="AB877" i="4" s="1"/>
  <c r="AC877" i="4" s="1"/>
  <c r="Z887" i="4"/>
  <c r="AB887" i="4" s="1"/>
  <c r="AC887" i="4" s="1"/>
  <c r="Z886" i="4"/>
  <c r="AB886" i="4" s="1"/>
  <c r="AC886" i="4" s="1"/>
  <c r="Z851" i="4"/>
  <c r="AB851" i="4" s="1"/>
  <c r="AC851" i="4" s="1"/>
  <c r="Z901" i="4"/>
  <c r="AB901" i="4" s="1"/>
  <c r="AC901" i="4" s="1"/>
  <c r="Z896" i="4"/>
  <c r="AB896" i="4" s="1"/>
  <c r="AC896" i="4" s="1"/>
  <c r="Z856" i="4"/>
  <c r="AB856" i="4" s="1"/>
  <c r="AC856" i="4" s="1"/>
  <c r="Z934" i="4"/>
  <c r="AB934" i="4" s="1"/>
  <c r="AC934" i="4" s="1"/>
  <c r="Z878" i="4"/>
  <c r="AB878" i="4" s="1"/>
  <c r="AC878" i="4" s="1"/>
  <c r="Z968" i="4"/>
  <c r="AB968" i="4" s="1"/>
  <c r="AC968" i="4" s="1"/>
  <c r="Z942" i="4"/>
  <c r="AB942" i="4" s="1"/>
  <c r="AC942" i="4" s="1"/>
  <c r="Z939" i="4"/>
  <c r="AB939" i="4" s="1"/>
  <c r="AC939" i="4" s="1"/>
  <c r="Z928" i="4"/>
  <c r="AB928" i="4" s="1"/>
  <c r="AC928" i="4" s="1"/>
  <c r="Z1004" i="4"/>
  <c r="AB1004" i="4" s="1"/>
  <c r="AC1004" i="4" s="1"/>
  <c r="Z974" i="4"/>
  <c r="AB974" i="4" s="1"/>
  <c r="AC974" i="4" s="1"/>
  <c r="Z988" i="4"/>
  <c r="AB988" i="4" s="1"/>
  <c r="AC988" i="4" s="1"/>
  <c r="Z1008" i="4"/>
  <c r="AB1008" i="4" s="1"/>
  <c r="AC1008" i="4" s="1"/>
  <c r="L47" i="4"/>
  <c r="N47" i="4" s="1"/>
  <c r="O47" i="4" s="1"/>
  <c r="L219" i="4"/>
  <c r="N219" i="4" s="1"/>
  <c r="O219" i="4" s="1"/>
  <c r="L72" i="4"/>
  <c r="N72" i="4" s="1"/>
  <c r="O72" i="4" s="1"/>
  <c r="L109" i="4"/>
  <c r="N109" i="4" s="1"/>
  <c r="O109" i="4" s="1"/>
  <c r="L90" i="4"/>
  <c r="N90" i="4" s="1"/>
  <c r="O90" i="4" s="1"/>
  <c r="L22" i="4"/>
  <c r="N22" i="4" s="1"/>
  <c r="O22" i="4" s="1"/>
  <c r="L81" i="4"/>
  <c r="N81" i="4" s="1"/>
  <c r="O81" i="4" s="1"/>
  <c r="L12" i="4"/>
  <c r="N12" i="4" s="1"/>
  <c r="O12" i="4" s="1"/>
  <c r="L123" i="4"/>
  <c r="N123" i="4" s="1"/>
  <c r="O123" i="4" s="1"/>
  <c r="L87" i="4"/>
  <c r="N87" i="4" s="1"/>
  <c r="O87" i="4" s="1"/>
  <c r="L137" i="4"/>
  <c r="N137" i="4" s="1"/>
  <c r="O137" i="4" s="1"/>
  <c r="L336" i="4"/>
  <c r="N336" i="4" s="1"/>
  <c r="O336" i="4" s="1"/>
  <c r="L192" i="4"/>
  <c r="N192" i="4" s="1"/>
  <c r="O192" i="4" s="1"/>
  <c r="L358" i="4"/>
  <c r="N358" i="4" s="1"/>
  <c r="O358" i="4" s="1"/>
  <c r="L163" i="4"/>
  <c r="N163" i="4" s="1"/>
  <c r="O163" i="4" s="1"/>
  <c r="L303" i="4"/>
  <c r="N303" i="4" s="1"/>
  <c r="O303" i="4" s="1"/>
  <c r="L135" i="4"/>
  <c r="N135" i="4" s="1"/>
  <c r="O135" i="4" s="1"/>
  <c r="L325" i="4"/>
  <c r="N325" i="4" s="1"/>
  <c r="O325" i="4" s="1"/>
  <c r="L213" i="4"/>
  <c r="N213" i="4" s="1"/>
  <c r="O213" i="4" s="1"/>
  <c r="L305" i="4"/>
  <c r="N305" i="4" s="1"/>
  <c r="O305" i="4" s="1"/>
  <c r="L371" i="4"/>
  <c r="N371" i="4" s="1"/>
  <c r="O371" i="4" s="1"/>
  <c r="L368" i="4"/>
  <c r="N368" i="4" s="1"/>
  <c r="O368" i="4" s="1"/>
  <c r="L441" i="4"/>
  <c r="N441" i="4" s="1"/>
  <c r="O441" i="4" s="1"/>
  <c r="L382" i="4"/>
  <c r="N382" i="4" s="1"/>
  <c r="O382" i="4" s="1"/>
  <c r="L354" i="4"/>
  <c r="N354" i="4" s="1"/>
  <c r="O354" i="4" s="1"/>
  <c r="L170" i="4"/>
  <c r="N170" i="4" s="1"/>
  <c r="O170" i="4" s="1"/>
  <c r="L217" i="4"/>
  <c r="N217" i="4" s="1"/>
  <c r="O217" i="4" s="1"/>
  <c r="L335" i="4"/>
  <c r="N335" i="4" s="1"/>
  <c r="O335" i="4" s="1"/>
  <c r="L386" i="4"/>
  <c r="N386" i="4" s="1"/>
  <c r="O386" i="4" s="1"/>
  <c r="L352" i="4"/>
  <c r="N352" i="4" s="1"/>
  <c r="O352" i="4" s="1"/>
  <c r="L327" i="4"/>
  <c r="N327" i="4" s="1"/>
  <c r="O327" i="4" s="1"/>
  <c r="L421" i="4"/>
  <c r="N421" i="4" s="1"/>
  <c r="O421" i="4" s="1"/>
  <c r="L532" i="4"/>
  <c r="N532" i="4" s="1"/>
  <c r="O532" i="4" s="1"/>
  <c r="L289" i="4"/>
  <c r="N289" i="4" s="1"/>
  <c r="O289" i="4" s="1"/>
  <c r="L339" i="4"/>
  <c r="N339" i="4" s="1"/>
  <c r="O339" i="4" s="1"/>
  <c r="L350" i="4"/>
  <c r="N350" i="4" s="1"/>
  <c r="O350" i="4" s="1"/>
  <c r="L570" i="4"/>
  <c r="N570" i="4" s="1"/>
  <c r="O570" i="4" s="1"/>
  <c r="L394" i="4"/>
  <c r="N394" i="4" s="1"/>
  <c r="O394" i="4" s="1"/>
  <c r="L500" i="4"/>
  <c r="N500" i="4" s="1"/>
  <c r="O500" i="4" s="1"/>
  <c r="L442" i="4"/>
  <c r="N442" i="4" s="1"/>
  <c r="O442" i="4" s="1"/>
  <c r="L537" i="4"/>
  <c r="N537" i="4" s="1"/>
  <c r="O537" i="4" s="1"/>
  <c r="L574" i="4"/>
  <c r="N574" i="4" s="1"/>
  <c r="O574" i="4" s="1"/>
  <c r="L492" i="4"/>
  <c r="N492" i="4" s="1"/>
  <c r="O492" i="4" s="1"/>
  <c r="L407" i="4"/>
  <c r="N407" i="4" s="1"/>
  <c r="O407" i="4" s="1"/>
  <c r="L471" i="4"/>
  <c r="N471" i="4" s="1"/>
  <c r="O471" i="4" s="1"/>
  <c r="L535" i="4"/>
  <c r="N535" i="4" s="1"/>
  <c r="O535" i="4" s="1"/>
  <c r="L504" i="4"/>
  <c r="N504" i="4" s="1"/>
  <c r="O504" i="4" s="1"/>
  <c r="L642" i="4"/>
  <c r="N642" i="4" s="1"/>
  <c r="O642" i="4" s="1"/>
  <c r="L516" i="4"/>
  <c r="N516" i="4" s="1"/>
  <c r="O516" i="4" s="1"/>
  <c r="L611" i="4"/>
  <c r="N611" i="4" s="1"/>
  <c r="O611" i="4" s="1"/>
  <c r="L428" i="4"/>
  <c r="N428" i="4" s="1"/>
  <c r="O428" i="4" s="1"/>
  <c r="L478" i="4"/>
  <c r="N478" i="4" s="1"/>
  <c r="O478" i="4" s="1"/>
  <c r="L543" i="4"/>
  <c r="N543" i="4" s="1"/>
  <c r="O543" i="4" s="1"/>
  <c r="L582" i="4"/>
  <c r="N582" i="4" s="1"/>
  <c r="O582" i="4" s="1"/>
  <c r="L617" i="4"/>
  <c r="N617" i="4" s="1"/>
  <c r="O617" i="4" s="1"/>
  <c r="L626" i="4"/>
  <c r="N626" i="4" s="1"/>
  <c r="O626" i="4" s="1"/>
  <c r="L566" i="4"/>
  <c r="N566" i="4" s="1"/>
  <c r="O566" i="4" s="1"/>
  <c r="L661" i="4"/>
  <c r="N661" i="4" s="1"/>
  <c r="O661" i="4" s="1"/>
  <c r="L618" i="4"/>
  <c r="N618" i="4" s="1"/>
  <c r="O618" i="4" s="1"/>
  <c r="L752" i="4"/>
  <c r="N752" i="4" s="1"/>
  <c r="O752" i="4" s="1"/>
  <c r="L771" i="4"/>
  <c r="N771" i="4" s="1"/>
  <c r="O771" i="4" s="1"/>
  <c r="L659" i="4"/>
  <c r="N659" i="4" s="1"/>
  <c r="O659" i="4" s="1"/>
  <c r="L731" i="4"/>
  <c r="N731" i="4" s="1"/>
  <c r="O731" i="4" s="1"/>
  <c r="L720" i="4"/>
  <c r="N720" i="4" s="1"/>
  <c r="O720" i="4" s="1"/>
  <c r="L703" i="4"/>
  <c r="N703" i="4" s="1"/>
  <c r="O703" i="4" s="1"/>
  <c r="L734" i="4"/>
  <c r="N734" i="4" s="1"/>
  <c r="O734" i="4" s="1"/>
  <c r="L653" i="4"/>
  <c r="N653" i="4" s="1"/>
  <c r="O653" i="4" s="1"/>
  <c r="L725" i="4"/>
  <c r="N725" i="4" s="1"/>
  <c r="O725" i="4" s="1"/>
  <c r="L732" i="4"/>
  <c r="N732" i="4" s="1"/>
  <c r="O732" i="4" s="1"/>
  <c r="L759" i="4"/>
  <c r="N759" i="4" s="1"/>
  <c r="O759" i="4" s="1"/>
  <c r="L697" i="4"/>
  <c r="N697" i="4" s="1"/>
  <c r="O697" i="4" s="1"/>
  <c r="L757" i="4"/>
  <c r="N757" i="4" s="1"/>
  <c r="O757" i="4" s="1"/>
  <c r="L787" i="4"/>
  <c r="N787" i="4" s="1"/>
  <c r="O787" i="4" s="1"/>
  <c r="L743" i="4"/>
  <c r="N743" i="4" s="1"/>
  <c r="O743" i="4" s="1"/>
  <c r="L874" i="4"/>
  <c r="N874" i="4" s="1"/>
  <c r="O874" i="4" s="1"/>
  <c r="L807" i="4"/>
  <c r="N807" i="4" s="1"/>
  <c r="O807" i="4" s="1"/>
  <c r="L829" i="4"/>
  <c r="N829" i="4" s="1"/>
  <c r="O829" i="4" s="1"/>
  <c r="L794" i="4"/>
  <c r="N794" i="4" s="1"/>
  <c r="O794" i="4" s="1"/>
  <c r="L852" i="4"/>
  <c r="N852" i="4" s="1"/>
  <c r="O852" i="4" s="1"/>
  <c r="L854" i="4"/>
  <c r="N854" i="4" s="1"/>
  <c r="O854" i="4" s="1"/>
  <c r="L816" i="4"/>
  <c r="N816" i="4" s="1"/>
  <c r="O816" i="4" s="1"/>
  <c r="L898" i="4"/>
  <c r="N898" i="4" s="1"/>
  <c r="O898" i="4" s="1"/>
  <c r="L904" i="4"/>
  <c r="N904" i="4" s="1"/>
  <c r="O904" i="4" s="1"/>
  <c r="L919" i="4"/>
  <c r="N919" i="4" s="1"/>
  <c r="O919" i="4" s="1"/>
  <c r="L877" i="4"/>
  <c r="N877" i="4" s="1"/>
  <c r="O877" i="4" s="1"/>
  <c r="L943" i="4"/>
  <c r="N943" i="4" s="1"/>
  <c r="O943" i="4" s="1"/>
  <c r="L950" i="4"/>
  <c r="N950" i="4" s="1"/>
  <c r="O950" i="4" s="1"/>
  <c r="L906" i="4"/>
  <c r="N906" i="4" s="1"/>
  <c r="O906" i="4" s="1"/>
  <c r="L985" i="4"/>
  <c r="N985" i="4" s="1"/>
  <c r="O985" i="4" s="1"/>
  <c r="L927" i="4"/>
  <c r="N927" i="4" s="1"/>
  <c r="O927" i="4" s="1"/>
  <c r="L991" i="4"/>
  <c r="N991" i="4" s="1"/>
  <c r="O991" i="4" s="1"/>
  <c r="L951" i="4"/>
  <c r="N951" i="4" s="1"/>
  <c r="O951" i="4" s="1"/>
  <c r="L1002" i="4"/>
  <c r="N1002" i="4" s="1"/>
  <c r="O1002" i="4" s="1"/>
  <c r="L1007" i="4"/>
  <c r="N1007" i="4" s="1"/>
  <c r="O1007" i="4" s="1"/>
  <c r="Z265" i="4"/>
  <c r="AB265" i="4" s="1"/>
  <c r="AC265" i="4" s="1"/>
  <c r="Z315" i="4"/>
  <c r="AB315" i="4" s="1"/>
  <c r="AC315" i="4" s="1"/>
  <c r="Z436" i="4"/>
  <c r="AB436" i="4" s="1"/>
  <c r="AC436" i="4" s="1"/>
  <c r="Z417" i="4"/>
  <c r="AB417" i="4" s="1"/>
  <c r="AC417" i="4" s="1"/>
  <c r="Z416" i="4"/>
  <c r="AB416" i="4" s="1"/>
  <c r="AC416" i="4" s="1"/>
  <c r="Z420" i="4"/>
  <c r="AB420" i="4" s="1"/>
  <c r="AC420" i="4" s="1"/>
  <c r="Z555" i="4"/>
  <c r="AB555" i="4" s="1"/>
  <c r="AC555" i="4" s="1"/>
  <c r="Z427" i="4"/>
  <c r="AB427" i="4" s="1"/>
  <c r="AC427" i="4" s="1"/>
  <c r="Z545" i="4"/>
  <c r="AB545" i="4" s="1"/>
  <c r="AC545" i="4" s="1"/>
  <c r="Z528" i="4"/>
  <c r="AB528" i="4" s="1"/>
  <c r="AC528" i="4" s="1"/>
  <c r="Z428" i="4"/>
  <c r="AB428" i="4" s="1"/>
  <c r="AC428" i="4" s="1"/>
  <c r="Z471" i="4"/>
  <c r="AB471" i="4" s="1"/>
  <c r="AC471" i="4" s="1"/>
  <c r="Z573" i="4"/>
  <c r="AB573" i="4" s="1"/>
  <c r="AC573" i="4" s="1"/>
  <c r="Z574" i="4"/>
  <c r="AB574" i="4" s="1"/>
  <c r="AC574" i="4" s="1"/>
  <c r="Z581" i="4"/>
  <c r="AB581" i="4" s="1"/>
  <c r="AC581" i="4" s="1"/>
  <c r="Z560" i="4"/>
  <c r="AB560" i="4" s="1"/>
  <c r="AC560" i="4" s="1"/>
  <c r="Z526" i="4"/>
  <c r="AB526" i="4" s="1"/>
  <c r="AC526" i="4" s="1"/>
  <c r="Z586" i="4"/>
  <c r="AB586" i="4" s="1"/>
  <c r="AC586" i="4" s="1"/>
  <c r="Z439" i="4"/>
  <c r="AB439" i="4" s="1"/>
  <c r="AC439" i="4" s="1"/>
  <c r="Z489" i="4"/>
  <c r="AB489" i="4" s="1"/>
  <c r="AC489" i="4" s="1"/>
  <c r="Z666" i="4"/>
  <c r="AB666" i="4" s="1"/>
  <c r="AC666" i="4" s="1"/>
  <c r="Z588" i="4"/>
  <c r="AB588" i="4" s="1"/>
  <c r="AC588" i="4" s="1"/>
  <c r="Z677" i="4"/>
  <c r="AB677" i="4" s="1"/>
  <c r="AC677" i="4" s="1"/>
  <c r="Z537" i="4"/>
  <c r="AB537" i="4" s="1"/>
  <c r="AC537" i="4" s="1"/>
  <c r="Z587" i="4"/>
  <c r="AB587" i="4" s="1"/>
  <c r="AC587" i="4" s="1"/>
  <c r="Z646" i="4"/>
  <c r="AB646" i="4" s="1"/>
  <c r="AC646" i="4" s="1"/>
  <c r="Z641" i="4"/>
  <c r="AB641" i="4" s="1"/>
  <c r="AC641" i="4" s="1"/>
  <c r="Z648" i="4"/>
  <c r="AB648" i="4" s="1"/>
  <c r="AC648" i="4" s="1"/>
  <c r="Z684" i="4"/>
  <c r="AB684" i="4" s="1"/>
  <c r="AC684" i="4" s="1"/>
  <c r="Z738" i="4"/>
  <c r="AB738" i="4" s="1"/>
  <c r="AC738" i="4" s="1"/>
  <c r="Z726" i="4"/>
  <c r="AB726" i="4" s="1"/>
  <c r="AC726" i="4" s="1"/>
  <c r="Z826" i="4"/>
  <c r="AB826" i="4" s="1"/>
  <c r="AC826" i="4" s="1"/>
  <c r="Z828" i="4"/>
  <c r="AB828" i="4" s="1"/>
  <c r="AC828" i="4" s="1"/>
  <c r="Z709" i="4"/>
  <c r="AB709" i="4" s="1"/>
  <c r="AC709" i="4" s="1"/>
  <c r="Z649" i="4"/>
  <c r="AB649" i="4" s="1"/>
  <c r="AC649" i="4" s="1"/>
  <c r="Z706" i="4"/>
  <c r="AB706" i="4" s="1"/>
  <c r="AC706" i="4" s="1"/>
  <c r="Z729" i="4"/>
  <c r="AB729" i="4" s="1"/>
  <c r="AC729" i="4" s="1"/>
  <c r="Z732" i="4"/>
  <c r="AB732" i="4" s="1"/>
  <c r="AC732" i="4" s="1"/>
  <c r="Z703" i="4"/>
  <c r="AB703" i="4" s="1"/>
  <c r="AC703" i="4" s="1"/>
  <c r="Z789" i="4"/>
  <c r="AB789" i="4" s="1"/>
  <c r="AC789" i="4" s="1"/>
  <c r="Z786" i="4"/>
  <c r="AB786" i="4" s="1"/>
  <c r="AC786" i="4" s="1"/>
  <c r="Z815" i="4"/>
  <c r="AB815" i="4" s="1"/>
  <c r="AC815" i="4" s="1"/>
  <c r="Z787" i="4"/>
  <c r="AB787" i="4" s="1"/>
  <c r="AC787" i="4" s="1"/>
  <c r="Z818" i="4"/>
  <c r="AB818" i="4" s="1"/>
  <c r="AC818" i="4" s="1"/>
  <c r="Z809" i="4"/>
  <c r="AB809" i="4" s="1"/>
  <c r="AC809" i="4" s="1"/>
  <c r="Z891" i="4"/>
  <c r="AB891" i="4" s="1"/>
  <c r="AC891" i="4" s="1"/>
  <c r="Z841" i="4"/>
  <c r="AB841" i="4" s="1"/>
  <c r="AC841" i="4" s="1"/>
  <c r="Z797" i="4"/>
  <c r="AB797" i="4" s="1"/>
  <c r="AC797" i="4" s="1"/>
  <c r="Z869" i="4"/>
  <c r="AB869" i="4" s="1"/>
  <c r="AC869" i="4" s="1"/>
  <c r="Z919" i="4"/>
  <c r="AB919" i="4" s="1"/>
  <c r="AC919" i="4" s="1"/>
  <c r="Z903" i="4"/>
  <c r="AB903" i="4" s="1"/>
  <c r="AC903" i="4" s="1"/>
  <c r="Z918" i="4"/>
  <c r="AB918" i="4" s="1"/>
  <c r="AC918" i="4" s="1"/>
  <c r="Z922" i="4"/>
  <c r="AB922" i="4" s="1"/>
  <c r="AC922" i="4" s="1"/>
  <c r="Z883" i="4"/>
  <c r="AB883" i="4" s="1"/>
  <c r="AC883" i="4" s="1"/>
  <c r="Z946" i="4"/>
  <c r="AB946" i="4" s="1"/>
  <c r="AC946" i="4" s="1"/>
  <c r="Z944" i="4"/>
  <c r="AB944" i="4" s="1"/>
  <c r="AC944" i="4" s="1"/>
  <c r="Z940" i="4"/>
  <c r="AB940" i="4" s="1"/>
  <c r="AC940" i="4" s="1"/>
  <c r="Z933" i="4"/>
  <c r="AB933" i="4" s="1"/>
  <c r="AC933" i="4" s="1"/>
  <c r="Z981" i="4"/>
  <c r="AB981" i="4" s="1"/>
  <c r="AC981" i="4" s="1"/>
  <c r="Z975" i="4"/>
  <c r="AB975" i="4" s="1"/>
  <c r="AC975" i="4" s="1"/>
  <c r="Z1006" i="4"/>
  <c r="AB1006" i="4" s="1"/>
  <c r="AC1006" i="4" s="1"/>
  <c r="Z986" i="4"/>
  <c r="AB986" i="4" s="1"/>
  <c r="AC986" i="4" s="1"/>
  <c r="L57" i="4"/>
  <c r="N57" i="4" s="1"/>
  <c r="O57" i="4" s="1"/>
  <c r="L248" i="4"/>
  <c r="N248" i="4" s="1"/>
  <c r="O248" i="4" s="1"/>
  <c r="L121" i="4"/>
  <c r="N121" i="4" s="1"/>
  <c r="O121" i="4" s="1"/>
  <c r="L118" i="4"/>
  <c r="N118" i="4" s="1"/>
  <c r="O118" i="4" s="1"/>
  <c r="L94" i="4"/>
  <c r="N94" i="4" s="1"/>
  <c r="O94" i="4" s="1"/>
  <c r="L27" i="4"/>
  <c r="N27" i="4" s="1"/>
  <c r="O27" i="4" s="1"/>
  <c r="L85" i="4"/>
  <c r="N85" i="4" s="1"/>
  <c r="O85" i="4" s="1"/>
  <c r="L17" i="4"/>
  <c r="N17" i="4" s="1"/>
  <c r="O17" i="4" s="1"/>
  <c r="L147" i="4"/>
  <c r="N147" i="4" s="1"/>
  <c r="O147" i="4" s="1"/>
  <c r="L92" i="4"/>
  <c r="N92" i="4" s="1"/>
  <c r="O92" i="4" s="1"/>
  <c r="L161" i="4"/>
  <c r="N161" i="4" s="1"/>
  <c r="O161" i="4" s="1"/>
  <c r="L148" i="4"/>
  <c r="N148" i="4" s="1"/>
  <c r="O148" i="4" s="1"/>
  <c r="L208" i="4"/>
  <c r="N208" i="4" s="1"/>
  <c r="O208" i="4" s="1"/>
  <c r="L133" i="4"/>
  <c r="N133" i="4" s="1"/>
  <c r="O133" i="4" s="1"/>
  <c r="L167" i="4"/>
  <c r="N167" i="4" s="1"/>
  <c r="O167" i="4" s="1"/>
  <c r="L348" i="4"/>
  <c r="N348" i="4" s="1"/>
  <c r="O348" i="4" s="1"/>
  <c r="L140" i="4"/>
  <c r="N140" i="4" s="1"/>
  <c r="O140" i="4" s="1"/>
  <c r="L328" i="4"/>
  <c r="N328" i="4" s="1"/>
  <c r="O328" i="4" s="1"/>
  <c r="L229" i="4"/>
  <c r="N229" i="4" s="1"/>
  <c r="O229" i="4" s="1"/>
  <c r="L341" i="4"/>
  <c r="N341" i="4" s="1"/>
  <c r="O341" i="4" s="1"/>
  <c r="L482" i="4"/>
  <c r="N482" i="4" s="1"/>
  <c r="O482" i="4" s="1"/>
  <c r="L424" i="4"/>
  <c r="N424" i="4" s="1"/>
  <c r="O424" i="4" s="1"/>
  <c r="L486" i="4"/>
  <c r="N486" i="4" s="1"/>
  <c r="O486" i="4" s="1"/>
  <c r="L385" i="4"/>
  <c r="N385" i="4" s="1"/>
  <c r="O385" i="4" s="1"/>
  <c r="L388" i="4"/>
  <c r="N388" i="4" s="1"/>
  <c r="O388" i="4" s="1"/>
  <c r="L175" i="4"/>
  <c r="N175" i="4" s="1"/>
  <c r="O175" i="4" s="1"/>
  <c r="L227" i="4"/>
  <c r="N227" i="4" s="1"/>
  <c r="O227" i="4" s="1"/>
  <c r="L338" i="4"/>
  <c r="N338" i="4" s="1"/>
  <c r="O338" i="4" s="1"/>
  <c r="L395" i="4"/>
  <c r="N395" i="4" s="1"/>
  <c r="O395" i="4" s="1"/>
  <c r="L362" i="4"/>
  <c r="N362" i="4" s="1"/>
  <c r="O362" i="4" s="1"/>
  <c r="L332" i="4"/>
  <c r="N332" i="4" s="1"/>
  <c r="O332" i="4" s="1"/>
  <c r="L460" i="4"/>
  <c r="N460" i="4" s="1"/>
  <c r="O460" i="4" s="1"/>
  <c r="L244" i="4"/>
  <c r="N244" i="4" s="1"/>
  <c r="O244" i="4" s="1"/>
  <c r="L294" i="4"/>
  <c r="N294" i="4" s="1"/>
  <c r="O294" i="4" s="1"/>
  <c r="L343" i="4"/>
  <c r="N343" i="4" s="1"/>
  <c r="O343" i="4" s="1"/>
  <c r="L360" i="4"/>
  <c r="N360" i="4" s="1"/>
  <c r="O360" i="4" s="1"/>
  <c r="L476" i="4"/>
  <c r="N476" i="4" s="1"/>
  <c r="O476" i="4" s="1"/>
  <c r="L399" i="4"/>
  <c r="N399" i="4" s="1"/>
  <c r="O399" i="4" s="1"/>
  <c r="L545" i="4"/>
  <c r="N545" i="4" s="1"/>
  <c r="O545" i="4" s="1"/>
  <c r="L454" i="4"/>
  <c r="N454" i="4" s="1"/>
  <c r="O454" i="4" s="1"/>
  <c r="L558" i="4"/>
  <c r="N558" i="4" s="1"/>
  <c r="O558" i="4" s="1"/>
  <c r="L615" i="4"/>
  <c r="N615" i="4" s="1"/>
  <c r="O615" i="4" s="1"/>
  <c r="L495" i="4"/>
  <c r="N495" i="4" s="1"/>
  <c r="O495" i="4" s="1"/>
  <c r="L412" i="4"/>
  <c r="N412" i="4" s="1"/>
  <c r="O412" i="4" s="1"/>
  <c r="L477" i="4"/>
  <c r="N477" i="4" s="1"/>
  <c r="O477" i="4" s="1"/>
  <c r="L552" i="4"/>
  <c r="N552" i="4" s="1"/>
  <c r="O552" i="4" s="1"/>
  <c r="L509" i="4"/>
  <c r="N509" i="4" s="1"/>
  <c r="O509" i="4" s="1"/>
  <c r="L679" i="4"/>
  <c r="N679" i="4" s="1"/>
  <c r="O679" i="4" s="1"/>
  <c r="L521" i="4"/>
  <c r="N521" i="4" s="1"/>
  <c r="O521" i="4" s="1"/>
  <c r="L644" i="4"/>
  <c r="N644" i="4" s="1"/>
  <c r="O644" i="4" s="1"/>
  <c r="L433" i="4"/>
  <c r="N433" i="4" s="1"/>
  <c r="O433" i="4" s="1"/>
  <c r="L483" i="4"/>
  <c r="N483" i="4" s="1"/>
  <c r="O483" i="4" s="1"/>
  <c r="L559" i="4"/>
  <c r="N559" i="4" s="1"/>
  <c r="O559" i="4" s="1"/>
  <c r="L587" i="4"/>
  <c r="N587" i="4" s="1"/>
  <c r="O587" i="4" s="1"/>
  <c r="L639" i="4"/>
  <c r="N639" i="4" s="1"/>
  <c r="O639" i="4" s="1"/>
  <c r="L629" i="4"/>
  <c r="N629" i="4" s="1"/>
  <c r="O629" i="4" s="1"/>
  <c r="L571" i="4"/>
  <c r="N571" i="4" s="1"/>
  <c r="O571" i="4" s="1"/>
  <c r="L792" i="4"/>
  <c r="N792" i="4" s="1"/>
  <c r="O792" i="4" s="1"/>
  <c r="L641" i="4"/>
  <c r="N641" i="4" s="1"/>
  <c r="O641" i="4" s="1"/>
  <c r="L688" i="4"/>
  <c r="N688" i="4" s="1"/>
  <c r="O688" i="4" s="1"/>
  <c r="L742" i="4"/>
  <c r="N742" i="4" s="1"/>
  <c r="O742" i="4" s="1"/>
  <c r="L660" i="4"/>
  <c r="N660" i="4" s="1"/>
  <c r="O660" i="4" s="1"/>
  <c r="L739" i="4"/>
  <c r="N739" i="4" s="1"/>
  <c r="O739" i="4" s="1"/>
  <c r="L726" i="4"/>
  <c r="N726" i="4" s="1"/>
  <c r="O726" i="4" s="1"/>
  <c r="L704" i="4"/>
  <c r="N704" i="4" s="1"/>
  <c r="O704" i="4" s="1"/>
  <c r="L745" i="4"/>
  <c r="N745" i="4" s="1"/>
  <c r="O745" i="4" s="1"/>
  <c r="L658" i="4"/>
  <c r="N658" i="4" s="1"/>
  <c r="O658" i="4" s="1"/>
  <c r="L735" i="4"/>
  <c r="N735" i="4" s="1"/>
  <c r="O735" i="4" s="1"/>
  <c r="L770" i="4"/>
  <c r="N770" i="4" s="1"/>
  <c r="O770" i="4" s="1"/>
  <c r="L760" i="4"/>
  <c r="N760" i="4" s="1"/>
  <c r="O760" i="4" s="1"/>
  <c r="L702" i="4"/>
  <c r="N702" i="4" s="1"/>
  <c r="O702" i="4" s="1"/>
  <c r="L820" i="4"/>
  <c r="N820" i="4" s="1"/>
  <c r="O820" i="4" s="1"/>
  <c r="L803" i="4"/>
  <c r="N803" i="4" s="1"/>
  <c r="O803" i="4" s="1"/>
  <c r="L748" i="4"/>
  <c r="N748" i="4" s="1"/>
  <c r="O748" i="4" s="1"/>
  <c r="L853" i="4"/>
  <c r="N853" i="4" s="1"/>
  <c r="O853" i="4" s="1"/>
  <c r="L808" i="4"/>
  <c r="N808" i="4" s="1"/>
  <c r="O808" i="4" s="1"/>
  <c r="L840" i="4"/>
  <c r="N840" i="4" s="1"/>
  <c r="O840" i="4" s="1"/>
  <c r="L799" i="4"/>
  <c r="N799" i="4" s="1"/>
  <c r="O799" i="4" s="1"/>
  <c r="L858" i="4"/>
  <c r="N858" i="4" s="1"/>
  <c r="O858" i="4" s="1"/>
  <c r="L863" i="4"/>
  <c r="N863" i="4" s="1"/>
  <c r="O863" i="4" s="1"/>
  <c r="L821" i="4"/>
  <c r="N821" i="4" s="1"/>
  <c r="O821" i="4" s="1"/>
  <c r="L900" i="4"/>
  <c r="N900" i="4" s="1"/>
  <c r="O900" i="4" s="1"/>
  <c r="L907" i="4"/>
  <c r="N907" i="4" s="1"/>
  <c r="O907" i="4" s="1"/>
  <c r="L923" i="4"/>
  <c r="N923" i="4" s="1"/>
  <c r="O923" i="4" s="1"/>
  <c r="L882" i="4"/>
  <c r="N882" i="4" s="1"/>
  <c r="O882" i="4" s="1"/>
  <c r="L944" i="4"/>
  <c r="N944" i="4" s="1"/>
  <c r="O944" i="4" s="1"/>
  <c r="L952" i="4"/>
  <c r="N952" i="4" s="1"/>
  <c r="O952" i="4" s="1"/>
  <c r="L911" i="4"/>
  <c r="N911" i="4" s="1"/>
  <c r="O911" i="4" s="1"/>
  <c r="L967" i="4"/>
  <c r="N967" i="4" s="1"/>
  <c r="O967" i="4" s="1"/>
  <c r="L932" i="4"/>
  <c r="N932" i="4" s="1"/>
  <c r="O932" i="4" s="1"/>
  <c r="L992" i="4"/>
  <c r="N992" i="4" s="1"/>
  <c r="O992" i="4" s="1"/>
  <c r="L956" i="4"/>
  <c r="N956" i="4" s="1"/>
  <c r="O956" i="4" s="1"/>
  <c r="L1003" i="4"/>
  <c r="N1003" i="4" s="1"/>
  <c r="O1003" i="4" s="1"/>
  <c r="L1011" i="4"/>
  <c r="N1011" i="4" s="1"/>
  <c r="O1011" i="4" s="1"/>
  <c r="Z281" i="4"/>
  <c r="AB281" i="4" s="1"/>
  <c r="AC281" i="4" s="1"/>
  <c r="Z356" i="4"/>
  <c r="AB356" i="4" s="1"/>
  <c r="AC356" i="4" s="1"/>
  <c r="Z503" i="4"/>
  <c r="AB503" i="4" s="1"/>
  <c r="AC503" i="4" s="1"/>
  <c r="Z323" i="4"/>
  <c r="AB323" i="4" s="1"/>
  <c r="AC323" i="4" s="1"/>
  <c r="Z375" i="4"/>
  <c r="AB375" i="4" s="1"/>
  <c r="AC375" i="4" s="1"/>
  <c r="Z463" i="4"/>
  <c r="AB463" i="4" s="1"/>
  <c r="AC463" i="4" s="1"/>
  <c r="Z270" i="4"/>
  <c r="AB270" i="4" s="1"/>
  <c r="AC270" i="4" s="1"/>
  <c r="Z320" i="4"/>
  <c r="AB320" i="4" s="1"/>
  <c r="AC320" i="4" s="1"/>
  <c r="Z437" i="4"/>
  <c r="AB437" i="4" s="1"/>
  <c r="AC437" i="4" s="1"/>
  <c r="Z440" i="4"/>
  <c r="AB440" i="4" s="1"/>
  <c r="AC440" i="4" s="1"/>
  <c r="Z470" i="4"/>
  <c r="AB470" i="4" s="1"/>
  <c r="AC470" i="4" s="1"/>
  <c r="Z425" i="4"/>
  <c r="AB425" i="4" s="1"/>
  <c r="AC425" i="4" s="1"/>
  <c r="Z636" i="4"/>
  <c r="AB636" i="4" s="1"/>
  <c r="AC636" i="4" s="1"/>
  <c r="Z438" i="4"/>
  <c r="AB438" i="4" s="1"/>
  <c r="AC438" i="4" s="1"/>
  <c r="Z548" i="4"/>
  <c r="AB548" i="4" s="1"/>
  <c r="AC548" i="4" s="1"/>
  <c r="Z580" i="4"/>
  <c r="AB580" i="4" s="1"/>
  <c r="AC580" i="4" s="1"/>
  <c r="Z435" i="4"/>
  <c r="AB435" i="4" s="1"/>
  <c r="AC435" i="4" s="1"/>
  <c r="Z487" i="4"/>
  <c r="AB487" i="4" s="1"/>
  <c r="AC487" i="4" s="1"/>
  <c r="Z576" i="4"/>
  <c r="AB576" i="4" s="1"/>
  <c r="AC576" i="4" s="1"/>
  <c r="Z495" i="4"/>
  <c r="AB495" i="4" s="1"/>
  <c r="AC495" i="4" s="1"/>
  <c r="Z597" i="4"/>
  <c r="AB597" i="4" s="1"/>
  <c r="AC597" i="4" s="1"/>
  <c r="Z563" i="4"/>
  <c r="AB563" i="4" s="1"/>
  <c r="AC563" i="4" s="1"/>
  <c r="Z533" i="4"/>
  <c r="AB533" i="4" s="1"/>
  <c r="AC533" i="4" s="1"/>
  <c r="Z601" i="4"/>
  <c r="AB601" i="4" s="1"/>
  <c r="AC601" i="4" s="1"/>
  <c r="Z444" i="4"/>
  <c r="AB444" i="4" s="1"/>
  <c r="AC444" i="4" s="1"/>
  <c r="Z494" i="4"/>
  <c r="AB494" i="4" s="1"/>
  <c r="AC494" i="4" s="1"/>
  <c r="Z593" i="4"/>
  <c r="AB593" i="4" s="1"/>
  <c r="AC593" i="4" s="1"/>
  <c r="Z591" i="4"/>
  <c r="AB591" i="4" s="1"/>
  <c r="AC591" i="4" s="1"/>
  <c r="Z628" i="4"/>
  <c r="AB628" i="4" s="1"/>
  <c r="AC628" i="4" s="1"/>
  <c r="Z542" i="4"/>
  <c r="AB542" i="4" s="1"/>
  <c r="AC542" i="4" s="1"/>
  <c r="Z596" i="4"/>
  <c r="AB596" i="4" s="1"/>
  <c r="AC596" i="4" s="1"/>
  <c r="Z741" i="4"/>
  <c r="AB741" i="4" s="1"/>
  <c r="AC741" i="4" s="1"/>
  <c r="Z673" i="4"/>
  <c r="AB673" i="4" s="1"/>
  <c r="AC673" i="4" s="1"/>
  <c r="Z650" i="4"/>
  <c r="AB650" i="4" s="1"/>
  <c r="AC650" i="4" s="1"/>
  <c r="Z746" i="4"/>
  <c r="AB746" i="4" s="1"/>
  <c r="AC746" i="4" s="1"/>
  <c r="Z624" i="4"/>
  <c r="AB624" i="4" s="1"/>
  <c r="AC624" i="4" s="1"/>
  <c r="Z751" i="4"/>
  <c r="AB751" i="4" s="1"/>
  <c r="AC751" i="4" s="1"/>
  <c r="Z682" i="4"/>
  <c r="AB682" i="4" s="1"/>
  <c r="AC682" i="4" s="1"/>
  <c r="Z712" i="4"/>
  <c r="AB712" i="4" s="1"/>
  <c r="AC712" i="4" s="1"/>
  <c r="Z710" i="4"/>
  <c r="AB710" i="4" s="1"/>
  <c r="AC710" i="4" s="1"/>
  <c r="Z654" i="4"/>
  <c r="AB654" i="4" s="1"/>
  <c r="AC654" i="4" s="1"/>
  <c r="Z725" i="4"/>
  <c r="AB725" i="4" s="1"/>
  <c r="AC725" i="4" s="1"/>
  <c r="Z731" i="4"/>
  <c r="AB731" i="4" s="1"/>
  <c r="AC731" i="4" s="1"/>
  <c r="Z761" i="4"/>
  <c r="AB761" i="4" s="1"/>
  <c r="AC761" i="4" s="1"/>
  <c r="Z708" i="4"/>
  <c r="AB708" i="4" s="1"/>
  <c r="AC708" i="4" s="1"/>
  <c r="Z791" i="4"/>
  <c r="AB791" i="4" s="1"/>
  <c r="AC791" i="4" s="1"/>
  <c r="Z796" i="4"/>
  <c r="AB796" i="4" s="1"/>
  <c r="AC796" i="4" s="1"/>
  <c r="Z734" i="4"/>
  <c r="AB734" i="4" s="1"/>
  <c r="AC734" i="4" s="1"/>
  <c r="Z844" i="4"/>
  <c r="AB844" i="4" s="1"/>
  <c r="AC844" i="4" s="1"/>
  <c r="Z819" i="4"/>
  <c r="AB819" i="4" s="1"/>
  <c r="AC819" i="4" s="1"/>
  <c r="Z810" i="4"/>
  <c r="AB810" i="4" s="1"/>
  <c r="AC810" i="4" s="1"/>
  <c r="Z862" i="4"/>
  <c r="AB862" i="4" s="1"/>
  <c r="AC862" i="4" s="1"/>
  <c r="Z890" i="4"/>
  <c r="AB890" i="4" s="1"/>
  <c r="AC890" i="4" s="1"/>
  <c r="Z802" i="4"/>
  <c r="AB802" i="4" s="1"/>
  <c r="AC802" i="4" s="1"/>
  <c r="Z871" i="4"/>
  <c r="AB871" i="4" s="1"/>
  <c r="AC871" i="4" s="1"/>
  <c r="Z905" i="4"/>
  <c r="AB905" i="4" s="1"/>
  <c r="AC905" i="4" s="1"/>
  <c r="Z855" i="4"/>
  <c r="AB855" i="4" s="1"/>
  <c r="AC855" i="4" s="1"/>
  <c r="Z920" i="4"/>
  <c r="AB920" i="4" s="1"/>
  <c r="AC920" i="4" s="1"/>
  <c r="Z924" i="4"/>
  <c r="AB924" i="4" s="1"/>
  <c r="AC924" i="4" s="1"/>
  <c r="Z888" i="4"/>
  <c r="AB888" i="4" s="1"/>
  <c r="AC888" i="4" s="1"/>
  <c r="Z947" i="4"/>
  <c r="AB947" i="4" s="1"/>
  <c r="AC947" i="4" s="1"/>
  <c r="Z945" i="4"/>
  <c r="AB945" i="4" s="1"/>
  <c r="AC945" i="4" s="1"/>
  <c r="Z941" i="4"/>
  <c r="AB941" i="4" s="1"/>
  <c r="AC941" i="4" s="1"/>
  <c r="Z938" i="4"/>
  <c r="AB938" i="4" s="1"/>
  <c r="AC938" i="4" s="1"/>
  <c r="Z1002" i="4"/>
  <c r="AB1002" i="4" s="1"/>
  <c r="AC1002" i="4" s="1"/>
  <c r="Z984" i="4"/>
  <c r="AB984" i="4" s="1"/>
  <c r="AC984" i="4" s="1"/>
  <c r="Z994" i="4"/>
  <c r="AB994" i="4" s="1"/>
  <c r="AC994" i="4" s="1"/>
  <c r="Z989" i="4"/>
  <c r="AB989" i="4" s="1"/>
  <c r="AC989" i="4" s="1"/>
  <c r="L67" i="4"/>
  <c r="N67" i="4" s="1"/>
  <c r="O67" i="4" s="1"/>
  <c r="L298" i="4"/>
  <c r="N298" i="4" s="1"/>
  <c r="O298" i="4" s="1"/>
  <c r="L124" i="4"/>
  <c r="N124" i="4" s="1"/>
  <c r="O124" i="4" s="1"/>
  <c r="L139" i="4"/>
  <c r="N139" i="4" s="1"/>
  <c r="O139" i="4" s="1"/>
  <c r="L103" i="4"/>
  <c r="N103" i="4" s="1"/>
  <c r="O103" i="4" s="1"/>
  <c r="L32" i="4"/>
  <c r="N32" i="4" s="1"/>
  <c r="O32" i="4" s="1"/>
  <c r="L126" i="4"/>
  <c r="N126" i="4" s="1"/>
  <c r="O126" i="4" s="1"/>
  <c r="L50" i="4"/>
  <c r="N50" i="4" s="1"/>
  <c r="O50" i="4" s="1"/>
  <c r="L169" i="4"/>
  <c r="N169" i="4" s="1"/>
  <c r="O169" i="4" s="1"/>
  <c r="L97" i="4"/>
  <c r="N97" i="4" s="1"/>
  <c r="O97" i="4" s="1"/>
  <c r="L206" i="4"/>
  <c r="N206" i="4" s="1"/>
  <c r="O206" i="4" s="1"/>
  <c r="L152" i="4"/>
  <c r="N152" i="4" s="1"/>
  <c r="O152" i="4" s="1"/>
  <c r="L214" i="4"/>
  <c r="N214" i="4" s="1"/>
  <c r="O214" i="4" s="1"/>
  <c r="L138" i="4"/>
  <c r="N138" i="4" s="1"/>
  <c r="O138" i="4" s="1"/>
  <c r="L198" i="4"/>
  <c r="N198" i="4" s="1"/>
  <c r="O198" i="4" s="1"/>
  <c r="L95" i="4"/>
  <c r="N95" i="4" s="1"/>
  <c r="O95" i="4" s="1"/>
  <c r="L146" i="4"/>
  <c r="N146" i="4" s="1"/>
  <c r="O146" i="4" s="1"/>
  <c r="L333" i="4"/>
  <c r="N333" i="4" s="1"/>
  <c r="O333" i="4" s="1"/>
  <c r="L245" i="4"/>
  <c r="N245" i="4" s="1"/>
  <c r="O245" i="4" s="1"/>
  <c r="L351" i="4"/>
  <c r="N351" i="4" s="1"/>
  <c r="O351" i="4" s="1"/>
  <c r="L290" i="4"/>
  <c r="N290" i="4" s="1"/>
  <c r="O290" i="4" s="1"/>
  <c r="L426" i="4"/>
  <c r="N426" i="4" s="1"/>
  <c r="O426" i="4" s="1"/>
  <c r="L280" i="4"/>
  <c r="N280" i="4" s="1"/>
  <c r="O280" i="4" s="1"/>
  <c r="L220" i="4"/>
  <c r="N220" i="4" s="1"/>
  <c r="O220" i="4" s="1"/>
  <c r="L391" i="4"/>
  <c r="N391" i="4" s="1"/>
  <c r="O391" i="4" s="1"/>
  <c r="L180" i="4"/>
  <c r="N180" i="4" s="1"/>
  <c r="O180" i="4" s="1"/>
  <c r="L237" i="4"/>
  <c r="N237" i="4" s="1"/>
  <c r="O237" i="4" s="1"/>
  <c r="L344" i="4"/>
  <c r="N344" i="4" s="1"/>
  <c r="O344" i="4" s="1"/>
  <c r="L406" i="4"/>
  <c r="N406" i="4" s="1"/>
  <c r="O406" i="4" s="1"/>
  <c r="L372" i="4"/>
  <c r="N372" i="4" s="1"/>
  <c r="O372" i="4" s="1"/>
  <c r="L337" i="4"/>
  <c r="N337" i="4" s="1"/>
  <c r="O337" i="4" s="1"/>
  <c r="L346" i="4"/>
  <c r="N346" i="4" s="1"/>
  <c r="O346" i="4" s="1"/>
  <c r="L249" i="4"/>
  <c r="N249" i="4" s="1"/>
  <c r="O249" i="4" s="1"/>
  <c r="L299" i="4"/>
  <c r="N299" i="4" s="1"/>
  <c r="O299" i="4" s="1"/>
  <c r="L353" i="4"/>
  <c r="N353" i="4" s="1"/>
  <c r="O353" i="4" s="1"/>
  <c r="L370" i="4"/>
  <c r="N370" i="4" s="1"/>
  <c r="O370" i="4" s="1"/>
  <c r="L505" i="4"/>
  <c r="N505" i="4" s="1"/>
  <c r="O505" i="4" s="1"/>
  <c r="L404" i="4"/>
  <c r="N404" i="4" s="1"/>
  <c r="O404" i="4" s="1"/>
  <c r="L548" i="4"/>
  <c r="N548" i="4" s="1"/>
  <c r="O548" i="4" s="1"/>
  <c r="L455" i="4"/>
  <c r="N455" i="4" s="1"/>
  <c r="O455" i="4" s="1"/>
  <c r="L420" i="4"/>
  <c r="N420" i="4" s="1"/>
  <c r="O420" i="4" s="1"/>
  <c r="L446" i="4"/>
  <c r="N446" i="4" s="1"/>
  <c r="O446" i="4" s="1"/>
  <c r="L512" i="4"/>
  <c r="N512" i="4" s="1"/>
  <c r="O512" i="4" s="1"/>
  <c r="L417" i="4"/>
  <c r="N417" i="4" s="1"/>
  <c r="O417" i="4" s="1"/>
  <c r="L480" i="4"/>
  <c r="N480" i="4" s="1"/>
  <c r="O480" i="4" s="1"/>
  <c r="L577" i="4"/>
  <c r="N577" i="4" s="1"/>
  <c r="O577" i="4" s="1"/>
  <c r="L514" i="4"/>
  <c r="N514" i="4" s="1"/>
  <c r="O514" i="4" s="1"/>
  <c r="L530" i="4"/>
  <c r="N530" i="4" s="1"/>
  <c r="O530" i="4" s="1"/>
  <c r="L527" i="4"/>
  <c r="N527" i="4" s="1"/>
  <c r="O527" i="4" s="1"/>
  <c r="L534" i="4"/>
  <c r="N534" i="4" s="1"/>
  <c r="O534" i="4" s="1"/>
  <c r="L438" i="4"/>
  <c r="N438" i="4" s="1"/>
  <c r="O438" i="4" s="1"/>
  <c r="L488" i="4"/>
  <c r="N488" i="4" s="1"/>
  <c r="O488" i="4" s="1"/>
  <c r="L565" i="4"/>
  <c r="N565" i="4" s="1"/>
  <c r="O565" i="4" s="1"/>
  <c r="L592" i="4"/>
  <c r="N592" i="4" s="1"/>
  <c r="O592" i="4" s="1"/>
  <c r="L596" i="4"/>
  <c r="N596" i="4" s="1"/>
  <c r="O596" i="4" s="1"/>
  <c r="L526" i="4"/>
  <c r="N526" i="4" s="1"/>
  <c r="O526" i="4" s="1"/>
  <c r="L576" i="4"/>
  <c r="N576" i="4" s="1"/>
  <c r="O576" i="4" s="1"/>
  <c r="L677" i="4"/>
  <c r="N677" i="4" s="1"/>
  <c r="O677" i="4" s="1"/>
  <c r="L650" i="4"/>
  <c r="N650" i="4" s="1"/>
  <c r="O650" i="4" s="1"/>
  <c r="L695" i="4"/>
  <c r="N695" i="4" s="1"/>
  <c r="O695" i="4" s="1"/>
  <c r="L775" i="4"/>
  <c r="N775" i="4" s="1"/>
  <c r="O775" i="4" s="1"/>
  <c r="L662" i="4"/>
  <c r="N662" i="4" s="1"/>
  <c r="O662" i="4" s="1"/>
  <c r="L746" i="4"/>
  <c r="N746" i="4" s="1"/>
  <c r="O746" i="4" s="1"/>
  <c r="L729" i="4"/>
  <c r="N729" i="4" s="1"/>
  <c r="O729" i="4" s="1"/>
  <c r="L706" i="4"/>
  <c r="N706" i="4" s="1"/>
  <c r="O706" i="4" s="1"/>
  <c r="L747" i="4"/>
  <c r="N747" i="4" s="1"/>
  <c r="O747" i="4" s="1"/>
  <c r="L663" i="4"/>
  <c r="N663" i="4" s="1"/>
  <c r="O663" i="4" s="1"/>
  <c r="L736" i="4"/>
  <c r="N736" i="4" s="1"/>
  <c r="O736" i="4" s="1"/>
  <c r="L795" i="4"/>
  <c r="N795" i="4" s="1"/>
  <c r="O795" i="4" s="1"/>
  <c r="L761" i="4"/>
  <c r="N761" i="4" s="1"/>
  <c r="O761" i="4" s="1"/>
  <c r="L707" i="4"/>
  <c r="N707" i="4" s="1"/>
  <c r="O707" i="4" s="1"/>
  <c r="L824" i="4"/>
  <c r="N824" i="4" s="1"/>
  <c r="O824" i="4" s="1"/>
  <c r="L825" i="4"/>
  <c r="N825" i="4" s="1"/>
  <c r="O825" i="4" s="1"/>
  <c r="L753" i="4"/>
  <c r="N753" i="4" s="1"/>
  <c r="O753" i="4" s="1"/>
  <c r="L812" i="4"/>
  <c r="N812" i="4" s="1"/>
  <c r="O812" i="4" s="1"/>
  <c r="L810" i="4"/>
  <c r="N810" i="4" s="1"/>
  <c r="O810" i="4" s="1"/>
  <c r="L841" i="4"/>
  <c r="N841" i="4" s="1"/>
  <c r="O841" i="4" s="1"/>
  <c r="L828" i="4"/>
  <c r="N828" i="4" s="1"/>
  <c r="O828" i="4" s="1"/>
  <c r="L860" i="4"/>
  <c r="N860" i="4" s="1"/>
  <c r="O860" i="4" s="1"/>
  <c r="L869" i="4"/>
  <c r="N869" i="4" s="1"/>
  <c r="O869" i="4" s="1"/>
  <c r="L826" i="4"/>
  <c r="N826" i="4" s="1"/>
  <c r="O826" i="4" s="1"/>
  <c r="L908" i="4"/>
  <c r="N908" i="4" s="1"/>
  <c r="O908" i="4" s="1"/>
  <c r="L842" i="4"/>
  <c r="N842" i="4" s="1"/>
  <c r="O842" i="4" s="1"/>
  <c r="L925" i="4"/>
  <c r="N925" i="4" s="1"/>
  <c r="O925" i="4" s="1"/>
  <c r="L887" i="4"/>
  <c r="N887" i="4" s="1"/>
  <c r="O887" i="4" s="1"/>
  <c r="L954" i="4"/>
  <c r="N954" i="4" s="1"/>
  <c r="O954" i="4" s="1"/>
  <c r="L953" i="4"/>
  <c r="N953" i="4" s="1"/>
  <c r="O953" i="4" s="1"/>
  <c r="L916" i="4"/>
  <c r="N916" i="4" s="1"/>
  <c r="O916" i="4" s="1"/>
  <c r="L978" i="4"/>
  <c r="N978" i="4" s="1"/>
  <c r="O978" i="4" s="1"/>
  <c r="L937" i="4"/>
  <c r="N937" i="4" s="1"/>
  <c r="O937" i="4" s="1"/>
  <c r="L995" i="4"/>
  <c r="N995" i="4" s="1"/>
  <c r="O995" i="4" s="1"/>
  <c r="L961" i="4"/>
  <c r="N961" i="4" s="1"/>
  <c r="O961" i="4" s="1"/>
  <c r="L1006" i="4"/>
  <c r="N1006" i="4" s="1"/>
  <c r="O1006" i="4" s="1"/>
  <c r="L990" i="4"/>
  <c r="N990" i="4" s="1"/>
  <c r="O990" i="4" s="1"/>
  <c r="AK60" i="4" l="1"/>
  <c r="AK17" i="4"/>
  <c r="AK47" i="4"/>
  <c r="AK16" i="4"/>
  <c r="AK22" i="4"/>
  <c r="AK15" i="4"/>
  <c r="AK41" i="4"/>
  <c r="AK94" i="4"/>
  <c r="AK34" i="4"/>
  <c r="AK65" i="4"/>
  <c r="AK61" i="4"/>
  <c r="AK42" i="4"/>
  <c r="AK226" i="4"/>
  <c r="AK58" i="4"/>
  <c r="AK256" i="4"/>
  <c r="AK186" i="4"/>
  <c r="AK87" i="4"/>
  <c r="AK50" i="4"/>
  <c r="AK82" i="4"/>
  <c r="AK97" i="4"/>
  <c r="AK134" i="4"/>
  <c r="AK13" i="4"/>
  <c r="AK124" i="4"/>
  <c r="AK39" i="4"/>
  <c r="AK795" i="4"/>
  <c r="AK431" i="4"/>
  <c r="AK212" i="4"/>
  <c r="AK19" i="4"/>
  <c r="AK187" i="4"/>
  <c r="AK86" i="4"/>
  <c r="AK109" i="4"/>
  <c r="AK78" i="4"/>
  <c r="AK56" i="4"/>
  <c r="AK74" i="4"/>
  <c r="AK28" i="4"/>
  <c r="AK70" i="4"/>
  <c r="AK200" i="4"/>
  <c r="AK347" i="4"/>
  <c r="AK25" i="4"/>
  <c r="AK14" i="4"/>
  <c r="AK396" i="4"/>
  <c r="AK912" i="4"/>
  <c r="AK36" i="4"/>
  <c r="AK177" i="4"/>
  <c r="AK79" i="4"/>
  <c r="AK640" i="4"/>
  <c r="AK99" i="4"/>
  <c r="AK759" i="4"/>
  <c r="AK318" i="4"/>
  <c r="AK128" i="4"/>
  <c r="AK55" i="4"/>
  <c r="AK203" i="4"/>
  <c r="AK376" i="4"/>
  <c r="AK48" i="4"/>
  <c r="AK43" i="4"/>
  <c r="AK140" i="4"/>
  <c r="AK758" i="4"/>
  <c r="AK485" i="4"/>
  <c r="AK26" i="4"/>
  <c r="AK546" i="4"/>
  <c r="AK24" i="4"/>
  <c r="AK132" i="4"/>
  <c r="AK780" i="4"/>
  <c r="AK760" i="4"/>
  <c r="AK492" i="4"/>
  <c r="AK581" i="4"/>
  <c r="AK117" i="4"/>
  <c r="AK709" i="4"/>
  <c r="AK443" i="4"/>
  <c r="AK165" i="4"/>
  <c r="AK957" i="4"/>
  <c r="AK846" i="4"/>
  <c r="AK452" i="4"/>
  <c r="AK861" i="4"/>
  <c r="AK448" i="4"/>
  <c r="AK366" i="4"/>
  <c r="AK361" i="4"/>
  <c r="AK651" i="4"/>
  <c r="AK101" i="4"/>
  <c r="AK870" i="4"/>
  <c r="AK843" i="4"/>
  <c r="AK516" i="4"/>
  <c r="AK108" i="4"/>
  <c r="AK970" i="4"/>
  <c r="AK896" i="4"/>
  <c r="AK519" i="4"/>
  <c r="AK374" i="4"/>
  <c r="AK309" i="4"/>
  <c r="AK687" i="4"/>
  <c r="AK145" i="4"/>
  <c r="AK207" i="4"/>
  <c r="AK937" i="4"/>
  <c r="AK783" i="4"/>
  <c r="AK466" i="4"/>
  <c r="AK248" i="4"/>
  <c r="AK45" i="4"/>
  <c r="AK695" i="4"/>
  <c r="AK469" i="4"/>
  <c r="AK613" i="4"/>
  <c r="AK860" i="4"/>
  <c r="AK506" i="4"/>
  <c r="AK332" i="4"/>
  <c r="AK316" i="4"/>
  <c r="AK93" i="4"/>
  <c r="AK104" i="4"/>
  <c r="AK561" i="4"/>
  <c r="AK92" i="4"/>
  <c r="AK836" i="4"/>
  <c r="AK266" i="4"/>
  <c r="AK209" i="4"/>
  <c r="AK208" i="4"/>
  <c r="AK176" i="4"/>
  <c r="AK1005" i="4"/>
  <c r="AK349" i="4"/>
  <c r="AK307" i="4"/>
  <c r="AK856" i="4"/>
  <c r="AK988" i="4"/>
  <c r="AK570" i="4"/>
  <c r="AK500" i="4"/>
  <c r="AK656" i="4"/>
  <c r="AK275" i="4"/>
  <c r="AK425" i="4"/>
  <c r="AK742" i="4"/>
  <c r="AK740" i="4"/>
  <c r="AK498" i="4"/>
  <c r="AK408" i="4"/>
  <c r="AK340" i="4"/>
  <c r="AK730" i="4"/>
  <c r="AK205" i="4"/>
  <c r="AK152" i="4"/>
  <c r="AK826" i="4"/>
  <c r="AK649" i="4"/>
  <c r="AK49" i="4"/>
  <c r="AK23" i="4"/>
  <c r="AK920" i="4"/>
  <c r="AK547" i="4"/>
  <c r="AK486" i="4"/>
  <c r="AK403" i="4"/>
  <c r="AK1009" i="4"/>
  <c r="AK833" i="4"/>
  <c r="AK100" i="4"/>
  <c r="AK834" i="4"/>
  <c r="AK734" i="4"/>
  <c r="AK537" i="4"/>
  <c r="AK476" i="4"/>
  <c r="AK302" i="4"/>
  <c r="AK68" i="4"/>
  <c r="AK146" i="4"/>
  <c r="AK1001" i="4"/>
  <c r="AK909" i="4"/>
  <c r="AK744" i="4"/>
  <c r="AK736" i="4"/>
  <c r="AK435" i="4"/>
  <c r="AK247" i="4"/>
  <c r="AK196" i="4"/>
  <c r="AK199" i="4"/>
  <c r="AK64" i="4"/>
  <c r="AK29" i="4"/>
  <c r="AK67" i="4"/>
  <c r="AK44" i="4"/>
  <c r="AK172" i="4"/>
  <c r="AK120" i="4"/>
  <c r="AK782" i="4"/>
  <c r="AK959" i="4"/>
  <c r="AK804" i="4"/>
  <c r="AK725" i="4"/>
  <c r="AK549" i="4"/>
  <c r="AK463" i="4"/>
  <c r="AK397" i="4"/>
  <c r="AK263" i="4"/>
  <c r="AK989" i="4"/>
  <c r="AK930" i="4"/>
  <c r="AK793" i="4"/>
  <c r="AK694" i="4"/>
  <c r="AK591" i="4"/>
  <c r="AK405" i="4"/>
  <c r="AK222" i="4"/>
  <c r="AK331" i="4"/>
  <c r="AK166" i="4"/>
  <c r="AK231" i="4"/>
  <c r="AK904" i="4"/>
  <c r="AK764" i="4"/>
  <c r="AK618" i="4"/>
  <c r="AK459" i="4"/>
  <c r="AK267" i="4"/>
  <c r="AK216" i="4"/>
  <c r="AK255" i="4"/>
  <c r="AK907" i="4"/>
  <c r="AK893" i="4"/>
  <c r="AK803" i="4"/>
  <c r="AK671" i="4"/>
  <c r="AK529" i="4"/>
  <c r="AK478" i="4"/>
  <c r="AK440" i="4"/>
  <c r="AK188" i="4"/>
  <c r="AK194" i="4"/>
  <c r="AK112" i="4"/>
  <c r="AK585" i="4"/>
  <c r="AK401" i="4"/>
  <c r="AK947" i="4"/>
  <c r="AK953" i="4"/>
  <c r="AK827" i="4"/>
  <c r="AK763" i="4"/>
  <c r="AK609" i="4"/>
  <c r="AK660" i="4"/>
  <c r="AK468" i="4"/>
  <c r="AK192" i="4"/>
  <c r="AK995" i="4"/>
  <c r="AK897" i="4"/>
  <c r="AK808" i="4"/>
  <c r="AK676" i="4"/>
  <c r="AK598" i="4"/>
  <c r="AK379" i="4"/>
  <c r="AK319" i="4"/>
  <c r="AK314" i="4"/>
  <c r="AK127" i="4"/>
  <c r="AK943" i="4"/>
  <c r="AK901" i="4"/>
  <c r="AK617" i="4"/>
  <c r="AK514" i="4"/>
  <c r="AK371" i="4"/>
  <c r="AK321" i="4"/>
  <c r="AK531" i="4"/>
  <c r="AK364" i="4"/>
  <c r="AK286" i="4"/>
  <c r="AK553" i="4"/>
  <c r="AK259" i="4"/>
  <c r="AK158" i="4"/>
  <c r="AK264" i="4"/>
  <c r="AK54" i="4"/>
  <c r="AK31" i="4"/>
  <c r="AK556" i="4"/>
  <c r="AK210" i="4"/>
  <c r="AK251" i="4"/>
  <c r="AK595" i="4"/>
  <c r="AK679" i="4"/>
  <c r="AK523" i="4"/>
  <c r="AK956" i="4"/>
  <c r="AK859" i="4"/>
  <c r="AK753" i="4"/>
  <c r="AK657" i="4"/>
  <c r="AK455" i="4"/>
  <c r="AK414" i="4"/>
  <c r="AK323" i="4"/>
  <c r="AK969" i="4"/>
  <c r="AK848" i="4"/>
  <c r="AK559" i="4"/>
  <c r="AK404" i="4"/>
  <c r="AK950" i="4"/>
  <c r="AK817" i="4"/>
  <c r="AK748" i="4"/>
  <c r="AK684" i="4"/>
  <c r="AK464" i="4"/>
  <c r="AK543" i="4"/>
  <c r="AK534" i="4"/>
  <c r="AK213" i="4"/>
  <c r="AK69" i="4"/>
  <c r="AK982" i="4"/>
  <c r="AK886" i="4"/>
  <c r="AK728" i="4"/>
  <c r="AK662" i="4"/>
  <c r="AK548" i="4"/>
  <c r="AK641" i="4"/>
  <c r="AK383" i="4"/>
  <c r="AK393" i="4"/>
  <c r="AK147" i="4"/>
  <c r="AK992" i="4"/>
  <c r="AK866" i="4"/>
  <c r="AK792" i="4"/>
  <c r="AK701" i="4"/>
  <c r="AK596" i="4"/>
  <c r="AK355" i="4"/>
  <c r="AK352" i="4"/>
  <c r="AK260" i="4"/>
  <c r="AK281" i="4"/>
  <c r="AK90" i="4"/>
  <c r="AK983" i="4"/>
  <c r="AK926" i="4"/>
  <c r="AK786" i="4"/>
  <c r="AK681" i="4"/>
  <c r="AK400" i="4"/>
  <c r="AK217" i="4"/>
  <c r="AK325" i="4"/>
  <c r="AK148" i="4"/>
  <c r="AK220" i="4"/>
  <c r="AK962" i="4"/>
  <c r="AK814" i="4"/>
  <c r="AK714" i="4"/>
  <c r="AK614" i="4"/>
  <c r="AK507" i="4"/>
  <c r="AK477" i="4"/>
  <c r="AK346" i="4"/>
  <c r="AK181" i="4"/>
  <c r="AK40" i="4"/>
  <c r="AK76" i="4"/>
  <c r="AK1006" i="4"/>
  <c r="AK911" i="4"/>
  <c r="AK749" i="4"/>
  <c r="AK692" i="4"/>
  <c r="AK602" i="4"/>
  <c r="AK442" i="4"/>
  <c r="AK252" i="4"/>
  <c r="AK201" i="4"/>
  <c r="AK202" i="4"/>
  <c r="AK102" i="4"/>
  <c r="AK1010" i="4"/>
  <c r="AK935" i="4"/>
  <c r="AK815" i="4"/>
  <c r="AK616" i="4"/>
  <c r="AK612" i="4"/>
  <c r="AK380" i="4"/>
  <c r="AK394" i="4"/>
  <c r="AK438" i="4"/>
  <c r="AK169" i="4"/>
  <c r="AK153" i="4"/>
  <c r="AK75" i="4"/>
  <c r="AK150" i="4"/>
  <c r="AK984" i="4"/>
  <c r="AK864" i="4"/>
  <c r="AK802" i="4"/>
  <c r="AK608" i="4"/>
  <c r="AK457" i="4"/>
  <c r="AK378" i="4"/>
  <c r="AK241" i="4"/>
  <c r="AK136" i="4"/>
  <c r="AK750" i="4"/>
  <c r="AK555" i="4"/>
  <c r="AK369" i="4"/>
  <c r="AK938" i="4"/>
  <c r="AK872" i="4"/>
  <c r="AK741" i="4"/>
  <c r="AK696" i="4"/>
  <c r="AK509" i="4"/>
  <c r="AK290" i="4"/>
  <c r="AK954" i="4"/>
  <c r="AK879" i="4"/>
  <c r="AK789" i="4"/>
  <c r="AK707" i="4"/>
  <c r="AK544" i="4"/>
  <c r="AK460" i="4"/>
  <c r="AK382" i="4"/>
  <c r="AK987" i="4"/>
  <c r="AK862" i="4"/>
  <c r="AK791" i="4"/>
  <c r="AK673" i="4"/>
  <c r="AK589" i="4"/>
  <c r="AK350" i="4"/>
  <c r="AK342" i="4"/>
  <c r="AK258" i="4"/>
  <c r="AK89" i="4"/>
  <c r="AK885" i="4"/>
  <c r="AK790" i="4"/>
  <c r="AK674" i="4"/>
  <c r="AK599" i="4"/>
  <c r="AK560" i="4"/>
  <c r="AK527" i="4"/>
  <c r="AK246" i="4"/>
  <c r="AK123" i="4"/>
  <c r="AK116" i="4"/>
  <c r="AK1007" i="4"/>
  <c r="AK939" i="4"/>
  <c r="AK840" i="4"/>
  <c r="AK621" i="4"/>
  <c r="AK658" i="4"/>
  <c r="AK385" i="4"/>
  <c r="AK436" i="4"/>
  <c r="AK299" i="4"/>
  <c r="AK185" i="4"/>
  <c r="AK161" i="4"/>
  <c r="AK974" i="4"/>
  <c r="AK871" i="4"/>
  <c r="AK767" i="4"/>
  <c r="AK699" i="4"/>
  <c r="AK569" i="4"/>
  <c r="AK503" i="4"/>
  <c r="AK413" i="4"/>
  <c r="AK311" i="4"/>
  <c r="AK215" i="4"/>
  <c r="AK713" i="4"/>
  <c r="AK993" i="4"/>
  <c r="AK830" i="4"/>
  <c r="AK735" i="4"/>
  <c r="AK580" i="4"/>
  <c r="AK395" i="4"/>
  <c r="AK550" i="4"/>
  <c r="AK193" i="4"/>
  <c r="AK110" i="4"/>
  <c r="AK743" i="4"/>
  <c r="AK945" i="4"/>
  <c r="AK825" i="4"/>
  <c r="AK722" i="4"/>
  <c r="AK972" i="4"/>
  <c r="AK812" i="4"/>
  <c r="AK746" i="4"/>
  <c r="AK844" i="4"/>
  <c r="AK638" i="4"/>
  <c r="AK535" i="4"/>
  <c r="AK495" i="4"/>
  <c r="AK882" i="4"/>
  <c r="AK723" i="4"/>
  <c r="AK653" i="4"/>
  <c r="AK545" i="4"/>
  <c r="AK578" i="4"/>
  <c r="AK571" i="4"/>
  <c r="AK419" i="4"/>
  <c r="AK139" i="4"/>
  <c r="AK949" i="4"/>
  <c r="AK878" i="4"/>
  <c r="AK845" i="4"/>
  <c r="AK705" i="4"/>
  <c r="AK650" i="4"/>
  <c r="AK458" i="4"/>
  <c r="AK381" i="4"/>
  <c r="AK373" i="4"/>
  <c r="AK151" i="4"/>
  <c r="AK929" i="4"/>
  <c r="AK863" i="4"/>
  <c r="AK737" i="4"/>
  <c r="AK542" i="4"/>
  <c r="AK481" i="4"/>
  <c r="AK294" i="4"/>
  <c r="AK73" i="4"/>
  <c r="AK218" i="4"/>
  <c r="AK167" i="4"/>
  <c r="AK976" i="4"/>
  <c r="AK873" i="4"/>
  <c r="AK772" i="4"/>
  <c r="AK702" i="4"/>
  <c r="AK574" i="4"/>
  <c r="AK528" i="4"/>
  <c r="AK427" i="4"/>
  <c r="AK367" i="4"/>
  <c r="AK225" i="4"/>
  <c r="AK121" i="4"/>
  <c r="AK979" i="4"/>
  <c r="AK877" i="4"/>
  <c r="AK775" i="4"/>
  <c r="AK784" i="4"/>
  <c r="AK576" i="4"/>
  <c r="AK575" i="4"/>
  <c r="AK348" i="4"/>
  <c r="AK238" i="4"/>
  <c r="AK1003" i="4"/>
  <c r="AK114" i="4"/>
  <c r="AK157" i="4"/>
  <c r="AK923" i="4"/>
  <c r="AK816" i="4"/>
  <c r="AK637" i="4"/>
  <c r="AK584" i="4"/>
  <c r="AK345" i="4"/>
  <c r="AK351" i="4"/>
  <c r="AK182" i="4"/>
  <c r="AK536" i="4"/>
  <c r="AK253" i="4"/>
  <c r="AK62" i="4"/>
  <c r="AK933" i="4"/>
  <c r="AK842" i="4"/>
  <c r="AK690" i="4"/>
  <c r="AK504" i="4"/>
  <c r="AK288" i="4"/>
  <c r="AK278" i="4"/>
  <c r="AK1002" i="4"/>
  <c r="AK905" i="4"/>
  <c r="AK718" i="4"/>
  <c r="AK541" i="4"/>
  <c r="AK515" i="4"/>
  <c r="AK565" i="4"/>
  <c r="AK1011" i="4"/>
  <c r="AK915" i="4"/>
  <c r="AK754" i="4"/>
  <c r="AK606" i="4"/>
  <c r="AK453" i="4"/>
  <c r="AK257" i="4"/>
  <c r="AK206" i="4"/>
  <c r="AK111" i="4"/>
  <c r="AK981" i="4"/>
  <c r="AK881" i="4"/>
  <c r="AK788" i="4"/>
  <c r="AK683" i="4"/>
  <c r="AK540" i="4"/>
  <c r="AK704" i="4"/>
  <c r="AK358" i="4"/>
  <c r="AK412" i="4"/>
  <c r="AK279" i="4"/>
  <c r="AK997" i="4"/>
  <c r="AK918" i="4"/>
  <c r="AK796" i="4"/>
  <c r="AK624" i="4"/>
  <c r="AK526" i="4"/>
  <c r="AK441" i="4"/>
  <c r="AK389" i="4"/>
  <c r="AK330" i="4"/>
  <c r="AK326" i="4"/>
  <c r="AK27" i="4"/>
  <c r="AK91" i="4"/>
  <c r="AK890" i="4"/>
  <c r="AK854" i="4"/>
  <c r="AK670" i="4"/>
  <c r="AK639" i="4"/>
  <c r="AK473" i="4"/>
  <c r="AK444" i="4"/>
  <c r="AK77" i="4"/>
  <c r="AK32" i="4"/>
  <c r="AK765" i="4"/>
  <c r="AK659" i="4"/>
  <c r="AK388" i="4"/>
  <c r="AK164" i="4"/>
  <c r="AK647" i="4"/>
  <c r="AK520" i="4"/>
  <c r="AK951" i="4"/>
  <c r="AK996" i="4"/>
  <c r="AK908" i="4"/>
  <c r="AK739" i="4"/>
  <c r="AK733" i="4"/>
  <c r="AK619" i="4"/>
  <c r="AK428" i="4"/>
  <c r="AK242" i="4"/>
  <c r="AK191" i="4"/>
  <c r="AK274" i="4"/>
  <c r="AK105" i="4"/>
  <c r="AK966" i="4"/>
  <c r="AK857" i="4"/>
  <c r="AK751" i="4"/>
  <c r="AK633" i="4"/>
  <c r="AK558" i="4"/>
  <c r="AK454" i="4"/>
  <c r="AK315" i="4"/>
  <c r="AK72" i="4"/>
  <c r="AK135" i="4"/>
  <c r="AK925" i="4"/>
  <c r="AK799" i="4"/>
  <c r="AK672" i="4"/>
  <c r="AK645" i="4"/>
  <c r="AK456" i="4"/>
  <c r="AK282" i="4"/>
  <c r="AK239" i="4"/>
  <c r="AK280" i="4"/>
  <c r="AK944" i="4"/>
  <c r="AK821" i="4"/>
  <c r="AK720" i="4"/>
  <c r="AK682" i="4"/>
  <c r="AK532" i="4"/>
  <c r="AK568" i="4"/>
  <c r="AK296" i="4"/>
  <c r="AK171" i="4"/>
  <c r="AK967" i="4"/>
  <c r="AK807" i="4"/>
  <c r="AK745" i="4"/>
  <c r="AK675" i="4"/>
  <c r="AK604" i="4"/>
  <c r="AK525" i="4"/>
  <c r="AK487" i="4"/>
  <c r="AK174" i="4"/>
  <c r="AK928" i="4"/>
  <c r="AK892" i="4"/>
  <c r="AK731" i="4"/>
  <c r="AK689" i="4"/>
  <c r="AK499" i="4"/>
  <c r="AK437" i="4"/>
  <c r="AK354" i="4"/>
  <c r="AK284" i="4"/>
  <c r="AK271" i="4"/>
  <c r="AK1008" i="4"/>
  <c r="AK922" i="4"/>
  <c r="AK841" i="4"/>
  <c r="AK630" i="4"/>
  <c r="AK706" i="4"/>
  <c r="AK390" i="4"/>
  <c r="AK462" i="4"/>
  <c r="AK303" i="4"/>
  <c r="AK276" i="4"/>
  <c r="AK197" i="4"/>
  <c r="AK994" i="4"/>
  <c r="AK899" i="4"/>
  <c r="AK703" i="4"/>
  <c r="AK625" i="4"/>
  <c r="AK533" i="4"/>
  <c r="AK467" i="4"/>
  <c r="AK398" i="4"/>
  <c r="AK353" i="4"/>
  <c r="AK335" i="4"/>
  <c r="AK971" i="4"/>
  <c r="AK832" i="4"/>
  <c r="AK771" i="4"/>
  <c r="AK623" i="4"/>
  <c r="AK479" i="4"/>
  <c r="AK716" i="4"/>
  <c r="AK333" i="4"/>
  <c r="AK233" i="4"/>
  <c r="AK195" i="4"/>
  <c r="AK142" i="4"/>
  <c r="AK38" i="4"/>
  <c r="AK900" i="4"/>
  <c r="AK847" i="4"/>
  <c r="AK700" i="4"/>
  <c r="AK539" i="4"/>
  <c r="AK430" i="4"/>
  <c r="AK289" i="4"/>
  <c r="AK221" i="4"/>
  <c r="AK336" i="4"/>
  <c r="AK889" i="4"/>
  <c r="AK95" i="4"/>
  <c r="AK747" i="4"/>
  <c r="AK593" i="4"/>
  <c r="AK292" i="4"/>
  <c r="AK752" i="4"/>
  <c r="AK223" i="4"/>
  <c r="AK977" i="4"/>
  <c r="AK924" i="4"/>
  <c r="AK809" i="4"/>
  <c r="AK756" i="4"/>
  <c r="AK605" i="4"/>
  <c r="AK375" i="4"/>
  <c r="AK391" i="4"/>
  <c r="AK328" i="4"/>
  <c r="AK162" i="4"/>
  <c r="AK204" i="4"/>
  <c r="AK160" i="4"/>
  <c r="AK955" i="4"/>
  <c r="AK770" i="4"/>
  <c r="AK691" i="4"/>
  <c r="AK627" i="4"/>
  <c r="AK508" i="4"/>
  <c r="AK334" i="4"/>
  <c r="AK159" i="4"/>
  <c r="AK20" i="4"/>
  <c r="AK66" i="4"/>
  <c r="AK986" i="4"/>
  <c r="AK921" i="4"/>
  <c r="AK805" i="4"/>
  <c r="AK712" i="4"/>
  <c r="AK611" i="4"/>
  <c r="AK415" i="4"/>
  <c r="AK232" i="4"/>
  <c r="AK341" i="4"/>
  <c r="AK180" i="4"/>
  <c r="AK855" i="4"/>
  <c r="AK824" i="4"/>
  <c r="AK644" i="4"/>
  <c r="AK562" i="4"/>
  <c r="AK501" i="4"/>
  <c r="AK327" i="4"/>
  <c r="AK310" i="4"/>
  <c r="AK131" i="4"/>
  <c r="AK948" i="4"/>
  <c r="AK894" i="4"/>
  <c r="AK721" i="4"/>
  <c r="AK636" i="4"/>
  <c r="AK522" i="4"/>
  <c r="AK446" i="4"/>
  <c r="AK359" i="4"/>
  <c r="AK230" i="4"/>
  <c r="AK59" i="4"/>
  <c r="AK917" i="4"/>
  <c r="AK835" i="4"/>
  <c r="AK738" i="4"/>
  <c r="AK665" i="4"/>
  <c r="AK590" i="4"/>
  <c r="AK513" i="4"/>
  <c r="AK447" i="4"/>
  <c r="AK198" i="4"/>
  <c r="AK163" i="4"/>
  <c r="AK980" i="4"/>
  <c r="AK874" i="4"/>
  <c r="AK777" i="4"/>
  <c r="AK711" i="4"/>
  <c r="AK579" i="4"/>
  <c r="AK600" i="4"/>
  <c r="AK432" i="4"/>
  <c r="AK429" i="4"/>
  <c r="AK234" i="4"/>
  <c r="AK51" i="4"/>
  <c r="AK946" i="4"/>
  <c r="AK837" i="4"/>
  <c r="AK831" i="4"/>
  <c r="AK655" i="4"/>
  <c r="AK484" i="4"/>
  <c r="AK421" i="4"/>
  <c r="AK338" i="4"/>
  <c r="AK236" i="4"/>
  <c r="AK214" i="4"/>
  <c r="AK137" i="4"/>
  <c r="AK960" i="4"/>
  <c r="AK887" i="4"/>
  <c r="AK757" i="4"/>
  <c r="AK663" i="4"/>
  <c r="AK597" i="4"/>
  <c r="AK472" i="4"/>
  <c r="AK422" i="4"/>
  <c r="AK178" i="4"/>
  <c r="AK33" i="4"/>
  <c r="AK143" i="4"/>
  <c r="AK85" i="4"/>
  <c r="AK903" i="4"/>
  <c r="AK828" i="4"/>
  <c r="AK688" i="4"/>
  <c r="AK494" i="4"/>
  <c r="AK505" i="4"/>
  <c r="AK298" i="4"/>
  <c r="AK306" i="4"/>
  <c r="AK106" i="4"/>
  <c r="AK577" i="4"/>
  <c r="AK490" i="4"/>
  <c r="AK620" i="4"/>
  <c r="AK329" i="4"/>
  <c r="AK324" i="4"/>
  <c r="AK685" i="4"/>
  <c r="AK96" i="4"/>
  <c r="AK822" i="4"/>
  <c r="AK189" i="4"/>
  <c r="AK973" i="4"/>
  <c r="AK867" i="4"/>
  <c r="AK762" i="4"/>
  <c r="AK787" i="4"/>
  <c r="AK564" i="4"/>
  <c r="AK488" i="4"/>
  <c r="AK411" i="4"/>
  <c r="AK305" i="4"/>
  <c r="AK12" i="4"/>
  <c r="AK865" i="4"/>
  <c r="AK838" i="4"/>
  <c r="AK654" i="4"/>
  <c r="AK572" i="4"/>
  <c r="AK511" i="4"/>
  <c r="AK337" i="4"/>
  <c r="AK418" i="4"/>
  <c r="AK103" i="4"/>
  <c r="AK18" i="4"/>
  <c r="AK1000" i="4"/>
  <c r="AK869" i="4"/>
  <c r="AK806" i="4"/>
  <c r="AK642" i="4"/>
  <c r="AK678" i="4"/>
  <c r="AK365" i="4"/>
  <c r="AK372" i="4"/>
  <c r="AK304" i="4"/>
  <c r="AK308" i="4"/>
  <c r="AK910" i="4"/>
  <c r="AK774" i="4"/>
  <c r="AK778" i="4"/>
  <c r="AK634" i="4"/>
  <c r="AK451" i="4"/>
  <c r="AK277" i="4"/>
  <c r="AK229" i="4"/>
  <c r="AK320" i="4"/>
  <c r="AK273" i="4"/>
  <c r="AK936" i="4"/>
  <c r="AK819" i="4"/>
  <c r="AK719" i="4"/>
  <c r="AK667" i="4"/>
  <c r="AK601" i="4"/>
  <c r="AK493" i="4"/>
  <c r="AK295" i="4"/>
  <c r="AK138" i="4"/>
  <c r="AK155" i="4"/>
  <c r="AK961" i="4"/>
  <c r="AK820" i="4"/>
  <c r="AK717" i="4"/>
  <c r="AK635" i="4"/>
  <c r="AK517" i="4"/>
  <c r="AK439" i="4"/>
  <c r="AK356" i="4"/>
  <c r="AK228" i="4"/>
  <c r="AK52" i="4"/>
  <c r="AK990" i="4"/>
  <c r="AK883" i="4"/>
  <c r="AK800" i="4"/>
  <c r="AK698" i="4"/>
  <c r="AK594" i="4"/>
  <c r="AK424" i="4"/>
  <c r="AK368" i="4"/>
  <c r="AK416" i="4"/>
  <c r="AK285" i="4"/>
  <c r="AK46" i="4"/>
  <c r="AK902" i="4"/>
  <c r="AK891" i="4"/>
  <c r="AK781" i="4"/>
  <c r="AK661" i="4"/>
  <c r="AK628" i="4"/>
  <c r="AK475" i="4"/>
  <c r="AK426" i="4"/>
  <c r="AK183" i="4"/>
  <c r="AK130" i="4"/>
  <c r="AK965" i="4"/>
  <c r="AK798" i="4"/>
  <c r="AK686" i="4"/>
  <c r="AK592" i="4"/>
  <c r="AK497" i="4"/>
  <c r="AK417" i="4"/>
  <c r="AK387" i="4"/>
  <c r="AK175" i="4"/>
  <c r="AK30" i="4"/>
  <c r="AK149" i="4"/>
  <c r="AK932" i="4"/>
  <c r="AK726" i="4"/>
  <c r="AK680" i="4"/>
  <c r="AK588" i="4"/>
  <c r="AK465" i="4"/>
  <c r="AK211" i="4"/>
  <c r="AK343" i="4"/>
  <c r="AK168" i="4"/>
  <c r="AK370" i="4"/>
  <c r="AK898" i="4"/>
  <c r="AK942" i="4"/>
  <c r="AK963" i="4"/>
  <c r="AK170" i="4"/>
  <c r="AK80" i="4"/>
  <c r="AK567" i="4"/>
  <c r="AK978" i="4"/>
  <c r="AK919" i="4"/>
  <c r="AK768" i="4"/>
  <c r="AK776" i="4"/>
  <c r="AK573" i="4"/>
  <c r="AK518" i="4"/>
  <c r="AK480" i="4"/>
  <c r="AK399" i="4"/>
  <c r="AK927" i="4"/>
  <c r="AK851" i="4"/>
  <c r="AK677" i="4"/>
  <c r="AK646" i="4"/>
  <c r="AK461" i="4"/>
  <c r="AK287" i="4"/>
  <c r="AK244" i="4"/>
  <c r="AK53" i="4"/>
  <c r="AK71" i="4"/>
  <c r="AK964" i="4"/>
  <c r="AK913" i="4"/>
  <c r="AK811" i="4"/>
  <c r="AK729" i="4"/>
  <c r="AK554" i="4"/>
  <c r="AK482" i="4"/>
  <c r="AK402" i="4"/>
  <c r="AK265" i="4"/>
  <c r="AK190" i="4"/>
  <c r="AK999" i="4"/>
  <c r="AK934" i="4"/>
  <c r="AK801" i="4"/>
  <c r="AK710" i="4"/>
  <c r="AK610" i="4"/>
  <c r="AK410" i="4"/>
  <c r="AK227" i="4"/>
  <c r="AK339" i="4"/>
  <c r="AK173" i="4"/>
  <c r="AK269" i="4"/>
  <c r="AK84" i="4"/>
  <c r="AK850" i="4"/>
  <c r="AK823" i="4"/>
  <c r="AK779" i="4"/>
  <c r="AK557" i="4"/>
  <c r="AK496" i="4"/>
  <c r="AK322" i="4"/>
  <c r="AK301" i="4"/>
  <c r="AK88" i="4"/>
  <c r="AK122" i="4"/>
  <c r="AK895" i="4"/>
  <c r="AK818" i="4"/>
  <c r="AK693" i="4"/>
  <c r="AK643" i="4"/>
  <c r="AK566" i="4"/>
  <c r="AK483" i="4"/>
  <c r="AK293" i="4"/>
  <c r="AK133" i="4"/>
  <c r="AK144" i="4"/>
  <c r="AK37" i="4"/>
  <c r="AK1004" i="4"/>
  <c r="AK914" i="4"/>
  <c r="AK708" i="4"/>
  <c r="AK629" i="4"/>
  <c r="AK538" i="4"/>
  <c r="AK470" i="4"/>
  <c r="AK433" i="4"/>
  <c r="AK384" i="4"/>
  <c r="AK357" i="4"/>
  <c r="AK958" i="4"/>
  <c r="AK813" i="4"/>
  <c r="AK697" i="4"/>
  <c r="AK603" i="4"/>
  <c r="AK502" i="4"/>
  <c r="AK449" i="4"/>
  <c r="AK392" i="4"/>
  <c r="AK179" i="4"/>
  <c r="AK35" i="4"/>
  <c r="AK875" i="4"/>
  <c r="AK849" i="4"/>
  <c r="AK664" i="4"/>
  <c r="AK582" i="4"/>
  <c r="AK521" i="4"/>
  <c r="AK407" i="4"/>
  <c r="AK243" i="4"/>
  <c r="AK113" i="4"/>
  <c r="AK141" i="4"/>
  <c r="AK129" i="4"/>
  <c r="AK852" i="4"/>
  <c r="AK839" i="4"/>
  <c r="AK632" i="4"/>
  <c r="AK512" i="4"/>
  <c r="AK312" i="4"/>
  <c r="AK313" i="4"/>
  <c r="AK249" i="4"/>
  <c r="AK81" i="4"/>
  <c r="AK474" i="4"/>
  <c r="AK291" i="4"/>
  <c r="AK761" i="4"/>
  <c r="AK583" i="4"/>
  <c r="AK586" i="4"/>
  <c r="AK952" i="4"/>
  <c r="AK98" i="4"/>
  <c r="AK652" i="4"/>
  <c r="AK975" i="4"/>
  <c r="AK916" i="4"/>
  <c r="AK766" i="4"/>
  <c r="AK622" i="4"/>
  <c r="AK524" i="4"/>
  <c r="AK434" i="4"/>
  <c r="AK386" i="4"/>
  <c r="AK363" i="4"/>
  <c r="AK991" i="4"/>
  <c r="AK941" i="4"/>
  <c r="AK810" i="4"/>
  <c r="AK727" i="4"/>
  <c r="AK615" i="4"/>
  <c r="AK420" i="4"/>
  <c r="AK237" i="4"/>
  <c r="AK377" i="4"/>
  <c r="AK184" i="4"/>
  <c r="AK270" i="4"/>
  <c r="AK126" i="4"/>
  <c r="AK985" i="4"/>
  <c r="AK888" i="4"/>
  <c r="AK732" i="4"/>
  <c r="AK785" i="4"/>
  <c r="AK551" i="4"/>
  <c r="AK445" i="4"/>
  <c r="AK406" i="4"/>
  <c r="AK450" i="4"/>
  <c r="AK154" i="4"/>
  <c r="AK998" i="4"/>
  <c r="AK868" i="4"/>
  <c r="AK794" i="4"/>
  <c r="AK626" i="4"/>
  <c r="AK668" i="4"/>
  <c r="AK360" i="4"/>
  <c r="AK362" i="4"/>
  <c r="AK261" i="4"/>
  <c r="AK283" i="4"/>
  <c r="AK115" i="4"/>
  <c r="AK906" i="4"/>
  <c r="AK769" i="4"/>
  <c r="AK773" i="4"/>
  <c r="AK631" i="4"/>
  <c r="AK510" i="4"/>
  <c r="AK272" i="4"/>
  <c r="AK219" i="4"/>
  <c r="AK268" i="4"/>
  <c r="AK235" i="4"/>
  <c r="AK931" i="4"/>
  <c r="AK797" i="4"/>
  <c r="AK755" i="4"/>
  <c r="AK552" i="4"/>
  <c r="AK491" i="4"/>
  <c r="AK317" i="4"/>
  <c r="AK300" i="4"/>
  <c r="AK83" i="4"/>
  <c r="AK119" i="4"/>
  <c r="AK968" i="4"/>
  <c r="AK853" i="4"/>
  <c r="AK876" i="4"/>
  <c r="AK666" i="4"/>
  <c r="AK489" i="4"/>
  <c r="AK423" i="4"/>
  <c r="AK344" i="4"/>
  <c r="AK240" i="4"/>
  <c r="AK224" i="4"/>
  <c r="AK880" i="4"/>
  <c r="AK858" i="4"/>
  <c r="AK669" i="4"/>
  <c r="AK587" i="4"/>
  <c r="AK530" i="4"/>
  <c r="AK409" i="4"/>
  <c r="AK245" i="4"/>
  <c r="AK118" i="4"/>
  <c r="AK107" i="4"/>
  <c r="AK940" i="4"/>
  <c r="AK829" i="4"/>
  <c r="AK724" i="4"/>
  <c r="AK648" i="4"/>
  <c r="AK471" i="4"/>
  <c r="AK297" i="4"/>
  <c r="AK250" i="4"/>
  <c r="AK63" i="4"/>
  <c r="AK125" i="4"/>
  <c r="AK21" i="4"/>
  <c r="AK57" i="4"/>
  <c r="AK884" i="4"/>
  <c r="AK715" i="4"/>
  <c r="AK607" i="4"/>
  <c r="AK563" i="4"/>
  <c r="AK262" i="4"/>
  <c r="AK254" i="4"/>
  <c r="AK156" i="4"/>
  <c r="C6" i="4" l="1"/>
  <c r="C5" i="4"/>
  <c r="C4" i="4"/>
  <c r="C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Séba Daher</author>
  </authors>
  <commentList>
    <comment ref="H11" authorId="0" shapeId="0" xr:uid="{926E31EF-51A4-A544-AF21-3D5B47968932}">
      <text>
        <r>
          <rPr>
            <b/>
            <sz val="10"/>
            <color rgb="FF000000"/>
            <rFont val="Tahoma"/>
            <family val="2"/>
          </rPr>
          <t>Séba Daher: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Shape parameters for sampling (used by the Simulation sheet).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For each PERT input (F, V, Mag):
</t>
        </r>
        <r>
          <rPr>
            <sz val="10"/>
            <color rgb="FF000000"/>
            <rFont val="Tahoma"/>
            <family val="2"/>
          </rPr>
          <t xml:space="preserve">alpha = 1 + 4x(most likely - low)/(high - low)
</t>
        </r>
        <r>
          <rPr>
            <sz val="10"/>
            <color rgb="FF000000"/>
            <rFont val="Tahoma"/>
            <family val="2"/>
          </rPr>
          <t xml:space="preserve">beta = 1 + 4x(high - most likely)/(high - low).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These convert the three-point (low, most likely, high) estimate into a Beta distribution the model can draw random samples from. They are helper values, not results.</t>
        </r>
      </text>
    </comment>
  </commentList>
</comments>
</file>

<file path=xl/sharedStrings.xml><?xml version="1.0" encoding="utf-8"?>
<sst xmlns="http://schemas.openxmlformats.org/spreadsheetml/2006/main" count="193" uniqueCount="172">
  <si>
    <t>Purpose: estimate the probability and cost of quality, supply and continuity risks for the international, digitalised business.</t>
  </si>
  <si>
    <t>Method: Factor Analysis of Information Risk (FAIR) structure with Monte Carlo simulation; inputs are calibrated PERT (min, most likely, max) estimates.</t>
  </si>
  <si>
    <t>How to use:</t>
  </si>
  <si>
    <t xml:space="preserve">  1. Edit only the BLUE cells on the 'Inputs' sheet. Everything else recalculates.</t>
  </si>
  <si>
    <t xml:space="preserve">  2. 'Model' shows the deterministic results (expected values and closed-form probabilities).</t>
  </si>
  <si>
    <t xml:space="preserve">  3. 'Simulation' runs a live Monte Carlo (press F9 / recalc to reshuffle) and returns the mean and 90th/95th percentile loss.</t>
  </si>
  <si>
    <t>Colour code:</t>
  </si>
  <si>
    <t xml:space="preserve">  Blue text  = editable input (your assumption).</t>
  </si>
  <si>
    <t xml:space="preserve">  Black text = formula / calculation.</t>
  </si>
  <si>
    <t xml:space="preserve">  Green text = link to another sheet.</t>
  </si>
  <si>
    <t xml:space="preserve">  The revenue base is a MODELLED assumption for the funded, target-scale operation, constructed from published anchors</t>
  </si>
  <si>
    <t xml:space="preserve">  Loss magnitudes are expressed as fractions of revenue, so they update automatically when the revenue base changes.</t>
  </si>
  <si>
    <t>All blue cells are your assumptions. Sources go in the notes column.</t>
  </si>
  <si>
    <t>BUSINESS BASE (target scale)</t>
  </si>
  <si>
    <t>Assumption</t>
  </si>
  <si>
    <t>Low</t>
  </si>
  <si>
    <t>Most likely</t>
  </si>
  <si>
    <t>High</t>
  </si>
  <si>
    <t>Unit</t>
  </si>
  <si>
    <t>Revenue</t>
  </si>
  <si>
    <t>£</t>
  </si>
  <si>
    <t>Modelled scale-up from ONS (2023), IBISWorld (2025), Pet Gazette (2025) anchors</t>
  </si>
  <si>
    <t>Gross margin</t>
  </si>
  <si>
    <t>%</t>
  </si>
  <si>
    <t>Pet retail ~40% (trade sources); premium own-made higher</t>
  </si>
  <si>
    <t>Online share of revenue</t>
  </si>
  <si>
    <t>Sector e-commerce shift</t>
  </si>
  <si>
    <t>QUALITY RISKS (magnitude as % of revenue)</t>
  </si>
  <si>
    <t>Evidence basis</t>
  </si>
  <si>
    <t>Risk</t>
  </si>
  <si>
    <t>F low</t>
  </si>
  <si>
    <t>F ml</t>
  </si>
  <si>
    <t>F high</t>
  </si>
  <si>
    <t>V low</t>
  </si>
  <si>
    <t>V ml</t>
  </si>
  <si>
    <t>V high</t>
  </si>
  <si>
    <t>Mag% low</t>
  </si>
  <si>
    <t>Mag% ml</t>
  </si>
  <si>
    <t>Mag% high</t>
  </si>
  <si>
    <t>R1 Cold-chain excursion</t>
  </si>
  <si>
    <t>R2 Transit delay / spoilage</t>
  </si>
  <si>
    <t>R3 recall frequency: anchored to FDA (~9 US pet-food recalls/yr industry-wide) and FSA recall data, scaled for a single premium producer with new international suppliers</t>
  </si>
  <si>
    <t>R3 Contamination / recall</t>
  </si>
  <si>
    <t>R4 Supplier quality drift</t>
  </si>
  <si>
    <t>R5 Inter-hub variance</t>
  </si>
  <si>
    <t>F = events per year; V = P(quality harmed | event); Mag% = loss as a share of annual revenue.</t>
  </si>
  <si>
    <t>SUPPLY CHAIN</t>
  </si>
  <si>
    <t>Disruption frequency (/yr)</t>
  </si>
  <si>
    <t>Disruption duration (days)</t>
  </si>
  <si>
    <t>Buffer stock (days)</t>
  </si>
  <si>
    <t>PRODUCTION HUBS</t>
  </si>
  <si>
    <t>Per-hub annual disruption probability (q)</t>
  </si>
  <si>
    <t>ONLINE AVAILABILITY</t>
  </si>
  <si>
    <t>Target unplanned downtime (minutes/yr)</t>
  </si>
  <si>
    <t>5.26 = 99.999% ; 52.6 = 99.99%</t>
  </si>
  <si>
    <t>VENDOR LOCK-IN</t>
  </si>
  <si>
    <t>Assumption (£k)</t>
  </si>
  <si>
    <t>P(forced migration in horizon)</t>
  </si>
  <si>
    <t>Switch cost, high lock-in (£k)</t>
  </si>
  <si>
    <t>Switch cost, low lock-in (£k)</t>
  </si>
  <si>
    <t>DATA BREACH</t>
  </si>
  <si>
    <t>P(reportable breach /yr)</t>
  </si>
  <si>
    <t>Breach: anchored to IBM (2025) Cost of a Data Breach; UK average £3.29m used as upper bound; SME estimate below it</t>
  </si>
  <si>
    <t>Breach magnitude (% of revenue)</t>
  </si>
  <si>
    <t>All figures link to 'Inputs'. PERT mean = (low + 4×most likely + high) / 6.</t>
  </si>
  <si>
    <t>QUALITY</t>
  </si>
  <si>
    <t>F mean</t>
  </si>
  <si>
    <t>V mean</t>
  </si>
  <si>
    <t>rate = F×V</t>
  </si>
  <si>
    <t>Mag mean (£)</t>
  </si>
  <si>
    <t>Expected loss (£)</t>
  </si>
  <si>
    <t>aF</t>
  </si>
  <si>
    <t>bF</t>
  </si>
  <si>
    <t>aV</t>
  </si>
  <si>
    <t>bV</t>
  </si>
  <si>
    <t>aMag</t>
  </si>
  <si>
    <t>bMag</t>
  </si>
  <si>
    <t>Total / result</t>
  </si>
  <si>
    <t>P(≥1 quality-affecting event / yr)</t>
  </si>
  <si>
    <t>P(serious / recall event, R3) / yr</t>
  </si>
  <si>
    <t>P(brand-material inter-hub variance, R5) / yr</t>
  </si>
  <si>
    <t>Expected annual quality loss (£)</t>
  </si>
  <si>
    <t>DERIVED UNITS (at most-likely base)</t>
  </si>
  <si>
    <t>Revenue per day (£)</t>
  </si>
  <si>
    <t>Gross margin per day (£)</t>
  </si>
  <si>
    <t>Online revenue per minute (£)</t>
  </si>
  <si>
    <t>Online revenue per hour (£)</t>
  </si>
  <si>
    <t>SUPPLY AVAILABILITY</t>
  </si>
  <si>
    <t>Disruption frequency mean (/yr)</t>
  </si>
  <si>
    <t>Duration alpha / beta</t>
  </si>
  <si>
    <t>Buffer (days)</t>
  </si>
  <si>
    <t>P(≥1 stockout / yr)</t>
  </si>
  <si>
    <t>Stockout cost per day beyond buffer (£) = gross margin per day</t>
  </si>
  <si>
    <t>Note: buffer alone cannot cover month-plus disruptions; dual sourcing and multi-hub redundancy are the primary controls.</t>
  </si>
  <si>
    <t>PRODUCTION-HUB AVAILABILITY</t>
  </si>
  <si>
    <t>P(≥2 of 3 hubs down) = 3q²(1−q)+q³</t>
  </si>
  <si>
    <t>ONLINE DOWNTIME (direct lost sales)</t>
  </si>
  <si>
    <t>Direct lost online sales at target downtime (£/yr)</t>
  </si>
  <si>
    <t>Note: direct cost is small; the requirement is justified by reputation, not transactions.</t>
  </si>
  <si>
    <t>Switch cost high-lock mean (£k)</t>
  </si>
  <si>
    <t>Switch cost low-lock mean (£k)</t>
  </si>
  <si>
    <t>Decision value of low-lock platform (£k)</t>
  </si>
  <si>
    <t>Expected loss given breach (£)</t>
  </si>
  <si>
    <t>Annualised breach loss (£)</t>
  </si>
  <si>
    <t>1000 iterations. Each row samples F, V and magnitude from their PERT distributions and draws a Poisson event count.</t>
  </si>
  <si>
    <t>R1 F</t>
  </si>
  <si>
    <t>R1 V</t>
  </si>
  <si>
    <t>R1 mag</t>
  </si>
  <si>
    <t>R1 r</t>
  </si>
  <si>
    <t>R1 u</t>
  </si>
  <si>
    <t>R1 count</t>
  </si>
  <si>
    <t>R1 loss</t>
  </si>
  <si>
    <t>R2 F</t>
  </si>
  <si>
    <t>R2 V</t>
  </si>
  <si>
    <t>R2 mag</t>
  </si>
  <si>
    <t>R2 r</t>
  </si>
  <si>
    <t>R2 u</t>
  </si>
  <si>
    <t>R2 count</t>
  </si>
  <si>
    <t>R2 loss</t>
  </si>
  <si>
    <t>R3 F</t>
  </si>
  <si>
    <t>R3 V</t>
  </si>
  <si>
    <t>R3 mag</t>
  </si>
  <si>
    <t>R3 r</t>
  </si>
  <si>
    <t>R3 u</t>
  </si>
  <si>
    <t>R3 count</t>
  </si>
  <si>
    <t>R3 loss</t>
  </si>
  <si>
    <t>R4 F</t>
  </si>
  <si>
    <t>R4 V</t>
  </si>
  <si>
    <t>R4 mag</t>
  </si>
  <si>
    <t>R4 r</t>
  </si>
  <si>
    <t>R4 u</t>
  </si>
  <si>
    <t>R4 count</t>
  </si>
  <si>
    <t>R4 loss</t>
  </si>
  <si>
    <t>R5 F</t>
  </si>
  <si>
    <t>R5 V</t>
  </si>
  <si>
    <t>R5 mag</t>
  </si>
  <si>
    <t>R5 r</t>
  </si>
  <si>
    <t>R5 u</t>
  </si>
  <si>
    <t>R5 count</t>
  </si>
  <si>
    <t>R5 loss</t>
  </si>
  <si>
    <t>Total loss</t>
  </si>
  <si>
    <t>Mean (£)</t>
  </si>
  <si>
    <t>Median P50 (£)</t>
  </si>
  <si>
    <t>P90 (£)</t>
  </si>
  <si>
    <t>P95 (£)</t>
  </si>
  <si>
    <t>Unit 11 - Individual Project: Executive Summary (Quantitative Risk Model)</t>
  </si>
  <si>
    <t xml:space="preserve">  Yellow fill = key assumption.</t>
  </si>
  <si>
    <t>Inputs (edit blue cells only)</t>
  </si>
  <si>
    <t xml:space="preserve">R5 inter-hub variance: calibrated judgement; brand-critical, weak knowledge
</t>
  </si>
  <si>
    <t xml:space="preserve">
</t>
  </si>
  <si>
    <t>Supply frequency &amp; duration: anchored to McKinsey (2020) - month-plus disruptions every 3.7 years (~0.27/yr)</t>
  </si>
  <si>
    <t>Source / notes</t>
  </si>
  <si>
    <t>Notes</t>
  </si>
  <si>
    <t>Important honesty note:</t>
  </si>
  <si>
    <t xml:space="preserve">  (ONS, IBISWorld, Pet Gazette). It is not a figure taken directly from any source.</t>
  </si>
  <si>
    <t>Hub q: calibrated judgement (weak knowledge)</t>
  </si>
  <si>
    <t>R1, R2, R4: calibrated expert judgement - no firm-specific public data (weak/moderate knowledge)</t>
  </si>
  <si>
    <t>Deterministic Model (expected values and closed-form probabilities)</t>
  </si>
  <si>
    <t>Note: Buffer-exceeding (month-plus) disruption rate vs McKinsey (2020) ~0.27/yr (every 3.7 yrs)</t>
  </si>
  <si>
    <t>Live Monte Carlo (Quality Loss). Recalculate (F9) to reshuffle.</t>
  </si>
  <si>
    <t>Summary (simulated annual quality loss)</t>
  </si>
  <si>
    <t xml:space="preserve">  Grey text = notes.</t>
  </si>
  <si>
    <t>Note</t>
  </si>
  <si>
    <t>Design note:</t>
  </si>
  <si>
    <t xml:space="preserve">  The simulation covers the five product-quality risks (R1-R5) only. Supply availability, hub availability, downtime,</t>
  </si>
  <si>
    <t xml:space="preserve">  vendor lock-in and data breach are handled separately on the Model sheet, in their own units, so they are not summed here.</t>
  </si>
  <si>
    <t xml:space="preserve">  The engine implements the same FAIR + Monte Carlo method as The Open Group Open FAIR tool, built into one self-contained,</t>
  </si>
  <si>
    <t xml:space="preserve">  transparent file so every formula is visible and it stands alone as an e-portfolio artefact. The same inputs can be</t>
  </si>
  <si>
    <t xml:space="preserve">  cross-checked in the Open FAIR tool or the YASAI Excel add-in.</t>
  </si>
  <si>
    <t xml:space="preserve">  Results vary slightly each recalculation because the draws are random; more iterations give a smoother estimate.</t>
  </si>
  <si>
    <t>Simulation scope and method:</t>
  </si>
  <si>
    <t xml:space="preserve">Switch costs reflect the ERP/WMS orchestrating the automated warehouses (operational, not just back-office); exit requires re-integrating physical fulfilment.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</si>
</sst>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£#,##0"/>
    <numFmt numFmtId="165" formatCode="0.0%"/>
    <numFmt numFmtId="166" formatCode="0.0"/>
    <numFmt numFmtId="167" formatCode="0.000"/>
    <numFmt numFmtId="168" formatCode="\£#,##0.00"/>
  </numFmts>
  <fonts count="20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7F7F7F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sz val="10"/>
      <color rgb="FF7F7F7F"/>
      <name val="Arial"/>
      <family val="2"/>
    </font>
    <font>
      <b/>
      <sz val="10"/>
      <color rgb="FF1F3864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1"/>
        <bgColor rgb="FF333333"/>
      </patternFill>
    </fill>
    <fill>
      <patternFill patternType="solid">
        <fgColor theme="0" tint="-0.499984740745262"/>
        <bgColor rgb="FF333333"/>
      </patternFill>
    </fill>
    <fill>
      <patternFill patternType="solid">
        <fgColor theme="5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theme="0" tint="-0.24994659260841701"/>
      </top>
      <bottom/>
      <diagonal/>
    </border>
    <border>
      <left/>
      <right style="thick">
        <color rgb="FFBFBFBF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1" fillId="0" borderId="1" xfId="0" applyFont="1" applyBorder="1"/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2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wrapText="1"/>
    </xf>
    <xf numFmtId="2" fontId="2" fillId="2" borderId="2" xfId="0" applyNumberFormat="1" applyFont="1" applyFill="1" applyBorder="1" applyAlignment="1">
      <alignment horizontal="center" vertical="center"/>
    </xf>
    <xf numFmtId="167" fontId="2" fillId="2" borderId="2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0" fontId="0" fillId="0" borderId="4" xfId="0" applyBorder="1"/>
    <xf numFmtId="0" fontId="9" fillId="0" borderId="4" xfId="0" applyFont="1" applyBorder="1"/>
    <xf numFmtId="0" fontId="10" fillId="0" borderId="4" xfId="0" applyFont="1" applyBorder="1"/>
    <xf numFmtId="0" fontId="11" fillId="0" borderId="4" xfId="0" applyFont="1" applyBorder="1"/>
    <xf numFmtId="0" fontId="11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0" fillId="0" borderId="0" xfId="0" applyFont="1"/>
    <xf numFmtId="0" fontId="0" fillId="0" borderId="5" xfId="0" applyBorder="1"/>
    <xf numFmtId="0" fontId="5" fillId="5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zoomScale="110" zoomScaleNormal="110" workbookViewId="0"/>
  </sheetViews>
  <sheetFormatPr baseColWidth="10" defaultColWidth="8.6640625" defaultRowHeight="15" x14ac:dyDescent="0.2"/>
  <cols>
    <col min="1" max="1" width="120" customWidth="1"/>
  </cols>
  <sheetData>
    <row r="1" spans="1:1" ht="20" x14ac:dyDescent="0.2">
      <c r="A1" s="41" t="s">
        <v>145</v>
      </c>
    </row>
    <row r="2" spans="1:1" x14ac:dyDescent="0.2">
      <c r="A2" s="56"/>
    </row>
    <row r="3" spans="1:1" x14ac:dyDescent="0.2">
      <c r="A3" s="56" t="s">
        <v>0</v>
      </c>
    </row>
    <row r="4" spans="1:1" x14ac:dyDescent="0.2">
      <c r="A4" s="56" t="s">
        <v>1</v>
      </c>
    </row>
    <row r="5" spans="1:1" x14ac:dyDescent="0.2">
      <c r="A5" s="56"/>
    </row>
    <row r="6" spans="1:1" x14ac:dyDescent="0.2">
      <c r="A6" s="56"/>
    </row>
    <row r="7" spans="1:1" x14ac:dyDescent="0.2">
      <c r="A7" s="57" t="s">
        <v>2</v>
      </c>
    </row>
    <row r="8" spans="1:1" x14ac:dyDescent="0.2">
      <c r="A8" s="56" t="s">
        <v>3</v>
      </c>
    </row>
    <row r="9" spans="1:1" x14ac:dyDescent="0.2">
      <c r="A9" s="56" t="s">
        <v>4</v>
      </c>
    </row>
    <row r="10" spans="1:1" x14ac:dyDescent="0.2">
      <c r="A10" s="56" t="s">
        <v>5</v>
      </c>
    </row>
    <row r="11" spans="1:1" x14ac:dyDescent="0.2">
      <c r="A11" s="56"/>
    </row>
    <row r="12" spans="1:1" x14ac:dyDescent="0.2">
      <c r="A12" s="57" t="s">
        <v>6</v>
      </c>
    </row>
    <row r="13" spans="1:1" x14ac:dyDescent="0.2">
      <c r="A13" s="58" t="s">
        <v>7</v>
      </c>
    </row>
    <row r="14" spans="1:1" x14ac:dyDescent="0.2">
      <c r="A14" s="56" t="s">
        <v>8</v>
      </c>
    </row>
    <row r="15" spans="1:1" x14ac:dyDescent="0.2">
      <c r="A15" s="56" t="s">
        <v>9</v>
      </c>
    </row>
    <row r="16" spans="1:1" x14ac:dyDescent="0.2">
      <c r="A16" s="56" t="s">
        <v>161</v>
      </c>
    </row>
    <row r="17" spans="1:1" x14ac:dyDescent="0.2">
      <c r="A17" s="56" t="s">
        <v>146</v>
      </c>
    </row>
    <row r="18" spans="1:1" x14ac:dyDescent="0.2">
      <c r="A18" s="56"/>
    </row>
    <row r="19" spans="1:1" x14ac:dyDescent="0.2">
      <c r="A19" s="57" t="s">
        <v>153</v>
      </c>
    </row>
    <row r="20" spans="1:1" x14ac:dyDescent="0.2">
      <c r="A20" s="55" t="s">
        <v>10</v>
      </c>
    </row>
    <row r="21" spans="1:1" x14ac:dyDescent="0.2">
      <c r="A21" s="55" t="s">
        <v>154</v>
      </c>
    </row>
    <row r="22" spans="1:1" x14ac:dyDescent="0.2">
      <c r="A22" s="56"/>
    </row>
    <row r="23" spans="1:1" x14ac:dyDescent="0.2">
      <c r="A23" s="57" t="s">
        <v>163</v>
      </c>
    </row>
    <row r="24" spans="1:1" x14ac:dyDescent="0.2">
      <c r="A24" s="55" t="s">
        <v>11</v>
      </c>
    </row>
    <row r="25" spans="1:1" x14ac:dyDescent="0.2">
      <c r="A25" s="56"/>
    </row>
    <row r="26" spans="1:1" x14ac:dyDescent="0.2">
      <c r="A26" s="57" t="s">
        <v>170</v>
      </c>
    </row>
    <row r="27" spans="1:1" x14ac:dyDescent="0.2">
      <c r="A27" s="55" t="s">
        <v>164</v>
      </c>
    </row>
    <row r="28" spans="1:1" x14ac:dyDescent="0.2">
      <c r="A28" s="55" t="s">
        <v>165</v>
      </c>
    </row>
    <row r="29" spans="1:1" x14ac:dyDescent="0.2">
      <c r="A29" s="55" t="s">
        <v>166</v>
      </c>
    </row>
    <row r="30" spans="1:1" x14ac:dyDescent="0.2">
      <c r="A30" s="55" t="s">
        <v>167</v>
      </c>
    </row>
    <row r="31" spans="1:1" x14ac:dyDescent="0.2">
      <c r="A31" s="55" t="s">
        <v>168</v>
      </c>
    </row>
    <row r="32" spans="1:1" x14ac:dyDescent="0.2">
      <c r="A32" s="55" t="s">
        <v>169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zoomScale="110" zoomScaleNormal="110" workbookViewId="0"/>
  </sheetViews>
  <sheetFormatPr baseColWidth="10" defaultColWidth="8.6640625" defaultRowHeight="15" x14ac:dyDescent="0.2"/>
  <cols>
    <col min="1" max="1" width="34" customWidth="1"/>
    <col min="2" max="4" width="13" customWidth="1"/>
    <col min="5" max="10" width="13.5" customWidth="1"/>
    <col min="12" max="12" width="70" customWidth="1"/>
  </cols>
  <sheetData>
    <row r="1" spans="1:12" ht="18" x14ac:dyDescent="0.2">
      <c r="A1" s="42" t="s">
        <v>147</v>
      </c>
    </row>
    <row r="2" spans="1:12" x14ac:dyDescent="0.2">
      <c r="A2" s="1" t="s">
        <v>12</v>
      </c>
    </row>
    <row r="3" spans="1:12" ht="16" thickBot="1" x14ac:dyDescent="0.25"/>
    <row r="4" spans="1:12" x14ac:dyDescent="0.2">
      <c r="A4" s="39" t="s">
        <v>13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x14ac:dyDescent="0.2">
      <c r="A5" s="43" t="s">
        <v>14</v>
      </c>
      <c r="B5" s="43" t="s">
        <v>15</v>
      </c>
      <c r="C5" s="43" t="s">
        <v>16</v>
      </c>
      <c r="D5" s="43" t="s">
        <v>17</v>
      </c>
      <c r="E5" s="43" t="s">
        <v>18</v>
      </c>
      <c r="L5" s="40" t="s">
        <v>151</v>
      </c>
    </row>
    <row r="6" spans="1:12" ht="20" customHeight="1" x14ac:dyDescent="0.2">
      <c r="A6" s="2" t="s">
        <v>19</v>
      </c>
      <c r="B6" s="3">
        <v>3000000</v>
      </c>
      <c r="C6" s="3">
        <v>7000000</v>
      </c>
      <c r="D6" s="3">
        <v>15000000</v>
      </c>
      <c r="E6" s="4" t="s">
        <v>20</v>
      </c>
      <c r="L6" s="27" t="s">
        <v>21</v>
      </c>
    </row>
    <row r="7" spans="1:12" ht="20" customHeight="1" x14ac:dyDescent="0.2">
      <c r="A7" s="2" t="s">
        <v>22</v>
      </c>
      <c r="B7" s="5">
        <v>0.35</v>
      </c>
      <c r="C7" s="5">
        <v>0.45</v>
      </c>
      <c r="D7" s="5">
        <v>0.55000000000000004</v>
      </c>
      <c r="E7" s="4" t="s">
        <v>23</v>
      </c>
      <c r="L7" s="27" t="s">
        <v>24</v>
      </c>
    </row>
    <row r="8" spans="1:12" ht="20" customHeight="1" x14ac:dyDescent="0.2">
      <c r="A8" s="2" t="s">
        <v>25</v>
      </c>
      <c r="B8" s="5">
        <v>0.25</v>
      </c>
      <c r="C8" s="5">
        <v>0.4</v>
      </c>
      <c r="D8" s="5">
        <v>0.6</v>
      </c>
      <c r="E8" s="4" t="s">
        <v>23</v>
      </c>
      <c r="L8" s="27" t="s">
        <v>26</v>
      </c>
    </row>
    <row r="9" spans="1:12" ht="16" thickBot="1" x14ac:dyDescent="0.25"/>
    <row r="10" spans="1:12" x14ac:dyDescent="0.2">
      <c r="A10" s="38" t="s">
        <v>27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x14ac:dyDescent="0.2">
      <c r="A11" s="43" t="s">
        <v>29</v>
      </c>
      <c r="B11" s="43" t="s">
        <v>30</v>
      </c>
      <c r="C11" s="43" t="s">
        <v>31</v>
      </c>
      <c r="D11" s="44" t="s">
        <v>32</v>
      </c>
      <c r="E11" s="45" t="s">
        <v>33</v>
      </c>
      <c r="F11" s="43" t="s">
        <v>34</v>
      </c>
      <c r="G11" s="44" t="s">
        <v>35</v>
      </c>
      <c r="H11" s="45" t="s">
        <v>36</v>
      </c>
      <c r="I11" s="43" t="s">
        <v>37</v>
      </c>
      <c r="J11" s="43" t="s">
        <v>38</v>
      </c>
      <c r="L11" s="40" t="s">
        <v>28</v>
      </c>
    </row>
    <row r="12" spans="1:12" ht="28" x14ac:dyDescent="0.2">
      <c r="A12" s="6" t="s">
        <v>39</v>
      </c>
      <c r="B12" s="7">
        <v>1</v>
      </c>
      <c r="C12" s="7">
        <v>3</v>
      </c>
      <c r="D12" s="35">
        <v>8</v>
      </c>
      <c r="E12" s="32">
        <v>0.15</v>
      </c>
      <c r="F12" s="8">
        <v>0.3</v>
      </c>
      <c r="G12" s="34">
        <v>0.55000000000000004</v>
      </c>
      <c r="H12" s="33">
        <v>1E-3</v>
      </c>
      <c r="I12" s="9">
        <v>3.0000000000000001E-3</v>
      </c>
      <c r="J12" s="9">
        <v>0.01</v>
      </c>
      <c r="L12" s="28" t="s">
        <v>156</v>
      </c>
    </row>
    <row r="13" spans="1:12" ht="28" x14ac:dyDescent="0.2">
      <c r="A13" s="6" t="s">
        <v>40</v>
      </c>
      <c r="B13" s="7">
        <v>0.5</v>
      </c>
      <c r="C13" s="7">
        <v>2</v>
      </c>
      <c r="D13" s="35">
        <v>5</v>
      </c>
      <c r="E13" s="32">
        <v>0.1</v>
      </c>
      <c r="F13" s="8">
        <v>0.25</v>
      </c>
      <c r="G13" s="34">
        <v>0.5</v>
      </c>
      <c r="H13" s="33">
        <v>1E-3</v>
      </c>
      <c r="I13" s="9">
        <v>4.0000000000000001E-3</v>
      </c>
      <c r="J13" s="9">
        <v>1.4999999999999999E-2</v>
      </c>
      <c r="L13" s="10" t="s">
        <v>41</v>
      </c>
    </row>
    <row r="14" spans="1:12" ht="28" x14ac:dyDescent="0.2">
      <c r="A14" s="6" t="s">
        <v>42</v>
      </c>
      <c r="B14" s="7">
        <v>0.1</v>
      </c>
      <c r="C14" s="7">
        <v>0.25</v>
      </c>
      <c r="D14" s="35">
        <v>0.8</v>
      </c>
      <c r="E14" s="32">
        <v>0.3</v>
      </c>
      <c r="F14" s="8">
        <v>0.6</v>
      </c>
      <c r="G14" s="34">
        <v>0.9</v>
      </c>
      <c r="H14" s="33">
        <v>0.02</v>
      </c>
      <c r="I14" s="9">
        <v>0.05</v>
      </c>
      <c r="J14" s="9">
        <v>0.1</v>
      </c>
      <c r="L14" s="28" t="s">
        <v>148</v>
      </c>
    </row>
    <row r="15" spans="1:12" ht="32" x14ac:dyDescent="0.2">
      <c r="A15" s="6" t="s">
        <v>43</v>
      </c>
      <c r="B15" s="7">
        <v>0.3</v>
      </c>
      <c r="C15" s="7">
        <v>1</v>
      </c>
      <c r="D15" s="35">
        <v>3</v>
      </c>
      <c r="E15" s="32">
        <v>0.2</v>
      </c>
      <c r="F15" s="8">
        <v>0.4</v>
      </c>
      <c r="G15" s="34">
        <v>0.7</v>
      </c>
      <c r="H15" s="33">
        <v>1E-3</v>
      </c>
      <c r="I15" s="9">
        <v>3.5000000000000001E-3</v>
      </c>
      <c r="J15" s="9">
        <v>1.2E-2</v>
      </c>
      <c r="L15" s="31" t="s">
        <v>149</v>
      </c>
    </row>
    <row r="16" spans="1:12" ht="32" x14ac:dyDescent="0.2">
      <c r="A16" s="6" t="s">
        <v>44</v>
      </c>
      <c r="B16" s="7">
        <v>0.2</v>
      </c>
      <c r="C16" s="7">
        <v>0.6</v>
      </c>
      <c r="D16" s="35">
        <v>1.5</v>
      </c>
      <c r="E16" s="32">
        <v>0.4</v>
      </c>
      <c r="F16" s="8">
        <v>0.6</v>
      </c>
      <c r="G16" s="34">
        <v>0.85</v>
      </c>
      <c r="H16" s="33">
        <v>5.0000000000000001E-3</v>
      </c>
      <c r="I16" s="9">
        <v>0.01</v>
      </c>
      <c r="J16" s="9">
        <v>0.03</v>
      </c>
      <c r="L16" s="31" t="s">
        <v>149</v>
      </c>
    </row>
    <row r="18" spans="1:12" x14ac:dyDescent="0.2">
      <c r="A18" s="1" t="s">
        <v>45</v>
      </c>
    </row>
    <row r="19" spans="1:12" ht="16" thickBot="1" x14ac:dyDescent="0.25"/>
    <row r="20" spans="1:12" x14ac:dyDescent="0.2">
      <c r="A20" s="39" t="s">
        <v>46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2" x14ac:dyDescent="0.2">
      <c r="A21" s="43" t="s">
        <v>14</v>
      </c>
      <c r="B21" s="43" t="s">
        <v>15</v>
      </c>
      <c r="C21" s="43" t="s">
        <v>16</v>
      </c>
      <c r="D21" s="43" t="s">
        <v>17</v>
      </c>
      <c r="L21" s="40" t="s">
        <v>152</v>
      </c>
    </row>
    <row r="22" spans="1:12" ht="28" x14ac:dyDescent="0.2">
      <c r="A22" s="6" t="s">
        <v>47</v>
      </c>
      <c r="B22" s="7">
        <v>0.8</v>
      </c>
      <c r="C22" s="7">
        <v>1.5</v>
      </c>
      <c r="D22" s="7">
        <v>3.5</v>
      </c>
      <c r="L22" s="28" t="s">
        <v>150</v>
      </c>
    </row>
    <row r="23" spans="1:12" ht="32" x14ac:dyDescent="0.2">
      <c r="A23" s="6" t="s">
        <v>48</v>
      </c>
      <c r="B23" s="11">
        <v>3</v>
      </c>
      <c r="C23" s="11">
        <v>10</v>
      </c>
      <c r="D23" s="11">
        <v>80</v>
      </c>
      <c r="L23" s="31" t="s">
        <v>149</v>
      </c>
    </row>
    <row r="24" spans="1:12" ht="32" x14ac:dyDescent="0.2">
      <c r="A24" s="6" t="s">
        <v>49</v>
      </c>
      <c r="B24" s="11">
        <v>42</v>
      </c>
      <c r="L24" s="31" t="s">
        <v>149</v>
      </c>
    </row>
    <row r="25" spans="1:12" ht="16" thickBot="1" x14ac:dyDescent="0.25"/>
    <row r="26" spans="1:12" x14ac:dyDescent="0.2">
      <c r="A26" s="39" t="s">
        <v>50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</row>
    <row r="27" spans="1:12" ht="20" customHeight="1" x14ac:dyDescent="0.2">
      <c r="A27" s="6" t="s">
        <v>51</v>
      </c>
      <c r="B27" s="5">
        <v>0.05</v>
      </c>
      <c r="L27" s="28" t="s">
        <v>155</v>
      </c>
    </row>
    <row r="28" spans="1:12" ht="16" thickBot="1" x14ac:dyDescent="0.25"/>
    <row r="29" spans="1:12" x14ac:dyDescent="0.2">
      <c r="A29" s="39" t="s">
        <v>52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1:12" ht="20" customHeight="1" x14ac:dyDescent="0.2">
      <c r="A30" s="6" t="s">
        <v>53</v>
      </c>
      <c r="B30" s="8">
        <v>5.26</v>
      </c>
      <c r="L30" s="29" t="s">
        <v>54</v>
      </c>
    </row>
    <row r="31" spans="1:12" ht="16" thickBot="1" x14ac:dyDescent="0.25"/>
    <row r="32" spans="1:12" x14ac:dyDescent="0.2">
      <c r="A32" s="39" t="s">
        <v>55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</row>
    <row r="33" spans="1:12" x14ac:dyDescent="0.2">
      <c r="A33" s="43" t="s">
        <v>56</v>
      </c>
      <c r="B33" s="43" t="s">
        <v>15</v>
      </c>
      <c r="C33" s="43" t="s">
        <v>16</v>
      </c>
      <c r="D33" s="43" t="s">
        <v>17</v>
      </c>
      <c r="L33" s="60" t="s">
        <v>152</v>
      </c>
    </row>
    <row r="34" spans="1:12" ht="20" customHeight="1" x14ac:dyDescent="0.2">
      <c r="A34" s="6" t="s">
        <v>57</v>
      </c>
      <c r="B34" s="5">
        <v>0.3</v>
      </c>
    </row>
    <row r="35" spans="1:12" ht="20" customHeight="1" x14ac:dyDescent="0.2">
      <c r="A35" s="6" t="s">
        <v>58</v>
      </c>
      <c r="B35" s="3">
        <v>350</v>
      </c>
      <c r="C35" s="3">
        <v>600</v>
      </c>
      <c r="D35" s="3">
        <v>1000</v>
      </c>
      <c r="L35" s="59" t="s">
        <v>171</v>
      </c>
    </row>
    <row r="36" spans="1:12" ht="20" customHeight="1" x14ac:dyDescent="0.2">
      <c r="A36" s="6" t="s">
        <v>59</v>
      </c>
      <c r="B36" s="3">
        <v>100</v>
      </c>
      <c r="C36" s="3">
        <v>200</v>
      </c>
      <c r="D36" s="3">
        <v>400</v>
      </c>
      <c r="L36" s="59"/>
    </row>
    <row r="37" spans="1:12" ht="16" thickBot="1" x14ac:dyDescent="0.25"/>
    <row r="38" spans="1:12" x14ac:dyDescent="0.2">
      <c r="A38" s="39" t="s">
        <v>60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spans="1:12" x14ac:dyDescent="0.2">
      <c r="A39" s="43" t="s">
        <v>14</v>
      </c>
      <c r="B39" s="43" t="s">
        <v>15</v>
      </c>
      <c r="C39" s="43" t="s">
        <v>16</v>
      </c>
      <c r="D39" s="43" t="s">
        <v>17</v>
      </c>
      <c r="L39" s="40" t="s">
        <v>152</v>
      </c>
    </row>
    <row r="40" spans="1:12" ht="28" x14ac:dyDescent="0.2">
      <c r="A40" s="6" t="s">
        <v>61</v>
      </c>
      <c r="B40" s="5">
        <v>0.15</v>
      </c>
      <c r="L40" s="10" t="s">
        <v>62</v>
      </c>
    </row>
    <row r="41" spans="1:12" ht="32" x14ac:dyDescent="0.2">
      <c r="A41" s="6" t="s">
        <v>63</v>
      </c>
      <c r="B41" s="5">
        <v>0.02</v>
      </c>
      <c r="C41" s="5">
        <v>0.04</v>
      </c>
      <c r="D41" s="5">
        <v>0.08</v>
      </c>
      <c r="L41" s="31" t="s">
        <v>149</v>
      </c>
    </row>
  </sheetData>
  <mergeCells count="1">
    <mergeCell ref="L35:L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zoomScaleNormal="100" workbookViewId="0"/>
  </sheetViews>
  <sheetFormatPr baseColWidth="10" defaultColWidth="8.6640625" defaultRowHeight="15" x14ac:dyDescent="0.2"/>
  <cols>
    <col min="1" max="1" width="42" customWidth="1"/>
    <col min="2" max="2" width="15" customWidth="1"/>
    <col min="3" max="4" width="12" customWidth="1"/>
    <col min="5" max="5" width="15" customWidth="1"/>
    <col min="6" max="6" width="17" customWidth="1"/>
    <col min="8" max="13" width="8" customWidth="1"/>
  </cols>
  <sheetData>
    <row r="1" spans="1:13" ht="18" x14ac:dyDescent="0.2">
      <c r="A1" s="42" t="s">
        <v>157</v>
      </c>
    </row>
    <row r="2" spans="1:13" x14ac:dyDescent="0.2">
      <c r="A2" s="1" t="s">
        <v>64</v>
      </c>
    </row>
    <row r="3" spans="1:13" ht="16" thickBot="1" x14ac:dyDescent="0.25"/>
    <row r="4" spans="1:13" x14ac:dyDescent="0.2">
      <c r="A4" s="39" t="s">
        <v>65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x14ac:dyDescent="0.2">
      <c r="A5" s="43" t="s">
        <v>29</v>
      </c>
      <c r="B5" s="43" t="s">
        <v>66</v>
      </c>
      <c r="C5" s="43" t="s">
        <v>67</v>
      </c>
      <c r="D5" s="43" t="s">
        <v>68</v>
      </c>
      <c r="E5" s="43" t="s">
        <v>69</v>
      </c>
      <c r="F5" s="43" t="s">
        <v>70</v>
      </c>
      <c r="H5" s="43" t="s">
        <v>71</v>
      </c>
      <c r="I5" s="43" t="s">
        <v>72</v>
      </c>
      <c r="J5" s="43" t="s">
        <v>73</v>
      </c>
      <c r="K5" s="43" t="s">
        <v>74</v>
      </c>
      <c r="L5" s="43" t="s">
        <v>75</v>
      </c>
      <c r="M5" s="43" t="s">
        <v>76</v>
      </c>
    </row>
    <row r="6" spans="1:13" x14ac:dyDescent="0.2">
      <c r="A6" s="12" t="str">
        <f>Inputs!A12</f>
        <v>R1 Cold-chain excursion</v>
      </c>
      <c r="B6" s="13">
        <f>(Inputs!B12+4*Inputs!C12+Inputs!D12)/6</f>
        <v>3.5</v>
      </c>
      <c r="C6" s="13">
        <f>(Inputs!E12+4*Inputs!F12+Inputs!G12)/6</f>
        <v>0.31666666666666665</v>
      </c>
      <c r="D6" s="13">
        <f>B6*C6</f>
        <v>1.1083333333333334</v>
      </c>
      <c r="E6" s="14">
        <f>((Inputs!H12+4*Inputs!I12+Inputs!J12)/6)*Inputs!$C$6</f>
        <v>26833.333333333332</v>
      </c>
      <c r="F6" s="14">
        <f>D6*E6</f>
        <v>29740.277777777777</v>
      </c>
      <c r="H6" s="13">
        <f>1+4*(Inputs!C12-Inputs!B12)/(Inputs!D12-Inputs!B12)</f>
        <v>2.1428571428571428</v>
      </c>
      <c r="I6" s="13">
        <f>1+4*(Inputs!D12-Inputs!C12)/(Inputs!D12-Inputs!B12)</f>
        <v>3.8571428571428572</v>
      </c>
      <c r="J6" s="13">
        <f>1+4*(Inputs!F12-Inputs!E12)/(Inputs!G12-Inputs!E12)</f>
        <v>2.5</v>
      </c>
      <c r="K6" s="13">
        <f>1+4*(Inputs!G12-Inputs!F12)/(Inputs!G12-Inputs!E12)</f>
        <v>3.5000000000000004</v>
      </c>
      <c r="L6" s="13">
        <f>1+4*(Inputs!I12-Inputs!H12)/(Inputs!J12-Inputs!H12)</f>
        <v>1.8888888888888888</v>
      </c>
      <c r="M6" s="13">
        <f>1+4*(Inputs!J12-Inputs!I12)/(Inputs!J12-Inputs!H12)</f>
        <v>4.1111111111111107</v>
      </c>
    </row>
    <row r="7" spans="1:13" x14ac:dyDescent="0.2">
      <c r="A7" s="12" t="str">
        <f>Inputs!A13</f>
        <v>R2 Transit delay / spoilage</v>
      </c>
      <c r="B7" s="13">
        <f>(Inputs!B13+4*Inputs!C13+Inputs!D13)/6</f>
        <v>2.25</v>
      </c>
      <c r="C7" s="13">
        <f>(Inputs!E13+4*Inputs!F13+Inputs!G13)/6</f>
        <v>0.26666666666666666</v>
      </c>
      <c r="D7" s="13">
        <f>B7*C7</f>
        <v>0.6</v>
      </c>
      <c r="E7" s="14">
        <f>((Inputs!H13+4*Inputs!I13+Inputs!J13)/6)*Inputs!$C$6</f>
        <v>37333.333333333328</v>
      </c>
      <c r="F7" s="14">
        <f>D7*E7</f>
        <v>22399.999999999996</v>
      </c>
      <c r="H7" s="13">
        <f>1+4*(Inputs!C13-Inputs!B13)/(Inputs!D13-Inputs!B13)</f>
        <v>2.333333333333333</v>
      </c>
      <c r="I7" s="13">
        <f>1+4*(Inputs!D13-Inputs!C13)/(Inputs!D13-Inputs!B13)</f>
        <v>3.6666666666666665</v>
      </c>
      <c r="J7" s="13">
        <f>1+4*(Inputs!F13-Inputs!E13)/(Inputs!G13-Inputs!E13)</f>
        <v>2.5</v>
      </c>
      <c r="K7" s="13">
        <f>1+4*(Inputs!G13-Inputs!F13)/(Inputs!G13-Inputs!E13)</f>
        <v>3.5</v>
      </c>
      <c r="L7" s="13">
        <f>1+4*(Inputs!I13-Inputs!H13)/(Inputs!J13-Inputs!H13)</f>
        <v>1.8571428571428572</v>
      </c>
      <c r="M7" s="13">
        <f>1+4*(Inputs!J13-Inputs!I13)/(Inputs!J13-Inputs!H13)</f>
        <v>4.1428571428571423</v>
      </c>
    </row>
    <row r="8" spans="1:13" x14ac:dyDescent="0.2">
      <c r="A8" s="12" t="str">
        <f>Inputs!A14</f>
        <v>R3 Contamination / recall</v>
      </c>
      <c r="B8" s="13">
        <f>(Inputs!B14+4*Inputs!C14+Inputs!D14)/6</f>
        <v>0.31666666666666671</v>
      </c>
      <c r="C8" s="13">
        <f>(Inputs!E14+4*Inputs!F14+Inputs!G14)/6</f>
        <v>0.6</v>
      </c>
      <c r="D8" s="13">
        <f>B8*C8</f>
        <v>0.19000000000000003</v>
      </c>
      <c r="E8" s="14">
        <f>((Inputs!H14+4*Inputs!I14+Inputs!J14)/6)*Inputs!$C$6</f>
        <v>373333.33333333337</v>
      </c>
      <c r="F8" s="14">
        <f>D8*E8</f>
        <v>70933.333333333358</v>
      </c>
      <c r="H8" s="13">
        <f>1+4*(Inputs!C14-Inputs!B14)/(Inputs!D14-Inputs!B14)</f>
        <v>1.857142857142857</v>
      </c>
      <c r="I8" s="13">
        <f>1+4*(Inputs!D14-Inputs!C14)/(Inputs!D14-Inputs!B14)</f>
        <v>4.1428571428571423</v>
      </c>
      <c r="J8" s="13">
        <f>1+4*(Inputs!F14-Inputs!E14)/(Inputs!G14-Inputs!E14)</f>
        <v>2.9999999999999996</v>
      </c>
      <c r="K8" s="13">
        <f>1+4*(Inputs!G14-Inputs!F14)/(Inputs!G14-Inputs!E14)</f>
        <v>3</v>
      </c>
      <c r="L8" s="13">
        <f>1+4*(Inputs!I14-Inputs!H14)/(Inputs!J14-Inputs!H14)</f>
        <v>2.5</v>
      </c>
      <c r="M8" s="13">
        <f>1+4*(Inputs!J14-Inputs!I14)/(Inputs!J14-Inputs!H14)</f>
        <v>3.5</v>
      </c>
    </row>
    <row r="9" spans="1:13" x14ac:dyDescent="0.2">
      <c r="A9" s="12" t="str">
        <f>Inputs!A15</f>
        <v>R4 Supplier quality drift</v>
      </c>
      <c r="B9" s="13">
        <f>(Inputs!B15+4*Inputs!C15+Inputs!D15)/6</f>
        <v>1.2166666666666666</v>
      </c>
      <c r="C9" s="13">
        <f>(Inputs!E15+4*Inputs!F15+Inputs!G15)/6</f>
        <v>0.41666666666666669</v>
      </c>
      <c r="D9" s="13">
        <f>B9*C9</f>
        <v>0.50694444444444442</v>
      </c>
      <c r="E9" s="14">
        <f>((Inputs!H15+4*Inputs!I15+Inputs!J15)/6)*Inputs!$C$6</f>
        <v>31499.999999999996</v>
      </c>
      <c r="F9" s="14">
        <f>D9*E9</f>
        <v>15968.749999999998</v>
      </c>
      <c r="H9" s="13">
        <f>1+4*(Inputs!C15-Inputs!B15)/(Inputs!D15-Inputs!B15)</f>
        <v>2.0370370370370372</v>
      </c>
      <c r="I9" s="13">
        <f>1+4*(Inputs!D15-Inputs!C15)/(Inputs!D15-Inputs!B15)</f>
        <v>3.9629629629629628</v>
      </c>
      <c r="J9" s="13">
        <f>1+4*(Inputs!F15-Inputs!E15)/(Inputs!G15-Inputs!E15)</f>
        <v>2.6000000000000005</v>
      </c>
      <c r="K9" s="13">
        <f>1+4*(Inputs!G15-Inputs!F15)/(Inputs!G15-Inputs!E15)</f>
        <v>3.4</v>
      </c>
      <c r="L9" s="13">
        <f>1+4*(Inputs!I15-Inputs!H15)/(Inputs!J15-Inputs!H15)</f>
        <v>1.9090909090909092</v>
      </c>
      <c r="M9" s="13">
        <f>1+4*(Inputs!J15-Inputs!I15)/(Inputs!J15-Inputs!H15)</f>
        <v>4.0909090909090917</v>
      </c>
    </row>
    <row r="10" spans="1:13" x14ac:dyDescent="0.2">
      <c r="A10" s="12" t="str">
        <f>Inputs!A16</f>
        <v>R5 Inter-hub variance</v>
      </c>
      <c r="B10" s="13">
        <f>(Inputs!B16+4*Inputs!C16+Inputs!D16)/6</f>
        <v>0.68333333333333324</v>
      </c>
      <c r="C10" s="13">
        <f>(Inputs!E16+4*Inputs!F16+Inputs!G16)/6</f>
        <v>0.60833333333333328</v>
      </c>
      <c r="D10" s="13">
        <f>B10*C10</f>
        <v>0.41569444444444437</v>
      </c>
      <c r="E10" s="14">
        <f>((Inputs!H16+4*Inputs!I16+Inputs!J16)/6)*Inputs!$C$6</f>
        <v>87499.999999999985</v>
      </c>
      <c r="F10" s="14">
        <f>D10*E10</f>
        <v>36373.263888888876</v>
      </c>
      <c r="H10" s="13">
        <f>1+4*(Inputs!C16-Inputs!B16)/(Inputs!D16-Inputs!B16)</f>
        <v>2.2307692307692308</v>
      </c>
      <c r="I10" s="13">
        <f>1+4*(Inputs!D16-Inputs!C16)/(Inputs!D16-Inputs!B16)</f>
        <v>3.7692307692307692</v>
      </c>
      <c r="J10" s="13">
        <f>1+4*(Inputs!F16-Inputs!E16)/(Inputs!G16-Inputs!E16)</f>
        <v>2.7777777777777777</v>
      </c>
      <c r="K10" s="13">
        <f>1+4*(Inputs!G16-Inputs!F16)/(Inputs!G16-Inputs!E16)</f>
        <v>3.2222222222222223</v>
      </c>
      <c r="L10" s="13">
        <f>1+4*(Inputs!I16-Inputs!H16)/(Inputs!J16-Inputs!H16)</f>
        <v>1.8</v>
      </c>
      <c r="M10" s="13">
        <f>1+4*(Inputs!J16-Inputs!I16)/(Inputs!J16-Inputs!H16)</f>
        <v>4.1999999999999993</v>
      </c>
    </row>
    <row r="11" spans="1:13" x14ac:dyDescent="0.2">
      <c r="A11" s="15" t="s">
        <v>77</v>
      </c>
      <c r="D11" s="16">
        <f>SUM(D6:D10)</f>
        <v>2.8209722222222222</v>
      </c>
      <c r="F11" s="17">
        <f>SUM(F6:F10)</f>
        <v>175415.625</v>
      </c>
      <c r="H11" s="29" t="s">
        <v>162</v>
      </c>
    </row>
    <row r="13" spans="1:13" x14ac:dyDescent="0.2">
      <c r="A13" s="18" t="s">
        <v>78</v>
      </c>
      <c r="B13" s="19">
        <f>1-EXP(-D11)</f>
        <v>0.94045197935201896</v>
      </c>
    </row>
    <row r="14" spans="1:13" x14ac:dyDescent="0.2">
      <c r="A14" s="18" t="s">
        <v>79</v>
      </c>
      <c r="B14" s="19">
        <f>1-EXP(-D8)</f>
        <v>0.17304086605663771</v>
      </c>
    </row>
    <row r="15" spans="1:13" x14ac:dyDescent="0.2">
      <c r="A15" s="18" t="s">
        <v>80</v>
      </c>
      <c r="B15" s="19">
        <f>1-EXP(-D10)</f>
        <v>0.34011812974567768</v>
      </c>
    </row>
    <row r="16" spans="1:13" x14ac:dyDescent="0.2">
      <c r="A16" s="18" t="s">
        <v>81</v>
      </c>
      <c r="B16" s="20">
        <f>F11</f>
        <v>175415.625</v>
      </c>
    </row>
    <row r="18" spans="1:13" ht="16" thickBot="1" x14ac:dyDescent="0.25"/>
    <row r="19" spans="1:13" x14ac:dyDescent="0.2">
      <c r="A19" s="39" t="s">
        <v>82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1:13" x14ac:dyDescent="0.2">
      <c r="A20" s="18" t="s">
        <v>83</v>
      </c>
      <c r="B20" s="21">
        <f>Inputs!C6/365</f>
        <v>19178.082191780821</v>
      </c>
    </row>
    <row r="21" spans="1:13" x14ac:dyDescent="0.2">
      <c r="A21" s="18" t="s">
        <v>84</v>
      </c>
      <c r="B21" s="21">
        <f>Inputs!C6*Inputs!C7/365</f>
        <v>8630.1369863013697</v>
      </c>
    </row>
    <row r="22" spans="1:13" x14ac:dyDescent="0.2">
      <c r="A22" s="18" t="s">
        <v>85</v>
      </c>
      <c r="B22" s="22">
        <f>Inputs!C6*Inputs!C8/525600</f>
        <v>5.3272450532724509</v>
      </c>
    </row>
    <row r="23" spans="1:13" x14ac:dyDescent="0.2">
      <c r="A23" s="18" t="s">
        <v>86</v>
      </c>
      <c r="B23" s="21">
        <f>Inputs!C6*Inputs!C8/525600*60</f>
        <v>319.63470319634706</v>
      </c>
    </row>
    <row r="24" spans="1:13" ht="16" thickBot="1" x14ac:dyDescent="0.25"/>
    <row r="25" spans="1:13" x14ac:dyDescent="0.2">
      <c r="A25" s="39" t="s">
        <v>87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spans="1:13" x14ac:dyDescent="0.2">
      <c r="A26" s="18" t="s">
        <v>88</v>
      </c>
      <c r="B26" s="23">
        <f>(Inputs!B22+4*Inputs!C22+Inputs!D22)/6</f>
        <v>1.7166666666666668</v>
      </c>
    </row>
    <row r="27" spans="1:13" x14ac:dyDescent="0.2">
      <c r="A27" s="18" t="s">
        <v>89</v>
      </c>
      <c r="B27" s="23">
        <f>1+4*(Inputs!C23-Inputs!B23)/(Inputs!D23-Inputs!B23)</f>
        <v>1.3636363636363638</v>
      </c>
      <c r="C27" s="23">
        <f>1+4*(Inputs!D23-Inputs!C23)/(Inputs!D23-Inputs!B23)</f>
        <v>4.6363636363636367</v>
      </c>
    </row>
    <row r="28" spans="1:13" x14ac:dyDescent="0.2">
      <c r="A28" s="30" t="s">
        <v>158</v>
      </c>
    </row>
    <row r="29" spans="1:13" x14ac:dyDescent="0.2">
      <c r="A29" s="43" t="s">
        <v>90</v>
      </c>
      <c r="B29" s="43" t="s">
        <v>91</v>
      </c>
    </row>
    <row r="30" spans="1:13" x14ac:dyDescent="0.2">
      <c r="A30" s="24">
        <v>14</v>
      </c>
      <c r="B30" s="25">
        <f>1-EXP(-B$26*(1-BETADIST((A30-Inputs!B23)/(Inputs!D23-Inputs!B23),B$27,C$27)))</f>
        <v>0.66409876201904305</v>
      </c>
    </row>
    <row r="31" spans="1:13" x14ac:dyDescent="0.2">
      <c r="A31" s="24">
        <v>21</v>
      </c>
      <c r="B31" s="25">
        <f>1-EXP(-B$26*(1-BETADIST((A31-Inputs!B23)/(Inputs!D23-Inputs!B23),B$27,C$27)))</f>
        <v>0.5088697096394712</v>
      </c>
    </row>
    <row r="32" spans="1:13" x14ac:dyDescent="0.2">
      <c r="A32" s="24">
        <v>28</v>
      </c>
      <c r="B32" s="25">
        <f>1-EXP(-B$26*(1-BETADIST((A32-Inputs!B23)/(Inputs!D23-Inputs!B23),B$27,C$27)))</f>
        <v>0.34639894200405963</v>
      </c>
    </row>
    <row r="33" spans="1:13" x14ac:dyDescent="0.2">
      <c r="A33" s="24">
        <v>42</v>
      </c>
      <c r="B33" s="25">
        <f>1-EXP(-B$26*(1-BETADIST((A33-Inputs!B23)/(Inputs!D23-Inputs!B23),B$27,C$27)))</f>
        <v>0.10487549486819103</v>
      </c>
    </row>
    <row r="34" spans="1:13" x14ac:dyDescent="0.2">
      <c r="A34" s="24">
        <v>60</v>
      </c>
      <c r="B34" s="25">
        <f>1-EXP(-B$26*(1-BETADIST((A34-Inputs!B23)/(Inputs!D23-Inputs!B23),B$27,C$27)))</f>
        <v>6.2464760007889808E-3</v>
      </c>
    </row>
    <row r="35" spans="1:13" ht="28" x14ac:dyDescent="0.2">
      <c r="A35" s="18" t="s">
        <v>92</v>
      </c>
      <c r="B35" s="21">
        <f>Inputs!C6*Inputs!C7/365</f>
        <v>8630.1369863013697</v>
      </c>
    </row>
    <row r="36" spans="1:13" x14ac:dyDescent="0.2">
      <c r="A36" s="29" t="s">
        <v>93</v>
      </c>
    </row>
    <row r="37" spans="1:13" ht="16" thickBot="1" x14ac:dyDescent="0.25"/>
    <row r="38" spans="1:13" x14ac:dyDescent="0.2">
      <c r="A38" s="39" t="s">
        <v>94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1:13" x14ac:dyDescent="0.2">
      <c r="A39" s="18" t="s">
        <v>95</v>
      </c>
      <c r="B39" s="26">
        <f>3*Inputs!B27^2*(1-Inputs!B27)+Inputs!B27^3</f>
        <v>7.2500000000000012E-3</v>
      </c>
    </row>
    <row r="40" spans="1:13" ht="16" thickBot="1" x14ac:dyDescent="0.25"/>
    <row r="41" spans="1:13" x14ac:dyDescent="0.2">
      <c r="A41" s="39" t="s">
        <v>96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 x14ac:dyDescent="0.2">
      <c r="A42" s="18" t="s">
        <v>97</v>
      </c>
      <c r="B42" s="21">
        <f>Inputs!C6*Inputs!C8/525600*Inputs!B30</f>
        <v>28.021308980213092</v>
      </c>
    </row>
    <row r="43" spans="1:13" x14ac:dyDescent="0.2">
      <c r="A43" s="29" t="s">
        <v>98</v>
      </c>
    </row>
    <row r="44" spans="1:13" ht="16" thickBot="1" x14ac:dyDescent="0.25"/>
    <row r="45" spans="1:13" x14ac:dyDescent="0.2">
      <c r="A45" s="39" t="s">
        <v>55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 x14ac:dyDescent="0.2">
      <c r="A46" s="18" t="s">
        <v>99</v>
      </c>
      <c r="B46" s="21">
        <f>(Inputs!B35+4*Inputs!C35+Inputs!D35)/6</f>
        <v>625</v>
      </c>
    </row>
    <row r="47" spans="1:13" x14ac:dyDescent="0.2">
      <c r="A47" s="18" t="s">
        <v>100</v>
      </c>
      <c r="B47" s="21">
        <f>(Inputs!B36+4*Inputs!C36+Inputs!D36)/6</f>
        <v>216.66666666666666</v>
      </c>
    </row>
    <row r="48" spans="1:13" x14ac:dyDescent="0.2">
      <c r="A48" s="18" t="s">
        <v>101</v>
      </c>
      <c r="B48" s="20">
        <f>Inputs!B34*(B46-B47)</f>
        <v>122.5</v>
      </c>
    </row>
    <row r="49" spans="1:13" ht="16" thickBot="1" x14ac:dyDescent="0.25"/>
    <row r="50" spans="1:13" x14ac:dyDescent="0.2">
      <c r="A50" s="39" t="s">
        <v>60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 x14ac:dyDescent="0.2">
      <c r="A51" s="18" t="s">
        <v>102</v>
      </c>
      <c r="B51" s="21">
        <f>((Inputs!B41+4*Inputs!C41+Inputs!D41)/6)*Inputs!C6</f>
        <v>303333.33333333337</v>
      </c>
    </row>
    <row r="52" spans="1:13" x14ac:dyDescent="0.2">
      <c r="A52" s="18" t="s">
        <v>103</v>
      </c>
      <c r="B52" s="20">
        <f>Inputs!B40*B51</f>
        <v>45500.000000000007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E6:E10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1011"/>
  <sheetViews>
    <sheetView zoomScaleNormal="100" workbookViewId="0">
      <pane ySplit="11" topLeftCell="A12" activePane="bottomLeft" state="frozen"/>
      <selection pane="bottomLeft"/>
    </sheetView>
  </sheetViews>
  <sheetFormatPr baseColWidth="10" defaultColWidth="8.6640625" defaultRowHeight="15" x14ac:dyDescent="0.2"/>
  <cols>
    <col min="1" max="37" width="8.83203125" customWidth="1"/>
  </cols>
  <sheetData>
    <row r="2" spans="1:37" x14ac:dyDescent="0.2">
      <c r="A2" s="46" t="s">
        <v>160</v>
      </c>
    </row>
    <row r="3" spans="1:37" x14ac:dyDescent="0.2">
      <c r="A3" s="53" t="s">
        <v>141</v>
      </c>
      <c r="B3" s="53"/>
      <c r="C3" s="54">
        <f ca="1">AVERAGE(AK12:AK1011)</f>
        <v>169364.74035503587</v>
      </c>
    </row>
    <row r="4" spans="1:37" x14ac:dyDescent="0.2">
      <c r="A4" s="52" t="s">
        <v>142</v>
      </c>
      <c r="C4" s="54">
        <f ca="1">MEDIAN(AK12:AK1011)</f>
        <v>108457.25366110825</v>
      </c>
    </row>
    <row r="5" spans="1:37" x14ac:dyDescent="0.2">
      <c r="A5" s="52" t="s">
        <v>143</v>
      </c>
      <c r="C5" s="54">
        <f ca="1">PERCENTILE(AK12:AK1011,0.9)</f>
        <v>448901.86186600494</v>
      </c>
    </row>
    <row r="6" spans="1:37" x14ac:dyDescent="0.2">
      <c r="A6" s="52" t="s">
        <v>144</v>
      </c>
      <c r="C6" s="54">
        <f ca="1">PERCENTILE(AK12:AK1011,0.95)</f>
        <v>560636.32312539523</v>
      </c>
    </row>
    <row r="8" spans="1:37" x14ac:dyDescent="0.2">
      <c r="A8" s="46" t="s">
        <v>159</v>
      </c>
    </row>
    <row r="9" spans="1:37" x14ac:dyDescent="0.2">
      <c r="A9" s="1" t="s">
        <v>104</v>
      </c>
    </row>
    <row r="11" spans="1:37" x14ac:dyDescent="0.2">
      <c r="B11" s="43" t="s">
        <v>105</v>
      </c>
      <c r="C11" s="43" t="s">
        <v>106</v>
      </c>
      <c r="D11" s="43" t="s">
        <v>107</v>
      </c>
      <c r="E11" s="43" t="s">
        <v>108</v>
      </c>
      <c r="F11" s="43" t="s">
        <v>109</v>
      </c>
      <c r="G11" s="43" t="s">
        <v>110</v>
      </c>
      <c r="H11" s="44" t="s">
        <v>111</v>
      </c>
      <c r="I11" s="48" t="s">
        <v>112</v>
      </c>
      <c r="J11" s="49" t="s">
        <v>113</v>
      </c>
      <c r="K11" s="49" t="s">
        <v>114</v>
      </c>
      <c r="L11" s="49" t="s">
        <v>115</v>
      </c>
      <c r="M11" s="49" t="s">
        <v>116</v>
      </c>
      <c r="N11" s="49" t="s">
        <v>117</v>
      </c>
      <c r="O11" s="50" t="s">
        <v>118</v>
      </c>
      <c r="P11" s="45" t="s">
        <v>119</v>
      </c>
      <c r="Q11" s="43" t="s">
        <v>120</v>
      </c>
      <c r="R11" s="43" t="s">
        <v>121</v>
      </c>
      <c r="S11" s="43" t="s">
        <v>122</v>
      </c>
      <c r="T11" s="43" t="s">
        <v>123</v>
      </c>
      <c r="U11" s="43" t="s">
        <v>124</v>
      </c>
      <c r="V11" s="44" t="s">
        <v>125</v>
      </c>
      <c r="W11" s="48" t="s">
        <v>126</v>
      </c>
      <c r="X11" s="49" t="s">
        <v>127</v>
      </c>
      <c r="Y11" s="49" t="s">
        <v>128</v>
      </c>
      <c r="Z11" s="49" t="s">
        <v>129</v>
      </c>
      <c r="AA11" s="49" t="s">
        <v>130</v>
      </c>
      <c r="AB11" s="49" t="s">
        <v>131</v>
      </c>
      <c r="AC11" s="50" t="s">
        <v>132</v>
      </c>
      <c r="AD11" s="45" t="s">
        <v>133</v>
      </c>
      <c r="AE11" s="43" t="s">
        <v>134</v>
      </c>
      <c r="AF11" s="43" t="s">
        <v>135</v>
      </c>
      <c r="AG11" s="43" t="s">
        <v>136</v>
      </c>
      <c r="AH11" s="43" t="s">
        <v>137</v>
      </c>
      <c r="AI11" s="43" t="s">
        <v>138</v>
      </c>
      <c r="AJ11" s="44" t="s">
        <v>139</v>
      </c>
      <c r="AK11" s="51" t="s">
        <v>140</v>
      </c>
    </row>
    <row r="12" spans="1:37" x14ac:dyDescent="0.2">
      <c r="B12">
        <f ca="1">Inputs!B12+(Inputs!D12-Inputs!B12)*BETAINV(RAND(),Model!H6,Model!I6)</f>
        <v>3.4165347039117377</v>
      </c>
      <c r="C12">
        <f ca="1">Inputs!E12+(Inputs!G12-Inputs!E12)*BETAINV(RAND(),Model!J6,Model!K6)</f>
        <v>0.31316025562170591</v>
      </c>
      <c r="D12">
        <f ca="1">(Inputs!H12+(Inputs!J12-Inputs!H12)*BETAINV(RAND(),Model!L6,Model!M6))*Inputs!$C$6</f>
        <v>41359.902296982094</v>
      </c>
      <c r="E12">
        <f t="shared" ref="E12:E75" ca="1" si="0">B12*C12</f>
        <v>1.0699228812174291</v>
      </c>
      <c r="F12">
        <f t="shared" ref="F12:F75" ca="1" si="1">RAND()</f>
        <v>0.46571480214060434</v>
      </c>
      <c r="G12">
        <f t="shared" ref="G12:G75" ca="1" si="2">IF(F12&lt;EXP(-E12),0,IF(F12&lt;EXP(-E12)*(1+E12),1,IF(F12&lt;EXP(-E12)*(1+E12+E12^2/2),2,IF(F12&lt;EXP(-E12)*(1+E12+E12^2/2+E12^3/6),3,4))))</f>
        <v>1</v>
      </c>
      <c r="H12" s="47">
        <f t="shared" ref="H12:H75" ca="1" si="3">G12*D12</f>
        <v>41359.902296982094</v>
      </c>
      <c r="I12">
        <f ca="1">Inputs!B13+(Inputs!D13-Inputs!B13)*BETAINV(RAND(),Model!H7,Model!I7)</f>
        <v>1.186325216824561</v>
      </c>
      <c r="J12">
        <f ca="1">Inputs!E13+(Inputs!G13-Inputs!E13)*BETAINV(RAND(),Model!J7,Model!K7)</f>
        <v>0.22191203698185291</v>
      </c>
      <c r="K12">
        <f ca="1">(Inputs!H13+(Inputs!J13-Inputs!H13)*BETAINV(RAND(),Model!L7,Model!M7))*Inputs!$C$6</f>
        <v>36519.38323839174</v>
      </c>
      <c r="L12">
        <f t="shared" ref="L12:L75" ca="1" si="4">I12*J12</f>
        <v>0.26325984538847669</v>
      </c>
      <c r="M12">
        <f t="shared" ref="M12:M75" ca="1" si="5">RAND()</f>
        <v>3.4776355649086987E-2</v>
      </c>
      <c r="N12">
        <f t="shared" ref="N12:N75" ca="1" si="6">IF(M12&lt;EXP(-L12),0,IF(M12&lt;EXP(-L12)*(1+L12),1,IF(M12&lt;EXP(-L12)*(1+L12+L12^2/2),2,IF(M12&lt;EXP(-L12)*(1+L12+L12^2/2+L12^3/6),3,4))))</f>
        <v>0</v>
      </c>
      <c r="O12" s="47">
        <f t="shared" ref="O12:O75" ca="1" si="7">N12*K12</f>
        <v>0</v>
      </c>
      <c r="P12">
        <f ca="1">Inputs!B14+(Inputs!D14-Inputs!B14)*BETAINV(RAND(),Model!H8,Model!I8)</f>
        <v>0.32088482429794218</v>
      </c>
      <c r="Q12">
        <f ca="1">Inputs!E14+(Inputs!G14-Inputs!E14)*BETAINV(RAND(),Model!J8,Model!K8)</f>
        <v>0.74626999528548099</v>
      </c>
      <c r="R12">
        <f ca="1">(Inputs!H14+(Inputs!J14-Inputs!H14)*BETAINV(RAND(),Model!L8,Model!M8))*Inputs!$C$6</f>
        <v>305314.33270462533</v>
      </c>
      <c r="S12">
        <f t="shared" ref="S12:S75" ca="1" si="8">P12*Q12</f>
        <v>0.23946671631600772</v>
      </c>
      <c r="T12">
        <f t="shared" ref="T12:T75" ca="1" si="9">RAND()</f>
        <v>0.57242786317423999</v>
      </c>
      <c r="U12">
        <f t="shared" ref="U12:U75" ca="1" si="10">IF(T12&lt;EXP(-S12),0,IF(T12&lt;EXP(-S12)*(1+S12),1,IF(T12&lt;EXP(-S12)*(1+S12+S12^2/2),2,IF(T12&lt;EXP(-S12)*(1+S12+S12^2/2+S12^3/6),3,4))))</f>
        <v>0</v>
      </c>
      <c r="V12" s="47">
        <f t="shared" ref="V12:V75" ca="1" si="11">U12*R12</f>
        <v>0</v>
      </c>
      <c r="W12">
        <f ca="1">Inputs!B15+(Inputs!D15-Inputs!B15)*BETAINV(RAND(),Model!H9,Model!I9)</f>
        <v>0.94597771048499779</v>
      </c>
      <c r="X12">
        <f ca="1">Inputs!E15+(Inputs!G15-Inputs!E15)*BETAINV(RAND(),Model!J9,Model!K9)</f>
        <v>0.45775815175634238</v>
      </c>
      <c r="Y12">
        <f ca="1">(Inputs!H15+(Inputs!J15-Inputs!H15)*BETAINV(RAND(),Model!L9,Model!M9))*Inputs!$C$6</f>
        <v>36525.799093797817</v>
      </c>
      <c r="Z12">
        <f t="shared" ref="Z12:Z75" ca="1" si="12">W12*X12</f>
        <v>0.43302900835430891</v>
      </c>
      <c r="AA12">
        <f t="shared" ref="AA12:AA75" ca="1" si="13">RAND()</f>
        <v>0.86745177351424319</v>
      </c>
      <c r="AB12">
        <f t="shared" ref="AB12:AB75" ca="1" si="14">IF(AA12&lt;EXP(-Z12),0,IF(AA12&lt;EXP(-Z12)*(1+Z12),1,IF(AA12&lt;EXP(-Z12)*(1+Z12+Z12^2/2),2,IF(AA12&lt;EXP(-Z12)*(1+Z12+Z12^2/2+Z12^3/6),3,4))))</f>
        <v>1</v>
      </c>
      <c r="AC12" s="47">
        <f t="shared" ref="AC12:AC75" ca="1" si="15">AB12*Y12</f>
        <v>36525.799093797817</v>
      </c>
      <c r="AD12">
        <f ca="1">Inputs!B16+(Inputs!D16-Inputs!B16)*BETAINV(RAND(),Model!H10,Model!I10)</f>
        <v>0.64015974679356291</v>
      </c>
      <c r="AE12">
        <f ca="1">Inputs!E16+(Inputs!G16-Inputs!E16)*BETAINV(RAND(),Model!J10,Model!K10)</f>
        <v>0.7193754455242044</v>
      </c>
      <c r="AF12">
        <f ca="1">(Inputs!H16+(Inputs!J16-Inputs!H16)*BETAINV(RAND(),Model!L10,Model!M10))*Inputs!$C$6</f>
        <v>54267.670924516111</v>
      </c>
      <c r="AG12">
        <f t="shared" ref="AG12:AG75" ca="1" si="16">AD12*AE12</f>
        <v>0.46051520305628119</v>
      </c>
      <c r="AH12">
        <f t="shared" ref="AH12:AH75" ca="1" si="17">RAND()</f>
        <v>0.58134215470412764</v>
      </c>
      <c r="AI12">
        <f t="shared" ref="AI12:AI75" ca="1" si="18">IF(AH12&lt;EXP(-AG12),0,IF(AH12&lt;EXP(-AG12)*(1+AG12),1,IF(AH12&lt;EXP(-AG12)*(1+AG12+AG12^2/2),2,IF(AH12&lt;EXP(-AG12)*(1+AG12+AG12^2/2+AG12^3/6),3,4))))</f>
        <v>0</v>
      </c>
      <c r="AJ12" s="47">
        <f t="shared" ref="AJ12:AJ75" ca="1" si="19">AI12*AF12</f>
        <v>0</v>
      </c>
      <c r="AK12">
        <f t="shared" ref="AK12:AK75" ca="1" si="20">H12+O12+V12+AC12+AJ12</f>
        <v>77885.701390779912</v>
      </c>
    </row>
    <row r="13" spans="1:37" x14ac:dyDescent="0.2">
      <c r="B13">
        <f ca="1">Inputs!B12+(Inputs!D12-Inputs!B12)*BETAINV(RAND(),Model!H6,Model!I6)</f>
        <v>5.4429746139859319</v>
      </c>
      <c r="C13">
        <f ca="1">Inputs!E12+(Inputs!G12-Inputs!E12)*BETAINV(RAND(),Model!J6,Model!K6)</f>
        <v>0.29735871427547916</v>
      </c>
      <c r="D13">
        <f ca="1">(Inputs!H12+(Inputs!J12-Inputs!H12)*BETAINV(RAND(),Model!L6,Model!M6))*Inputs!$C$6</f>
        <v>16457.729627415116</v>
      </c>
      <c r="E13">
        <f t="shared" ca="1" si="0"/>
        <v>1.6185159330489292</v>
      </c>
      <c r="F13">
        <f t="shared" ca="1" si="1"/>
        <v>0.25949382606298532</v>
      </c>
      <c r="G13">
        <f t="shared" ca="1" si="2"/>
        <v>1</v>
      </c>
      <c r="H13" s="47">
        <f t="shared" ca="1" si="3"/>
        <v>16457.729627415116</v>
      </c>
      <c r="I13">
        <f ca="1">Inputs!B13+(Inputs!D13-Inputs!B13)*BETAINV(RAND(),Model!H7,Model!I7)</f>
        <v>4.0373126654767031</v>
      </c>
      <c r="J13">
        <f ca="1">Inputs!E13+(Inputs!G13-Inputs!E13)*BETAINV(RAND(),Model!J7,Model!K7)</f>
        <v>0.11849302112714136</v>
      </c>
      <c r="K13">
        <f ca="1">(Inputs!H13+(Inputs!J13-Inputs!H13)*BETAINV(RAND(),Model!L7,Model!M7))*Inputs!$C$6</f>
        <v>53135.487043348883</v>
      </c>
      <c r="L13">
        <f t="shared" ca="1" si="4"/>
        <v>0.47839337496720635</v>
      </c>
      <c r="M13">
        <f t="shared" ca="1" si="5"/>
        <v>0.6808984511798204</v>
      </c>
      <c r="N13">
        <f t="shared" ca="1" si="6"/>
        <v>1</v>
      </c>
      <c r="O13" s="47">
        <f t="shared" ca="1" si="7"/>
        <v>53135.487043348883</v>
      </c>
      <c r="P13">
        <f ca="1">Inputs!B14+(Inputs!D14-Inputs!B14)*BETAINV(RAND(),Model!H8,Model!I8)</f>
        <v>0.14119604664617269</v>
      </c>
      <c r="Q13">
        <f ca="1">Inputs!E14+(Inputs!G14-Inputs!E14)*BETAINV(RAND(),Model!J8,Model!K8)</f>
        <v>0.50185526576053963</v>
      </c>
      <c r="R13">
        <f ca="1">(Inputs!H14+(Inputs!J14-Inputs!H14)*BETAINV(RAND(),Model!L8,Model!M8))*Inputs!$C$6</f>
        <v>402787.10239418701</v>
      </c>
      <c r="S13">
        <f t="shared" ca="1" si="8"/>
        <v>7.0859979513952551E-2</v>
      </c>
      <c r="T13">
        <f t="shared" ca="1" si="9"/>
        <v>0.61598314950036659</v>
      </c>
      <c r="U13">
        <f t="shared" ca="1" si="10"/>
        <v>0</v>
      </c>
      <c r="V13" s="47">
        <f t="shared" ca="1" si="11"/>
        <v>0</v>
      </c>
      <c r="W13">
        <f ca="1">Inputs!B15+(Inputs!D15-Inputs!B15)*BETAINV(RAND(),Model!H9,Model!I9)</f>
        <v>1.7765996211206176</v>
      </c>
      <c r="X13">
        <f ca="1">Inputs!E15+(Inputs!G15-Inputs!E15)*BETAINV(RAND(),Model!J9,Model!K9)</f>
        <v>0.39590982638205829</v>
      </c>
      <c r="Y13">
        <f ca="1">(Inputs!H15+(Inputs!J15-Inputs!H15)*BETAINV(RAND(),Model!L9,Model!M9))*Inputs!$C$6</f>
        <v>15957.161028059052</v>
      </c>
      <c r="Z13">
        <f t="shared" ca="1" si="12"/>
        <v>0.70337324754829422</v>
      </c>
      <c r="AA13">
        <f t="shared" ca="1" si="13"/>
        <v>0.12856819940718467</v>
      </c>
      <c r="AB13">
        <f t="shared" ca="1" si="14"/>
        <v>0</v>
      </c>
      <c r="AC13" s="47">
        <f t="shared" ca="1" si="15"/>
        <v>0</v>
      </c>
      <c r="AD13">
        <f ca="1">Inputs!B16+(Inputs!D16-Inputs!B16)*BETAINV(RAND(),Model!H10,Model!I10)</f>
        <v>0.93868526915010264</v>
      </c>
      <c r="AE13">
        <f ca="1">Inputs!E16+(Inputs!G16-Inputs!E16)*BETAINV(RAND(),Model!J10,Model!K10)</f>
        <v>0.72143335538605524</v>
      </c>
      <c r="AF13">
        <f ca="1">(Inputs!H16+(Inputs!J16-Inputs!H16)*BETAINV(RAND(),Model!L10,Model!M10))*Inputs!$C$6</f>
        <v>50063.418930245069</v>
      </c>
      <c r="AG13">
        <f t="shared" ca="1" si="16"/>
        <v>0.67719886337442092</v>
      </c>
      <c r="AH13">
        <f t="shared" ca="1" si="17"/>
        <v>0.61853357011162258</v>
      </c>
      <c r="AI13">
        <f t="shared" ca="1" si="18"/>
        <v>1</v>
      </c>
      <c r="AJ13" s="47">
        <f t="shared" ca="1" si="19"/>
        <v>50063.418930245069</v>
      </c>
      <c r="AK13">
        <f t="shared" ca="1" si="20"/>
        <v>119656.63560100907</v>
      </c>
    </row>
    <row r="14" spans="1:37" x14ac:dyDescent="0.2">
      <c r="B14">
        <f ca="1">Inputs!B12+(Inputs!D12-Inputs!B12)*BETAINV(RAND(),Model!H6,Model!I6)</f>
        <v>2.8991463235750494</v>
      </c>
      <c r="C14">
        <f ca="1">Inputs!E12+(Inputs!G12-Inputs!E12)*BETAINV(RAND(),Model!J6,Model!K6)</f>
        <v>0.41195147453322378</v>
      </c>
      <c r="D14">
        <f ca="1">(Inputs!H12+(Inputs!J12-Inputs!H12)*BETAINV(RAND(),Model!L6,Model!M6))*Inputs!$C$6</f>
        <v>42590.997256325572</v>
      </c>
      <c r="E14">
        <f t="shared" ca="1" si="0"/>
        <v>1.1943076028843163</v>
      </c>
      <c r="F14">
        <f t="shared" ca="1" si="1"/>
        <v>0.33104784335623971</v>
      </c>
      <c r="G14">
        <f t="shared" ca="1" si="2"/>
        <v>1</v>
      </c>
      <c r="H14" s="47">
        <f t="shared" ca="1" si="3"/>
        <v>42590.997256325572</v>
      </c>
      <c r="I14">
        <f ca="1">Inputs!B13+(Inputs!D13-Inputs!B13)*BETAINV(RAND(),Model!H7,Model!I7)</f>
        <v>1.0032515032757954</v>
      </c>
      <c r="J14">
        <f ca="1">Inputs!E13+(Inputs!G13-Inputs!E13)*BETAINV(RAND(),Model!J7,Model!K7)</f>
        <v>0.29159951566836334</v>
      </c>
      <c r="K14">
        <f ca="1">(Inputs!H13+(Inputs!J13-Inputs!H13)*BETAINV(RAND(),Model!L7,Model!M7))*Inputs!$C$6</f>
        <v>19381.31009895328</v>
      </c>
      <c r="L14">
        <f t="shared" ca="1" si="4"/>
        <v>0.29254765244877939</v>
      </c>
      <c r="M14">
        <f t="shared" ca="1" si="5"/>
        <v>0.24340114527431056</v>
      </c>
      <c r="N14">
        <f t="shared" ca="1" si="6"/>
        <v>0</v>
      </c>
      <c r="O14" s="47">
        <f t="shared" ca="1" si="7"/>
        <v>0</v>
      </c>
      <c r="P14">
        <f ca="1">Inputs!B14+(Inputs!D14-Inputs!B14)*BETAINV(RAND(),Model!H8,Model!I8)</f>
        <v>0.32022509028821494</v>
      </c>
      <c r="Q14">
        <f ca="1">Inputs!E14+(Inputs!G14-Inputs!E14)*BETAINV(RAND(),Model!J8,Model!K8)</f>
        <v>0.70678777779064661</v>
      </c>
      <c r="R14">
        <f ca="1">(Inputs!H14+(Inputs!J14-Inputs!H14)*BETAINV(RAND(),Model!L8,Model!M8))*Inputs!$C$6</f>
        <v>449728.61946039047</v>
      </c>
      <c r="S14">
        <f t="shared" ca="1" si="8"/>
        <v>0.22633117995761662</v>
      </c>
      <c r="T14">
        <f t="shared" ca="1" si="9"/>
        <v>0.37312026661527076</v>
      </c>
      <c r="U14">
        <f t="shared" ca="1" si="10"/>
        <v>0</v>
      </c>
      <c r="V14" s="47">
        <f t="shared" ca="1" si="11"/>
        <v>0</v>
      </c>
      <c r="W14">
        <f ca="1">Inputs!B15+(Inputs!D15-Inputs!B15)*BETAINV(RAND(),Model!H9,Model!I9)</f>
        <v>0.81317782354601498</v>
      </c>
      <c r="X14">
        <f ca="1">Inputs!E15+(Inputs!G15-Inputs!E15)*BETAINV(RAND(),Model!J9,Model!K9)</f>
        <v>0.46827301515985575</v>
      </c>
      <c r="Y14">
        <f ca="1">(Inputs!H15+(Inputs!J15-Inputs!H15)*BETAINV(RAND(),Model!L9,Model!M9))*Inputs!$C$6</f>
        <v>20800.508959632072</v>
      </c>
      <c r="Z14">
        <f t="shared" ca="1" si="12"/>
        <v>0.38078923129302156</v>
      </c>
      <c r="AA14">
        <f t="shared" ca="1" si="13"/>
        <v>0.48113970030614484</v>
      </c>
      <c r="AB14">
        <f t="shared" ca="1" si="14"/>
        <v>0</v>
      </c>
      <c r="AC14" s="47">
        <f t="shared" ca="1" si="15"/>
        <v>0</v>
      </c>
      <c r="AD14">
        <f ca="1">Inputs!B16+(Inputs!D16-Inputs!B16)*BETAINV(RAND(),Model!H10,Model!I10)</f>
        <v>0.59719582753769762</v>
      </c>
      <c r="AE14">
        <f ca="1">Inputs!E16+(Inputs!G16-Inputs!E16)*BETAINV(RAND(),Model!J10,Model!K10)</f>
        <v>0.6292562521213223</v>
      </c>
      <c r="AF14">
        <f ca="1">(Inputs!H16+(Inputs!J16-Inputs!H16)*BETAINV(RAND(),Model!L10,Model!M10))*Inputs!$C$6</f>
        <v>59409.462843783229</v>
      </c>
      <c r="AG14">
        <f t="shared" ca="1" si="16"/>
        <v>0.37578920821886319</v>
      </c>
      <c r="AH14">
        <f t="shared" ca="1" si="17"/>
        <v>0.64361127772481186</v>
      </c>
      <c r="AI14">
        <f t="shared" ca="1" si="18"/>
        <v>0</v>
      </c>
      <c r="AJ14" s="47">
        <f t="shared" ca="1" si="19"/>
        <v>0</v>
      </c>
      <c r="AK14">
        <f t="shared" ca="1" si="20"/>
        <v>42590.997256325572</v>
      </c>
    </row>
    <row r="15" spans="1:37" x14ac:dyDescent="0.2">
      <c r="B15">
        <f ca="1">Inputs!B12+(Inputs!D12-Inputs!B12)*BETAINV(RAND(),Model!H6,Model!I6)</f>
        <v>3.1062038925986433</v>
      </c>
      <c r="C15">
        <f ca="1">Inputs!E12+(Inputs!G12-Inputs!E12)*BETAINV(RAND(),Model!J6,Model!K6)</f>
        <v>0.23258140454789089</v>
      </c>
      <c r="D15">
        <f ca="1">(Inputs!H12+(Inputs!J12-Inputs!H12)*BETAINV(RAND(),Model!L6,Model!M6))*Inputs!$C$6</f>
        <v>41334.516488521054</v>
      </c>
      <c r="E15">
        <f t="shared" ca="1" si="0"/>
        <v>0.72244526415271848</v>
      </c>
      <c r="F15">
        <f t="shared" ca="1" si="1"/>
        <v>0.17740047945951143</v>
      </c>
      <c r="G15">
        <f t="shared" ca="1" si="2"/>
        <v>0</v>
      </c>
      <c r="H15" s="47">
        <f t="shared" ca="1" si="3"/>
        <v>0</v>
      </c>
      <c r="I15">
        <f ca="1">Inputs!B13+(Inputs!D13-Inputs!B13)*BETAINV(RAND(),Model!H7,Model!I7)</f>
        <v>1.3763274579214655</v>
      </c>
      <c r="J15">
        <f ca="1">Inputs!E13+(Inputs!G13-Inputs!E13)*BETAINV(RAND(),Model!J7,Model!K7)</f>
        <v>0.26219620358167817</v>
      </c>
      <c r="K15">
        <f ca="1">(Inputs!H13+(Inputs!J13-Inputs!H13)*BETAINV(RAND(),Model!L7,Model!M7))*Inputs!$C$6</f>
        <v>32745.011343204289</v>
      </c>
      <c r="L15">
        <f t="shared" ca="1" si="4"/>
        <v>0.36086783435223013</v>
      </c>
      <c r="M15">
        <f t="shared" ca="1" si="5"/>
        <v>0.77824604632302774</v>
      </c>
      <c r="N15">
        <f t="shared" ca="1" si="6"/>
        <v>1</v>
      </c>
      <c r="O15" s="47">
        <f t="shared" ca="1" si="7"/>
        <v>32745.011343204289</v>
      </c>
      <c r="P15">
        <f ca="1">Inputs!B14+(Inputs!D14-Inputs!B14)*BETAINV(RAND(),Model!H8,Model!I8)</f>
        <v>0.29640392992082609</v>
      </c>
      <c r="Q15">
        <f ca="1">Inputs!E14+(Inputs!G14-Inputs!E14)*BETAINV(RAND(),Model!J8,Model!K8)</f>
        <v>0.63665011159758289</v>
      </c>
      <c r="R15">
        <f ca="1">(Inputs!H14+(Inputs!J14-Inputs!H14)*BETAINV(RAND(),Model!L8,Model!M8))*Inputs!$C$6</f>
        <v>347386.17129567271</v>
      </c>
      <c r="S15">
        <f t="shared" ca="1" si="8"/>
        <v>0.18870559506205606</v>
      </c>
      <c r="T15">
        <f t="shared" ca="1" si="9"/>
        <v>0.76026680646941269</v>
      </c>
      <c r="U15">
        <f t="shared" ca="1" si="10"/>
        <v>0</v>
      </c>
      <c r="V15" s="47">
        <f t="shared" ca="1" si="11"/>
        <v>0</v>
      </c>
      <c r="W15">
        <f ca="1">Inputs!B15+(Inputs!D15-Inputs!B15)*BETAINV(RAND(),Model!H9,Model!I9)</f>
        <v>1.1761819662092001</v>
      </c>
      <c r="X15">
        <f ca="1">Inputs!E15+(Inputs!G15-Inputs!E15)*BETAINV(RAND(),Model!J9,Model!K9)</f>
        <v>0.41457000254659016</v>
      </c>
      <c r="Y15">
        <f ca="1">(Inputs!H15+(Inputs!J15-Inputs!H15)*BETAINV(RAND(),Model!L9,Model!M9))*Inputs!$C$6</f>
        <v>8903.9125941099119</v>
      </c>
      <c r="Z15">
        <f t="shared" ca="1" si="12"/>
        <v>0.4876097607266015</v>
      </c>
      <c r="AA15">
        <f t="shared" ca="1" si="13"/>
        <v>0.90978052947065347</v>
      </c>
      <c r="AB15">
        <f t="shared" ca="1" si="14"/>
        <v>1</v>
      </c>
      <c r="AC15" s="47">
        <f t="shared" ca="1" si="15"/>
        <v>8903.9125941099119</v>
      </c>
      <c r="AD15">
        <f ca="1">Inputs!B16+(Inputs!D16-Inputs!B16)*BETAINV(RAND(),Model!H10,Model!I10)</f>
        <v>0.80086208261269753</v>
      </c>
      <c r="AE15">
        <f ca="1">Inputs!E16+(Inputs!G16-Inputs!E16)*BETAINV(RAND(),Model!J10,Model!K10)</f>
        <v>0.61256527882753653</v>
      </c>
      <c r="AF15">
        <f ca="1">(Inputs!H16+(Inputs!J16-Inputs!H16)*BETAINV(RAND(),Model!L10,Model!M10))*Inputs!$C$6</f>
        <v>135329.18066710737</v>
      </c>
      <c r="AG15">
        <f t="shared" ca="1" si="16"/>
        <v>0.49058030493804866</v>
      </c>
      <c r="AH15">
        <f t="shared" ca="1" si="17"/>
        <v>0.78986385888446253</v>
      </c>
      <c r="AI15">
        <f t="shared" ca="1" si="18"/>
        <v>1</v>
      </c>
      <c r="AJ15" s="47">
        <f t="shared" ca="1" si="19"/>
        <v>135329.18066710737</v>
      </c>
      <c r="AK15">
        <f t="shared" ca="1" si="20"/>
        <v>176978.10460442159</v>
      </c>
    </row>
    <row r="16" spans="1:37" x14ac:dyDescent="0.2">
      <c r="B16">
        <f ca="1">Inputs!B12+(Inputs!D12-Inputs!B12)*BETAINV(RAND(),Model!H6,Model!I6)</f>
        <v>5.9129646374110738</v>
      </c>
      <c r="C16">
        <f ca="1">Inputs!E12+(Inputs!G12-Inputs!E12)*BETAINV(RAND(),Model!J6,Model!K6)</f>
        <v>0.40253780298285036</v>
      </c>
      <c r="D16">
        <f ca="1">(Inputs!H12+(Inputs!J12-Inputs!H12)*BETAINV(RAND(),Model!L6,Model!M6))*Inputs!$C$6</f>
        <v>39701.74485469787</v>
      </c>
      <c r="E16">
        <f t="shared" ca="1" si="0"/>
        <v>2.3801917942587401</v>
      </c>
      <c r="F16">
        <f t="shared" ca="1" si="1"/>
        <v>0.70868742000035967</v>
      </c>
      <c r="G16">
        <f t="shared" ca="1" si="2"/>
        <v>3</v>
      </c>
      <c r="H16" s="47">
        <f t="shared" ca="1" si="3"/>
        <v>119105.23456409361</v>
      </c>
      <c r="I16">
        <f ca="1">Inputs!B13+(Inputs!D13-Inputs!B13)*BETAINV(RAND(),Model!H7,Model!I7)</f>
        <v>2.7671965546645709</v>
      </c>
      <c r="J16">
        <f ca="1">Inputs!E13+(Inputs!G13-Inputs!E13)*BETAINV(RAND(),Model!J7,Model!K7)</f>
        <v>0.30764682272005822</v>
      </c>
      <c r="K16">
        <f ca="1">(Inputs!H13+(Inputs!J13-Inputs!H13)*BETAINV(RAND(),Model!L7,Model!M7))*Inputs!$C$6</f>
        <v>21385.000026073649</v>
      </c>
      <c r="L16">
        <f t="shared" ca="1" si="4"/>
        <v>0.85131922788444714</v>
      </c>
      <c r="M16">
        <f t="shared" ca="1" si="5"/>
        <v>0.60139843919970182</v>
      </c>
      <c r="N16">
        <f t="shared" ca="1" si="6"/>
        <v>1</v>
      </c>
      <c r="O16" s="47">
        <f t="shared" ca="1" si="7"/>
        <v>21385.000026073649</v>
      </c>
      <c r="P16">
        <f ca="1">Inputs!B14+(Inputs!D14-Inputs!B14)*BETAINV(RAND(),Model!H8,Model!I8)</f>
        <v>0.20545385787891768</v>
      </c>
      <c r="Q16">
        <f ca="1">Inputs!E14+(Inputs!G14-Inputs!E14)*BETAINV(RAND(),Model!J8,Model!K8)</f>
        <v>0.68454722481817809</v>
      </c>
      <c r="R16">
        <f ca="1">(Inputs!H14+(Inputs!J14-Inputs!H14)*BETAINV(RAND(),Model!L8,Model!M8))*Inputs!$C$6</f>
        <v>218634.54825943467</v>
      </c>
      <c r="S16">
        <f t="shared" ca="1" si="8"/>
        <v>0.14064286823920147</v>
      </c>
      <c r="T16">
        <f t="shared" ca="1" si="9"/>
        <v>0.95703839837188176</v>
      </c>
      <c r="U16">
        <f t="shared" ca="1" si="10"/>
        <v>1</v>
      </c>
      <c r="V16" s="47">
        <f t="shared" ca="1" si="11"/>
        <v>218634.54825943467</v>
      </c>
      <c r="W16">
        <f ca="1">Inputs!B15+(Inputs!D15-Inputs!B15)*BETAINV(RAND(),Model!H9,Model!I9)</f>
        <v>0.60560441143531629</v>
      </c>
      <c r="X16">
        <f ca="1">Inputs!E15+(Inputs!G15-Inputs!E15)*BETAINV(RAND(),Model!J9,Model!K9)</f>
        <v>0.55196420671896762</v>
      </c>
      <c r="Y16">
        <f ca="1">(Inputs!H15+(Inputs!J15-Inputs!H15)*BETAINV(RAND(),Model!L9,Model!M9))*Inputs!$C$6</f>
        <v>44288.160320852039</v>
      </c>
      <c r="Z16">
        <f t="shared" ca="1" si="12"/>
        <v>0.33427195854340164</v>
      </c>
      <c r="AA16">
        <f t="shared" ca="1" si="13"/>
        <v>0.53184466820942244</v>
      </c>
      <c r="AB16">
        <f t="shared" ca="1" si="14"/>
        <v>0</v>
      </c>
      <c r="AC16" s="47">
        <f t="shared" ca="1" si="15"/>
        <v>0</v>
      </c>
      <c r="AD16">
        <f ca="1">Inputs!B16+(Inputs!D16-Inputs!B16)*BETAINV(RAND(),Model!H10,Model!I10)</f>
        <v>0.45475867126445624</v>
      </c>
      <c r="AE16">
        <f ca="1">Inputs!E16+(Inputs!G16-Inputs!E16)*BETAINV(RAND(),Model!J10,Model!K10)</f>
        <v>0.67974321202159982</v>
      </c>
      <c r="AF16">
        <f ca="1">(Inputs!H16+(Inputs!J16-Inputs!H16)*BETAINV(RAND(),Model!L10,Model!M10))*Inputs!$C$6</f>
        <v>49901.083222413814</v>
      </c>
      <c r="AG16">
        <f t="shared" ca="1" si="16"/>
        <v>0.30911911989997631</v>
      </c>
      <c r="AH16">
        <f t="shared" ca="1" si="17"/>
        <v>0.89003832039504172</v>
      </c>
      <c r="AI16">
        <f t="shared" ca="1" si="18"/>
        <v>1</v>
      </c>
      <c r="AJ16" s="47">
        <f t="shared" ca="1" si="19"/>
        <v>49901.083222413814</v>
      </c>
      <c r="AK16">
        <f t="shared" ca="1" si="20"/>
        <v>409025.86607201572</v>
      </c>
    </row>
    <row r="17" spans="2:37" x14ac:dyDescent="0.2">
      <c r="B17">
        <f ca="1">Inputs!B12+(Inputs!D12-Inputs!B12)*BETAINV(RAND(),Model!H6,Model!I6)</f>
        <v>3.1553491523517274</v>
      </c>
      <c r="C17">
        <f ca="1">Inputs!E12+(Inputs!G12-Inputs!E12)*BETAINV(RAND(),Model!J6,Model!K6)</f>
        <v>0.39684415745052137</v>
      </c>
      <c r="D17">
        <f ca="1">(Inputs!H12+(Inputs!J12-Inputs!H12)*BETAINV(RAND(),Model!L6,Model!M6))*Inputs!$C$6</f>
        <v>17691.137273100725</v>
      </c>
      <c r="E17">
        <f t="shared" ca="1" si="0"/>
        <v>1.2521818758272381</v>
      </c>
      <c r="F17">
        <f t="shared" ca="1" si="1"/>
        <v>0.10368429046782379</v>
      </c>
      <c r="G17">
        <f t="shared" ca="1" si="2"/>
        <v>0</v>
      </c>
      <c r="H17" s="47">
        <f t="shared" ca="1" si="3"/>
        <v>0</v>
      </c>
      <c r="I17">
        <f ca="1">Inputs!B13+(Inputs!D13-Inputs!B13)*BETAINV(RAND(),Model!H7,Model!I7)</f>
        <v>3.3898889892101574</v>
      </c>
      <c r="J17">
        <f ca="1">Inputs!E13+(Inputs!G13-Inputs!E13)*BETAINV(RAND(),Model!J7,Model!K7)</f>
        <v>0.23746264083507251</v>
      </c>
      <c r="K17">
        <f ca="1">(Inputs!H13+(Inputs!J13-Inputs!H13)*BETAINV(RAND(),Model!L7,Model!M7))*Inputs!$C$6</f>
        <v>23019.067032617462</v>
      </c>
      <c r="L17">
        <f t="shared" ca="1" si="4"/>
        <v>0.80497199151557863</v>
      </c>
      <c r="M17">
        <f t="shared" ca="1" si="5"/>
        <v>0.69091638757857698</v>
      </c>
      <c r="N17">
        <f t="shared" ca="1" si="6"/>
        <v>1</v>
      </c>
      <c r="O17" s="47">
        <f t="shared" ca="1" si="7"/>
        <v>23019.067032617462</v>
      </c>
      <c r="P17">
        <f ca="1">Inputs!B14+(Inputs!D14-Inputs!B14)*BETAINV(RAND(),Model!H8,Model!I8)</f>
        <v>0.10720353448276146</v>
      </c>
      <c r="Q17">
        <f ca="1">Inputs!E14+(Inputs!G14-Inputs!E14)*BETAINV(RAND(),Model!J8,Model!K8)</f>
        <v>0.388708941222771</v>
      </c>
      <c r="R17">
        <f ca="1">(Inputs!H14+(Inputs!J14-Inputs!H14)*BETAINV(RAND(),Model!L8,Model!M8))*Inputs!$C$6</f>
        <v>400601.44870215945</v>
      </c>
      <c r="S17">
        <f t="shared" ca="1" si="8"/>
        <v>4.1670972384133025E-2</v>
      </c>
      <c r="T17">
        <f t="shared" ca="1" si="9"/>
        <v>0.86820864525608532</v>
      </c>
      <c r="U17">
        <f t="shared" ca="1" si="10"/>
        <v>0</v>
      </c>
      <c r="V17" s="47">
        <f t="shared" ca="1" si="11"/>
        <v>0</v>
      </c>
      <c r="W17">
        <f ca="1">Inputs!B15+(Inputs!D15-Inputs!B15)*BETAINV(RAND(),Model!H9,Model!I9)</f>
        <v>0.67078613070185411</v>
      </c>
      <c r="X17">
        <f ca="1">Inputs!E15+(Inputs!G15-Inputs!E15)*BETAINV(RAND(),Model!J9,Model!K9)</f>
        <v>0.34618286594915676</v>
      </c>
      <c r="Y17">
        <f ca="1">(Inputs!H15+(Inputs!J15-Inputs!H15)*BETAINV(RAND(),Model!L9,Model!M9))*Inputs!$C$6</f>
        <v>43094.270751745004</v>
      </c>
      <c r="Z17">
        <f t="shared" ca="1" si="12"/>
        <v>0.2322146651653135</v>
      </c>
      <c r="AA17">
        <f t="shared" ca="1" si="13"/>
        <v>0.7180279773903987</v>
      </c>
      <c r="AB17">
        <f t="shared" ca="1" si="14"/>
        <v>0</v>
      </c>
      <c r="AC17" s="47">
        <f t="shared" ca="1" si="15"/>
        <v>0</v>
      </c>
      <c r="AD17">
        <f ca="1">Inputs!B16+(Inputs!D16-Inputs!B16)*BETAINV(RAND(),Model!H10,Model!I10)</f>
        <v>0.36642392387450962</v>
      </c>
      <c r="AE17">
        <f ca="1">Inputs!E16+(Inputs!G16-Inputs!E16)*BETAINV(RAND(),Model!J10,Model!K10)</f>
        <v>0.65114405814598242</v>
      </c>
      <c r="AF17">
        <f ca="1">(Inputs!H16+(Inputs!J16-Inputs!H16)*BETAINV(RAND(),Model!L10,Model!M10))*Inputs!$C$6</f>
        <v>89205.405478200177</v>
      </c>
      <c r="AG17">
        <f t="shared" ca="1" si="16"/>
        <v>0.23859476079342273</v>
      </c>
      <c r="AH17">
        <f t="shared" ca="1" si="17"/>
        <v>0.15812745176516696</v>
      </c>
      <c r="AI17">
        <f t="shared" ca="1" si="18"/>
        <v>0</v>
      </c>
      <c r="AJ17" s="47">
        <f t="shared" ca="1" si="19"/>
        <v>0</v>
      </c>
      <c r="AK17">
        <f t="shared" ca="1" si="20"/>
        <v>23019.067032617462</v>
      </c>
    </row>
    <row r="18" spans="2:37" x14ac:dyDescent="0.2">
      <c r="B18">
        <f ca="1">Inputs!B12+(Inputs!D12-Inputs!B12)*BETAINV(RAND(),Model!H6,Model!I6)</f>
        <v>3.4842229206383872</v>
      </c>
      <c r="C18">
        <f ca="1">Inputs!E12+(Inputs!G12-Inputs!E12)*BETAINV(RAND(),Model!J6,Model!K6)</f>
        <v>0.39478271245096741</v>
      </c>
      <c r="D18">
        <f ca="1">(Inputs!H12+(Inputs!J12-Inputs!H12)*BETAINV(RAND(),Model!L6,Model!M6))*Inputs!$C$6</f>
        <v>25136.965379457586</v>
      </c>
      <c r="E18">
        <f t="shared" ca="1" si="0"/>
        <v>1.3755109753934542</v>
      </c>
      <c r="F18">
        <f t="shared" ca="1" si="1"/>
        <v>0.26602670038117859</v>
      </c>
      <c r="G18">
        <f t="shared" ca="1" si="2"/>
        <v>1</v>
      </c>
      <c r="H18" s="47">
        <f t="shared" ca="1" si="3"/>
        <v>25136.965379457586</v>
      </c>
      <c r="I18">
        <f ca="1">Inputs!B13+(Inputs!D13-Inputs!B13)*BETAINV(RAND(),Model!H7,Model!I7)</f>
        <v>3.3925083994061493</v>
      </c>
      <c r="J18">
        <f ca="1">Inputs!E13+(Inputs!G13-Inputs!E13)*BETAINV(RAND(),Model!J7,Model!K7)</f>
        <v>0.28075183779084206</v>
      </c>
      <c r="K18">
        <f ca="1">(Inputs!H13+(Inputs!J13-Inputs!H13)*BETAINV(RAND(),Model!L7,Model!M7))*Inputs!$C$6</f>
        <v>34995.011367205218</v>
      </c>
      <c r="L18">
        <f t="shared" ca="1" si="4"/>
        <v>0.95245296785414446</v>
      </c>
      <c r="M18">
        <f t="shared" ca="1" si="5"/>
        <v>0.50274589805025183</v>
      </c>
      <c r="N18">
        <f t="shared" ca="1" si="6"/>
        <v>1</v>
      </c>
      <c r="O18" s="47">
        <f t="shared" ca="1" si="7"/>
        <v>34995.011367205218</v>
      </c>
      <c r="P18">
        <f ca="1">Inputs!B14+(Inputs!D14-Inputs!B14)*BETAINV(RAND(),Model!H8,Model!I8)</f>
        <v>0.54681830037625334</v>
      </c>
      <c r="Q18">
        <f ca="1">Inputs!E14+(Inputs!G14-Inputs!E14)*BETAINV(RAND(),Model!J8,Model!K8)</f>
        <v>0.64008899423227827</v>
      </c>
      <c r="R18">
        <f ca="1">(Inputs!H14+(Inputs!J14-Inputs!H14)*BETAINV(RAND(),Model!L8,Model!M8))*Inputs!$C$6</f>
        <v>417999.11801858369</v>
      </c>
      <c r="S18">
        <f t="shared" ca="1" si="8"/>
        <v>0.35001237591563983</v>
      </c>
      <c r="T18">
        <f t="shared" ca="1" si="9"/>
        <v>0.30975257633353881</v>
      </c>
      <c r="U18">
        <f t="shared" ca="1" si="10"/>
        <v>0</v>
      </c>
      <c r="V18" s="47">
        <f t="shared" ca="1" si="11"/>
        <v>0</v>
      </c>
      <c r="W18">
        <f ca="1">Inputs!B15+(Inputs!D15-Inputs!B15)*BETAINV(RAND(),Model!H9,Model!I9)</f>
        <v>1.0984892954350851</v>
      </c>
      <c r="X18">
        <f ca="1">Inputs!E15+(Inputs!G15-Inputs!E15)*BETAINV(RAND(),Model!J9,Model!K9)</f>
        <v>0.42697035151502238</v>
      </c>
      <c r="Y18">
        <f ca="1">(Inputs!H15+(Inputs!J15-Inputs!H15)*BETAINV(RAND(),Model!L9,Model!M9))*Inputs!$C$6</f>
        <v>24932.013367286752</v>
      </c>
      <c r="Z18">
        <f t="shared" ca="1" si="12"/>
        <v>0.46902236060740754</v>
      </c>
      <c r="AA18">
        <f t="shared" ca="1" si="13"/>
        <v>0.49412264212638513</v>
      </c>
      <c r="AB18">
        <f t="shared" ca="1" si="14"/>
        <v>0</v>
      </c>
      <c r="AC18" s="47">
        <f t="shared" ca="1" si="15"/>
        <v>0</v>
      </c>
      <c r="AD18">
        <f ca="1">Inputs!B16+(Inputs!D16-Inputs!B16)*BETAINV(RAND(),Model!H10,Model!I10)</f>
        <v>0.47049608056112291</v>
      </c>
      <c r="AE18">
        <f ca="1">Inputs!E16+(Inputs!G16-Inputs!E16)*BETAINV(RAND(),Model!J10,Model!K10)</f>
        <v>0.59865082201219166</v>
      </c>
      <c r="AF18">
        <f ca="1">(Inputs!H16+(Inputs!J16-Inputs!H16)*BETAINV(RAND(),Model!L10,Model!M10))*Inputs!$C$6</f>
        <v>153198.19540977152</v>
      </c>
      <c r="AG18">
        <f t="shared" ca="1" si="16"/>
        <v>0.28166286538143059</v>
      </c>
      <c r="AH18">
        <f t="shared" ca="1" si="17"/>
        <v>0.30628843145794959</v>
      </c>
      <c r="AI18">
        <f t="shared" ca="1" si="18"/>
        <v>0</v>
      </c>
      <c r="AJ18" s="47">
        <f t="shared" ca="1" si="19"/>
        <v>0</v>
      </c>
      <c r="AK18">
        <f t="shared" ca="1" si="20"/>
        <v>60131.976746662804</v>
      </c>
    </row>
    <row r="19" spans="2:37" x14ac:dyDescent="0.2">
      <c r="B19">
        <f ca="1">Inputs!B12+(Inputs!D12-Inputs!B12)*BETAINV(RAND(),Model!H6,Model!I6)</f>
        <v>2.8640425925857258</v>
      </c>
      <c r="C19">
        <f ca="1">Inputs!E12+(Inputs!G12-Inputs!E12)*BETAINV(RAND(),Model!J6,Model!K6)</f>
        <v>0.24602936397815184</v>
      </c>
      <c r="D19">
        <f ca="1">(Inputs!H12+(Inputs!J12-Inputs!H12)*BETAINV(RAND(),Model!L6,Model!M6))*Inputs!$C$6</f>
        <v>27677.50061704381</v>
      </c>
      <c r="E19">
        <f t="shared" ca="1" si="0"/>
        <v>0.7046385774602032</v>
      </c>
      <c r="F19">
        <f t="shared" ca="1" si="1"/>
        <v>0.54010905298424883</v>
      </c>
      <c r="G19">
        <f t="shared" ca="1" si="2"/>
        <v>1</v>
      </c>
      <c r="H19" s="47">
        <f t="shared" ca="1" si="3"/>
        <v>27677.50061704381</v>
      </c>
      <c r="I19">
        <f ca="1">Inputs!B13+(Inputs!D13-Inputs!B13)*BETAINV(RAND(),Model!H7,Model!I7)</f>
        <v>2.917673697355684</v>
      </c>
      <c r="J19">
        <f ca="1">Inputs!E13+(Inputs!G13-Inputs!E13)*BETAINV(RAND(),Model!J7,Model!K7)</f>
        <v>0.27069898674408743</v>
      </c>
      <c r="K19">
        <f ca="1">(Inputs!H13+(Inputs!J13-Inputs!H13)*BETAINV(RAND(),Model!L7,Model!M7))*Inputs!$C$6</f>
        <v>45870.340676687301</v>
      </c>
      <c r="L19">
        <f t="shared" ca="1" si="4"/>
        <v>0.78981131352405887</v>
      </c>
      <c r="M19">
        <f t="shared" ca="1" si="5"/>
        <v>0.59045156751529848</v>
      </c>
      <c r="N19">
        <f t="shared" ca="1" si="6"/>
        <v>1</v>
      </c>
      <c r="O19" s="47">
        <f t="shared" ca="1" si="7"/>
        <v>45870.340676687301</v>
      </c>
      <c r="P19">
        <f ca="1">Inputs!B14+(Inputs!D14-Inputs!B14)*BETAINV(RAND(),Model!H8,Model!I8)</f>
        <v>0.42335802096801634</v>
      </c>
      <c r="Q19">
        <f ca="1">Inputs!E14+(Inputs!G14-Inputs!E14)*BETAINV(RAND(),Model!J8,Model!K8)</f>
        <v>0.76955232649804994</v>
      </c>
      <c r="R19">
        <f ca="1">(Inputs!H14+(Inputs!J14-Inputs!H14)*BETAINV(RAND(),Model!L8,Model!M8))*Inputs!$C$6</f>
        <v>358899.10358421889</v>
      </c>
      <c r="S19">
        <f t="shared" ca="1" si="8"/>
        <v>0.32579614997754719</v>
      </c>
      <c r="T19">
        <f t="shared" ca="1" si="9"/>
        <v>0.18440905215564574</v>
      </c>
      <c r="U19">
        <f t="shared" ca="1" si="10"/>
        <v>0</v>
      </c>
      <c r="V19" s="47">
        <f t="shared" ca="1" si="11"/>
        <v>0</v>
      </c>
      <c r="W19">
        <f ca="1">Inputs!B15+(Inputs!D15-Inputs!B15)*BETAINV(RAND(),Model!H9,Model!I9)</f>
        <v>1.2530663158561888</v>
      </c>
      <c r="X19">
        <f ca="1">Inputs!E15+(Inputs!G15-Inputs!E15)*BETAINV(RAND(),Model!J9,Model!K9)</f>
        <v>0.40297760829550855</v>
      </c>
      <c r="Y19">
        <f ca="1">(Inputs!H15+(Inputs!J15-Inputs!H15)*BETAINV(RAND(),Model!L9,Model!M9))*Inputs!$C$6</f>
        <v>24613.817820865941</v>
      </c>
      <c r="Z19">
        <f t="shared" ca="1" si="12"/>
        <v>0.50495766699939126</v>
      </c>
      <c r="AA19">
        <f t="shared" ca="1" si="13"/>
        <v>0.38160911348686555</v>
      </c>
      <c r="AB19">
        <f t="shared" ca="1" si="14"/>
        <v>0</v>
      </c>
      <c r="AC19" s="47">
        <f t="shared" ca="1" si="15"/>
        <v>0</v>
      </c>
      <c r="AD19">
        <f ca="1">Inputs!B16+(Inputs!D16-Inputs!B16)*BETAINV(RAND(),Model!H10,Model!I10)</f>
        <v>0.54438929175898232</v>
      </c>
      <c r="AE19">
        <f ca="1">Inputs!E16+(Inputs!G16-Inputs!E16)*BETAINV(RAND(),Model!J10,Model!K10)</f>
        <v>0.64681664773739034</v>
      </c>
      <c r="AF19">
        <f ca="1">(Inputs!H16+(Inputs!J16-Inputs!H16)*BETAINV(RAND(),Model!L10,Model!M10))*Inputs!$C$6</f>
        <v>110267.92551003293</v>
      </c>
      <c r="AG19">
        <f t="shared" ca="1" si="16"/>
        <v>0.35212005675967706</v>
      </c>
      <c r="AH19">
        <f t="shared" ca="1" si="17"/>
        <v>0.67628015478449344</v>
      </c>
      <c r="AI19">
        <f t="shared" ca="1" si="18"/>
        <v>0</v>
      </c>
      <c r="AJ19" s="47">
        <f t="shared" ca="1" si="19"/>
        <v>0</v>
      </c>
      <c r="AK19">
        <f t="shared" ca="1" si="20"/>
        <v>73547.841293731108</v>
      </c>
    </row>
    <row r="20" spans="2:37" x14ac:dyDescent="0.2">
      <c r="B20">
        <f ca="1">Inputs!B12+(Inputs!D12-Inputs!B12)*BETAINV(RAND(),Model!H6,Model!I6)</f>
        <v>2.3587697462910171</v>
      </c>
      <c r="C20">
        <f ca="1">Inputs!E12+(Inputs!G12-Inputs!E12)*BETAINV(RAND(),Model!J6,Model!K6)</f>
        <v>0.23373169387308598</v>
      </c>
      <c r="D20">
        <f ca="1">(Inputs!H12+(Inputs!J12-Inputs!H12)*BETAINV(RAND(),Model!L6,Model!M6))*Inputs!$C$6</f>
        <v>13966.410915424893</v>
      </c>
      <c r="E20">
        <f t="shared" ca="1" si="0"/>
        <v>0.5513192482571887</v>
      </c>
      <c r="F20">
        <f t="shared" ca="1" si="1"/>
        <v>0.97033964812435047</v>
      </c>
      <c r="G20">
        <f t="shared" ca="1" si="2"/>
        <v>2</v>
      </c>
      <c r="H20" s="47">
        <f t="shared" ca="1" si="3"/>
        <v>27932.821830849785</v>
      </c>
      <c r="I20">
        <f ca="1">Inputs!B13+(Inputs!D13-Inputs!B13)*BETAINV(RAND(),Model!H7,Model!I7)</f>
        <v>2.8069922014605742</v>
      </c>
      <c r="J20">
        <f ca="1">Inputs!E13+(Inputs!G13-Inputs!E13)*BETAINV(RAND(),Model!J7,Model!K7)</f>
        <v>0.29649234989990286</v>
      </c>
      <c r="K20">
        <f ca="1">(Inputs!H13+(Inputs!J13-Inputs!H13)*BETAINV(RAND(),Model!L7,Model!M7))*Inputs!$C$6</f>
        <v>28012.501689409171</v>
      </c>
      <c r="L20">
        <f t="shared" ca="1" si="4"/>
        <v>0.83225171396174713</v>
      </c>
      <c r="M20">
        <f t="shared" ca="1" si="5"/>
        <v>0.25864642357900214</v>
      </c>
      <c r="N20">
        <f t="shared" ca="1" si="6"/>
        <v>0</v>
      </c>
      <c r="O20" s="47">
        <f t="shared" ca="1" si="7"/>
        <v>0</v>
      </c>
      <c r="P20">
        <f ca="1">Inputs!B14+(Inputs!D14-Inputs!B14)*BETAINV(RAND(),Model!H8,Model!I8)</f>
        <v>0.34864255429252317</v>
      </c>
      <c r="Q20">
        <f ca="1">Inputs!E14+(Inputs!G14-Inputs!E14)*BETAINV(RAND(),Model!J8,Model!K8)</f>
        <v>0.56609474933629689</v>
      </c>
      <c r="R20">
        <f ca="1">(Inputs!H14+(Inputs!J14-Inputs!H14)*BETAINV(RAND(),Model!L8,Model!M8))*Inputs!$C$6</f>
        <v>378010.42388208891</v>
      </c>
      <c r="S20">
        <f t="shared" ca="1" si="8"/>
        <v>0.19736471938019218</v>
      </c>
      <c r="T20">
        <f t="shared" ca="1" si="9"/>
        <v>0.78487766406644965</v>
      </c>
      <c r="U20">
        <f t="shared" ca="1" si="10"/>
        <v>0</v>
      </c>
      <c r="V20" s="47">
        <f t="shared" ca="1" si="11"/>
        <v>0</v>
      </c>
      <c r="W20">
        <f ca="1">Inputs!B15+(Inputs!D15-Inputs!B15)*BETAINV(RAND(),Model!H9,Model!I9)</f>
        <v>1.374448557659975</v>
      </c>
      <c r="X20">
        <f ca="1">Inputs!E15+(Inputs!G15-Inputs!E15)*BETAINV(RAND(),Model!J9,Model!K9)</f>
        <v>0.29964296072030472</v>
      </c>
      <c r="Y20">
        <f ca="1">(Inputs!H15+(Inputs!J15-Inputs!H15)*BETAINV(RAND(),Model!L9,Model!M9))*Inputs!$C$6</f>
        <v>7934.7019509177917</v>
      </c>
      <c r="Z20">
        <f t="shared" ca="1" si="12"/>
        <v>0.41184383517498735</v>
      </c>
      <c r="AA20">
        <f t="shared" ca="1" si="13"/>
        <v>0.37217599936849088</v>
      </c>
      <c r="AB20">
        <f t="shared" ca="1" si="14"/>
        <v>0</v>
      </c>
      <c r="AC20" s="47">
        <f t="shared" ca="1" si="15"/>
        <v>0</v>
      </c>
      <c r="AD20">
        <f ca="1">Inputs!B16+(Inputs!D16-Inputs!B16)*BETAINV(RAND(),Model!H10,Model!I10)</f>
        <v>0.56272526482081942</v>
      </c>
      <c r="AE20">
        <f ca="1">Inputs!E16+(Inputs!G16-Inputs!E16)*BETAINV(RAND(),Model!J10,Model!K10)</f>
        <v>0.63322423790796489</v>
      </c>
      <c r="AF20">
        <f ca="1">(Inputs!H16+(Inputs!J16-Inputs!H16)*BETAINV(RAND(),Model!L10,Model!M10))*Inputs!$C$6</f>
        <v>96935.118862361254</v>
      </c>
      <c r="AG20">
        <f t="shared" ca="1" si="16"/>
        <v>0.3563312769677211</v>
      </c>
      <c r="AH20">
        <f t="shared" ca="1" si="17"/>
        <v>0.38561731077479688</v>
      </c>
      <c r="AI20">
        <f t="shared" ca="1" si="18"/>
        <v>0</v>
      </c>
      <c r="AJ20" s="47">
        <f t="shared" ca="1" si="19"/>
        <v>0</v>
      </c>
      <c r="AK20">
        <f t="shared" ca="1" si="20"/>
        <v>27932.821830849785</v>
      </c>
    </row>
    <row r="21" spans="2:37" x14ac:dyDescent="0.2">
      <c r="B21">
        <f ca="1">Inputs!B12+(Inputs!D12-Inputs!B12)*BETAINV(RAND(),Model!H6,Model!I6)</f>
        <v>5.0512907217205987</v>
      </c>
      <c r="C21">
        <f ca="1">Inputs!E12+(Inputs!G12-Inputs!E12)*BETAINV(RAND(),Model!J6,Model!K6)</f>
        <v>0.39977197390561137</v>
      </c>
      <c r="D21">
        <f ca="1">(Inputs!H12+(Inputs!J12-Inputs!H12)*BETAINV(RAND(),Model!L6,Model!M6))*Inputs!$C$6</f>
        <v>39215.856987602412</v>
      </c>
      <c r="E21">
        <f t="shared" ca="1" si="0"/>
        <v>2.019364462593344</v>
      </c>
      <c r="F21">
        <f t="shared" ca="1" si="1"/>
        <v>0.73681809668430132</v>
      </c>
      <c r="G21">
        <f t="shared" ca="1" si="2"/>
        <v>3</v>
      </c>
      <c r="H21" s="47">
        <f t="shared" ca="1" si="3"/>
        <v>117647.57096280724</v>
      </c>
      <c r="I21">
        <f ca="1">Inputs!B13+(Inputs!D13-Inputs!B13)*BETAINV(RAND(),Model!H7,Model!I7)</f>
        <v>1.1119548228499068</v>
      </c>
      <c r="J21">
        <f ca="1">Inputs!E13+(Inputs!G13-Inputs!E13)*BETAINV(RAND(),Model!J7,Model!K7)</f>
        <v>0.34349202520008149</v>
      </c>
      <c r="K21">
        <f ca="1">(Inputs!H13+(Inputs!J13-Inputs!H13)*BETAINV(RAND(),Model!L7,Model!M7))*Inputs!$C$6</f>
        <v>45992.633957552673</v>
      </c>
      <c r="L21">
        <f t="shared" ca="1" si="4"/>
        <v>0.38194761403171235</v>
      </c>
      <c r="M21">
        <f t="shared" ca="1" si="5"/>
        <v>0.22827818643251052</v>
      </c>
      <c r="N21">
        <f t="shared" ca="1" si="6"/>
        <v>0</v>
      </c>
      <c r="O21" s="47">
        <f t="shared" ca="1" si="7"/>
        <v>0</v>
      </c>
      <c r="P21">
        <f ca="1">Inputs!B14+(Inputs!D14-Inputs!B14)*BETAINV(RAND(),Model!H8,Model!I8)</f>
        <v>0.1486819578125495</v>
      </c>
      <c r="Q21">
        <f ca="1">Inputs!E14+(Inputs!G14-Inputs!E14)*BETAINV(RAND(),Model!J8,Model!K8)</f>
        <v>0.60007131157007709</v>
      </c>
      <c r="R21">
        <f ca="1">(Inputs!H14+(Inputs!J14-Inputs!H14)*BETAINV(RAND(),Model!L8,Model!M8))*Inputs!$C$6</f>
        <v>383614.80528369237</v>
      </c>
      <c r="S21">
        <f t="shared" ca="1" si="8"/>
        <v>8.9219777431383457E-2</v>
      </c>
      <c r="T21">
        <f t="shared" ca="1" si="9"/>
        <v>0.37974076384534561</v>
      </c>
      <c r="U21">
        <f t="shared" ca="1" si="10"/>
        <v>0</v>
      </c>
      <c r="V21" s="47">
        <f t="shared" ca="1" si="11"/>
        <v>0</v>
      </c>
      <c r="W21">
        <f ca="1">Inputs!B15+(Inputs!D15-Inputs!B15)*BETAINV(RAND(),Model!H9,Model!I9)</f>
        <v>0.86581828236505465</v>
      </c>
      <c r="X21">
        <f ca="1">Inputs!E15+(Inputs!G15-Inputs!E15)*BETAINV(RAND(),Model!J9,Model!K9)</f>
        <v>0.27436001219308931</v>
      </c>
      <c r="Y21">
        <f ca="1">(Inputs!H15+(Inputs!J15-Inputs!H15)*BETAINV(RAND(),Model!L9,Model!M9))*Inputs!$C$6</f>
        <v>57697.423954689191</v>
      </c>
      <c r="Z21">
        <f t="shared" ca="1" si="12"/>
        <v>0.23754591450667603</v>
      </c>
      <c r="AA21">
        <f t="shared" ca="1" si="13"/>
        <v>0.70175482259911182</v>
      </c>
      <c r="AB21">
        <f t="shared" ca="1" si="14"/>
        <v>0</v>
      </c>
      <c r="AC21" s="47">
        <f t="shared" ca="1" si="15"/>
        <v>0</v>
      </c>
      <c r="AD21">
        <f ca="1">Inputs!B16+(Inputs!D16-Inputs!B16)*BETAINV(RAND(),Model!H10,Model!I10)</f>
        <v>0.67751859493168354</v>
      </c>
      <c r="AE21">
        <f ca="1">Inputs!E16+(Inputs!G16-Inputs!E16)*BETAINV(RAND(),Model!J10,Model!K10)</f>
        <v>0.50915121372719541</v>
      </c>
      <c r="AF21">
        <f ca="1">(Inputs!H16+(Inputs!J16-Inputs!H16)*BETAINV(RAND(),Model!L10,Model!M10))*Inputs!$C$6</f>
        <v>121211.70093585839</v>
      </c>
      <c r="AG21">
        <f t="shared" ca="1" si="16"/>
        <v>0.34495941493221072</v>
      </c>
      <c r="AH21">
        <f t="shared" ca="1" si="17"/>
        <v>2.1768727488769013E-2</v>
      </c>
      <c r="AI21">
        <f t="shared" ca="1" si="18"/>
        <v>0</v>
      </c>
      <c r="AJ21" s="47">
        <f t="shared" ca="1" si="19"/>
        <v>0</v>
      </c>
      <c r="AK21">
        <f t="shared" ca="1" si="20"/>
        <v>117647.57096280724</v>
      </c>
    </row>
    <row r="22" spans="2:37" x14ac:dyDescent="0.2">
      <c r="B22">
        <f ca="1">Inputs!B12+(Inputs!D12-Inputs!B12)*BETAINV(RAND(),Model!H6,Model!I6)</f>
        <v>1.8416677434588036</v>
      </c>
      <c r="C22">
        <f ca="1">Inputs!E12+(Inputs!G12-Inputs!E12)*BETAINV(RAND(),Model!J6,Model!K6)</f>
        <v>0.22221065053330041</v>
      </c>
      <c r="D22">
        <f ca="1">(Inputs!H12+(Inputs!J12-Inputs!H12)*BETAINV(RAND(),Model!L6,Model!M6))*Inputs!$C$6</f>
        <v>43370.524359232775</v>
      </c>
      <c r="E22">
        <f t="shared" ca="1" si="0"/>
        <v>0.40923818734017614</v>
      </c>
      <c r="F22">
        <f t="shared" ca="1" si="1"/>
        <v>0.86715230393509268</v>
      </c>
      <c r="G22">
        <f t="shared" ca="1" si="2"/>
        <v>1</v>
      </c>
      <c r="H22" s="47">
        <f t="shared" ca="1" si="3"/>
        <v>43370.524359232775</v>
      </c>
      <c r="I22">
        <f ca="1">Inputs!B13+(Inputs!D13-Inputs!B13)*BETAINV(RAND(),Model!H7,Model!I7)</f>
        <v>2.3492192348656955</v>
      </c>
      <c r="J22">
        <f ca="1">Inputs!E13+(Inputs!G13-Inputs!E13)*BETAINV(RAND(),Model!J7,Model!K7)</f>
        <v>0.21677072147533566</v>
      </c>
      <c r="K22">
        <f ca="1">(Inputs!H13+(Inputs!J13-Inputs!H13)*BETAINV(RAND(),Model!L7,Model!M7))*Inputs!$C$6</f>
        <v>18922.497449543545</v>
      </c>
      <c r="L22">
        <f t="shared" ca="1" si="4"/>
        <v>0.5092419484455728</v>
      </c>
      <c r="M22">
        <f t="shared" ca="1" si="5"/>
        <v>0.57014561151473875</v>
      </c>
      <c r="N22">
        <f t="shared" ca="1" si="6"/>
        <v>0</v>
      </c>
      <c r="O22" s="47">
        <f t="shared" ca="1" si="7"/>
        <v>0</v>
      </c>
      <c r="P22">
        <f ca="1">Inputs!B14+(Inputs!D14-Inputs!B14)*BETAINV(RAND(),Model!H8,Model!I8)</f>
        <v>0.27912457111222844</v>
      </c>
      <c r="Q22">
        <f ca="1">Inputs!E14+(Inputs!G14-Inputs!E14)*BETAINV(RAND(),Model!J8,Model!K8)</f>
        <v>0.67655033299436218</v>
      </c>
      <c r="R22">
        <f ca="1">(Inputs!H14+(Inputs!J14-Inputs!H14)*BETAINV(RAND(),Model!L8,Model!M8))*Inputs!$C$6</f>
        <v>270913.07118356816</v>
      </c>
      <c r="S22">
        <f t="shared" ca="1" si="8"/>
        <v>0.18884182153288667</v>
      </c>
      <c r="T22">
        <f t="shared" ca="1" si="9"/>
        <v>0.83932723864622749</v>
      </c>
      <c r="U22">
        <f t="shared" ca="1" si="10"/>
        <v>1</v>
      </c>
      <c r="V22" s="47">
        <f t="shared" ca="1" si="11"/>
        <v>270913.07118356816</v>
      </c>
      <c r="W22">
        <f ca="1">Inputs!B15+(Inputs!D15-Inputs!B15)*BETAINV(RAND(),Model!H9,Model!I9)</f>
        <v>1.5062166325494399</v>
      </c>
      <c r="X22">
        <f ca="1">Inputs!E15+(Inputs!G15-Inputs!E15)*BETAINV(RAND(),Model!J9,Model!K9)</f>
        <v>0.6469093312252947</v>
      </c>
      <c r="Y22">
        <f ca="1">(Inputs!H15+(Inputs!J15-Inputs!H15)*BETAINV(RAND(),Model!L9,Model!M9))*Inputs!$C$6</f>
        <v>55665.746817073101</v>
      </c>
      <c r="Z22">
        <f t="shared" ca="1" si="12"/>
        <v>0.97438559444297368</v>
      </c>
      <c r="AA22">
        <f t="shared" ca="1" si="13"/>
        <v>1.7986459679635192E-2</v>
      </c>
      <c r="AB22">
        <f t="shared" ca="1" si="14"/>
        <v>0</v>
      </c>
      <c r="AC22" s="47">
        <f t="shared" ca="1" si="15"/>
        <v>0</v>
      </c>
      <c r="AD22">
        <f ca="1">Inputs!B16+(Inputs!D16-Inputs!B16)*BETAINV(RAND(),Model!H10,Model!I10)</f>
        <v>1.0678849930170771</v>
      </c>
      <c r="AE22">
        <f ca="1">Inputs!E16+(Inputs!G16-Inputs!E16)*BETAINV(RAND(),Model!J10,Model!K10)</f>
        <v>0.49888606791387335</v>
      </c>
      <c r="AF22">
        <f ca="1">(Inputs!H16+(Inputs!J16-Inputs!H16)*BETAINV(RAND(),Model!L10,Model!M10))*Inputs!$C$6</f>
        <v>63665.70735157538</v>
      </c>
      <c r="AG22">
        <f t="shared" ca="1" si="16"/>
        <v>0.53275294515052363</v>
      </c>
      <c r="AH22">
        <f t="shared" ca="1" si="17"/>
        <v>9.2621616337202117E-2</v>
      </c>
      <c r="AI22">
        <f t="shared" ca="1" si="18"/>
        <v>0</v>
      </c>
      <c r="AJ22" s="47">
        <f t="shared" ca="1" si="19"/>
        <v>0</v>
      </c>
      <c r="AK22">
        <f t="shared" ca="1" si="20"/>
        <v>314283.59554280096</v>
      </c>
    </row>
    <row r="23" spans="2:37" x14ac:dyDescent="0.2">
      <c r="B23">
        <f ca="1">Inputs!B12+(Inputs!D12-Inputs!B12)*BETAINV(RAND(),Model!H6,Model!I6)</f>
        <v>5.0364066180281633</v>
      </c>
      <c r="C23">
        <f ca="1">Inputs!E12+(Inputs!G12-Inputs!E12)*BETAINV(RAND(),Model!J6,Model!K6)</f>
        <v>0.17366163510620278</v>
      </c>
      <c r="D23">
        <f ca="1">(Inputs!H12+(Inputs!J12-Inputs!H12)*BETAINV(RAND(),Model!L6,Model!M6))*Inputs!$C$6</f>
        <v>30669.594831113838</v>
      </c>
      <c r="E23">
        <f t="shared" ca="1" si="0"/>
        <v>0.87463060834647166</v>
      </c>
      <c r="F23">
        <f t="shared" ca="1" si="1"/>
        <v>0.47544309839088583</v>
      </c>
      <c r="G23">
        <f t="shared" ca="1" si="2"/>
        <v>1</v>
      </c>
      <c r="H23" s="47">
        <f t="shared" ca="1" si="3"/>
        <v>30669.594831113838</v>
      </c>
      <c r="I23">
        <f ca="1">Inputs!B13+(Inputs!D13-Inputs!B13)*BETAINV(RAND(),Model!H7,Model!I7)</f>
        <v>2.7203643980702772</v>
      </c>
      <c r="J23">
        <f ca="1">Inputs!E13+(Inputs!G13-Inputs!E13)*BETAINV(RAND(),Model!J7,Model!K7)</f>
        <v>0.35380610732253026</v>
      </c>
      <c r="K23">
        <f ca="1">(Inputs!H13+(Inputs!J13-Inputs!H13)*BETAINV(RAND(),Model!L7,Model!M7))*Inputs!$C$6</f>
        <v>31497.62325761214</v>
      </c>
      <c r="L23">
        <f t="shared" ca="1" si="4"/>
        <v>0.96248153818004289</v>
      </c>
      <c r="M23">
        <f t="shared" ca="1" si="5"/>
        <v>0.31180461123574699</v>
      </c>
      <c r="N23">
        <f t="shared" ca="1" si="6"/>
        <v>0</v>
      </c>
      <c r="O23" s="47">
        <f t="shared" ca="1" si="7"/>
        <v>0</v>
      </c>
      <c r="P23">
        <f ca="1">Inputs!B14+(Inputs!D14-Inputs!B14)*BETAINV(RAND(),Model!H8,Model!I8)</f>
        <v>0.2279324204843767</v>
      </c>
      <c r="Q23">
        <f ca="1">Inputs!E14+(Inputs!G14-Inputs!E14)*BETAINV(RAND(),Model!J8,Model!K8)</f>
        <v>0.71668090625163017</v>
      </c>
      <c r="R23">
        <f ca="1">(Inputs!H14+(Inputs!J14-Inputs!H14)*BETAINV(RAND(),Model!L8,Model!M8))*Inputs!$C$6</f>
        <v>209096.03581780172</v>
      </c>
      <c r="S23">
        <f t="shared" ca="1" si="8"/>
        <v>0.16335481367687071</v>
      </c>
      <c r="T23">
        <f t="shared" ca="1" si="9"/>
        <v>0.88648937083211377</v>
      </c>
      <c r="U23">
        <f t="shared" ca="1" si="10"/>
        <v>1</v>
      </c>
      <c r="V23" s="47">
        <f t="shared" ca="1" si="11"/>
        <v>209096.03581780172</v>
      </c>
      <c r="W23">
        <f ca="1">Inputs!B15+(Inputs!D15-Inputs!B15)*BETAINV(RAND(),Model!H9,Model!I9)</f>
        <v>0.64192755314949812</v>
      </c>
      <c r="X23">
        <f ca="1">Inputs!E15+(Inputs!G15-Inputs!E15)*BETAINV(RAND(),Model!J9,Model!K9)</f>
        <v>0.49449237925289113</v>
      </c>
      <c r="Y23">
        <f ca="1">(Inputs!H15+(Inputs!J15-Inputs!H15)*BETAINV(RAND(),Model!L9,Model!M9))*Inputs!$C$6</f>
        <v>36338.158119761611</v>
      </c>
      <c r="Z23">
        <f t="shared" ca="1" si="12"/>
        <v>0.31742828306488208</v>
      </c>
      <c r="AA23">
        <f t="shared" ca="1" si="13"/>
        <v>0.85094406189578264</v>
      </c>
      <c r="AB23">
        <f t="shared" ca="1" si="14"/>
        <v>1</v>
      </c>
      <c r="AC23" s="47">
        <f t="shared" ca="1" si="15"/>
        <v>36338.158119761611</v>
      </c>
      <c r="AD23">
        <f ca="1">Inputs!B16+(Inputs!D16-Inputs!B16)*BETAINV(RAND(),Model!H10,Model!I10)</f>
        <v>0.98903090641281288</v>
      </c>
      <c r="AE23">
        <f ca="1">Inputs!E16+(Inputs!G16-Inputs!E16)*BETAINV(RAND(),Model!J10,Model!K10)</f>
        <v>0.7230242841471568</v>
      </c>
      <c r="AF23">
        <f ca="1">(Inputs!H16+(Inputs!J16-Inputs!H16)*BETAINV(RAND(),Model!L10,Model!M10))*Inputs!$C$6</f>
        <v>52329.568720728908</v>
      </c>
      <c r="AG23">
        <f t="shared" ca="1" si="16"/>
        <v>0.71509336310853766</v>
      </c>
      <c r="AH23">
        <f t="shared" ca="1" si="17"/>
        <v>0.17638154714088727</v>
      </c>
      <c r="AI23">
        <f t="shared" ca="1" si="18"/>
        <v>0</v>
      </c>
      <c r="AJ23" s="47">
        <f t="shared" ca="1" si="19"/>
        <v>0</v>
      </c>
      <c r="AK23">
        <f t="shared" ca="1" si="20"/>
        <v>276103.78876867716</v>
      </c>
    </row>
    <row r="24" spans="2:37" x14ac:dyDescent="0.2">
      <c r="B24">
        <f ca="1">Inputs!B12+(Inputs!D12-Inputs!B12)*BETAINV(RAND(),Model!H6,Model!I6)</f>
        <v>2.7130798302612327</v>
      </c>
      <c r="C24">
        <f ca="1">Inputs!E12+(Inputs!G12-Inputs!E12)*BETAINV(RAND(),Model!J6,Model!K6)</f>
        <v>0.27232940088312835</v>
      </c>
      <c r="D24">
        <f ca="1">(Inputs!H12+(Inputs!J12-Inputs!H12)*BETAINV(RAND(),Model!L6,Model!M6))*Inputs!$C$6</f>
        <v>27387.14008999629</v>
      </c>
      <c r="E24">
        <f t="shared" ca="1" si="0"/>
        <v>0.73885140472314104</v>
      </c>
      <c r="F24">
        <f t="shared" ca="1" si="1"/>
        <v>9.9620321461277528E-2</v>
      </c>
      <c r="G24">
        <f t="shared" ca="1" si="2"/>
        <v>0</v>
      </c>
      <c r="H24" s="47">
        <f t="shared" ca="1" si="3"/>
        <v>0</v>
      </c>
      <c r="I24">
        <f ca="1">Inputs!B13+(Inputs!D13-Inputs!B13)*BETAINV(RAND(),Model!H7,Model!I7)</f>
        <v>1.3980574301289967</v>
      </c>
      <c r="J24">
        <f ca="1">Inputs!E13+(Inputs!G13-Inputs!E13)*BETAINV(RAND(),Model!J7,Model!K7)</f>
        <v>0.27290669764598174</v>
      </c>
      <c r="K24">
        <f ca="1">(Inputs!H13+(Inputs!J13-Inputs!H13)*BETAINV(RAND(),Model!L7,Model!M7))*Inputs!$C$6</f>
        <v>34275.217627219245</v>
      </c>
      <c r="L24">
        <f t="shared" ca="1" si="4"/>
        <v>0.38153923637593234</v>
      </c>
      <c r="M24">
        <f t="shared" ca="1" si="5"/>
        <v>0.54601699031884932</v>
      </c>
      <c r="N24">
        <f t="shared" ca="1" si="6"/>
        <v>0</v>
      </c>
      <c r="O24" s="47">
        <f t="shared" ca="1" si="7"/>
        <v>0</v>
      </c>
      <c r="P24">
        <f ca="1">Inputs!B14+(Inputs!D14-Inputs!B14)*BETAINV(RAND(),Model!H8,Model!I8)</f>
        <v>0.1828864186582442</v>
      </c>
      <c r="Q24">
        <f ca="1">Inputs!E14+(Inputs!G14-Inputs!E14)*BETAINV(RAND(),Model!J8,Model!K8)</f>
        <v>0.50082552173458594</v>
      </c>
      <c r="R24">
        <f ca="1">(Inputs!H14+(Inputs!J14-Inputs!H14)*BETAINV(RAND(),Model!L8,Model!M8))*Inputs!$C$6</f>
        <v>323601.87858379097</v>
      </c>
      <c r="S24">
        <f t="shared" ca="1" si="8"/>
        <v>9.1594186042685072E-2</v>
      </c>
      <c r="T24">
        <f t="shared" ca="1" si="9"/>
        <v>0.26822627323159676</v>
      </c>
      <c r="U24">
        <f t="shared" ca="1" si="10"/>
        <v>0</v>
      </c>
      <c r="V24" s="47">
        <f t="shared" ca="1" si="11"/>
        <v>0</v>
      </c>
      <c r="W24">
        <f ca="1">Inputs!B15+(Inputs!D15-Inputs!B15)*BETAINV(RAND(),Model!H9,Model!I9)</f>
        <v>2.0088556018595578</v>
      </c>
      <c r="X24">
        <f ca="1">Inputs!E15+(Inputs!G15-Inputs!E15)*BETAINV(RAND(),Model!J9,Model!K9)</f>
        <v>0.43905205653560653</v>
      </c>
      <c r="Y24">
        <f ca="1">(Inputs!H15+(Inputs!J15-Inputs!H15)*BETAINV(RAND(),Model!L9,Model!M9))*Inputs!$C$6</f>
        <v>26305.858646686727</v>
      </c>
      <c r="Z24">
        <f t="shared" ca="1" si="12"/>
        <v>0.88199218327951245</v>
      </c>
      <c r="AA24">
        <f t="shared" ca="1" si="13"/>
        <v>0.91221060292513823</v>
      </c>
      <c r="AB24">
        <f t="shared" ca="1" si="14"/>
        <v>2</v>
      </c>
      <c r="AC24" s="47">
        <f t="shared" ca="1" si="15"/>
        <v>52611.717293373455</v>
      </c>
      <c r="AD24">
        <f ca="1">Inputs!B16+(Inputs!D16-Inputs!B16)*BETAINV(RAND(),Model!H10,Model!I10)</f>
        <v>0.66787453410711761</v>
      </c>
      <c r="AE24">
        <f ca="1">Inputs!E16+(Inputs!G16-Inputs!E16)*BETAINV(RAND(),Model!J10,Model!K10)</f>
        <v>0.69216401050356913</v>
      </c>
      <c r="AF24">
        <f ca="1">(Inputs!H16+(Inputs!J16-Inputs!H16)*BETAINV(RAND(),Model!L10,Model!M10))*Inputs!$C$6</f>
        <v>129947.52577577432</v>
      </c>
      <c r="AG24">
        <f t="shared" ca="1" si="16"/>
        <v>0.4622787160407853</v>
      </c>
      <c r="AH24">
        <f t="shared" ca="1" si="17"/>
        <v>0.10147126318155697</v>
      </c>
      <c r="AI24">
        <f t="shared" ca="1" si="18"/>
        <v>0</v>
      </c>
      <c r="AJ24" s="47">
        <f t="shared" ca="1" si="19"/>
        <v>0</v>
      </c>
      <c r="AK24">
        <f t="shared" ca="1" si="20"/>
        <v>52611.717293373455</v>
      </c>
    </row>
    <row r="25" spans="2:37" x14ac:dyDescent="0.2">
      <c r="B25">
        <f ca="1">Inputs!B12+(Inputs!D12-Inputs!B12)*BETAINV(RAND(),Model!H6,Model!I6)</f>
        <v>3.0670855386629596</v>
      </c>
      <c r="C25">
        <f ca="1">Inputs!E12+(Inputs!G12-Inputs!E12)*BETAINV(RAND(),Model!J6,Model!K6)</f>
        <v>0.34151030038919694</v>
      </c>
      <c r="D25">
        <f ca="1">(Inputs!H12+(Inputs!J12-Inputs!H12)*BETAINV(RAND(),Model!L6,Model!M6))*Inputs!$C$6</f>
        <v>44996.741491081208</v>
      </c>
      <c r="E25">
        <f t="shared" ca="1" si="0"/>
        <v>1.0474413036281494</v>
      </c>
      <c r="F25">
        <f t="shared" ca="1" si="1"/>
        <v>3.1746828690749074E-2</v>
      </c>
      <c r="G25">
        <f t="shared" ca="1" si="2"/>
        <v>0</v>
      </c>
      <c r="H25" s="47">
        <f t="shared" ca="1" si="3"/>
        <v>0</v>
      </c>
      <c r="I25">
        <f ca="1">Inputs!B13+(Inputs!D13-Inputs!B13)*BETAINV(RAND(),Model!H7,Model!I7)</f>
        <v>2.2188865058535114</v>
      </c>
      <c r="J25">
        <f ca="1">Inputs!E13+(Inputs!G13-Inputs!E13)*BETAINV(RAND(),Model!J7,Model!K7)</f>
        <v>0.36984650011246556</v>
      </c>
      <c r="K25">
        <f ca="1">(Inputs!H13+(Inputs!J13-Inputs!H13)*BETAINV(RAND(),Model!L7,Model!M7))*Inputs!$C$6</f>
        <v>39233.973663271106</v>
      </c>
      <c r="L25">
        <f t="shared" ca="1" si="4"/>
        <v>0.82064740833669902</v>
      </c>
      <c r="M25">
        <f t="shared" ca="1" si="5"/>
        <v>0.60879565678157765</v>
      </c>
      <c r="N25">
        <f t="shared" ca="1" si="6"/>
        <v>1</v>
      </c>
      <c r="O25" s="47">
        <f t="shared" ca="1" si="7"/>
        <v>39233.973663271106</v>
      </c>
      <c r="P25">
        <f ca="1">Inputs!B14+(Inputs!D14-Inputs!B14)*BETAINV(RAND(),Model!H8,Model!I8)</f>
        <v>0.39653423453526893</v>
      </c>
      <c r="Q25">
        <f ca="1">Inputs!E14+(Inputs!G14-Inputs!E14)*BETAINV(RAND(),Model!J8,Model!K8)</f>
        <v>0.62784833239047333</v>
      </c>
      <c r="R25">
        <f ca="1">(Inputs!H14+(Inputs!J14-Inputs!H14)*BETAINV(RAND(),Model!L8,Model!M8))*Inputs!$C$6</f>
        <v>195402.67709958364</v>
      </c>
      <c r="S25">
        <f t="shared" ca="1" si="8"/>
        <v>0.24896335788870144</v>
      </c>
      <c r="T25">
        <f t="shared" ca="1" si="9"/>
        <v>0.53133194973402387</v>
      </c>
      <c r="U25">
        <f t="shared" ca="1" si="10"/>
        <v>0</v>
      </c>
      <c r="V25" s="47">
        <f t="shared" ca="1" si="11"/>
        <v>0</v>
      </c>
      <c r="W25">
        <f ca="1">Inputs!B15+(Inputs!D15-Inputs!B15)*BETAINV(RAND(),Model!H9,Model!I9)</f>
        <v>2.1838953635351293</v>
      </c>
      <c r="X25">
        <f ca="1">Inputs!E15+(Inputs!G15-Inputs!E15)*BETAINV(RAND(),Model!J9,Model!K9)</f>
        <v>0.34124868676817272</v>
      </c>
      <c r="Y25">
        <f ca="1">(Inputs!H15+(Inputs!J15-Inputs!H15)*BETAINV(RAND(),Model!L9,Model!M9))*Inputs!$C$6</f>
        <v>37734.666619487274</v>
      </c>
      <c r="Z25">
        <f t="shared" ca="1" si="12"/>
        <v>0.74525142484546403</v>
      </c>
      <c r="AA25">
        <f t="shared" ca="1" si="13"/>
        <v>5.2004822378529547E-2</v>
      </c>
      <c r="AB25">
        <f t="shared" ca="1" si="14"/>
        <v>0</v>
      </c>
      <c r="AC25" s="47">
        <f t="shared" ca="1" si="15"/>
        <v>0</v>
      </c>
      <c r="AD25">
        <f ca="1">Inputs!B16+(Inputs!D16-Inputs!B16)*BETAINV(RAND(),Model!H10,Model!I10)</f>
        <v>1.0795811509893489</v>
      </c>
      <c r="AE25">
        <f ca="1">Inputs!E16+(Inputs!G16-Inputs!E16)*BETAINV(RAND(),Model!J10,Model!K10)</f>
        <v>0.61638321902640869</v>
      </c>
      <c r="AF25">
        <f ca="1">(Inputs!H16+(Inputs!J16-Inputs!H16)*BETAINV(RAND(),Model!L10,Model!M10))*Inputs!$C$6</f>
        <v>44140.768847699743</v>
      </c>
      <c r="AG25">
        <f t="shared" ca="1" si="16"/>
        <v>0.6654357050470503</v>
      </c>
      <c r="AH25">
        <f t="shared" ca="1" si="17"/>
        <v>0.79162311637804483</v>
      </c>
      <c r="AI25">
        <f t="shared" ca="1" si="18"/>
        <v>1</v>
      </c>
      <c r="AJ25" s="47">
        <f t="shared" ca="1" si="19"/>
        <v>44140.768847699743</v>
      </c>
      <c r="AK25">
        <f t="shared" ca="1" si="20"/>
        <v>83374.742510970857</v>
      </c>
    </row>
    <row r="26" spans="2:37" x14ac:dyDescent="0.2">
      <c r="B26">
        <f ca="1">Inputs!B12+(Inputs!D12-Inputs!B12)*BETAINV(RAND(),Model!H6,Model!I6)</f>
        <v>3.3972516640948678</v>
      </c>
      <c r="C26">
        <f ca="1">Inputs!E12+(Inputs!G12-Inputs!E12)*BETAINV(RAND(),Model!J6,Model!K6)</f>
        <v>0.42868731614815281</v>
      </c>
      <c r="D26">
        <f ca="1">(Inputs!H12+(Inputs!J12-Inputs!H12)*BETAINV(RAND(),Model!L6,Model!M6))*Inputs!$C$6</f>
        <v>20341.636852830194</v>
      </c>
      <c r="E26">
        <f t="shared" ca="1" si="0"/>
        <v>1.4563586981606749</v>
      </c>
      <c r="F26">
        <f t="shared" ca="1" si="1"/>
        <v>0.2216244717672694</v>
      </c>
      <c r="G26">
        <f t="shared" ca="1" si="2"/>
        <v>0</v>
      </c>
      <c r="H26" s="47">
        <f t="shared" ca="1" si="3"/>
        <v>0</v>
      </c>
      <c r="I26">
        <f ca="1">Inputs!B13+(Inputs!D13-Inputs!B13)*BETAINV(RAND(),Model!H7,Model!I7)</f>
        <v>3.2120335989808315</v>
      </c>
      <c r="J26">
        <f ca="1">Inputs!E13+(Inputs!G13-Inputs!E13)*BETAINV(RAND(),Model!J7,Model!K7)</f>
        <v>0.33290503882734851</v>
      </c>
      <c r="K26">
        <f ca="1">(Inputs!H13+(Inputs!J13-Inputs!H13)*BETAINV(RAND(),Model!L7,Model!M7))*Inputs!$C$6</f>
        <v>47946.253275893592</v>
      </c>
      <c r="L26">
        <f t="shared" ca="1" si="4"/>
        <v>1.0693021699834617</v>
      </c>
      <c r="M26">
        <f t="shared" ca="1" si="5"/>
        <v>0.76174180425156224</v>
      </c>
      <c r="N26">
        <f t="shared" ca="1" si="6"/>
        <v>2</v>
      </c>
      <c r="O26" s="47">
        <f t="shared" ca="1" si="7"/>
        <v>95892.506551787184</v>
      </c>
      <c r="P26">
        <f ca="1">Inputs!B14+(Inputs!D14-Inputs!B14)*BETAINV(RAND(),Model!H8,Model!I8)</f>
        <v>0.12556380403300169</v>
      </c>
      <c r="Q26">
        <f ca="1">Inputs!E14+(Inputs!G14-Inputs!E14)*BETAINV(RAND(),Model!J8,Model!K8)</f>
        <v>0.64337700699911737</v>
      </c>
      <c r="R26">
        <f ca="1">(Inputs!H14+(Inputs!J14-Inputs!H14)*BETAINV(RAND(),Model!L8,Model!M8))*Inputs!$C$6</f>
        <v>381211.20106519875</v>
      </c>
      <c r="S26">
        <f t="shared" ca="1" si="8"/>
        <v>8.0784864426176328E-2</v>
      </c>
      <c r="T26">
        <f t="shared" ca="1" si="9"/>
        <v>0.23960387181372256</v>
      </c>
      <c r="U26">
        <f t="shared" ca="1" si="10"/>
        <v>0</v>
      </c>
      <c r="V26" s="47">
        <f t="shared" ca="1" si="11"/>
        <v>0</v>
      </c>
      <c r="W26">
        <f ca="1">Inputs!B15+(Inputs!D15-Inputs!B15)*BETAINV(RAND(),Model!H9,Model!I9)</f>
        <v>0.59501876938929921</v>
      </c>
      <c r="X26">
        <f ca="1">Inputs!E15+(Inputs!G15-Inputs!E15)*BETAINV(RAND(),Model!J9,Model!K9)</f>
        <v>0.38093908125282816</v>
      </c>
      <c r="Y26">
        <f ca="1">(Inputs!H15+(Inputs!J15-Inputs!H15)*BETAINV(RAND(),Model!L9,Model!M9))*Inputs!$C$6</f>
        <v>66598.116065978218</v>
      </c>
      <c r="Z26">
        <f t="shared" ca="1" si="12"/>
        <v>0.22666590333934808</v>
      </c>
      <c r="AA26">
        <f t="shared" ca="1" si="13"/>
        <v>0.32272238551989263</v>
      </c>
      <c r="AB26">
        <f t="shared" ca="1" si="14"/>
        <v>0</v>
      </c>
      <c r="AC26" s="47">
        <f t="shared" ca="1" si="15"/>
        <v>0</v>
      </c>
      <c r="AD26">
        <f ca="1">Inputs!B16+(Inputs!D16-Inputs!B16)*BETAINV(RAND(),Model!H10,Model!I10)</f>
        <v>0.52966586892711043</v>
      </c>
      <c r="AE26">
        <f ca="1">Inputs!E16+(Inputs!G16-Inputs!E16)*BETAINV(RAND(),Model!J10,Model!K10)</f>
        <v>0.70251235573646342</v>
      </c>
      <c r="AF26">
        <f ca="1">(Inputs!H16+(Inputs!J16-Inputs!H16)*BETAINV(RAND(),Model!L10,Model!M10))*Inputs!$C$6</f>
        <v>93741.333095264796</v>
      </c>
      <c r="AG26">
        <f t="shared" ca="1" si="16"/>
        <v>0.37209681733318523</v>
      </c>
      <c r="AH26">
        <f t="shared" ca="1" si="17"/>
        <v>0.25564238920104065</v>
      </c>
      <c r="AI26">
        <f t="shared" ca="1" si="18"/>
        <v>0</v>
      </c>
      <c r="AJ26" s="47">
        <f t="shared" ca="1" si="19"/>
        <v>0</v>
      </c>
      <c r="AK26">
        <f t="shared" ca="1" si="20"/>
        <v>95892.506551787184</v>
      </c>
    </row>
    <row r="27" spans="2:37" x14ac:dyDescent="0.2">
      <c r="B27">
        <f ca="1">Inputs!B12+(Inputs!D12-Inputs!B12)*BETAINV(RAND(),Model!H6,Model!I6)</f>
        <v>4.8598189097929545</v>
      </c>
      <c r="C27">
        <f ca="1">Inputs!E12+(Inputs!G12-Inputs!E12)*BETAINV(RAND(),Model!J6,Model!K6)</f>
        <v>0.33184261943066373</v>
      </c>
      <c r="D27">
        <f ca="1">(Inputs!H12+(Inputs!J12-Inputs!H12)*BETAINV(RAND(),Model!L6,Model!M6))*Inputs!$C$6</f>
        <v>20003.504573350372</v>
      </c>
      <c r="E27">
        <f t="shared" ca="1" si="0"/>
        <v>1.6126950369843664</v>
      </c>
      <c r="F27">
        <f t="shared" ca="1" si="1"/>
        <v>0.28285903580715355</v>
      </c>
      <c r="G27">
        <f t="shared" ca="1" si="2"/>
        <v>1</v>
      </c>
      <c r="H27" s="47">
        <f t="shared" ca="1" si="3"/>
        <v>20003.504573350372</v>
      </c>
      <c r="I27">
        <f ca="1">Inputs!B13+(Inputs!D13-Inputs!B13)*BETAINV(RAND(),Model!H7,Model!I7)</f>
        <v>1.3596486860875454</v>
      </c>
      <c r="J27">
        <f ca="1">Inputs!E13+(Inputs!G13-Inputs!E13)*BETAINV(RAND(),Model!J7,Model!K7)</f>
        <v>0.36118948724912814</v>
      </c>
      <c r="K27">
        <f ca="1">(Inputs!H13+(Inputs!J13-Inputs!H13)*BETAINV(RAND(),Model!L7,Model!M7))*Inputs!$C$6</f>
        <v>28790.060975400731</v>
      </c>
      <c r="L27">
        <f t="shared" ca="1" si="4"/>
        <v>0.49109081176691133</v>
      </c>
      <c r="M27">
        <f t="shared" ca="1" si="5"/>
        <v>0.7864217413884772</v>
      </c>
      <c r="N27">
        <f t="shared" ca="1" si="6"/>
        <v>1</v>
      </c>
      <c r="O27" s="47">
        <f t="shared" ca="1" si="7"/>
        <v>28790.060975400731</v>
      </c>
      <c r="P27">
        <f ca="1">Inputs!B14+(Inputs!D14-Inputs!B14)*BETAINV(RAND(),Model!H8,Model!I8)</f>
        <v>0.60717078068345232</v>
      </c>
      <c r="Q27">
        <f ca="1">Inputs!E14+(Inputs!G14-Inputs!E14)*BETAINV(RAND(),Model!J8,Model!K8)</f>
        <v>0.69374003464633316</v>
      </c>
      <c r="R27">
        <f ca="1">(Inputs!H14+(Inputs!J14-Inputs!H14)*BETAINV(RAND(),Model!L8,Model!M8))*Inputs!$C$6</f>
        <v>294136.14895866421</v>
      </c>
      <c r="S27">
        <f t="shared" ca="1" si="8"/>
        <v>0.42121867842757937</v>
      </c>
      <c r="T27">
        <f t="shared" ca="1" si="9"/>
        <v>0.35291561089751078</v>
      </c>
      <c r="U27">
        <f t="shared" ca="1" si="10"/>
        <v>0</v>
      </c>
      <c r="V27" s="47">
        <f t="shared" ca="1" si="11"/>
        <v>0</v>
      </c>
      <c r="W27">
        <f ca="1">Inputs!B15+(Inputs!D15-Inputs!B15)*BETAINV(RAND(),Model!H9,Model!I9)</f>
        <v>0.79675706680124958</v>
      </c>
      <c r="X27">
        <f ca="1">Inputs!E15+(Inputs!G15-Inputs!E15)*BETAINV(RAND(),Model!J9,Model!K9)</f>
        <v>0.41341461579433647</v>
      </c>
      <c r="Y27">
        <f ca="1">(Inputs!H15+(Inputs!J15-Inputs!H15)*BETAINV(RAND(),Model!L9,Model!M9))*Inputs!$C$6</f>
        <v>10516.43254346908</v>
      </c>
      <c r="Z27">
        <f t="shared" ca="1" si="12"/>
        <v>0.32939101665306109</v>
      </c>
      <c r="AA27">
        <f t="shared" ca="1" si="13"/>
        <v>0.50967266492038954</v>
      </c>
      <c r="AB27">
        <f t="shared" ca="1" si="14"/>
        <v>0</v>
      </c>
      <c r="AC27" s="47">
        <f t="shared" ca="1" si="15"/>
        <v>0</v>
      </c>
      <c r="AD27">
        <f ca="1">Inputs!B16+(Inputs!D16-Inputs!B16)*BETAINV(RAND(),Model!H10,Model!I10)</f>
        <v>1.0307582803665736</v>
      </c>
      <c r="AE27">
        <f ca="1">Inputs!E16+(Inputs!G16-Inputs!E16)*BETAINV(RAND(),Model!J10,Model!K10)</f>
        <v>0.60606427822400244</v>
      </c>
      <c r="AF27">
        <f ca="1">(Inputs!H16+(Inputs!J16-Inputs!H16)*BETAINV(RAND(),Model!L10,Model!M10))*Inputs!$C$6</f>
        <v>118712.16845990653</v>
      </c>
      <c r="AG27">
        <f t="shared" ca="1" si="16"/>
        <v>0.6247057732137814</v>
      </c>
      <c r="AH27">
        <f t="shared" ca="1" si="17"/>
        <v>0.49728165487860376</v>
      </c>
      <c r="AI27">
        <f t="shared" ca="1" si="18"/>
        <v>0</v>
      </c>
      <c r="AJ27" s="47">
        <f t="shared" ca="1" si="19"/>
        <v>0</v>
      </c>
      <c r="AK27">
        <f t="shared" ca="1" si="20"/>
        <v>48793.565548751103</v>
      </c>
    </row>
    <row r="28" spans="2:37" x14ac:dyDescent="0.2">
      <c r="B28">
        <f ca="1">Inputs!B12+(Inputs!D12-Inputs!B12)*BETAINV(RAND(),Model!H6,Model!I6)</f>
        <v>6.281706991940716</v>
      </c>
      <c r="C28">
        <f ca="1">Inputs!E12+(Inputs!G12-Inputs!E12)*BETAINV(RAND(),Model!J6,Model!K6)</f>
        <v>0.32344687466451899</v>
      </c>
      <c r="D28">
        <f ca="1">(Inputs!H12+(Inputs!J12-Inputs!H12)*BETAINV(RAND(),Model!L6,Model!M6))*Inputs!$C$6</f>
        <v>26728.343133033912</v>
      </c>
      <c r="E28">
        <f t="shared" ca="1" si="0"/>
        <v>2.0317984941014813</v>
      </c>
      <c r="F28">
        <f t="shared" ca="1" si="1"/>
        <v>0.32351449844143942</v>
      </c>
      <c r="G28">
        <f t="shared" ca="1" si="2"/>
        <v>1</v>
      </c>
      <c r="H28" s="47">
        <f t="shared" ca="1" si="3"/>
        <v>26728.343133033912</v>
      </c>
      <c r="I28">
        <f ca="1">Inputs!B13+(Inputs!D13-Inputs!B13)*BETAINV(RAND(),Model!H7,Model!I7)</f>
        <v>4.0657581421946531</v>
      </c>
      <c r="J28">
        <f ca="1">Inputs!E13+(Inputs!G13-Inputs!E13)*BETAINV(RAND(),Model!J7,Model!K7)</f>
        <v>0.30564676537003244</v>
      </c>
      <c r="K28">
        <f ca="1">(Inputs!H13+(Inputs!J13-Inputs!H13)*BETAINV(RAND(),Model!L7,Model!M7))*Inputs!$C$6</f>
        <v>51210.572301700522</v>
      </c>
      <c r="L28">
        <f t="shared" ca="1" si="4"/>
        <v>1.2426858249386681</v>
      </c>
      <c r="M28">
        <f t="shared" ca="1" si="5"/>
        <v>0.75534355550951993</v>
      </c>
      <c r="N28">
        <f t="shared" ca="1" si="6"/>
        <v>2</v>
      </c>
      <c r="O28" s="47">
        <f t="shared" ca="1" si="7"/>
        <v>102421.14460340104</v>
      </c>
      <c r="P28">
        <f ca="1">Inputs!B14+(Inputs!D14-Inputs!B14)*BETAINV(RAND(),Model!H8,Model!I8)</f>
        <v>0.24208878450022234</v>
      </c>
      <c r="Q28">
        <f ca="1">Inputs!E14+(Inputs!G14-Inputs!E14)*BETAINV(RAND(),Model!J8,Model!K8)</f>
        <v>0.41911428177105886</v>
      </c>
      <c r="R28">
        <f ca="1">(Inputs!H14+(Inputs!J14-Inputs!H14)*BETAINV(RAND(),Model!L8,Model!M8))*Inputs!$C$6</f>
        <v>310280.80322162178</v>
      </c>
      <c r="S28">
        <f t="shared" ca="1" si="8"/>
        <v>0.10146286704063934</v>
      </c>
      <c r="T28">
        <f t="shared" ca="1" si="9"/>
        <v>0.64052898494886457</v>
      </c>
      <c r="U28">
        <f t="shared" ca="1" si="10"/>
        <v>0</v>
      </c>
      <c r="V28" s="47">
        <f t="shared" ca="1" si="11"/>
        <v>0</v>
      </c>
      <c r="W28">
        <f ca="1">Inputs!B15+(Inputs!D15-Inputs!B15)*BETAINV(RAND(),Model!H9,Model!I9)</f>
        <v>1.7672386067878045</v>
      </c>
      <c r="X28">
        <f ca="1">Inputs!E15+(Inputs!G15-Inputs!E15)*BETAINV(RAND(),Model!J9,Model!K9)</f>
        <v>0.49096453149856967</v>
      </c>
      <c r="Y28">
        <f ca="1">(Inputs!H15+(Inputs!J15-Inputs!H15)*BETAINV(RAND(),Model!L9,Model!M9))*Inputs!$C$6</f>
        <v>24942.848671520016</v>
      </c>
      <c r="Z28">
        <f t="shared" ca="1" si="12"/>
        <v>0.86765147462775938</v>
      </c>
      <c r="AA28">
        <f t="shared" ca="1" si="13"/>
        <v>0.31336444041767131</v>
      </c>
      <c r="AB28">
        <f t="shared" ca="1" si="14"/>
        <v>0</v>
      </c>
      <c r="AC28" s="47">
        <f t="shared" ca="1" si="15"/>
        <v>0</v>
      </c>
      <c r="AD28">
        <f ca="1">Inputs!B16+(Inputs!D16-Inputs!B16)*BETAINV(RAND(),Model!H10,Model!I10)</f>
        <v>0.55518083254902495</v>
      </c>
      <c r="AE28">
        <f ca="1">Inputs!E16+(Inputs!G16-Inputs!E16)*BETAINV(RAND(),Model!J10,Model!K10)</f>
        <v>0.56629697581714145</v>
      </c>
      <c r="AF28">
        <f ca="1">(Inputs!H16+(Inputs!J16-Inputs!H16)*BETAINV(RAND(),Model!L10,Model!M10))*Inputs!$C$6</f>
        <v>89484.957487095293</v>
      </c>
      <c r="AG28">
        <f t="shared" ca="1" si="16"/>
        <v>0.31439722650415564</v>
      </c>
      <c r="AH28">
        <f t="shared" ca="1" si="17"/>
        <v>0.88955851619092019</v>
      </c>
      <c r="AI28">
        <f t="shared" ca="1" si="18"/>
        <v>1</v>
      </c>
      <c r="AJ28" s="47">
        <f t="shared" ca="1" si="19"/>
        <v>89484.957487095293</v>
      </c>
      <c r="AK28">
        <f t="shared" ca="1" si="20"/>
        <v>218634.44522353023</v>
      </c>
    </row>
    <row r="29" spans="2:37" x14ac:dyDescent="0.2">
      <c r="B29">
        <f ca="1">Inputs!B12+(Inputs!D12-Inputs!B12)*BETAINV(RAND(),Model!H6,Model!I6)</f>
        <v>2.35427267316929</v>
      </c>
      <c r="C29">
        <f ca="1">Inputs!E12+(Inputs!G12-Inputs!E12)*BETAINV(RAND(),Model!J6,Model!K6)</f>
        <v>0.37073496387493776</v>
      </c>
      <c r="D29">
        <f ca="1">(Inputs!H12+(Inputs!J12-Inputs!H12)*BETAINV(RAND(),Model!L6,Model!M6))*Inputs!$C$6</f>
        <v>37681.330491624889</v>
      </c>
      <c r="E29">
        <f t="shared" ca="1" si="0"/>
        <v>0.87281119443916988</v>
      </c>
      <c r="F29">
        <f t="shared" ca="1" si="1"/>
        <v>0.90882717264238833</v>
      </c>
      <c r="G29">
        <f t="shared" ca="1" si="2"/>
        <v>2</v>
      </c>
      <c r="H29" s="47">
        <f t="shared" ca="1" si="3"/>
        <v>75362.660983249778</v>
      </c>
      <c r="I29">
        <f ca="1">Inputs!B13+(Inputs!D13-Inputs!B13)*BETAINV(RAND(),Model!H7,Model!I7)</f>
        <v>1.0500941139386515</v>
      </c>
      <c r="J29">
        <f ca="1">Inputs!E13+(Inputs!G13-Inputs!E13)*BETAINV(RAND(),Model!J7,Model!K7)</f>
        <v>0.15397050760164657</v>
      </c>
      <c r="K29">
        <f ca="1">(Inputs!H13+(Inputs!J13-Inputs!H13)*BETAINV(RAND(),Model!L7,Model!M7))*Inputs!$C$6</f>
        <v>13797.342535321806</v>
      </c>
      <c r="L29">
        <f t="shared" ca="1" si="4"/>
        <v>0.16168352375263545</v>
      </c>
      <c r="M29">
        <f t="shared" ca="1" si="5"/>
        <v>7.458489458068418E-2</v>
      </c>
      <c r="N29">
        <f t="shared" ca="1" si="6"/>
        <v>0</v>
      </c>
      <c r="O29" s="47">
        <f t="shared" ca="1" si="7"/>
        <v>0</v>
      </c>
      <c r="P29">
        <f ca="1">Inputs!B14+(Inputs!D14-Inputs!B14)*BETAINV(RAND(),Model!H8,Model!I8)</f>
        <v>0.49699146247481452</v>
      </c>
      <c r="Q29">
        <f ca="1">Inputs!E14+(Inputs!G14-Inputs!E14)*BETAINV(RAND(),Model!J8,Model!K8)</f>
        <v>0.56714314766468088</v>
      </c>
      <c r="R29">
        <f ca="1">(Inputs!H14+(Inputs!J14-Inputs!H14)*BETAINV(RAND(),Model!L8,Model!M8))*Inputs!$C$6</f>
        <v>323408.0109883878</v>
      </c>
      <c r="S29">
        <f t="shared" ca="1" si="8"/>
        <v>0.28186530239043944</v>
      </c>
      <c r="T29">
        <f t="shared" ca="1" si="9"/>
        <v>0.52921237348536865</v>
      </c>
      <c r="U29">
        <f t="shared" ca="1" si="10"/>
        <v>0</v>
      </c>
      <c r="V29" s="47">
        <f t="shared" ca="1" si="11"/>
        <v>0</v>
      </c>
      <c r="W29">
        <f ca="1">Inputs!B15+(Inputs!D15-Inputs!B15)*BETAINV(RAND(),Model!H9,Model!I9)</f>
        <v>0.37374604266205985</v>
      </c>
      <c r="X29">
        <f ca="1">Inputs!E15+(Inputs!G15-Inputs!E15)*BETAINV(RAND(),Model!J9,Model!K9)</f>
        <v>0.28291466912728358</v>
      </c>
      <c r="Y29">
        <f ca="1">(Inputs!H15+(Inputs!J15-Inputs!H15)*BETAINV(RAND(),Model!L9,Model!M9))*Inputs!$C$6</f>
        <v>67199.95776803224</v>
      </c>
      <c r="Z29">
        <f t="shared" ca="1" si="12"/>
        <v>0.10573823799736827</v>
      </c>
      <c r="AA29">
        <f t="shared" ca="1" si="13"/>
        <v>0.6432414197981321</v>
      </c>
      <c r="AB29">
        <f t="shared" ca="1" si="14"/>
        <v>0</v>
      </c>
      <c r="AC29" s="47">
        <f t="shared" ca="1" si="15"/>
        <v>0</v>
      </c>
      <c r="AD29">
        <f ca="1">Inputs!B16+(Inputs!D16-Inputs!B16)*BETAINV(RAND(),Model!H10,Model!I10)</f>
        <v>0.78637054816023189</v>
      </c>
      <c r="AE29">
        <f ca="1">Inputs!E16+(Inputs!G16-Inputs!E16)*BETAINV(RAND(),Model!J10,Model!K10)</f>
        <v>0.64310758060039452</v>
      </c>
      <c r="AF29">
        <f ca="1">(Inputs!H16+(Inputs!J16-Inputs!H16)*BETAINV(RAND(),Model!L10,Model!M10))*Inputs!$C$6</f>
        <v>85892.975716871297</v>
      </c>
      <c r="AG29">
        <f t="shared" ca="1" si="16"/>
        <v>0.5057208606827327</v>
      </c>
      <c r="AH29">
        <f t="shared" ca="1" si="17"/>
        <v>0.40322181866011797</v>
      </c>
      <c r="AI29">
        <f t="shared" ca="1" si="18"/>
        <v>0</v>
      </c>
      <c r="AJ29" s="47">
        <f t="shared" ca="1" si="19"/>
        <v>0</v>
      </c>
      <c r="AK29">
        <f t="shared" ca="1" si="20"/>
        <v>75362.660983249778</v>
      </c>
    </row>
    <row r="30" spans="2:37" x14ac:dyDescent="0.2">
      <c r="B30">
        <f ca="1">Inputs!B12+(Inputs!D12-Inputs!B12)*BETAINV(RAND(),Model!H6,Model!I6)</f>
        <v>5.2886263712374895</v>
      </c>
      <c r="C30">
        <f ca="1">Inputs!E12+(Inputs!G12-Inputs!E12)*BETAINV(RAND(),Model!J6,Model!K6)</f>
        <v>0.4595346000458399</v>
      </c>
      <c r="D30">
        <f ca="1">(Inputs!H12+(Inputs!J12-Inputs!H12)*BETAINV(RAND(),Model!L6,Model!M6))*Inputs!$C$6</f>
        <v>28864.597552322317</v>
      </c>
      <c r="E30">
        <f t="shared" ca="1" si="0"/>
        <v>2.4303068042985014</v>
      </c>
      <c r="F30">
        <f t="shared" ca="1" si="1"/>
        <v>0.57653298129161679</v>
      </c>
      <c r="G30">
        <f t="shared" ca="1" si="2"/>
        <v>3</v>
      </c>
      <c r="H30" s="47">
        <f t="shared" ca="1" si="3"/>
        <v>86593.792656966951</v>
      </c>
      <c r="I30">
        <f ca="1">Inputs!B13+(Inputs!D13-Inputs!B13)*BETAINV(RAND(),Model!H7,Model!I7)</f>
        <v>2.3547663286765648</v>
      </c>
      <c r="J30">
        <f ca="1">Inputs!E13+(Inputs!G13-Inputs!E13)*BETAINV(RAND(),Model!J7,Model!K7)</f>
        <v>0.37169682208620969</v>
      </c>
      <c r="K30">
        <f ca="1">(Inputs!H13+(Inputs!J13-Inputs!H13)*BETAINV(RAND(),Model!L7,Model!M7))*Inputs!$C$6</f>
        <v>21279.703258623722</v>
      </c>
      <c r="L30">
        <f t="shared" ca="1" si="4"/>
        <v>0.87525916112469027</v>
      </c>
      <c r="M30">
        <f t="shared" ca="1" si="5"/>
        <v>0.28377581421725506</v>
      </c>
      <c r="N30">
        <f t="shared" ca="1" si="6"/>
        <v>0</v>
      </c>
      <c r="O30" s="47">
        <f t="shared" ca="1" si="7"/>
        <v>0</v>
      </c>
      <c r="P30">
        <f ca="1">Inputs!B14+(Inputs!D14-Inputs!B14)*BETAINV(RAND(),Model!H8,Model!I8)</f>
        <v>0.42258333981758101</v>
      </c>
      <c r="Q30">
        <f ca="1">Inputs!E14+(Inputs!G14-Inputs!E14)*BETAINV(RAND(),Model!J8,Model!K8)</f>
        <v>0.50246916372722006</v>
      </c>
      <c r="R30">
        <f ca="1">(Inputs!H14+(Inputs!J14-Inputs!H14)*BETAINV(RAND(),Model!L8,Model!M8))*Inputs!$C$6</f>
        <v>261510.92814924332</v>
      </c>
      <c r="S30">
        <f t="shared" ca="1" si="8"/>
        <v>0.21233509736319559</v>
      </c>
      <c r="T30">
        <f t="shared" ca="1" si="9"/>
        <v>0.88175833740565401</v>
      </c>
      <c r="U30">
        <f t="shared" ca="1" si="10"/>
        <v>1</v>
      </c>
      <c r="V30" s="47">
        <f t="shared" ca="1" si="11"/>
        <v>261510.92814924332</v>
      </c>
      <c r="W30">
        <f ca="1">Inputs!B15+(Inputs!D15-Inputs!B15)*BETAINV(RAND(),Model!H9,Model!I9)</f>
        <v>0.93326986686470326</v>
      </c>
      <c r="X30">
        <f ca="1">Inputs!E15+(Inputs!G15-Inputs!E15)*BETAINV(RAND(),Model!J9,Model!K9)</f>
        <v>0.49745374783406771</v>
      </c>
      <c r="Y30">
        <f ca="1">(Inputs!H15+(Inputs!J15-Inputs!H15)*BETAINV(RAND(),Model!L9,Model!M9))*Inputs!$C$6</f>
        <v>14922.909806945931</v>
      </c>
      <c r="Z30">
        <f t="shared" ca="1" si="12"/>
        <v>0.46425859301244804</v>
      </c>
      <c r="AA30">
        <f t="shared" ca="1" si="13"/>
        <v>0.32494269983394009</v>
      </c>
      <c r="AB30">
        <f t="shared" ca="1" si="14"/>
        <v>0</v>
      </c>
      <c r="AC30" s="47">
        <f t="shared" ca="1" si="15"/>
        <v>0</v>
      </c>
      <c r="AD30">
        <f ca="1">Inputs!B16+(Inputs!D16-Inputs!B16)*BETAINV(RAND(),Model!H10,Model!I10)</f>
        <v>0.48959221914675527</v>
      </c>
      <c r="AE30">
        <f ca="1">Inputs!E16+(Inputs!G16-Inputs!E16)*BETAINV(RAND(),Model!J10,Model!K10)</f>
        <v>0.72298744572162721</v>
      </c>
      <c r="AF30">
        <f ca="1">(Inputs!H16+(Inputs!J16-Inputs!H16)*BETAINV(RAND(),Model!L10,Model!M10))*Inputs!$C$6</f>
        <v>53020.44672236676</v>
      </c>
      <c r="AG30">
        <f t="shared" ca="1" si="16"/>
        <v>0.35396902796609575</v>
      </c>
      <c r="AH30">
        <f t="shared" ca="1" si="17"/>
        <v>0.4617421208638921</v>
      </c>
      <c r="AI30">
        <f t="shared" ca="1" si="18"/>
        <v>0</v>
      </c>
      <c r="AJ30" s="47">
        <f t="shared" ca="1" si="19"/>
        <v>0</v>
      </c>
      <c r="AK30">
        <f t="shared" ca="1" si="20"/>
        <v>348104.7208062103</v>
      </c>
    </row>
    <row r="31" spans="2:37" x14ac:dyDescent="0.2">
      <c r="B31">
        <f ca="1">Inputs!B12+(Inputs!D12-Inputs!B12)*BETAINV(RAND(),Model!H6,Model!I6)</f>
        <v>2.2799567005989272</v>
      </c>
      <c r="C31">
        <f ca="1">Inputs!E12+(Inputs!G12-Inputs!E12)*BETAINV(RAND(),Model!J6,Model!K6)</f>
        <v>0.35330994775343944</v>
      </c>
      <c r="D31">
        <f ca="1">(Inputs!H12+(Inputs!J12-Inputs!H12)*BETAINV(RAND(),Model!L6,Model!M6))*Inputs!$C$6</f>
        <v>13722.89323440314</v>
      </c>
      <c r="E31">
        <f t="shared" ca="1" si="0"/>
        <v>0.80553138276871117</v>
      </c>
      <c r="F31">
        <f t="shared" ca="1" si="1"/>
        <v>0.75672747258089634</v>
      </c>
      <c r="G31">
        <f t="shared" ca="1" si="2"/>
        <v>1</v>
      </c>
      <c r="H31" s="47">
        <f t="shared" ca="1" si="3"/>
        <v>13722.89323440314</v>
      </c>
      <c r="I31">
        <f ca="1">Inputs!B13+(Inputs!D13-Inputs!B13)*BETAINV(RAND(),Model!H7,Model!I7)</f>
        <v>2.3084736980163347</v>
      </c>
      <c r="J31">
        <f ca="1">Inputs!E13+(Inputs!G13-Inputs!E13)*BETAINV(RAND(),Model!J7,Model!K7)</f>
        <v>0.1963340261792223</v>
      </c>
      <c r="K31">
        <f ca="1">(Inputs!H13+(Inputs!J13-Inputs!H13)*BETAINV(RAND(),Model!L7,Model!M7))*Inputs!$C$6</f>
        <v>35172.655774380481</v>
      </c>
      <c r="L31">
        <f t="shared" ca="1" si="4"/>
        <v>0.45323193546038515</v>
      </c>
      <c r="M31">
        <f t="shared" ca="1" si="5"/>
        <v>0.94285619645902874</v>
      </c>
      <c r="N31">
        <f t="shared" ca="1" si="6"/>
        <v>2</v>
      </c>
      <c r="O31" s="47">
        <f t="shared" ca="1" si="7"/>
        <v>70345.311548760961</v>
      </c>
      <c r="P31">
        <f ca="1">Inputs!B14+(Inputs!D14-Inputs!B14)*BETAINV(RAND(),Model!H8,Model!I8)</f>
        <v>0.2645601198453687</v>
      </c>
      <c r="Q31">
        <f ca="1">Inputs!E14+(Inputs!G14-Inputs!E14)*BETAINV(RAND(),Model!J8,Model!K8)</f>
        <v>0.74333568544822282</v>
      </c>
      <c r="R31">
        <f ca="1">(Inputs!H14+(Inputs!J14-Inputs!H14)*BETAINV(RAND(),Model!L8,Model!M8))*Inputs!$C$6</f>
        <v>483990.10611763987</v>
      </c>
      <c r="S31">
        <f t="shared" ca="1" si="8"/>
        <v>0.19665697802752111</v>
      </c>
      <c r="T31">
        <f t="shared" ca="1" si="9"/>
        <v>0.64187849174546863</v>
      </c>
      <c r="U31">
        <f t="shared" ca="1" si="10"/>
        <v>0</v>
      </c>
      <c r="V31" s="47">
        <f t="shared" ca="1" si="11"/>
        <v>0</v>
      </c>
      <c r="W31">
        <f ca="1">Inputs!B15+(Inputs!D15-Inputs!B15)*BETAINV(RAND(),Model!H9,Model!I9)</f>
        <v>1.5506364758664584</v>
      </c>
      <c r="X31">
        <f ca="1">Inputs!E15+(Inputs!G15-Inputs!E15)*BETAINV(RAND(),Model!J9,Model!K9)</f>
        <v>0.62954602208859822</v>
      </c>
      <c r="Y31">
        <f ca="1">(Inputs!H15+(Inputs!J15-Inputs!H15)*BETAINV(RAND(),Model!L9,Model!M9))*Inputs!$C$6</f>
        <v>23471.275649586067</v>
      </c>
      <c r="Z31">
        <f t="shared" ca="1" si="12"/>
        <v>0.97619702508721151</v>
      </c>
      <c r="AA31">
        <f t="shared" ca="1" si="13"/>
        <v>9.9951013467764582E-2</v>
      </c>
      <c r="AB31">
        <f t="shared" ca="1" si="14"/>
        <v>0</v>
      </c>
      <c r="AC31" s="47">
        <f t="shared" ca="1" si="15"/>
        <v>0</v>
      </c>
      <c r="AD31">
        <f ca="1">Inputs!B16+(Inputs!D16-Inputs!B16)*BETAINV(RAND(),Model!H10,Model!I10)</f>
        <v>0.4530299294366536</v>
      </c>
      <c r="AE31">
        <f ca="1">Inputs!E16+(Inputs!G16-Inputs!E16)*BETAINV(RAND(),Model!J10,Model!K10)</f>
        <v>0.47210692720342379</v>
      </c>
      <c r="AF31">
        <f ca="1">(Inputs!H16+(Inputs!J16-Inputs!H16)*BETAINV(RAND(),Model!L10,Model!M10))*Inputs!$C$6</f>
        <v>86493.705982810367</v>
      </c>
      <c r="AG31">
        <f t="shared" ca="1" si="16"/>
        <v>0.21387856791752244</v>
      </c>
      <c r="AH31">
        <f t="shared" ca="1" si="17"/>
        <v>0.26630090963290509</v>
      </c>
      <c r="AI31">
        <f t="shared" ca="1" si="18"/>
        <v>0</v>
      </c>
      <c r="AJ31" s="47">
        <f t="shared" ca="1" si="19"/>
        <v>0</v>
      </c>
      <c r="AK31">
        <f t="shared" ca="1" si="20"/>
        <v>84068.204783164096</v>
      </c>
    </row>
    <row r="32" spans="2:37" x14ac:dyDescent="0.2">
      <c r="B32">
        <f ca="1">Inputs!B12+(Inputs!D12-Inputs!B12)*BETAINV(RAND(),Model!H6,Model!I6)</f>
        <v>4.7304670166254272</v>
      </c>
      <c r="C32">
        <f ca="1">Inputs!E12+(Inputs!G12-Inputs!E12)*BETAINV(RAND(),Model!J6,Model!K6)</f>
        <v>0.44871843417979607</v>
      </c>
      <c r="D32">
        <f ca="1">(Inputs!H12+(Inputs!J12-Inputs!H12)*BETAINV(RAND(),Model!L6,Model!M6))*Inputs!$C$6</f>
        <v>17903.209577136135</v>
      </c>
      <c r="E32">
        <f t="shared" ca="1" si="0"/>
        <v>2.1226477526393333</v>
      </c>
      <c r="F32">
        <f t="shared" ca="1" si="1"/>
        <v>0.19591197371579361</v>
      </c>
      <c r="G32">
        <f t="shared" ca="1" si="2"/>
        <v>1</v>
      </c>
      <c r="H32" s="47">
        <f t="shared" ca="1" si="3"/>
        <v>17903.209577136135</v>
      </c>
      <c r="I32">
        <f ca="1">Inputs!B13+(Inputs!D13-Inputs!B13)*BETAINV(RAND(),Model!H7,Model!I7)</f>
        <v>2.1094856199432233</v>
      </c>
      <c r="J32">
        <f ca="1">Inputs!E13+(Inputs!G13-Inputs!E13)*BETAINV(RAND(),Model!J7,Model!K7)</f>
        <v>0.33614297725082376</v>
      </c>
      <c r="K32">
        <f ca="1">(Inputs!H13+(Inputs!J13-Inputs!H13)*BETAINV(RAND(),Model!L7,Model!M7))*Inputs!$C$6</f>
        <v>45756.27785437007</v>
      </c>
      <c r="L32">
        <f t="shared" ca="1" si="4"/>
        <v>0.70908877675551474</v>
      </c>
      <c r="M32">
        <f t="shared" ca="1" si="5"/>
        <v>0.94828264632148251</v>
      </c>
      <c r="N32">
        <f t="shared" ca="1" si="6"/>
        <v>2</v>
      </c>
      <c r="O32" s="47">
        <f t="shared" ca="1" si="7"/>
        <v>91512.555708740139</v>
      </c>
      <c r="P32">
        <f ca="1">Inputs!B14+(Inputs!D14-Inputs!B14)*BETAINV(RAND(),Model!H8,Model!I8)</f>
        <v>0.32043179501324509</v>
      </c>
      <c r="Q32">
        <f ca="1">Inputs!E14+(Inputs!G14-Inputs!E14)*BETAINV(RAND(),Model!J8,Model!K8)</f>
        <v>0.83250623959792147</v>
      </c>
      <c r="R32">
        <f ca="1">(Inputs!H14+(Inputs!J14-Inputs!H14)*BETAINV(RAND(),Model!L8,Model!M8))*Inputs!$C$6</f>
        <v>313972.09814849065</v>
      </c>
      <c r="S32">
        <f t="shared" ca="1" si="8"/>
        <v>0.26676146871408868</v>
      </c>
      <c r="T32">
        <f t="shared" ca="1" si="9"/>
        <v>0.14159673405888296</v>
      </c>
      <c r="U32">
        <f t="shared" ca="1" si="10"/>
        <v>0</v>
      </c>
      <c r="V32" s="47">
        <f t="shared" ca="1" si="11"/>
        <v>0</v>
      </c>
      <c r="W32">
        <f ca="1">Inputs!B15+(Inputs!D15-Inputs!B15)*BETAINV(RAND(),Model!H9,Model!I9)</f>
        <v>1.6005730324351919</v>
      </c>
      <c r="X32">
        <f ca="1">Inputs!E15+(Inputs!G15-Inputs!E15)*BETAINV(RAND(),Model!J9,Model!K9)</f>
        <v>0.46329396543415297</v>
      </c>
      <c r="Y32">
        <f ca="1">(Inputs!H15+(Inputs!J15-Inputs!H15)*BETAINV(RAND(),Model!L9,Model!M9))*Inputs!$C$6</f>
        <v>24544.859728626587</v>
      </c>
      <c r="Z32">
        <f t="shared" ca="1" si="12"/>
        <v>0.74153582716386723</v>
      </c>
      <c r="AA32">
        <f t="shared" ca="1" si="13"/>
        <v>0.13783785393484727</v>
      </c>
      <c r="AB32">
        <f t="shared" ca="1" si="14"/>
        <v>0</v>
      </c>
      <c r="AC32" s="47">
        <f t="shared" ca="1" si="15"/>
        <v>0</v>
      </c>
      <c r="AD32">
        <f ca="1">Inputs!B16+(Inputs!D16-Inputs!B16)*BETAINV(RAND(),Model!H10,Model!I10)</f>
        <v>0.43604754040843718</v>
      </c>
      <c r="AE32">
        <f ca="1">Inputs!E16+(Inputs!G16-Inputs!E16)*BETAINV(RAND(),Model!J10,Model!K10)</f>
        <v>0.58287426927219388</v>
      </c>
      <c r="AF32">
        <f ca="1">(Inputs!H16+(Inputs!J16-Inputs!H16)*BETAINV(RAND(),Model!L10,Model!M10))*Inputs!$C$6</f>
        <v>96059.777006703094</v>
      </c>
      <c r="AG32">
        <f t="shared" ca="1" si="16"/>
        <v>0.25416089148350524</v>
      </c>
      <c r="AH32">
        <f t="shared" ca="1" si="17"/>
        <v>0.59090874758998546</v>
      </c>
      <c r="AI32">
        <f t="shared" ca="1" si="18"/>
        <v>0</v>
      </c>
      <c r="AJ32" s="47">
        <f t="shared" ca="1" si="19"/>
        <v>0</v>
      </c>
      <c r="AK32">
        <f t="shared" ca="1" si="20"/>
        <v>109415.76528587627</v>
      </c>
    </row>
    <row r="33" spans="2:37" x14ac:dyDescent="0.2">
      <c r="B33">
        <f ca="1">Inputs!B12+(Inputs!D12-Inputs!B12)*BETAINV(RAND(),Model!H6,Model!I6)</f>
        <v>3.4620236684806054</v>
      </c>
      <c r="C33">
        <f ca="1">Inputs!E12+(Inputs!G12-Inputs!E12)*BETAINV(RAND(),Model!J6,Model!K6)</f>
        <v>0.32987371767800938</v>
      </c>
      <c r="D33">
        <f ca="1">(Inputs!H12+(Inputs!J12-Inputs!H12)*BETAINV(RAND(),Model!L6,Model!M6))*Inputs!$C$6</f>
        <v>54009.788211715975</v>
      </c>
      <c r="E33">
        <f t="shared" ca="1" si="0"/>
        <v>1.1420306182109576</v>
      </c>
      <c r="F33">
        <f t="shared" ca="1" si="1"/>
        <v>0.47233258106169318</v>
      </c>
      <c r="G33">
        <f t="shared" ca="1" si="2"/>
        <v>1</v>
      </c>
      <c r="H33" s="47">
        <f t="shared" ca="1" si="3"/>
        <v>54009.788211715975</v>
      </c>
      <c r="I33">
        <f ca="1">Inputs!B13+(Inputs!D13-Inputs!B13)*BETAINV(RAND(),Model!H7,Model!I7)</f>
        <v>2.012766543848246</v>
      </c>
      <c r="J33">
        <f ca="1">Inputs!E13+(Inputs!G13-Inputs!E13)*BETAINV(RAND(),Model!J7,Model!K7)</f>
        <v>0.27980767357411662</v>
      </c>
      <c r="K33">
        <f ca="1">(Inputs!H13+(Inputs!J13-Inputs!H13)*BETAINV(RAND(),Model!L7,Model!M7))*Inputs!$C$6</f>
        <v>66290.608026900809</v>
      </c>
      <c r="L33">
        <f t="shared" ca="1" si="4"/>
        <v>0.56318752408199291</v>
      </c>
      <c r="M33">
        <f t="shared" ca="1" si="5"/>
        <v>0.84811571757958781</v>
      </c>
      <c r="N33">
        <f t="shared" ca="1" si="6"/>
        <v>1</v>
      </c>
      <c r="O33" s="47">
        <f t="shared" ca="1" si="7"/>
        <v>66290.608026900809</v>
      </c>
      <c r="P33">
        <f ca="1">Inputs!B14+(Inputs!D14-Inputs!B14)*BETAINV(RAND(),Model!H8,Model!I8)</f>
        <v>0.27195105507813938</v>
      </c>
      <c r="Q33">
        <f ca="1">Inputs!E14+(Inputs!G14-Inputs!E14)*BETAINV(RAND(),Model!J8,Model!K8)</f>
        <v>0.60635558899546316</v>
      </c>
      <c r="R33">
        <f ca="1">(Inputs!H14+(Inputs!J14-Inputs!H14)*BETAINV(RAND(),Model!L8,Model!M8))*Inputs!$C$6</f>
        <v>344707.54156246717</v>
      </c>
      <c r="S33">
        <f t="shared" ca="1" si="8"/>
        <v>0.16489904217984286</v>
      </c>
      <c r="T33">
        <f t="shared" ca="1" si="9"/>
        <v>0.87146898575546627</v>
      </c>
      <c r="U33">
        <f t="shared" ca="1" si="10"/>
        <v>1</v>
      </c>
      <c r="V33" s="47">
        <f t="shared" ca="1" si="11"/>
        <v>344707.54156246717</v>
      </c>
      <c r="W33">
        <f ca="1">Inputs!B15+(Inputs!D15-Inputs!B15)*BETAINV(RAND(),Model!H9,Model!I9)</f>
        <v>0.91694032947757953</v>
      </c>
      <c r="X33">
        <f ca="1">Inputs!E15+(Inputs!G15-Inputs!E15)*BETAINV(RAND(),Model!J9,Model!K9)</f>
        <v>0.36390458389366681</v>
      </c>
      <c r="Y33">
        <f ca="1">(Inputs!H15+(Inputs!J15-Inputs!H15)*BETAINV(RAND(),Model!L9,Model!M9))*Inputs!$C$6</f>
        <v>36010.225906302585</v>
      </c>
      <c r="Z33">
        <f t="shared" ca="1" si="12"/>
        <v>0.33367878905386034</v>
      </c>
      <c r="AA33">
        <f t="shared" ca="1" si="13"/>
        <v>1.5706923986764543E-2</v>
      </c>
      <c r="AB33">
        <f t="shared" ca="1" si="14"/>
        <v>0</v>
      </c>
      <c r="AC33" s="47">
        <f t="shared" ca="1" si="15"/>
        <v>0</v>
      </c>
      <c r="AD33">
        <f ca="1">Inputs!B16+(Inputs!D16-Inputs!B16)*BETAINV(RAND(),Model!H10,Model!I10)</f>
        <v>0.81356661564818022</v>
      </c>
      <c r="AE33">
        <f ca="1">Inputs!E16+(Inputs!G16-Inputs!E16)*BETAINV(RAND(),Model!J10,Model!K10)</f>
        <v>0.55927525334655237</v>
      </c>
      <c r="AF33">
        <f ca="1">(Inputs!H16+(Inputs!J16-Inputs!H16)*BETAINV(RAND(),Model!L10,Model!M10))*Inputs!$C$6</f>
        <v>138852.94487058918</v>
      </c>
      <c r="AG33">
        <f t="shared" ca="1" si="16"/>
        <v>0.4550076750809332</v>
      </c>
      <c r="AH33">
        <f t="shared" ca="1" si="17"/>
        <v>5.768049774878603E-2</v>
      </c>
      <c r="AI33">
        <f t="shared" ca="1" si="18"/>
        <v>0</v>
      </c>
      <c r="AJ33" s="47">
        <f t="shared" ca="1" si="19"/>
        <v>0</v>
      </c>
      <c r="AK33">
        <f t="shared" ca="1" si="20"/>
        <v>465007.93780108396</v>
      </c>
    </row>
    <row r="34" spans="2:37" x14ac:dyDescent="0.2">
      <c r="B34">
        <f ca="1">Inputs!B12+(Inputs!D12-Inputs!B12)*BETAINV(RAND(),Model!H6,Model!I6)</f>
        <v>3.3746109215423847</v>
      </c>
      <c r="C34">
        <f ca="1">Inputs!E12+(Inputs!G12-Inputs!E12)*BETAINV(RAND(),Model!J6,Model!K6)</f>
        <v>0.26604206477000275</v>
      </c>
      <c r="D34">
        <f ca="1">(Inputs!H12+(Inputs!J12-Inputs!H12)*BETAINV(RAND(),Model!L6,Model!M6))*Inputs!$C$6</f>
        <v>17979.33528914447</v>
      </c>
      <c r="E34">
        <f t="shared" ca="1" si="0"/>
        <v>0.89778845736253776</v>
      </c>
      <c r="F34">
        <f t="shared" ca="1" si="1"/>
        <v>0.47447811311783195</v>
      </c>
      <c r="G34">
        <f t="shared" ca="1" si="2"/>
        <v>1</v>
      </c>
      <c r="H34" s="47">
        <f t="shared" ca="1" si="3"/>
        <v>17979.33528914447</v>
      </c>
      <c r="I34">
        <f ca="1">Inputs!B13+(Inputs!D13-Inputs!B13)*BETAINV(RAND(),Model!H7,Model!I7)</f>
        <v>1.2281476162742302</v>
      </c>
      <c r="J34">
        <f ca="1">Inputs!E13+(Inputs!G13-Inputs!E13)*BETAINV(RAND(),Model!J7,Model!K7)</f>
        <v>0.30122494335072397</v>
      </c>
      <c r="K34">
        <f ca="1">(Inputs!H13+(Inputs!J13-Inputs!H13)*BETAINV(RAND(),Model!L7,Model!M7))*Inputs!$C$6</f>
        <v>54482.023818424255</v>
      </c>
      <c r="L34">
        <f t="shared" ca="1" si="4"/>
        <v>0.36994869613853165</v>
      </c>
      <c r="M34">
        <f t="shared" ca="1" si="5"/>
        <v>0.74392325965756756</v>
      </c>
      <c r="N34">
        <f t="shared" ca="1" si="6"/>
        <v>1</v>
      </c>
      <c r="O34" s="47">
        <f t="shared" ca="1" si="7"/>
        <v>54482.023818424255</v>
      </c>
      <c r="P34">
        <f ca="1">Inputs!B14+(Inputs!D14-Inputs!B14)*BETAINV(RAND(),Model!H8,Model!I8)</f>
        <v>0.34971169401992991</v>
      </c>
      <c r="Q34">
        <f ca="1">Inputs!E14+(Inputs!G14-Inputs!E14)*BETAINV(RAND(),Model!J8,Model!K8)</f>
        <v>0.40483611439435407</v>
      </c>
      <c r="R34">
        <f ca="1">(Inputs!H14+(Inputs!J14-Inputs!H14)*BETAINV(RAND(),Model!L8,Model!M8))*Inputs!$C$6</f>
        <v>227629.07901078681</v>
      </c>
      <c r="S34">
        <f t="shared" ca="1" si="8"/>
        <v>0.1415759233652957</v>
      </c>
      <c r="T34">
        <f t="shared" ca="1" si="9"/>
        <v>0.53064051606130491</v>
      </c>
      <c r="U34">
        <f t="shared" ca="1" si="10"/>
        <v>0</v>
      </c>
      <c r="V34" s="47">
        <f t="shared" ca="1" si="11"/>
        <v>0</v>
      </c>
      <c r="W34">
        <f ca="1">Inputs!B15+(Inputs!D15-Inputs!B15)*BETAINV(RAND(),Model!H9,Model!I9)</f>
        <v>1.7408908567957095</v>
      </c>
      <c r="X34">
        <f ca="1">Inputs!E15+(Inputs!G15-Inputs!E15)*BETAINV(RAND(),Model!J9,Model!K9)</f>
        <v>0.42216854941857718</v>
      </c>
      <c r="Y34">
        <f ca="1">(Inputs!H15+(Inputs!J15-Inputs!H15)*BETAINV(RAND(),Model!L9,Model!M9))*Inputs!$C$6</f>
        <v>28323.088489093068</v>
      </c>
      <c r="Z34">
        <f t="shared" ca="1" si="12"/>
        <v>0.73494936770950869</v>
      </c>
      <c r="AA34">
        <f t="shared" ca="1" si="13"/>
        <v>0.1029360673453652</v>
      </c>
      <c r="AB34">
        <f t="shared" ca="1" si="14"/>
        <v>0</v>
      </c>
      <c r="AC34" s="47">
        <f t="shared" ca="1" si="15"/>
        <v>0</v>
      </c>
      <c r="AD34">
        <f ca="1">Inputs!B16+(Inputs!D16-Inputs!B16)*BETAINV(RAND(),Model!H10,Model!I10)</f>
        <v>0.42512543482524645</v>
      </c>
      <c r="AE34">
        <f ca="1">Inputs!E16+(Inputs!G16-Inputs!E16)*BETAINV(RAND(),Model!J10,Model!K10)</f>
        <v>0.69151436025382762</v>
      </c>
      <c r="AF34">
        <f ca="1">(Inputs!H16+(Inputs!J16-Inputs!H16)*BETAINV(RAND(),Model!L10,Model!M10))*Inputs!$C$6</f>
        <v>83154.427195214885</v>
      </c>
      <c r="AG34">
        <f t="shared" ca="1" si="16"/>
        <v>0.29398034309081061</v>
      </c>
      <c r="AH34">
        <f t="shared" ca="1" si="17"/>
        <v>0.18332021147393796</v>
      </c>
      <c r="AI34">
        <f t="shared" ca="1" si="18"/>
        <v>0</v>
      </c>
      <c r="AJ34" s="47">
        <f t="shared" ca="1" si="19"/>
        <v>0</v>
      </c>
      <c r="AK34">
        <f t="shared" ca="1" si="20"/>
        <v>72461.359107568729</v>
      </c>
    </row>
    <row r="35" spans="2:37" x14ac:dyDescent="0.2">
      <c r="B35">
        <f ca="1">Inputs!B12+(Inputs!D12-Inputs!B12)*BETAINV(RAND(),Model!H6,Model!I6)</f>
        <v>1.8627586409341141</v>
      </c>
      <c r="C35">
        <f ca="1">Inputs!E12+(Inputs!G12-Inputs!E12)*BETAINV(RAND(),Model!J6,Model!K6)</f>
        <v>0.30581661360227813</v>
      </c>
      <c r="D35">
        <f ca="1">(Inputs!H12+(Inputs!J12-Inputs!H12)*BETAINV(RAND(),Model!L6,Model!M6))*Inputs!$C$6</f>
        <v>10903.82768144398</v>
      </c>
      <c r="E35">
        <f t="shared" ca="1" si="0"/>
        <v>0.56966253952885271</v>
      </c>
      <c r="F35">
        <f t="shared" ca="1" si="1"/>
        <v>0.70779857178436456</v>
      </c>
      <c r="G35">
        <f t="shared" ca="1" si="2"/>
        <v>1</v>
      </c>
      <c r="H35" s="47">
        <f t="shared" ca="1" si="3"/>
        <v>10903.82768144398</v>
      </c>
      <c r="I35">
        <f ca="1">Inputs!B13+(Inputs!D13-Inputs!B13)*BETAINV(RAND(),Model!H7,Model!I7)</f>
        <v>2.6713738636338773</v>
      </c>
      <c r="J35">
        <f ca="1">Inputs!E13+(Inputs!G13-Inputs!E13)*BETAINV(RAND(),Model!J7,Model!K7)</f>
        <v>0.47495377961574625</v>
      </c>
      <c r="K35">
        <f ca="1">(Inputs!H13+(Inputs!J13-Inputs!H13)*BETAINV(RAND(),Model!L7,Model!M7))*Inputs!$C$6</f>
        <v>20774.800405159014</v>
      </c>
      <c r="L35">
        <f t="shared" ca="1" si="4"/>
        <v>1.2687791132996291</v>
      </c>
      <c r="M35">
        <f t="shared" ca="1" si="5"/>
        <v>0.55485492446081874</v>
      </c>
      <c r="N35">
        <f t="shared" ca="1" si="6"/>
        <v>1</v>
      </c>
      <c r="O35" s="47">
        <f t="shared" ca="1" si="7"/>
        <v>20774.800405159014</v>
      </c>
      <c r="P35">
        <f ca="1">Inputs!B14+(Inputs!D14-Inputs!B14)*BETAINV(RAND(),Model!H8,Model!I8)</f>
        <v>0.27472086230795933</v>
      </c>
      <c r="Q35">
        <f ca="1">Inputs!E14+(Inputs!G14-Inputs!E14)*BETAINV(RAND(),Model!J8,Model!K8)</f>
        <v>0.66866929850756318</v>
      </c>
      <c r="R35">
        <f ca="1">(Inputs!H14+(Inputs!J14-Inputs!H14)*BETAINV(RAND(),Model!L8,Model!M8))*Inputs!$C$6</f>
        <v>545765.33671245584</v>
      </c>
      <c r="S35">
        <f t="shared" ca="1" si="8"/>
        <v>0.18369740628485604</v>
      </c>
      <c r="T35">
        <f t="shared" ca="1" si="9"/>
        <v>0.5091453670057795</v>
      </c>
      <c r="U35">
        <f t="shared" ca="1" si="10"/>
        <v>0</v>
      </c>
      <c r="V35" s="47">
        <f t="shared" ca="1" si="11"/>
        <v>0</v>
      </c>
      <c r="W35">
        <f ca="1">Inputs!B15+(Inputs!D15-Inputs!B15)*BETAINV(RAND(),Model!H9,Model!I9)</f>
        <v>0.84103430178873828</v>
      </c>
      <c r="X35">
        <f ca="1">Inputs!E15+(Inputs!G15-Inputs!E15)*BETAINV(RAND(),Model!J9,Model!K9)</f>
        <v>0.45858011049217606</v>
      </c>
      <c r="Y35">
        <f ca="1">(Inputs!H15+(Inputs!J15-Inputs!H15)*BETAINV(RAND(),Model!L9,Model!M9))*Inputs!$C$6</f>
        <v>20917.99426064959</v>
      </c>
      <c r="Z35">
        <f t="shared" ca="1" si="12"/>
        <v>0.38568160304198973</v>
      </c>
      <c r="AA35">
        <f t="shared" ca="1" si="13"/>
        <v>0.38136309416778558</v>
      </c>
      <c r="AB35">
        <f t="shared" ca="1" si="14"/>
        <v>0</v>
      </c>
      <c r="AC35" s="47">
        <f t="shared" ca="1" si="15"/>
        <v>0</v>
      </c>
      <c r="AD35">
        <f ca="1">Inputs!B16+(Inputs!D16-Inputs!B16)*BETAINV(RAND(),Model!H10,Model!I10)</f>
        <v>1.0835212029086831</v>
      </c>
      <c r="AE35">
        <f ca="1">Inputs!E16+(Inputs!G16-Inputs!E16)*BETAINV(RAND(),Model!J10,Model!K10)</f>
        <v>0.68405818460691947</v>
      </c>
      <c r="AF35">
        <f ca="1">(Inputs!H16+(Inputs!J16-Inputs!H16)*BETAINV(RAND(),Model!L10,Model!M10))*Inputs!$C$6</f>
        <v>67442.567236101342</v>
      </c>
      <c r="AG35">
        <f t="shared" ca="1" si="16"/>
        <v>0.74119154704481938</v>
      </c>
      <c r="AH35">
        <f t="shared" ca="1" si="17"/>
        <v>0.37137898987091422</v>
      </c>
      <c r="AI35">
        <f t="shared" ca="1" si="18"/>
        <v>0</v>
      </c>
      <c r="AJ35" s="47">
        <f t="shared" ca="1" si="19"/>
        <v>0</v>
      </c>
      <c r="AK35">
        <f t="shared" ca="1" si="20"/>
        <v>31678.628086602992</v>
      </c>
    </row>
    <row r="36" spans="2:37" x14ac:dyDescent="0.2">
      <c r="B36">
        <f ca="1">Inputs!B12+(Inputs!D12-Inputs!B12)*BETAINV(RAND(),Model!H6,Model!I6)</f>
        <v>1.8098802599495076</v>
      </c>
      <c r="C36">
        <f ca="1">Inputs!E12+(Inputs!G12-Inputs!E12)*BETAINV(RAND(),Model!J6,Model!K6)</f>
        <v>0.31318455907612869</v>
      </c>
      <c r="D36">
        <f ca="1">(Inputs!H12+(Inputs!J12-Inputs!H12)*BETAINV(RAND(),Model!L6,Model!M6))*Inputs!$C$6</f>
        <v>51925.000598825471</v>
      </c>
      <c r="E36">
        <f t="shared" ca="1" si="0"/>
        <v>0.56682655119287573</v>
      </c>
      <c r="F36">
        <f t="shared" ca="1" si="1"/>
        <v>0.77794020574619416</v>
      </c>
      <c r="G36">
        <f t="shared" ca="1" si="2"/>
        <v>1</v>
      </c>
      <c r="H36" s="47">
        <f t="shared" ca="1" si="3"/>
        <v>51925.000598825471</v>
      </c>
      <c r="I36">
        <f ca="1">Inputs!B13+(Inputs!D13-Inputs!B13)*BETAINV(RAND(),Model!H7,Model!I7)</f>
        <v>0.64785875411732519</v>
      </c>
      <c r="J36">
        <f ca="1">Inputs!E13+(Inputs!G13-Inputs!E13)*BETAINV(RAND(),Model!J7,Model!K7)</f>
        <v>0.4082343857970947</v>
      </c>
      <c r="K36">
        <f ca="1">(Inputs!H13+(Inputs!J13-Inputs!H13)*BETAINV(RAND(),Model!L7,Model!M7))*Inputs!$C$6</f>
        <v>33287.266818499207</v>
      </c>
      <c r="L36">
        <f t="shared" ca="1" si="4"/>
        <v>0.26447822057035725</v>
      </c>
      <c r="M36">
        <f t="shared" ca="1" si="5"/>
        <v>0.12341628573267283</v>
      </c>
      <c r="N36">
        <f t="shared" ca="1" si="6"/>
        <v>0</v>
      </c>
      <c r="O36" s="47">
        <f t="shared" ca="1" si="7"/>
        <v>0</v>
      </c>
      <c r="P36">
        <f ca="1">Inputs!B14+(Inputs!D14-Inputs!B14)*BETAINV(RAND(),Model!H8,Model!I8)</f>
        <v>0.25454985427766874</v>
      </c>
      <c r="Q36">
        <f ca="1">Inputs!E14+(Inputs!G14-Inputs!E14)*BETAINV(RAND(),Model!J8,Model!K8)</f>
        <v>0.5969804742502699</v>
      </c>
      <c r="R36">
        <f ca="1">(Inputs!H14+(Inputs!J14-Inputs!H14)*BETAINV(RAND(),Model!L8,Model!M8))*Inputs!$C$6</f>
        <v>492091.34132965864</v>
      </c>
      <c r="S36">
        <f t="shared" ca="1" si="8"/>
        <v>0.15196129272701978</v>
      </c>
      <c r="T36">
        <f t="shared" ca="1" si="9"/>
        <v>0.21588006091734491</v>
      </c>
      <c r="U36">
        <f t="shared" ca="1" si="10"/>
        <v>0</v>
      </c>
      <c r="V36" s="47">
        <f t="shared" ca="1" si="11"/>
        <v>0</v>
      </c>
      <c r="W36">
        <f ca="1">Inputs!B15+(Inputs!D15-Inputs!B15)*BETAINV(RAND(),Model!H9,Model!I9)</f>
        <v>0.88784299469015848</v>
      </c>
      <c r="X36">
        <f ca="1">Inputs!E15+(Inputs!G15-Inputs!E15)*BETAINV(RAND(),Model!J9,Model!K9)</f>
        <v>0.47065988431283223</v>
      </c>
      <c r="Y36">
        <f ca="1">(Inputs!H15+(Inputs!J15-Inputs!H15)*BETAINV(RAND(),Model!L9,Model!M9))*Inputs!$C$6</f>
        <v>18754.190439476537</v>
      </c>
      <c r="Z36">
        <f t="shared" ca="1" si="12"/>
        <v>0.41787208116882851</v>
      </c>
      <c r="AA36">
        <f t="shared" ca="1" si="13"/>
        <v>0.20074578532490972</v>
      </c>
      <c r="AB36">
        <f t="shared" ca="1" si="14"/>
        <v>0</v>
      </c>
      <c r="AC36" s="47">
        <f t="shared" ca="1" si="15"/>
        <v>0</v>
      </c>
      <c r="AD36">
        <f ca="1">Inputs!B16+(Inputs!D16-Inputs!B16)*BETAINV(RAND(),Model!H10,Model!I10)</f>
        <v>0.57336129082268461</v>
      </c>
      <c r="AE36">
        <f ca="1">Inputs!E16+(Inputs!G16-Inputs!E16)*BETAINV(RAND(),Model!J10,Model!K10)</f>
        <v>0.61678106676553279</v>
      </c>
      <c r="AF36">
        <f ca="1">(Inputs!H16+(Inputs!J16-Inputs!H16)*BETAINV(RAND(),Model!L10,Model!M10))*Inputs!$C$6</f>
        <v>114901.82877474875</v>
      </c>
      <c r="AG36">
        <f t="shared" ca="1" si="16"/>
        <v>0.35363838859567831</v>
      </c>
      <c r="AH36">
        <f t="shared" ca="1" si="17"/>
        <v>0.74672608260852957</v>
      </c>
      <c r="AI36">
        <f t="shared" ca="1" si="18"/>
        <v>1</v>
      </c>
      <c r="AJ36" s="47">
        <f t="shared" ca="1" si="19"/>
        <v>114901.82877474875</v>
      </c>
      <c r="AK36">
        <f t="shared" ca="1" si="20"/>
        <v>166826.82937357423</v>
      </c>
    </row>
    <row r="37" spans="2:37" x14ac:dyDescent="0.2">
      <c r="B37">
        <f ca="1">Inputs!B12+(Inputs!D12-Inputs!B12)*BETAINV(RAND(),Model!H6,Model!I6)</f>
        <v>2.0276771335241763</v>
      </c>
      <c r="C37">
        <f ca="1">Inputs!E12+(Inputs!G12-Inputs!E12)*BETAINV(RAND(),Model!J6,Model!K6)</f>
        <v>0.29029332437168498</v>
      </c>
      <c r="D37">
        <f ca="1">(Inputs!H12+(Inputs!J12-Inputs!H12)*BETAINV(RAND(),Model!L6,Model!M6))*Inputs!$C$6</f>
        <v>12707.037167643683</v>
      </c>
      <c r="E37">
        <f t="shared" ca="1" si="0"/>
        <v>0.5886211358431821</v>
      </c>
      <c r="F37">
        <f t="shared" ca="1" si="1"/>
        <v>0.74945099587414254</v>
      </c>
      <c r="G37">
        <f t="shared" ca="1" si="2"/>
        <v>1</v>
      </c>
      <c r="H37" s="47">
        <f t="shared" ca="1" si="3"/>
        <v>12707.037167643683</v>
      </c>
      <c r="I37">
        <f ca="1">Inputs!B13+(Inputs!D13-Inputs!B13)*BETAINV(RAND(),Model!H7,Model!I7)</f>
        <v>3.0468950250990323</v>
      </c>
      <c r="J37">
        <f ca="1">Inputs!E13+(Inputs!G13-Inputs!E13)*BETAINV(RAND(),Model!J7,Model!K7)</f>
        <v>0.26252022602315178</v>
      </c>
      <c r="K37">
        <f ca="1">(Inputs!H13+(Inputs!J13-Inputs!H13)*BETAINV(RAND(),Model!L7,Model!M7))*Inputs!$C$6</f>
        <v>64875.601538608753</v>
      </c>
      <c r="L37">
        <f t="shared" ca="1" si="4"/>
        <v>0.79987157065781467</v>
      </c>
      <c r="M37">
        <f t="shared" ca="1" si="5"/>
        <v>0.33667077728580486</v>
      </c>
      <c r="N37">
        <f t="shared" ca="1" si="6"/>
        <v>0</v>
      </c>
      <c r="O37" s="47">
        <f t="shared" ca="1" si="7"/>
        <v>0</v>
      </c>
      <c r="P37">
        <f ca="1">Inputs!B14+(Inputs!D14-Inputs!B14)*BETAINV(RAND(),Model!H8,Model!I8)</f>
        <v>0.33995044877154179</v>
      </c>
      <c r="Q37">
        <f ca="1">Inputs!E14+(Inputs!G14-Inputs!E14)*BETAINV(RAND(),Model!J8,Model!K8)</f>
        <v>0.70877742567728286</v>
      </c>
      <c r="R37">
        <f ca="1">(Inputs!H14+(Inputs!J14-Inputs!H14)*BETAINV(RAND(),Model!L8,Model!M8))*Inputs!$C$6</f>
        <v>409457.52669254428</v>
      </c>
      <c r="S37">
        <f t="shared" ca="1" si="8"/>
        <v>0.24094920393813041</v>
      </c>
      <c r="T37">
        <f t="shared" ca="1" si="9"/>
        <v>0.46061254705140275</v>
      </c>
      <c r="U37">
        <f t="shared" ca="1" si="10"/>
        <v>0</v>
      </c>
      <c r="V37" s="47">
        <f t="shared" ca="1" si="11"/>
        <v>0</v>
      </c>
      <c r="W37">
        <f ca="1">Inputs!B15+(Inputs!D15-Inputs!B15)*BETAINV(RAND(),Model!H9,Model!I9)</f>
        <v>1.1237271636161348</v>
      </c>
      <c r="X37">
        <f ca="1">Inputs!E15+(Inputs!G15-Inputs!E15)*BETAINV(RAND(),Model!J9,Model!K9)</f>
        <v>0.39829730373899375</v>
      </c>
      <c r="Y37">
        <f ca="1">(Inputs!H15+(Inputs!J15-Inputs!H15)*BETAINV(RAND(),Model!L9,Model!M9))*Inputs!$C$6</f>
        <v>22745.522388955676</v>
      </c>
      <c r="Z37">
        <f t="shared" ca="1" si="12"/>
        <v>0.44757749940657354</v>
      </c>
      <c r="AA37">
        <f t="shared" ca="1" si="13"/>
        <v>0.92189760038941326</v>
      </c>
      <c r="AB37">
        <f t="shared" ca="1" si="14"/>
        <v>1</v>
      </c>
      <c r="AC37" s="47">
        <f t="shared" ca="1" si="15"/>
        <v>22745.522388955676</v>
      </c>
      <c r="AD37">
        <f ca="1">Inputs!B16+(Inputs!D16-Inputs!B16)*BETAINV(RAND(),Model!H10,Model!I10)</f>
        <v>0.64665944361792804</v>
      </c>
      <c r="AE37">
        <f ca="1">Inputs!E16+(Inputs!G16-Inputs!E16)*BETAINV(RAND(),Model!J10,Model!K10)</f>
        <v>0.50989848009675043</v>
      </c>
      <c r="AF37">
        <f ca="1">(Inputs!H16+(Inputs!J16-Inputs!H16)*BETAINV(RAND(),Model!L10,Model!M10))*Inputs!$C$6</f>
        <v>44085.584331622129</v>
      </c>
      <c r="AG37">
        <f t="shared" ca="1" si="16"/>
        <v>0.32973066744099178</v>
      </c>
      <c r="AH37">
        <f t="shared" ca="1" si="17"/>
        <v>0.37068964903401458</v>
      </c>
      <c r="AI37">
        <f t="shared" ca="1" si="18"/>
        <v>0</v>
      </c>
      <c r="AJ37" s="47">
        <f t="shared" ca="1" si="19"/>
        <v>0</v>
      </c>
      <c r="AK37">
        <f t="shared" ca="1" si="20"/>
        <v>35452.559556599357</v>
      </c>
    </row>
    <row r="38" spans="2:37" x14ac:dyDescent="0.2">
      <c r="B38">
        <f ca="1">Inputs!B12+(Inputs!D12-Inputs!B12)*BETAINV(RAND(),Model!H6,Model!I6)</f>
        <v>4.6027993146272728</v>
      </c>
      <c r="C38">
        <f ca="1">Inputs!E12+(Inputs!G12-Inputs!E12)*BETAINV(RAND(),Model!J6,Model!K6)</f>
        <v>0.32452367333382615</v>
      </c>
      <c r="D38">
        <f ca="1">(Inputs!H12+(Inputs!J12-Inputs!H12)*BETAINV(RAND(),Model!L6,Model!M6))*Inputs!$C$6</f>
        <v>28159.242327181346</v>
      </c>
      <c r="E38">
        <f t="shared" ca="1" si="0"/>
        <v>1.4937173412012599</v>
      </c>
      <c r="F38">
        <f t="shared" ca="1" si="1"/>
        <v>0.52924556394003341</v>
      </c>
      <c r="G38">
        <f t="shared" ca="1" si="2"/>
        <v>1</v>
      </c>
      <c r="H38" s="47">
        <f t="shared" ca="1" si="3"/>
        <v>28159.242327181346</v>
      </c>
      <c r="I38">
        <f ca="1">Inputs!B13+(Inputs!D13-Inputs!B13)*BETAINV(RAND(),Model!H7,Model!I7)</f>
        <v>3.7849762317459268</v>
      </c>
      <c r="J38">
        <f ca="1">Inputs!E13+(Inputs!G13-Inputs!E13)*BETAINV(RAND(),Model!J7,Model!K7)</f>
        <v>0.27000923839146218</v>
      </c>
      <c r="K38">
        <f ca="1">(Inputs!H13+(Inputs!J13-Inputs!H13)*BETAINV(RAND(),Model!L7,Model!M7))*Inputs!$C$6</f>
        <v>50137.707455675554</v>
      </c>
      <c r="L38">
        <f t="shared" ca="1" si="4"/>
        <v>1.0219785496635041</v>
      </c>
      <c r="M38">
        <f t="shared" ca="1" si="5"/>
        <v>0.38213607177967124</v>
      </c>
      <c r="N38">
        <f t="shared" ca="1" si="6"/>
        <v>1</v>
      </c>
      <c r="O38" s="47">
        <f t="shared" ca="1" si="7"/>
        <v>50137.707455675554</v>
      </c>
      <c r="P38">
        <f ca="1">Inputs!B14+(Inputs!D14-Inputs!B14)*BETAINV(RAND(),Model!H8,Model!I8)</f>
        <v>0.32920737929191418</v>
      </c>
      <c r="Q38">
        <f ca="1">Inputs!E14+(Inputs!G14-Inputs!E14)*BETAINV(RAND(),Model!J8,Model!K8)</f>
        <v>0.71126246671829951</v>
      </c>
      <c r="R38">
        <f ca="1">(Inputs!H14+(Inputs!J14-Inputs!H14)*BETAINV(RAND(),Model!L8,Model!M8))*Inputs!$C$6</f>
        <v>430565.51817143802</v>
      </c>
      <c r="S38">
        <f t="shared" ca="1" si="8"/>
        <v>0.23415285265703373</v>
      </c>
      <c r="T38">
        <f t="shared" ca="1" si="9"/>
        <v>0.27893928656410083</v>
      </c>
      <c r="U38">
        <f t="shared" ca="1" si="10"/>
        <v>0</v>
      </c>
      <c r="V38" s="47">
        <f t="shared" ca="1" si="11"/>
        <v>0</v>
      </c>
      <c r="W38">
        <f ca="1">Inputs!B15+(Inputs!D15-Inputs!B15)*BETAINV(RAND(),Model!H9,Model!I9)</f>
        <v>1.5540110890061749</v>
      </c>
      <c r="X38">
        <f ca="1">Inputs!E15+(Inputs!G15-Inputs!E15)*BETAINV(RAND(),Model!J9,Model!K9)</f>
        <v>0.36895582489352896</v>
      </c>
      <c r="Y38">
        <f ca="1">(Inputs!H15+(Inputs!J15-Inputs!H15)*BETAINV(RAND(),Model!L9,Model!M9))*Inputs!$C$6</f>
        <v>29713.64849106484</v>
      </c>
      <c r="Z38">
        <f t="shared" ca="1" si="12"/>
        <v>0.57336144323796456</v>
      </c>
      <c r="AA38">
        <f t="shared" ca="1" si="13"/>
        <v>0.47090171554452231</v>
      </c>
      <c r="AB38">
        <f t="shared" ca="1" si="14"/>
        <v>0</v>
      </c>
      <c r="AC38" s="47">
        <f t="shared" ca="1" si="15"/>
        <v>0</v>
      </c>
      <c r="AD38">
        <f ca="1">Inputs!B16+(Inputs!D16-Inputs!B16)*BETAINV(RAND(),Model!H10,Model!I10)</f>
        <v>0.94096242305568589</v>
      </c>
      <c r="AE38">
        <f ca="1">Inputs!E16+(Inputs!G16-Inputs!E16)*BETAINV(RAND(),Model!J10,Model!K10)</f>
        <v>0.61076337180801066</v>
      </c>
      <c r="AF38">
        <f ca="1">(Inputs!H16+(Inputs!J16-Inputs!H16)*BETAINV(RAND(),Model!L10,Model!M10))*Inputs!$C$6</f>
        <v>93075.509656920607</v>
      </c>
      <c r="AG38">
        <f t="shared" ca="1" si="16"/>
        <v>0.57470538225012646</v>
      </c>
      <c r="AH38">
        <f t="shared" ca="1" si="17"/>
        <v>0.73293396613564787</v>
      </c>
      <c r="AI38">
        <f t="shared" ca="1" si="18"/>
        <v>1</v>
      </c>
      <c r="AJ38" s="47">
        <f t="shared" ca="1" si="19"/>
        <v>93075.509656920607</v>
      </c>
      <c r="AK38">
        <f t="shared" ca="1" si="20"/>
        <v>171372.45943977751</v>
      </c>
    </row>
    <row r="39" spans="2:37" x14ac:dyDescent="0.2">
      <c r="B39">
        <f ca="1">Inputs!B12+(Inputs!D12-Inputs!B12)*BETAINV(RAND(),Model!H6,Model!I6)</f>
        <v>4.82502481507853</v>
      </c>
      <c r="C39">
        <f ca="1">Inputs!E12+(Inputs!G12-Inputs!E12)*BETAINV(RAND(),Model!J6,Model!K6)</f>
        <v>0.31152579689781079</v>
      </c>
      <c r="D39">
        <f ca="1">(Inputs!H12+(Inputs!J12-Inputs!H12)*BETAINV(RAND(),Model!L6,Model!M6))*Inputs!$C$6</f>
        <v>42939.996288004106</v>
      </c>
      <c r="E39">
        <f t="shared" ca="1" si="0"/>
        <v>1.5031197005690513</v>
      </c>
      <c r="F39">
        <f t="shared" ca="1" si="1"/>
        <v>4.0412498906680305E-2</v>
      </c>
      <c r="G39">
        <f t="shared" ca="1" si="2"/>
        <v>0</v>
      </c>
      <c r="H39" s="47">
        <f t="shared" ca="1" si="3"/>
        <v>0</v>
      </c>
      <c r="I39">
        <f ca="1">Inputs!B13+(Inputs!D13-Inputs!B13)*BETAINV(RAND(),Model!H7,Model!I7)</f>
        <v>2.4197672154244394</v>
      </c>
      <c r="J39">
        <f ca="1">Inputs!E13+(Inputs!G13-Inputs!E13)*BETAINV(RAND(),Model!J7,Model!K7)</f>
        <v>0.1987166663673583</v>
      </c>
      <c r="K39">
        <f ca="1">(Inputs!H13+(Inputs!J13-Inputs!H13)*BETAINV(RAND(),Model!L7,Model!M7))*Inputs!$C$6</f>
        <v>35943.582752092479</v>
      </c>
      <c r="L39">
        <f t="shared" ca="1" si="4"/>
        <v>0.48084807443416994</v>
      </c>
      <c r="M39">
        <f t="shared" ca="1" si="5"/>
        <v>0.28976168871872421</v>
      </c>
      <c r="N39">
        <f t="shared" ca="1" si="6"/>
        <v>0</v>
      </c>
      <c r="O39" s="47">
        <f t="shared" ca="1" si="7"/>
        <v>0</v>
      </c>
      <c r="P39">
        <f ca="1">Inputs!B14+(Inputs!D14-Inputs!B14)*BETAINV(RAND(),Model!H8,Model!I8)</f>
        <v>0.16555258597095759</v>
      </c>
      <c r="Q39">
        <f ca="1">Inputs!E14+(Inputs!G14-Inputs!E14)*BETAINV(RAND(),Model!J8,Model!K8)</f>
        <v>0.56607563866574706</v>
      </c>
      <c r="R39">
        <f ca="1">(Inputs!H14+(Inputs!J14-Inputs!H14)*BETAINV(RAND(),Model!L8,Model!M8))*Inputs!$C$6</f>
        <v>308680.28882747533</v>
      </c>
      <c r="S39">
        <f t="shared" ca="1" si="8"/>
        <v>9.3715285836275822E-2</v>
      </c>
      <c r="T39">
        <f t="shared" ca="1" si="9"/>
        <v>0.53284628237230036</v>
      </c>
      <c r="U39">
        <f t="shared" ca="1" si="10"/>
        <v>0</v>
      </c>
      <c r="V39" s="47">
        <f t="shared" ca="1" si="11"/>
        <v>0</v>
      </c>
      <c r="W39">
        <f ca="1">Inputs!B15+(Inputs!D15-Inputs!B15)*BETAINV(RAND(),Model!H9,Model!I9)</f>
        <v>2.0518458990232071</v>
      </c>
      <c r="X39">
        <f ca="1">Inputs!E15+(Inputs!G15-Inputs!E15)*BETAINV(RAND(),Model!J9,Model!K9)</f>
        <v>0.38245258859672221</v>
      </c>
      <c r="Y39">
        <f ca="1">(Inputs!H15+(Inputs!J15-Inputs!H15)*BETAINV(RAND(),Model!L9,Model!M9))*Inputs!$C$6</f>
        <v>41722.557556524225</v>
      </c>
      <c r="Z39">
        <f t="shared" ca="1" si="12"/>
        <v>0.78473377548299428</v>
      </c>
      <c r="AA39">
        <f t="shared" ca="1" si="13"/>
        <v>0.62059163744933676</v>
      </c>
      <c r="AB39">
        <f t="shared" ca="1" si="14"/>
        <v>1</v>
      </c>
      <c r="AC39" s="47">
        <f t="shared" ca="1" si="15"/>
        <v>41722.557556524225</v>
      </c>
      <c r="AD39">
        <f ca="1">Inputs!B16+(Inputs!D16-Inputs!B16)*BETAINV(RAND(),Model!H10,Model!I10)</f>
        <v>0.85431019913026818</v>
      </c>
      <c r="AE39">
        <f ca="1">Inputs!E16+(Inputs!G16-Inputs!E16)*BETAINV(RAND(),Model!J10,Model!K10)</f>
        <v>0.53785897550485928</v>
      </c>
      <c r="AF39">
        <f ca="1">(Inputs!H16+(Inputs!J16-Inputs!H16)*BETAINV(RAND(),Model!L10,Model!M10))*Inputs!$C$6</f>
        <v>106584.57881392544</v>
      </c>
      <c r="AG39">
        <f t="shared" ca="1" si="16"/>
        <v>0.45949840846755835</v>
      </c>
      <c r="AH39">
        <f t="shared" ca="1" si="17"/>
        <v>0.55287772434591187</v>
      </c>
      <c r="AI39">
        <f t="shared" ca="1" si="18"/>
        <v>0</v>
      </c>
      <c r="AJ39" s="47">
        <f t="shared" ca="1" si="19"/>
        <v>0</v>
      </c>
      <c r="AK39">
        <f t="shared" ca="1" si="20"/>
        <v>41722.557556524225</v>
      </c>
    </row>
    <row r="40" spans="2:37" x14ac:dyDescent="0.2">
      <c r="B40">
        <f ca="1">Inputs!B12+(Inputs!D12-Inputs!B12)*BETAINV(RAND(),Model!H6,Model!I6)</f>
        <v>2.3654360166875952</v>
      </c>
      <c r="C40">
        <f ca="1">Inputs!E12+(Inputs!G12-Inputs!E12)*BETAINV(RAND(),Model!J6,Model!K6)</f>
        <v>0.18755303481735688</v>
      </c>
      <c r="D40">
        <f ca="1">(Inputs!H12+(Inputs!J12-Inputs!H12)*BETAINV(RAND(),Model!L6,Model!M6))*Inputs!$C$6</f>
        <v>21601.686531409876</v>
      </c>
      <c r="E40">
        <f t="shared" ca="1" si="0"/>
        <v>0.44364470359603853</v>
      </c>
      <c r="F40">
        <f t="shared" ca="1" si="1"/>
        <v>6.0570975075476929E-2</v>
      </c>
      <c r="G40">
        <f t="shared" ca="1" si="2"/>
        <v>0</v>
      </c>
      <c r="H40" s="47">
        <f t="shared" ca="1" si="3"/>
        <v>0</v>
      </c>
      <c r="I40">
        <f ca="1">Inputs!B13+(Inputs!D13-Inputs!B13)*BETAINV(RAND(),Model!H7,Model!I7)</f>
        <v>1.7573681447474263</v>
      </c>
      <c r="J40">
        <f ca="1">Inputs!E13+(Inputs!G13-Inputs!E13)*BETAINV(RAND(),Model!J7,Model!K7)</f>
        <v>0.17047473139893532</v>
      </c>
      <c r="K40">
        <f ca="1">(Inputs!H13+(Inputs!J13-Inputs!H13)*BETAINV(RAND(),Model!L7,Model!M7))*Inputs!$C$6</f>
        <v>66480.82037269506</v>
      </c>
      <c r="L40">
        <f t="shared" ca="1" si="4"/>
        <v>0.29958686244486277</v>
      </c>
      <c r="M40">
        <f t="shared" ca="1" si="5"/>
        <v>0.68918340865179384</v>
      </c>
      <c r="N40">
        <f t="shared" ca="1" si="6"/>
        <v>0</v>
      </c>
      <c r="O40" s="47">
        <f t="shared" ca="1" si="7"/>
        <v>0</v>
      </c>
      <c r="P40">
        <f ca="1">Inputs!B14+(Inputs!D14-Inputs!B14)*BETAINV(RAND(),Model!H8,Model!I8)</f>
        <v>0.60454179181327972</v>
      </c>
      <c r="Q40">
        <f ca="1">Inputs!E14+(Inputs!G14-Inputs!E14)*BETAINV(RAND(),Model!J8,Model!K8)</f>
        <v>0.58342713926870826</v>
      </c>
      <c r="R40">
        <f ca="1">(Inputs!H14+(Inputs!J14-Inputs!H14)*BETAINV(RAND(),Model!L8,Model!M8))*Inputs!$C$6</f>
        <v>252179.2488580707</v>
      </c>
      <c r="S40">
        <f t="shared" ca="1" si="8"/>
        <v>0.3527060881660008</v>
      </c>
      <c r="T40">
        <f t="shared" ca="1" si="9"/>
        <v>0.51244111467498143</v>
      </c>
      <c r="U40">
        <f t="shared" ca="1" si="10"/>
        <v>0</v>
      </c>
      <c r="V40" s="47">
        <f t="shared" ca="1" si="11"/>
        <v>0</v>
      </c>
      <c r="W40">
        <f ca="1">Inputs!B15+(Inputs!D15-Inputs!B15)*BETAINV(RAND(),Model!H9,Model!I9)</f>
        <v>1.4062945335143737</v>
      </c>
      <c r="X40">
        <f ca="1">Inputs!E15+(Inputs!G15-Inputs!E15)*BETAINV(RAND(),Model!J9,Model!K9)</f>
        <v>0.41456125850954995</v>
      </c>
      <c r="Y40">
        <f ca="1">(Inputs!H15+(Inputs!J15-Inputs!H15)*BETAINV(RAND(),Model!L9,Model!M9))*Inputs!$C$6</f>
        <v>47882.937540656283</v>
      </c>
      <c r="Z40">
        <f t="shared" ca="1" si="12"/>
        <v>0.58299523164881928</v>
      </c>
      <c r="AA40">
        <f t="shared" ca="1" si="13"/>
        <v>0.40201455651560736</v>
      </c>
      <c r="AB40">
        <f t="shared" ca="1" si="14"/>
        <v>0</v>
      </c>
      <c r="AC40" s="47">
        <f t="shared" ca="1" si="15"/>
        <v>0</v>
      </c>
      <c r="AD40">
        <f ca="1">Inputs!B16+(Inputs!D16-Inputs!B16)*BETAINV(RAND(),Model!H10,Model!I10)</f>
        <v>0.63226891215968117</v>
      </c>
      <c r="AE40">
        <f ca="1">Inputs!E16+(Inputs!G16-Inputs!E16)*BETAINV(RAND(),Model!J10,Model!K10)</f>
        <v>0.74741379093795124</v>
      </c>
      <c r="AF40">
        <f ca="1">(Inputs!H16+(Inputs!J16-Inputs!H16)*BETAINV(RAND(),Model!L10,Model!M10))*Inputs!$C$6</f>
        <v>121916.59703496879</v>
      </c>
      <c r="AG40">
        <f t="shared" ca="1" si="16"/>
        <v>0.47256650452948179</v>
      </c>
      <c r="AH40">
        <f t="shared" ca="1" si="17"/>
        <v>0.7350933443718739</v>
      </c>
      <c r="AI40">
        <f t="shared" ca="1" si="18"/>
        <v>1</v>
      </c>
      <c r="AJ40" s="47">
        <f t="shared" ca="1" si="19"/>
        <v>121916.59703496879</v>
      </c>
      <c r="AK40">
        <f t="shared" ca="1" si="20"/>
        <v>121916.59703496879</v>
      </c>
    </row>
    <row r="41" spans="2:37" x14ac:dyDescent="0.2">
      <c r="B41">
        <f ca="1">Inputs!B12+(Inputs!D12-Inputs!B12)*BETAINV(RAND(),Model!H6,Model!I6)</f>
        <v>3.6417433365698724</v>
      </c>
      <c r="C41">
        <f ca="1">Inputs!E12+(Inputs!G12-Inputs!E12)*BETAINV(RAND(),Model!J6,Model!K6)</f>
        <v>0.31773339093149522</v>
      </c>
      <c r="D41">
        <f ca="1">(Inputs!H12+(Inputs!J12-Inputs!H12)*BETAINV(RAND(),Model!L6,Model!M6))*Inputs!$C$6</f>
        <v>28574.423774697567</v>
      </c>
      <c r="E41">
        <f t="shared" ca="1" si="0"/>
        <v>1.1571034592305229</v>
      </c>
      <c r="F41">
        <f t="shared" ca="1" si="1"/>
        <v>0.80622242795454158</v>
      </c>
      <c r="G41">
        <f t="shared" ca="1" si="2"/>
        <v>2</v>
      </c>
      <c r="H41" s="47">
        <f t="shared" ca="1" si="3"/>
        <v>57148.847549395134</v>
      </c>
      <c r="I41">
        <f ca="1">Inputs!B13+(Inputs!D13-Inputs!B13)*BETAINV(RAND(),Model!H7,Model!I7)</f>
        <v>2.8544766501852958</v>
      </c>
      <c r="J41">
        <f ca="1">Inputs!E13+(Inputs!G13-Inputs!E13)*BETAINV(RAND(),Model!J7,Model!K7)</f>
        <v>0.39770757131743351</v>
      </c>
      <c r="K41">
        <f ca="1">(Inputs!H13+(Inputs!J13-Inputs!H13)*BETAINV(RAND(),Model!L7,Model!M7))*Inputs!$C$6</f>
        <v>35136.621885670458</v>
      </c>
      <c r="L41">
        <f t="shared" ca="1" si="4"/>
        <v>1.1352469759275172</v>
      </c>
      <c r="M41">
        <f t="shared" ca="1" si="5"/>
        <v>0.32468725974905155</v>
      </c>
      <c r="N41">
        <f t="shared" ca="1" si="6"/>
        <v>1</v>
      </c>
      <c r="O41" s="47">
        <f t="shared" ca="1" si="7"/>
        <v>35136.621885670458</v>
      </c>
      <c r="P41">
        <f ca="1">Inputs!B14+(Inputs!D14-Inputs!B14)*BETAINV(RAND(),Model!H8,Model!I8)</f>
        <v>0.33634115738215742</v>
      </c>
      <c r="Q41">
        <f ca="1">Inputs!E14+(Inputs!G14-Inputs!E14)*BETAINV(RAND(),Model!J8,Model!K8)</f>
        <v>0.60580321903804379</v>
      </c>
      <c r="R41">
        <f ca="1">(Inputs!H14+(Inputs!J14-Inputs!H14)*BETAINV(RAND(),Model!L8,Model!M8))*Inputs!$C$6</f>
        <v>313959.04106616281</v>
      </c>
      <c r="S41">
        <f t="shared" ca="1" si="8"/>
        <v>0.20375655583709226</v>
      </c>
      <c r="T41">
        <f t="shared" ca="1" si="9"/>
        <v>0.70238054550513374</v>
      </c>
      <c r="U41">
        <f t="shared" ca="1" si="10"/>
        <v>0</v>
      </c>
      <c r="V41" s="47">
        <f t="shared" ca="1" si="11"/>
        <v>0</v>
      </c>
      <c r="W41">
        <f ca="1">Inputs!B15+(Inputs!D15-Inputs!B15)*BETAINV(RAND(),Model!H9,Model!I9)</f>
        <v>1.4014769099996256</v>
      </c>
      <c r="X41">
        <f ca="1">Inputs!E15+(Inputs!G15-Inputs!E15)*BETAINV(RAND(),Model!J9,Model!K9)</f>
        <v>0.34140403925301266</v>
      </c>
      <c r="Y41">
        <f ca="1">(Inputs!H15+(Inputs!J15-Inputs!H15)*BETAINV(RAND(),Model!L9,Model!M9))*Inputs!$C$6</f>
        <v>41977.700324452853</v>
      </c>
      <c r="Z41">
        <f t="shared" ca="1" si="12"/>
        <v>0.47846987799370305</v>
      </c>
      <c r="AA41">
        <f t="shared" ca="1" si="13"/>
        <v>0.81699376039502802</v>
      </c>
      <c r="AB41">
        <f t="shared" ca="1" si="14"/>
        <v>1</v>
      </c>
      <c r="AC41" s="47">
        <f t="shared" ca="1" si="15"/>
        <v>41977.700324452853</v>
      </c>
      <c r="AD41">
        <f ca="1">Inputs!B16+(Inputs!D16-Inputs!B16)*BETAINV(RAND(),Model!H10,Model!I10)</f>
        <v>0.44182678698919925</v>
      </c>
      <c r="AE41">
        <f ca="1">Inputs!E16+(Inputs!G16-Inputs!E16)*BETAINV(RAND(),Model!J10,Model!K10)</f>
        <v>0.55183432879394889</v>
      </c>
      <c r="AF41">
        <f ca="1">(Inputs!H16+(Inputs!J16-Inputs!H16)*BETAINV(RAND(),Model!L10,Model!M10))*Inputs!$C$6</f>
        <v>157605.42435292766</v>
      </c>
      <c r="AG41">
        <f t="shared" ca="1" si="16"/>
        <v>0.24381518844137179</v>
      </c>
      <c r="AH41">
        <f t="shared" ca="1" si="17"/>
        <v>0.94453085569964579</v>
      </c>
      <c r="AI41">
        <f t="shared" ca="1" si="18"/>
        <v>1</v>
      </c>
      <c r="AJ41" s="47">
        <f t="shared" ca="1" si="19"/>
        <v>157605.42435292766</v>
      </c>
      <c r="AK41">
        <f t="shared" ca="1" si="20"/>
        <v>291868.59411244607</v>
      </c>
    </row>
    <row r="42" spans="2:37" x14ac:dyDescent="0.2">
      <c r="B42">
        <f ca="1">Inputs!B12+(Inputs!D12-Inputs!B12)*BETAINV(RAND(),Model!H6,Model!I6)</f>
        <v>3.6207850505041792</v>
      </c>
      <c r="C42">
        <f ca="1">Inputs!E12+(Inputs!G12-Inputs!E12)*BETAINV(RAND(),Model!J6,Model!K6)</f>
        <v>0.26775725468817557</v>
      </c>
      <c r="D42">
        <f ca="1">(Inputs!H12+(Inputs!J12-Inputs!H12)*BETAINV(RAND(),Model!L6,Model!M6))*Inputs!$C$6</f>
        <v>43918.511798135056</v>
      </c>
      <c r="E42">
        <f t="shared" ca="1" si="0"/>
        <v>0.96949146493898619</v>
      </c>
      <c r="F42">
        <f t="shared" ca="1" si="1"/>
        <v>0.90682114958078974</v>
      </c>
      <c r="G42">
        <f t="shared" ca="1" si="2"/>
        <v>2</v>
      </c>
      <c r="H42" s="47">
        <f t="shared" ca="1" si="3"/>
        <v>87837.023596270112</v>
      </c>
      <c r="I42">
        <f ca="1">Inputs!B13+(Inputs!D13-Inputs!B13)*BETAINV(RAND(),Model!H7,Model!I7)</f>
        <v>2.3928576312736025</v>
      </c>
      <c r="J42">
        <f ca="1">Inputs!E13+(Inputs!G13-Inputs!E13)*BETAINV(RAND(),Model!J7,Model!K7)</f>
        <v>0.40506533389196131</v>
      </c>
      <c r="K42">
        <f ca="1">(Inputs!H13+(Inputs!J13-Inputs!H13)*BETAINV(RAND(),Model!L7,Model!M7))*Inputs!$C$6</f>
        <v>44480.953321335881</v>
      </c>
      <c r="L42">
        <f t="shared" ca="1" si="4"/>
        <v>0.96926367536776947</v>
      </c>
      <c r="M42">
        <f t="shared" ca="1" si="5"/>
        <v>0.38835121896941693</v>
      </c>
      <c r="N42">
        <f t="shared" ca="1" si="6"/>
        <v>1</v>
      </c>
      <c r="O42" s="47">
        <f t="shared" ca="1" si="7"/>
        <v>44480.953321335881</v>
      </c>
      <c r="P42">
        <f ca="1">Inputs!B14+(Inputs!D14-Inputs!B14)*BETAINV(RAND(),Model!H8,Model!I8)</f>
        <v>0.30849132867882678</v>
      </c>
      <c r="Q42">
        <f ca="1">Inputs!E14+(Inputs!G14-Inputs!E14)*BETAINV(RAND(),Model!J8,Model!K8)</f>
        <v>0.4983086540811873</v>
      </c>
      <c r="R42">
        <f ca="1">(Inputs!H14+(Inputs!J14-Inputs!H14)*BETAINV(RAND(),Model!L8,Model!M8))*Inputs!$C$6</f>
        <v>311499.50488875143</v>
      </c>
      <c r="S42">
        <f t="shared" ca="1" si="8"/>
        <v>0.15372389878966336</v>
      </c>
      <c r="T42">
        <f t="shared" ca="1" si="9"/>
        <v>0.97621808974477409</v>
      </c>
      <c r="U42">
        <f t="shared" ca="1" si="10"/>
        <v>1</v>
      </c>
      <c r="V42" s="47">
        <f t="shared" ca="1" si="11"/>
        <v>311499.50488875143</v>
      </c>
      <c r="W42">
        <f ca="1">Inputs!B15+(Inputs!D15-Inputs!B15)*BETAINV(RAND(),Model!H9,Model!I9)</f>
        <v>1.3816325707260102</v>
      </c>
      <c r="X42">
        <f ca="1">Inputs!E15+(Inputs!G15-Inputs!E15)*BETAINV(RAND(),Model!J9,Model!K9)</f>
        <v>0.40603995906646245</v>
      </c>
      <c r="Y42">
        <f ca="1">(Inputs!H15+(Inputs!J15-Inputs!H15)*BETAINV(RAND(),Model!L9,Model!M9))*Inputs!$C$6</f>
        <v>42383.427473943739</v>
      </c>
      <c r="Z42">
        <f t="shared" ca="1" si="12"/>
        <v>0.56099803246248048</v>
      </c>
      <c r="AA42">
        <f t="shared" ca="1" si="13"/>
        <v>0.67395722682758608</v>
      </c>
      <c r="AB42">
        <f t="shared" ca="1" si="14"/>
        <v>1</v>
      </c>
      <c r="AC42" s="47">
        <f t="shared" ca="1" si="15"/>
        <v>42383.427473943739</v>
      </c>
      <c r="AD42">
        <f ca="1">Inputs!B16+(Inputs!D16-Inputs!B16)*BETAINV(RAND(),Model!H10,Model!I10)</f>
        <v>0.66692590154053533</v>
      </c>
      <c r="AE42">
        <f ca="1">Inputs!E16+(Inputs!G16-Inputs!E16)*BETAINV(RAND(),Model!J10,Model!K10)</f>
        <v>0.6237649932628746</v>
      </c>
      <c r="AF42">
        <f ca="1">(Inputs!H16+(Inputs!J16-Inputs!H16)*BETAINV(RAND(),Model!L10,Model!M10))*Inputs!$C$6</f>
        <v>169395.8295024187</v>
      </c>
      <c r="AG42">
        <f t="shared" ca="1" si="16"/>
        <v>0.41600503048126858</v>
      </c>
      <c r="AH42">
        <f t="shared" ca="1" si="17"/>
        <v>0.55053545525578484</v>
      </c>
      <c r="AI42">
        <f t="shared" ca="1" si="18"/>
        <v>0</v>
      </c>
      <c r="AJ42" s="47">
        <f t="shared" ca="1" si="19"/>
        <v>0</v>
      </c>
      <c r="AK42">
        <f t="shared" ca="1" si="20"/>
        <v>486200.90928030113</v>
      </c>
    </row>
    <row r="43" spans="2:37" x14ac:dyDescent="0.2">
      <c r="B43">
        <f ca="1">Inputs!B12+(Inputs!D12-Inputs!B12)*BETAINV(RAND(),Model!H6,Model!I6)</f>
        <v>3.5746176446014326</v>
      </c>
      <c r="C43">
        <f ca="1">Inputs!E12+(Inputs!G12-Inputs!E12)*BETAINV(RAND(),Model!J6,Model!K6)</f>
        <v>0.21506004786882349</v>
      </c>
      <c r="D43">
        <f ca="1">(Inputs!H12+(Inputs!J12-Inputs!H12)*BETAINV(RAND(),Model!L6,Model!M6))*Inputs!$C$6</f>
        <v>23867.172620905294</v>
      </c>
      <c r="E43">
        <f t="shared" ca="1" si="0"/>
        <v>0.76875744176072514</v>
      </c>
      <c r="F43">
        <f t="shared" ca="1" si="1"/>
        <v>1.1097341983586917E-3</v>
      </c>
      <c r="G43">
        <f t="shared" ca="1" si="2"/>
        <v>0</v>
      </c>
      <c r="H43" s="47">
        <f t="shared" ca="1" si="3"/>
        <v>0</v>
      </c>
      <c r="I43">
        <f ca="1">Inputs!B13+(Inputs!D13-Inputs!B13)*BETAINV(RAND(),Model!H7,Model!I7)</f>
        <v>2.2574026063135268</v>
      </c>
      <c r="J43">
        <f ca="1">Inputs!E13+(Inputs!G13-Inputs!E13)*BETAINV(RAND(),Model!J7,Model!K7)</f>
        <v>0.40885330856475777</v>
      </c>
      <c r="K43">
        <f ca="1">(Inputs!H13+(Inputs!J13-Inputs!H13)*BETAINV(RAND(),Model!L7,Model!M7))*Inputs!$C$6</f>
        <v>35948.728813300695</v>
      </c>
      <c r="L43">
        <f t="shared" ca="1" si="4"/>
        <v>0.92294652435399283</v>
      </c>
      <c r="M43">
        <f t="shared" ca="1" si="5"/>
        <v>0.76548989556156311</v>
      </c>
      <c r="N43">
        <f t="shared" ca="1" si="6"/>
        <v>2</v>
      </c>
      <c r="O43" s="47">
        <f t="shared" ca="1" si="7"/>
        <v>71897.45762660139</v>
      </c>
      <c r="P43">
        <f ca="1">Inputs!B14+(Inputs!D14-Inputs!B14)*BETAINV(RAND(),Model!H8,Model!I8)</f>
        <v>0.33847302888090014</v>
      </c>
      <c r="Q43">
        <f ca="1">Inputs!E14+(Inputs!G14-Inputs!E14)*BETAINV(RAND(),Model!J8,Model!K8)</f>
        <v>0.48098482983458624</v>
      </c>
      <c r="R43">
        <f ca="1">(Inputs!H14+(Inputs!J14-Inputs!H14)*BETAINV(RAND(),Model!L8,Model!M8))*Inputs!$C$6</f>
        <v>403538.01501757506</v>
      </c>
      <c r="S43">
        <f t="shared" ca="1" si="8"/>
        <v>0.16280039219987674</v>
      </c>
      <c r="T43">
        <f t="shared" ca="1" si="9"/>
        <v>0.15708587358288506</v>
      </c>
      <c r="U43">
        <f t="shared" ca="1" si="10"/>
        <v>0</v>
      </c>
      <c r="V43" s="47">
        <f t="shared" ca="1" si="11"/>
        <v>0</v>
      </c>
      <c r="W43">
        <f ca="1">Inputs!B15+(Inputs!D15-Inputs!B15)*BETAINV(RAND(),Model!H9,Model!I9)</f>
        <v>1.0552916466923656</v>
      </c>
      <c r="X43">
        <f ca="1">Inputs!E15+(Inputs!G15-Inputs!E15)*BETAINV(RAND(),Model!J9,Model!K9)</f>
        <v>0.51026868384720403</v>
      </c>
      <c r="Y43">
        <f ca="1">(Inputs!H15+(Inputs!J15-Inputs!H15)*BETAINV(RAND(),Model!L9,Model!M9))*Inputs!$C$6</f>
        <v>55681.294760324323</v>
      </c>
      <c r="Z43">
        <f t="shared" ca="1" si="12"/>
        <v>0.53848227963266204</v>
      </c>
      <c r="AA43">
        <f t="shared" ca="1" si="13"/>
        <v>0.4852604589973829</v>
      </c>
      <c r="AB43">
        <f t="shared" ca="1" si="14"/>
        <v>0</v>
      </c>
      <c r="AC43" s="47">
        <f t="shared" ca="1" si="15"/>
        <v>0</v>
      </c>
      <c r="AD43">
        <f ca="1">Inputs!B16+(Inputs!D16-Inputs!B16)*BETAINV(RAND(),Model!H10,Model!I10)</f>
        <v>1.0515956610136472</v>
      </c>
      <c r="AE43">
        <f ca="1">Inputs!E16+(Inputs!G16-Inputs!E16)*BETAINV(RAND(),Model!J10,Model!K10)</f>
        <v>0.78876352902648861</v>
      </c>
      <c r="AF43">
        <f ca="1">(Inputs!H16+(Inputs!J16-Inputs!H16)*BETAINV(RAND(),Model!L10,Model!M10))*Inputs!$C$6</f>
        <v>132771.38978887393</v>
      </c>
      <c r="AG43">
        <f t="shared" ca="1" si="16"/>
        <v>0.82946030469006737</v>
      </c>
      <c r="AH43">
        <f t="shared" ca="1" si="17"/>
        <v>0.44170520882723885</v>
      </c>
      <c r="AI43">
        <f t="shared" ca="1" si="18"/>
        <v>1</v>
      </c>
      <c r="AJ43" s="47">
        <f t="shared" ca="1" si="19"/>
        <v>132771.38978887393</v>
      </c>
      <c r="AK43">
        <f t="shared" ca="1" si="20"/>
        <v>204668.84741547532</v>
      </c>
    </row>
    <row r="44" spans="2:37" x14ac:dyDescent="0.2">
      <c r="B44">
        <f ca="1">Inputs!B12+(Inputs!D12-Inputs!B12)*BETAINV(RAND(),Model!H6,Model!I6)</f>
        <v>2.2462661759701801</v>
      </c>
      <c r="C44">
        <f ca="1">Inputs!E12+(Inputs!G12-Inputs!E12)*BETAINV(RAND(),Model!J6,Model!K6)</f>
        <v>0.32630332865977807</v>
      </c>
      <c r="D44">
        <f ca="1">(Inputs!H12+(Inputs!J12-Inputs!H12)*BETAINV(RAND(),Model!L6,Model!M6))*Inputs!$C$6</f>
        <v>21012.546691996857</v>
      </c>
      <c r="E44">
        <f t="shared" ca="1" si="0"/>
        <v>0.73296413027494056</v>
      </c>
      <c r="F44">
        <f t="shared" ca="1" si="1"/>
        <v>0.71314631828097519</v>
      </c>
      <c r="G44">
        <f t="shared" ca="1" si="2"/>
        <v>1</v>
      </c>
      <c r="H44" s="47">
        <f t="shared" ca="1" si="3"/>
        <v>21012.546691996857</v>
      </c>
      <c r="I44">
        <f ca="1">Inputs!B13+(Inputs!D13-Inputs!B13)*BETAINV(RAND(),Model!H7,Model!I7)</f>
        <v>2.6844072454447128</v>
      </c>
      <c r="J44">
        <f ca="1">Inputs!E13+(Inputs!G13-Inputs!E13)*BETAINV(RAND(),Model!J7,Model!K7)</f>
        <v>0.21699766576307</v>
      </c>
      <c r="K44">
        <f ca="1">(Inputs!H13+(Inputs!J13-Inputs!H13)*BETAINV(RAND(),Model!L7,Model!M7))*Inputs!$C$6</f>
        <v>54509.63265115871</v>
      </c>
      <c r="L44">
        <f t="shared" ca="1" si="4"/>
        <v>0.58251010621897525</v>
      </c>
      <c r="M44">
        <f t="shared" ca="1" si="5"/>
        <v>4.0254412461228406E-2</v>
      </c>
      <c r="N44">
        <f t="shared" ca="1" si="6"/>
        <v>0</v>
      </c>
      <c r="O44" s="47">
        <f t="shared" ca="1" si="7"/>
        <v>0</v>
      </c>
      <c r="P44">
        <f ca="1">Inputs!B14+(Inputs!D14-Inputs!B14)*BETAINV(RAND(),Model!H8,Model!I8)</f>
        <v>0.47483546651797248</v>
      </c>
      <c r="Q44">
        <f ca="1">Inputs!E14+(Inputs!G14-Inputs!E14)*BETAINV(RAND(),Model!J8,Model!K8)</f>
        <v>0.7345131027840488</v>
      </c>
      <c r="R44">
        <f ca="1">(Inputs!H14+(Inputs!J14-Inputs!H14)*BETAINV(RAND(),Model!L8,Model!M8))*Inputs!$C$6</f>
        <v>517209.96318346483</v>
      </c>
      <c r="S44">
        <f t="shared" ca="1" si="8"/>
        <v>0.34877287182402728</v>
      </c>
      <c r="T44">
        <f t="shared" ca="1" si="9"/>
        <v>0.82314752983601691</v>
      </c>
      <c r="U44">
        <f t="shared" ca="1" si="10"/>
        <v>1</v>
      </c>
      <c r="V44" s="47">
        <f t="shared" ca="1" si="11"/>
        <v>517209.96318346483</v>
      </c>
      <c r="W44">
        <f ca="1">Inputs!B15+(Inputs!D15-Inputs!B15)*BETAINV(RAND(),Model!H9,Model!I9)</f>
        <v>1.1040345710117796</v>
      </c>
      <c r="X44">
        <f ca="1">Inputs!E15+(Inputs!G15-Inputs!E15)*BETAINV(RAND(),Model!J9,Model!K9)</f>
        <v>0.36623989078701047</v>
      </c>
      <c r="Y44">
        <f ca="1">(Inputs!H15+(Inputs!J15-Inputs!H15)*BETAINV(RAND(),Model!L9,Model!M9))*Inputs!$C$6</f>
        <v>33910.092856419724</v>
      </c>
      <c r="Z44">
        <f t="shared" ca="1" si="12"/>
        <v>0.40434150071243813</v>
      </c>
      <c r="AA44">
        <f t="shared" ca="1" si="13"/>
        <v>0.1553695178260085</v>
      </c>
      <c r="AB44">
        <f t="shared" ca="1" si="14"/>
        <v>0</v>
      </c>
      <c r="AC44" s="47">
        <f t="shared" ca="1" si="15"/>
        <v>0</v>
      </c>
      <c r="AD44">
        <f ca="1">Inputs!B16+(Inputs!D16-Inputs!B16)*BETAINV(RAND(),Model!H10,Model!I10)</f>
        <v>1.0123908278635234</v>
      </c>
      <c r="AE44">
        <f ca="1">Inputs!E16+(Inputs!G16-Inputs!E16)*BETAINV(RAND(),Model!J10,Model!K10)</f>
        <v>0.65251402601265984</v>
      </c>
      <c r="AF44">
        <f ca="1">(Inputs!H16+(Inputs!J16-Inputs!H16)*BETAINV(RAND(),Model!L10,Model!M10))*Inputs!$C$6</f>
        <v>61289.901422727271</v>
      </c>
      <c r="AG44">
        <f t="shared" ca="1" si="16"/>
        <v>0.66059921498751739</v>
      </c>
      <c r="AH44">
        <f t="shared" ca="1" si="17"/>
        <v>3.1753604076802944E-3</v>
      </c>
      <c r="AI44">
        <f t="shared" ca="1" si="18"/>
        <v>0</v>
      </c>
      <c r="AJ44" s="47">
        <f t="shared" ca="1" si="19"/>
        <v>0</v>
      </c>
      <c r="AK44">
        <f t="shared" ca="1" si="20"/>
        <v>538222.50987546169</v>
      </c>
    </row>
    <row r="45" spans="2:37" x14ac:dyDescent="0.2">
      <c r="B45">
        <f ca="1">Inputs!B12+(Inputs!D12-Inputs!B12)*BETAINV(RAND(),Model!H6,Model!I6)</f>
        <v>3.8864168683589284</v>
      </c>
      <c r="C45">
        <f ca="1">Inputs!E12+(Inputs!G12-Inputs!E12)*BETAINV(RAND(),Model!J6,Model!K6)</f>
        <v>0.28699038421658774</v>
      </c>
      <c r="D45">
        <f ca="1">(Inputs!H12+(Inputs!J12-Inputs!H12)*BETAINV(RAND(),Model!L6,Model!M6))*Inputs!$C$6</f>
        <v>31124.192370121131</v>
      </c>
      <c r="E45">
        <f t="shared" ca="1" si="0"/>
        <v>1.1153642702761566</v>
      </c>
      <c r="F45">
        <f t="shared" ca="1" si="1"/>
        <v>0.12578339831956808</v>
      </c>
      <c r="G45">
        <f t="shared" ca="1" si="2"/>
        <v>0</v>
      </c>
      <c r="H45" s="47">
        <f t="shared" ca="1" si="3"/>
        <v>0</v>
      </c>
      <c r="I45">
        <f ca="1">Inputs!B13+(Inputs!D13-Inputs!B13)*BETAINV(RAND(),Model!H7,Model!I7)</f>
        <v>2.5784118870300392</v>
      </c>
      <c r="J45">
        <f ca="1">Inputs!E13+(Inputs!G13-Inputs!E13)*BETAINV(RAND(),Model!J7,Model!K7)</f>
        <v>0.21143729862404259</v>
      </c>
      <c r="K45">
        <f ca="1">(Inputs!H13+(Inputs!J13-Inputs!H13)*BETAINV(RAND(),Model!L7,Model!M7))*Inputs!$C$6</f>
        <v>17069.315891771763</v>
      </c>
      <c r="L45">
        <f t="shared" ca="1" si="4"/>
        <v>0.54517244413375154</v>
      </c>
      <c r="M45">
        <f t="shared" ca="1" si="5"/>
        <v>0.83978580413080295</v>
      </c>
      <c r="N45">
        <f t="shared" ca="1" si="6"/>
        <v>1</v>
      </c>
      <c r="O45" s="47">
        <f t="shared" ca="1" si="7"/>
        <v>17069.315891771763</v>
      </c>
      <c r="P45">
        <f ca="1">Inputs!B14+(Inputs!D14-Inputs!B14)*BETAINV(RAND(),Model!H8,Model!I8)</f>
        <v>0.13281103123530535</v>
      </c>
      <c r="Q45">
        <f ca="1">Inputs!E14+(Inputs!G14-Inputs!E14)*BETAINV(RAND(),Model!J8,Model!K8)</f>
        <v>0.81943032163891649</v>
      </c>
      <c r="R45">
        <f ca="1">(Inputs!H14+(Inputs!J14-Inputs!H14)*BETAINV(RAND(),Model!L8,Model!M8))*Inputs!$C$6</f>
        <v>446406.22042691882</v>
      </c>
      <c r="S45">
        <f t="shared" ca="1" si="8"/>
        <v>0.10882938604234245</v>
      </c>
      <c r="T45">
        <f t="shared" ca="1" si="9"/>
        <v>0.84964527816690694</v>
      </c>
      <c r="U45">
        <f t="shared" ca="1" si="10"/>
        <v>0</v>
      </c>
      <c r="V45" s="47">
        <f t="shared" ca="1" si="11"/>
        <v>0</v>
      </c>
      <c r="W45">
        <f ca="1">Inputs!B15+(Inputs!D15-Inputs!B15)*BETAINV(RAND(),Model!H9,Model!I9)</f>
        <v>0.91722973715955791</v>
      </c>
      <c r="X45">
        <f ca="1">Inputs!E15+(Inputs!G15-Inputs!E15)*BETAINV(RAND(),Model!J9,Model!K9)</f>
        <v>0.35206764431677817</v>
      </c>
      <c r="Y45">
        <f ca="1">(Inputs!H15+(Inputs!J15-Inputs!H15)*BETAINV(RAND(),Model!L9,Model!M9))*Inputs!$C$6</f>
        <v>19060.057936984409</v>
      </c>
      <c r="Z45">
        <f t="shared" ca="1" si="12"/>
        <v>0.32292691285906316</v>
      </c>
      <c r="AA45">
        <f t="shared" ca="1" si="13"/>
        <v>0.53178755789277565</v>
      </c>
      <c r="AB45">
        <f t="shared" ca="1" si="14"/>
        <v>0</v>
      </c>
      <c r="AC45" s="47">
        <f t="shared" ca="1" si="15"/>
        <v>0</v>
      </c>
      <c r="AD45">
        <f ca="1">Inputs!B16+(Inputs!D16-Inputs!B16)*BETAINV(RAND(),Model!H10,Model!I10)</f>
        <v>0.6631096793800888</v>
      </c>
      <c r="AE45">
        <f ca="1">Inputs!E16+(Inputs!G16-Inputs!E16)*BETAINV(RAND(),Model!J10,Model!K10)</f>
        <v>0.56555650950819625</v>
      </c>
      <c r="AF45">
        <f ca="1">(Inputs!H16+(Inputs!J16-Inputs!H16)*BETAINV(RAND(),Model!L10,Model!M10))*Inputs!$C$6</f>
        <v>93284.127479268907</v>
      </c>
      <c r="AG45">
        <f t="shared" ca="1" si="16"/>
        <v>0.37502599569130218</v>
      </c>
      <c r="AH45">
        <f t="shared" ca="1" si="17"/>
        <v>0.66833323803105205</v>
      </c>
      <c r="AI45">
        <f t="shared" ca="1" si="18"/>
        <v>0</v>
      </c>
      <c r="AJ45" s="47">
        <f t="shared" ca="1" si="19"/>
        <v>0</v>
      </c>
      <c r="AK45">
        <f t="shared" ca="1" si="20"/>
        <v>17069.315891771763</v>
      </c>
    </row>
    <row r="46" spans="2:37" x14ac:dyDescent="0.2">
      <c r="B46">
        <f ca="1">Inputs!B12+(Inputs!D12-Inputs!B12)*BETAINV(RAND(),Model!H6,Model!I6)</f>
        <v>3.8798639104494304</v>
      </c>
      <c r="C46">
        <f ca="1">Inputs!E12+(Inputs!G12-Inputs!E12)*BETAINV(RAND(),Model!J6,Model!K6)</f>
        <v>0.2292985736262777</v>
      </c>
      <c r="D46">
        <f ca="1">(Inputs!H12+(Inputs!J12-Inputs!H12)*BETAINV(RAND(),Model!L6,Model!M6))*Inputs!$C$6</f>
        <v>35011.277997728685</v>
      </c>
      <c r="E46">
        <f t="shared" ca="1" si="0"/>
        <v>0.88964726053012644</v>
      </c>
      <c r="F46">
        <f t="shared" ca="1" si="1"/>
        <v>0.25546563820560642</v>
      </c>
      <c r="G46">
        <f t="shared" ca="1" si="2"/>
        <v>0</v>
      </c>
      <c r="H46" s="47">
        <f t="shared" ca="1" si="3"/>
        <v>0</v>
      </c>
      <c r="I46">
        <f ca="1">Inputs!B13+(Inputs!D13-Inputs!B13)*BETAINV(RAND(),Model!H7,Model!I7)</f>
        <v>3.1063318201308858</v>
      </c>
      <c r="J46">
        <f ca="1">Inputs!E13+(Inputs!G13-Inputs!E13)*BETAINV(RAND(),Model!J7,Model!K7)</f>
        <v>0.37667292520751328</v>
      </c>
      <c r="K46">
        <f ca="1">(Inputs!H13+(Inputs!J13-Inputs!H13)*BETAINV(RAND(),Model!L7,Model!M7))*Inputs!$C$6</f>
        <v>52330.788455153102</v>
      </c>
      <c r="L46">
        <f t="shared" ca="1" si="4"/>
        <v>1.1700710933538798</v>
      </c>
      <c r="M46">
        <f t="shared" ca="1" si="5"/>
        <v>5.5700925611547603E-2</v>
      </c>
      <c r="N46">
        <f t="shared" ca="1" si="6"/>
        <v>0</v>
      </c>
      <c r="O46" s="47">
        <f t="shared" ca="1" si="7"/>
        <v>0</v>
      </c>
      <c r="P46">
        <f ca="1">Inputs!B14+(Inputs!D14-Inputs!B14)*BETAINV(RAND(),Model!H8,Model!I8)</f>
        <v>0.35552445935677079</v>
      </c>
      <c r="Q46">
        <f ca="1">Inputs!E14+(Inputs!G14-Inputs!E14)*BETAINV(RAND(),Model!J8,Model!K8)</f>
        <v>0.77854765982511043</v>
      </c>
      <c r="R46">
        <f ca="1">(Inputs!H14+(Inputs!J14-Inputs!H14)*BETAINV(RAND(),Model!L8,Model!M8))*Inputs!$C$6</f>
        <v>359820.88978165737</v>
      </c>
      <c r="S46">
        <f t="shared" ca="1" si="8"/>
        <v>0.27679273584280151</v>
      </c>
      <c r="T46">
        <f t="shared" ca="1" si="9"/>
        <v>0.92875744432688778</v>
      </c>
      <c r="U46">
        <f t="shared" ca="1" si="10"/>
        <v>1</v>
      </c>
      <c r="V46" s="47">
        <f t="shared" ca="1" si="11"/>
        <v>359820.88978165737</v>
      </c>
      <c r="W46">
        <f ca="1">Inputs!B15+(Inputs!D15-Inputs!B15)*BETAINV(RAND(),Model!H9,Model!I9)</f>
        <v>2.3251907663731672</v>
      </c>
      <c r="X46">
        <f ca="1">Inputs!E15+(Inputs!G15-Inputs!E15)*BETAINV(RAND(),Model!J9,Model!K9)</f>
        <v>0.34265095297173809</v>
      </c>
      <c r="Y46">
        <f ca="1">(Inputs!H15+(Inputs!J15-Inputs!H15)*BETAINV(RAND(),Model!L9,Model!M9))*Inputs!$C$6</f>
        <v>54573.773791684049</v>
      </c>
      <c r="Z46">
        <f t="shared" ca="1" si="12"/>
        <v>0.7967288319388518</v>
      </c>
      <c r="AA46">
        <f t="shared" ca="1" si="13"/>
        <v>0.19186322133152511</v>
      </c>
      <c r="AB46">
        <f t="shared" ca="1" si="14"/>
        <v>0</v>
      </c>
      <c r="AC46" s="47">
        <f t="shared" ca="1" si="15"/>
        <v>0</v>
      </c>
      <c r="AD46">
        <f ca="1">Inputs!B16+(Inputs!D16-Inputs!B16)*BETAINV(RAND(),Model!H10,Model!I10)</f>
        <v>0.82402622583775287</v>
      </c>
      <c r="AE46">
        <f ca="1">Inputs!E16+(Inputs!G16-Inputs!E16)*BETAINV(RAND(),Model!J10,Model!K10)</f>
        <v>0.61500192019153077</v>
      </c>
      <c r="AF46">
        <f ca="1">(Inputs!H16+(Inputs!J16-Inputs!H16)*BETAINV(RAND(),Model!L10,Model!M10))*Inputs!$C$6</f>
        <v>110179.08337608166</v>
      </c>
      <c r="AG46">
        <f t="shared" ca="1" si="16"/>
        <v>0.50677771117839798</v>
      </c>
      <c r="AH46">
        <f t="shared" ca="1" si="17"/>
        <v>8.3214140965474415E-2</v>
      </c>
      <c r="AI46">
        <f t="shared" ca="1" si="18"/>
        <v>0</v>
      </c>
      <c r="AJ46" s="47">
        <f t="shared" ca="1" si="19"/>
        <v>0</v>
      </c>
      <c r="AK46">
        <f t="shared" ca="1" si="20"/>
        <v>359820.88978165737</v>
      </c>
    </row>
    <row r="47" spans="2:37" x14ac:dyDescent="0.2">
      <c r="B47">
        <f ca="1">Inputs!B12+(Inputs!D12-Inputs!B12)*BETAINV(RAND(),Model!H6,Model!I6)</f>
        <v>3.4014608875834158</v>
      </c>
      <c r="C47">
        <f ca="1">Inputs!E12+(Inputs!G12-Inputs!E12)*BETAINV(RAND(),Model!J6,Model!K6)</f>
        <v>0.26135258930165522</v>
      </c>
      <c r="D47">
        <f ca="1">(Inputs!H12+(Inputs!J12-Inputs!H12)*BETAINV(RAND(),Model!L6,Model!M6))*Inputs!$C$6</f>
        <v>37539.10740965783</v>
      </c>
      <c r="E47">
        <f t="shared" ca="1" si="0"/>
        <v>0.88898061037823217</v>
      </c>
      <c r="F47">
        <f t="shared" ca="1" si="1"/>
        <v>0.87395046105629448</v>
      </c>
      <c r="G47">
        <f t="shared" ca="1" si="2"/>
        <v>2</v>
      </c>
      <c r="H47" s="47">
        <f t="shared" ca="1" si="3"/>
        <v>75078.214819315661</v>
      </c>
      <c r="I47">
        <f ca="1">Inputs!B13+(Inputs!D13-Inputs!B13)*BETAINV(RAND(),Model!H7,Model!I7)</f>
        <v>2.1439655657540939</v>
      </c>
      <c r="J47">
        <f ca="1">Inputs!E13+(Inputs!G13-Inputs!E13)*BETAINV(RAND(),Model!J7,Model!K7)</f>
        <v>0.12942903710341738</v>
      </c>
      <c r="K47">
        <f ca="1">(Inputs!H13+(Inputs!J13-Inputs!H13)*BETAINV(RAND(),Model!L7,Model!M7))*Inputs!$C$6</f>
        <v>73171.439175153835</v>
      </c>
      <c r="L47">
        <f t="shared" ca="1" si="4"/>
        <v>0.27749139875843587</v>
      </c>
      <c r="M47">
        <f t="shared" ca="1" si="5"/>
        <v>0.86506133559133946</v>
      </c>
      <c r="N47">
        <f t="shared" ca="1" si="6"/>
        <v>1</v>
      </c>
      <c r="O47" s="47">
        <f t="shared" ca="1" si="7"/>
        <v>73171.439175153835</v>
      </c>
      <c r="P47">
        <f ca="1">Inputs!B14+(Inputs!D14-Inputs!B14)*BETAINV(RAND(),Model!H8,Model!I8)</f>
        <v>0.18012731963746631</v>
      </c>
      <c r="Q47">
        <f ca="1">Inputs!E14+(Inputs!G14-Inputs!E14)*BETAINV(RAND(),Model!J8,Model!K8)</f>
        <v>0.44691732302856868</v>
      </c>
      <c r="R47">
        <f ca="1">(Inputs!H14+(Inputs!J14-Inputs!H14)*BETAINV(RAND(),Model!L8,Model!M8))*Inputs!$C$6</f>
        <v>485008.58952644811</v>
      </c>
      <c r="S47">
        <f t="shared" ca="1" si="8"/>
        <v>8.0502019496687768E-2</v>
      </c>
      <c r="T47">
        <f t="shared" ca="1" si="9"/>
        <v>0.79274885324430844</v>
      </c>
      <c r="U47">
        <f t="shared" ca="1" si="10"/>
        <v>0</v>
      </c>
      <c r="V47" s="47">
        <f t="shared" ca="1" si="11"/>
        <v>0</v>
      </c>
      <c r="W47">
        <f ca="1">Inputs!B15+(Inputs!D15-Inputs!B15)*BETAINV(RAND(),Model!H9,Model!I9)</f>
        <v>1.3700985943243513</v>
      </c>
      <c r="X47">
        <f ca="1">Inputs!E15+(Inputs!G15-Inputs!E15)*BETAINV(RAND(),Model!J9,Model!K9)</f>
        <v>0.46848996263897419</v>
      </c>
      <c r="Y47">
        <f ca="1">(Inputs!H15+(Inputs!J15-Inputs!H15)*BETAINV(RAND(),Model!L9,Model!M9))*Inputs!$C$6</f>
        <v>61919.177025987738</v>
      </c>
      <c r="Z47">
        <f t="shared" ca="1" si="12"/>
        <v>0.64187743926672636</v>
      </c>
      <c r="AA47">
        <f t="shared" ca="1" si="13"/>
        <v>0.79539466140218695</v>
      </c>
      <c r="AB47">
        <f t="shared" ca="1" si="14"/>
        <v>1</v>
      </c>
      <c r="AC47" s="47">
        <f t="shared" ca="1" si="15"/>
        <v>61919.177025987738</v>
      </c>
      <c r="AD47">
        <f ca="1">Inputs!B16+(Inputs!D16-Inputs!B16)*BETAINV(RAND(),Model!H10,Model!I10)</f>
        <v>1.0860728239586381</v>
      </c>
      <c r="AE47">
        <f ca="1">Inputs!E16+(Inputs!G16-Inputs!E16)*BETAINV(RAND(),Model!J10,Model!K10)</f>
        <v>0.64149586817082915</v>
      </c>
      <c r="AF47">
        <f ca="1">(Inputs!H16+(Inputs!J16-Inputs!H16)*BETAINV(RAND(),Model!L10,Model!M10))*Inputs!$C$6</f>
        <v>85463.596513727694</v>
      </c>
      <c r="AG47">
        <f t="shared" ca="1" si="16"/>
        <v>0.69671122910209071</v>
      </c>
      <c r="AH47">
        <f t="shared" ca="1" si="17"/>
        <v>0.76060717200436245</v>
      </c>
      <c r="AI47">
        <f t="shared" ca="1" si="18"/>
        <v>1</v>
      </c>
      <c r="AJ47" s="47">
        <f t="shared" ca="1" si="19"/>
        <v>85463.596513727694</v>
      </c>
      <c r="AK47">
        <f t="shared" ca="1" si="20"/>
        <v>295632.42753418494</v>
      </c>
    </row>
    <row r="48" spans="2:37" x14ac:dyDescent="0.2">
      <c r="B48">
        <f ca="1">Inputs!B12+(Inputs!D12-Inputs!B12)*BETAINV(RAND(),Model!H6,Model!I6)</f>
        <v>3.0288674448288195</v>
      </c>
      <c r="C48">
        <f ca="1">Inputs!E12+(Inputs!G12-Inputs!E12)*BETAINV(RAND(),Model!J6,Model!K6)</f>
        <v>0.33084489097301728</v>
      </c>
      <c r="D48">
        <f ca="1">(Inputs!H12+(Inputs!J12-Inputs!H12)*BETAINV(RAND(),Model!L6,Model!M6))*Inputs!$C$6</f>
        <v>26545.857975775634</v>
      </c>
      <c r="E48">
        <f t="shared" ca="1" si="0"/>
        <v>1.0020853195561121</v>
      </c>
      <c r="F48">
        <f t="shared" ca="1" si="1"/>
        <v>6.8084402026218349E-3</v>
      </c>
      <c r="G48">
        <f t="shared" ca="1" si="2"/>
        <v>0</v>
      </c>
      <c r="H48" s="47">
        <f t="shared" ca="1" si="3"/>
        <v>0</v>
      </c>
      <c r="I48">
        <f ca="1">Inputs!B13+(Inputs!D13-Inputs!B13)*BETAINV(RAND(),Model!H7,Model!I7)</f>
        <v>2.6143122908439658</v>
      </c>
      <c r="J48">
        <f ca="1">Inputs!E13+(Inputs!G13-Inputs!E13)*BETAINV(RAND(),Model!J7,Model!K7)</f>
        <v>0.19114038539884098</v>
      </c>
      <c r="K48">
        <f ca="1">(Inputs!H13+(Inputs!J13-Inputs!H13)*BETAINV(RAND(),Model!L7,Model!M7))*Inputs!$C$6</f>
        <v>22927.827946405316</v>
      </c>
      <c r="L48">
        <f t="shared" ca="1" si="4"/>
        <v>0.49970065882484249</v>
      </c>
      <c r="M48">
        <f t="shared" ca="1" si="5"/>
        <v>0.25037661820725421</v>
      </c>
      <c r="N48">
        <f t="shared" ca="1" si="6"/>
        <v>0</v>
      </c>
      <c r="O48" s="47">
        <f t="shared" ca="1" si="7"/>
        <v>0</v>
      </c>
      <c r="P48">
        <f ca="1">Inputs!B14+(Inputs!D14-Inputs!B14)*BETAINV(RAND(),Model!H8,Model!I8)</f>
        <v>0.25759729292757044</v>
      </c>
      <c r="Q48">
        <f ca="1">Inputs!E14+(Inputs!G14-Inputs!E14)*BETAINV(RAND(),Model!J8,Model!K8)</f>
        <v>0.63171525418412</v>
      </c>
      <c r="R48">
        <f ca="1">(Inputs!H14+(Inputs!J14-Inputs!H14)*BETAINV(RAND(),Model!L8,Model!M8))*Inputs!$C$6</f>
        <v>505894.55621533992</v>
      </c>
      <c r="S48">
        <f t="shared" ca="1" si="8"/>
        <v>0.16272813937888139</v>
      </c>
      <c r="T48">
        <f t="shared" ca="1" si="9"/>
        <v>0.40769264916945436</v>
      </c>
      <c r="U48">
        <f t="shared" ca="1" si="10"/>
        <v>0</v>
      </c>
      <c r="V48" s="47">
        <f t="shared" ca="1" si="11"/>
        <v>0</v>
      </c>
      <c r="W48">
        <f ca="1">Inputs!B15+(Inputs!D15-Inputs!B15)*BETAINV(RAND(),Model!H9,Model!I9)</f>
        <v>1.9172997486339409</v>
      </c>
      <c r="X48">
        <f ca="1">Inputs!E15+(Inputs!G15-Inputs!E15)*BETAINV(RAND(),Model!J9,Model!K9)</f>
        <v>0.27244781376745431</v>
      </c>
      <c r="Y48">
        <f ca="1">(Inputs!H15+(Inputs!J15-Inputs!H15)*BETAINV(RAND(),Model!L9,Model!M9))*Inputs!$C$6</f>
        <v>32800.683436774023</v>
      </c>
      <c r="Z48">
        <f t="shared" ca="1" si="12"/>
        <v>0.52236412485220685</v>
      </c>
      <c r="AA48">
        <f t="shared" ca="1" si="13"/>
        <v>4.6493516001447244E-2</v>
      </c>
      <c r="AB48">
        <f t="shared" ca="1" si="14"/>
        <v>0</v>
      </c>
      <c r="AC48" s="47">
        <f t="shared" ca="1" si="15"/>
        <v>0</v>
      </c>
      <c r="AD48">
        <f ca="1">Inputs!B16+(Inputs!D16-Inputs!B16)*BETAINV(RAND(),Model!H10,Model!I10)</f>
        <v>0.55896319870314048</v>
      </c>
      <c r="AE48">
        <f ca="1">Inputs!E16+(Inputs!G16-Inputs!E16)*BETAINV(RAND(),Model!J10,Model!K10)</f>
        <v>0.78086256172064417</v>
      </c>
      <c r="AF48">
        <f ca="1">(Inputs!H16+(Inputs!J16-Inputs!H16)*BETAINV(RAND(),Model!L10,Model!M10))*Inputs!$C$6</f>
        <v>177150.18795059083</v>
      </c>
      <c r="AG48">
        <f t="shared" ca="1" si="16"/>
        <v>0.43647343524689974</v>
      </c>
      <c r="AH48">
        <f t="shared" ca="1" si="17"/>
        <v>0.99878790681297969</v>
      </c>
      <c r="AI48">
        <f t="shared" ca="1" si="18"/>
        <v>3</v>
      </c>
      <c r="AJ48" s="47">
        <f t="shared" ca="1" si="19"/>
        <v>531450.56385177246</v>
      </c>
      <c r="AK48">
        <f t="shared" ca="1" si="20"/>
        <v>531450.56385177246</v>
      </c>
    </row>
    <row r="49" spans="2:37" x14ac:dyDescent="0.2">
      <c r="B49">
        <f ca="1">Inputs!B12+(Inputs!D12-Inputs!B12)*BETAINV(RAND(),Model!H6,Model!I6)</f>
        <v>1.2217749986648783</v>
      </c>
      <c r="C49">
        <f ca="1">Inputs!E12+(Inputs!G12-Inputs!E12)*BETAINV(RAND(),Model!J6,Model!K6)</f>
        <v>0.28821791024689669</v>
      </c>
      <c r="D49">
        <f ca="1">(Inputs!H12+(Inputs!J12-Inputs!H12)*BETAINV(RAND(),Model!L6,Model!M6))*Inputs!$C$6</f>
        <v>18359.02281129067</v>
      </c>
      <c r="E49">
        <f t="shared" ca="1" si="0"/>
        <v>0.3521374369070962</v>
      </c>
      <c r="F49">
        <f t="shared" ca="1" si="1"/>
        <v>0.10419831980119432</v>
      </c>
      <c r="G49">
        <f t="shared" ca="1" si="2"/>
        <v>0</v>
      </c>
      <c r="H49" s="47">
        <f t="shared" ca="1" si="3"/>
        <v>0</v>
      </c>
      <c r="I49">
        <f ca="1">Inputs!B13+(Inputs!D13-Inputs!B13)*BETAINV(RAND(),Model!H7,Model!I7)</f>
        <v>2.6584871853676937</v>
      </c>
      <c r="J49">
        <f ca="1">Inputs!E13+(Inputs!G13-Inputs!E13)*BETAINV(RAND(),Model!J7,Model!K7)</f>
        <v>0.2305742133669893</v>
      </c>
      <c r="K49">
        <f ca="1">(Inputs!H13+(Inputs!J13-Inputs!H13)*BETAINV(RAND(),Model!L7,Model!M7))*Inputs!$C$6</f>
        <v>35912.071632961903</v>
      </c>
      <c r="L49">
        <f t="shared" ca="1" si="4"/>
        <v>0.61297859151237744</v>
      </c>
      <c r="M49">
        <f t="shared" ca="1" si="5"/>
        <v>0.21572323653127545</v>
      </c>
      <c r="N49">
        <f t="shared" ca="1" si="6"/>
        <v>0</v>
      </c>
      <c r="O49" s="47">
        <f t="shared" ca="1" si="7"/>
        <v>0</v>
      </c>
      <c r="P49">
        <f ca="1">Inputs!B14+(Inputs!D14-Inputs!B14)*BETAINV(RAND(),Model!H8,Model!I8)</f>
        <v>0.27672220704081607</v>
      </c>
      <c r="Q49">
        <f ca="1">Inputs!E14+(Inputs!G14-Inputs!E14)*BETAINV(RAND(),Model!J8,Model!K8)</f>
        <v>0.46687026893916828</v>
      </c>
      <c r="R49">
        <f ca="1">(Inputs!H14+(Inputs!J14-Inputs!H14)*BETAINV(RAND(),Model!L8,Model!M8))*Inputs!$C$6</f>
        <v>493382.30444874766</v>
      </c>
      <c r="S49">
        <f t="shared" ca="1" si="8"/>
        <v>0.12919337122258601</v>
      </c>
      <c r="T49">
        <f t="shared" ca="1" si="9"/>
        <v>0.30488746085300589</v>
      </c>
      <c r="U49">
        <f t="shared" ca="1" si="10"/>
        <v>0</v>
      </c>
      <c r="V49" s="47">
        <f t="shared" ca="1" si="11"/>
        <v>0</v>
      </c>
      <c r="W49">
        <f ca="1">Inputs!B15+(Inputs!D15-Inputs!B15)*BETAINV(RAND(),Model!H9,Model!I9)</f>
        <v>0.42182184502395725</v>
      </c>
      <c r="X49">
        <f ca="1">Inputs!E15+(Inputs!G15-Inputs!E15)*BETAINV(RAND(),Model!J9,Model!K9)</f>
        <v>0.30183452858010257</v>
      </c>
      <c r="Y49">
        <f ca="1">(Inputs!H15+(Inputs!J15-Inputs!H15)*BETAINV(RAND(),Model!L9,Model!M9))*Inputs!$C$6</f>
        <v>32051.637483565832</v>
      </c>
      <c r="Z49">
        <f t="shared" ca="1" si="12"/>
        <v>0.12732039773759521</v>
      </c>
      <c r="AA49">
        <f t="shared" ca="1" si="13"/>
        <v>0.86072703683885632</v>
      </c>
      <c r="AB49">
        <f t="shared" ca="1" si="14"/>
        <v>0</v>
      </c>
      <c r="AC49" s="47">
        <f t="shared" ca="1" si="15"/>
        <v>0</v>
      </c>
      <c r="AD49">
        <f ca="1">Inputs!B16+(Inputs!D16-Inputs!B16)*BETAINV(RAND(),Model!H10,Model!I10)</f>
        <v>0.5849414870344567</v>
      </c>
      <c r="AE49">
        <f ca="1">Inputs!E16+(Inputs!G16-Inputs!E16)*BETAINV(RAND(),Model!J10,Model!K10)</f>
        <v>0.6348037374996307</v>
      </c>
      <c r="AF49">
        <f ca="1">(Inputs!H16+(Inputs!J16-Inputs!H16)*BETAINV(RAND(),Model!L10,Model!M10))*Inputs!$C$6</f>
        <v>68490.55349477948</v>
      </c>
      <c r="AG49">
        <f t="shared" ca="1" si="16"/>
        <v>0.37132304218806489</v>
      </c>
      <c r="AH49">
        <f t="shared" ca="1" si="17"/>
        <v>0.97608939769102976</v>
      </c>
      <c r="AI49">
        <f t="shared" ca="1" si="18"/>
        <v>2</v>
      </c>
      <c r="AJ49" s="47">
        <f t="shared" ca="1" si="19"/>
        <v>136981.10698955896</v>
      </c>
      <c r="AK49">
        <f t="shared" ca="1" si="20"/>
        <v>136981.10698955896</v>
      </c>
    </row>
    <row r="50" spans="2:37" x14ac:dyDescent="0.2">
      <c r="B50">
        <f ca="1">Inputs!B12+(Inputs!D12-Inputs!B12)*BETAINV(RAND(),Model!H6,Model!I6)</f>
        <v>2.5785081606408942</v>
      </c>
      <c r="C50">
        <f ca="1">Inputs!E12+(Inputs!G12-Inputs!E12)*BETAINV(RAND(),Model!J6,Model!K6)</f>
        <v>0.39635803788901747</v>
      </c>
      <c r="D50">
        <f ca="1">(Inputs!H12+(Inputs!J12-Inputs!H12)*BETAINV(RAND(),Model!L6,Model!M6))*Inputs!$C$6</f>
        <v>27756.898270279191</v>
      </c>
      <c r="E50">
        <f t="shared" ca="1" si="0"/>
        <v>1.0220124352324442</v>
      </c>
      <c r="F50">
        <f t="shared" ca="1" si="1"/>
        <v>0.6666425431401517</v>
      </c>
      <c r="G50">
        <f t="shared" ca="1" si="2"/>
        <v>1</v>
      </c>
      <c r="H50" s="47">
        <f t="shared" ca="1" si="3"/>
        <v>27756.898270279191</v>
      </c>
      <c r="I50">
        <f ca="1">Inputs!B13+(Inputs!D13-Inputs!B13)*BETAINV(RAND(),Model!H7,Model!I7)</f>
        <v>0.9831578010671459</v>
      </c>
      <c r="J50">
        <f ca="1">Inputs!E13+(Inputs!G13-Inputs!E13)*BETAINV(RAND(),Model!J7,Model!K7)</f>
        <v>0.20693261264628249</v>
      </c>
      <c r="K50">
        <f ca="1">(Inputs!H13+(Inputs!J13-Inputs!H13)*BETAINV(RAND(),Model!L7,Model!M7))*Inputs!$C$6</f>
        <v>31296.179332666707</v>
      </c>
      <c r="L50">
        <f t="shared" ca="1" si="4"/>
        <v>0.20344741241839856</v>
      </c>
      <c r="M50">
        <f t="shared" ca="1" si="5"/>
        <v>0.40422151271722595</v>
      </c>
      <c r="N50">
        <f t="shared" ca="1" si="6"/>
        <v>0</v>
      </c>
      <c r="O50" s="47">
        <f t="shared" ca="1" si="7"/>
        <v>0</v>
      </c>
      <c r="P50">
        <f ca="1">Inputs!B14+(Inputs!D14-Inputs!B14)*BETAINV(RAND(),Model!H8,Model!I8)</f>
        <v>0.44818418527097148</v>
      </c>
      <c r="Q50">
        <f ca="1">Inputs!E14+(Inputs!G14-Inputs!E14)*BETAINV(RAND(),Model!J8,Model!K8)</f>
        <v>0.50756111863904629</v>
      </c>
      <c r="R50">
        <f ca="1">(Inputs!H14+(Inputs!J14-Inputs!H14)*BETAINV(RAND(),Model!L8,Model!M8))*Inputs!$C$6</f>
        <v>362433.03135751159</v>
      </c>
      <c r="S50">
        <f t="shared" ca="1" si="8"/>
        <v>0.22748086643246385</v>
      </c>
      <c r="T50">
        <f t="shared" ca="1" si="9"/>
        <v>7.0118563381523669E-2</v>
      </c>
      <c r="U50">
        <f t="shared" ca="1" si="10"/>
        <v>0</v>
      </c>
      <c r="V50" s="47">
        <f t="shared" ca="1" si="11"/>
        <v>0</v>
      </c>
      <c r="W50">
        <f ca="1">Inputs!B15+(Inputs!D15-Inputs!B15)*BETAINV(RAND(),Model!H9,Model!I9)</f>
        <v>1.4092667752936641</v>
      </c>
      <c r="X50">
        <f ca="1">Inputs!E15+(Inputs!G15-Inputs!E15)*BETAINV(RAND(),Model!J9,Model!K9)</f>
        <v>0.51929860623055601</v>
      </c>
      <c r="Y50">
        <f ca="1">(Inputs!H15+(Inputs!J15-Inputs!H15)*BETAINV(RAND(),Model!L9,Model!M9))*Inputs!$C$6</f>
        <v>17065.366449910176</v>
      </c>
      <c r="Z50">
        <f t="shared" ca="1" si="12"/>
        <v>0.7318302722170299</v>
      </c>
      <c r="AA50">
        <f t="shared" ca="1" si="13"/>
        <v>9.7827514458711518E-2</v>
      </c>
      <c r="AB50">
        <f t="shared" ca="1" si="14"/>
        <v>0</v>
      </c>
      <c r="AC50" s="47">
        <f t="shared" ca="1" si="15"/>
        <v>0</v>
      </c>
      <c r="AD50">
        <f ca="1">Inputs!B16+(Inputs!D16-Inputs!B16)*BETAINV(RAND(),Model!H10,Model!I10)</f>
        <v>0.63859771674349497</v>
      </c>
      <c r="AE50">
        <f ca="1">Inputs!E16+(Inputs!G16-Inputs!E16)*BETAINV(RAND(),Model!J10,Model!K10)</f>
        <v>0.54902358307416699</v>
      </c>
      <c r="AF50">
        <f ca="1">(Inputs!H16+(Inputs!J16-Inputs!H16)*BETAINV(RAND(),Model!L10,Model!M10))*Inputs!$C$6</f>
        <v>98726.05507760802</v>
      </c>
      <c r="AG50">
        <f t="shared" ca="1" si="16"/>
        <v>0.35060520658949557</v>
      </c>
      <c r="AH50">
        <f t="shared" ca="1" si="17"/>
        <v>0.34317806992725342</v>
      </c>
      <c r="AI50">
        <f t="shared" ca="1" si="18"/>
        <v>0</v>
      </c>
      <c r="AJ50" s="47">
        <f t="shared" ca="1" si="19"/>
        <v>0</v>
      </c>
      <c r="AK50">
        <f t="shared" ca="1" si="20"/>
        <v>27756.898270279191</v>
      </c>
    </row>
    <row r="51" spans="2:37" x14ac:dyDescent="0.2">
      <c r="B51">
        <f ca="1">Inputs!B12+(Inputs!D12-Inputs!B12)*BETAINV(RAND(),Model!H6,Model!I6)</f>
        <v>6.0454692862575721</v>
      </c>
      <c r="C51">
        <f ca="1">Inputs!E12+(Inputs!G12-Inputs!E12)*BETAINV(RAND(),Model!J6,Model!K6)</f>
        <v>0.24538393200620465</v>
      </c>
      <c r="D51">
        <f ca="1">(Inputs!H12+(Inputs!J12-Inputs!H12)*BETAINV(RAND(),Model!L6,Model!M6))*Inputs!$C$6</f>
        <v>17628.714962426013</v>
      </c>
      <c r="E51">
        <f t="shared" ca="1" si="0"/>
        <v>1.4834610242846267</v>
      </c>
      <c r="F51">
        <f t="shared" ca="1" si="1"/>
        <v>0.66698307094411646</v>
      </c>
      <c r="G51">
        <f t="shared" ca="1" si="2"/>
        <v>2</v>
      </c>
      <c r="H51" s="47">
        <f t="shared" ca="1" si="3"/>
        <v>35257.429924852026</v>
      </c>
      <c r="I51">
        <f ca="1">Inputs!B13+(Inputs!D13-Inputs!B13)*BETAINV(RAND(),Model!H7,Model!I7)</f>
        <v>1.9426365572733548</v>
      </c>
      <c r="J51">
        <f ca="1">Inputs!E13+(Inputs!G13-Inputs!E13)*BETAINV(RAND(),Model!J7,Model!K7)</f>
        <v>0.31034719026461166</v>
      </c>
      <c r="K51">
        <f ca="1">(Inputs!H13+(Inputs!J13-Inputs!H13)*BETAINV(RAND(),Model!L7,Model!M7))*Inputs!$C$6</f>
        <v>19259.597775118917</v>
      </c>
      <c r="L51">
        <f t="shared" ca="1" si="4"/>
        <v>0.602891797255104</v>
      </c>
      <c r="M51">
        <f t="shared" ca="1" si="5"/>
        <v>0.60557535975146448</v>
      </c>
      <c r="N51">
        <f t="shared" ca="1" si="6"/>
        <v>1</v>
      </c>
      <c r="O51" s="47">
        <f t="shared" ca="1" si="7"/>
        <v>19259.597775118917</v>
      </c>
      <c r="P51">
        <f ca="1">Inputs!B14+(Inputs!D14-Inputs!B14)*BETAINV(RAND(),Model!H8,Model!I8)</f>
        <v>0.15119475580137828</v>
      </c>
      <c r="Q51">
        <f ca="1">Inputs!E14+(Inputs!G14-Inputs!E14)*BETAINV(RAND(),Model!J8,Model!K8)</f>
        <v>0.52594346383317192</v>
      </c>
      <c r="R51">
        <f ca="1">(Inputs!H14+(Inputs!J14-Inputs!H14)*BETAINV(RAND(),Model!L8,Model!M8))*Inputs!$C$6</f>
        <v>448798.28409045364</v>
      </c>
      <c r="S51">
        <f t="shared" ca="1" si="8"/>
        <v>7.9519893579587456E-2</v>
      </c>
      <c r="T51">
        <f t="shared" ca="1" si="9"/>
        <v>0.95792827456112872</v>
      </c>
      <c r="U51">
        <f t="shared" ca="1" si="10"/>
        <v>1</v>
      </c>
      <c r="V51" s="47">
        <f t="shared" ca="1" si="11"/>
        <v>448798.28409045364</v>
      </c>
      <c r="W51">
        <f ca="1">Inputs!B15+(Inputs!D15-Inputs!B15)*BETAINV(RAND(),Model!H9,Model!I9)</f>
        <v>1.1736915339335192</v>
      </c>
      <c r="X51">
        <f ca="1">Inputs!E15+(Inputs!G15-Inputs!E15)*BETAINV(RAND(),Model!J9,Model!K9)</f>
        <v>0.35455777531497235</v>
      </c>
      <c r="Y51">
        <f ca="1">(Inputs!H15+(Inputs!J15-Inputs!H15)*BETAINV(RAND(),Model!L9,Model!M9))*Inputs!$C$6</f>
        <v>23188.415283085833</v>
      </c>
      <c r="Z51">
        <f t="shared" ca="1" si="12"/>
        <v>0.41614145917748596</v>
      </c>
      <c r="AA51">
        <f t="shared" ca="1" si="13"/>
        <v>0.77876941181380255</v>
      </c>
      <c r="AB51">
        <f t="shared" ca="1" si="14"/>
        <v>1</v>
      </c>
      <c r="AC51" s="47">
        <f t="shared" ca="1" si="15"/>
        <v>23188.415283085833</v>
      </c>
      <c r="AD51">
        <f ca="1">Inputs!B16+(Inputs!D16-Inputs!B16)*BETAINV(RAND(),Model!H10,Model!I10)</f>
        <v>0.52870948073958246</v>
      </c>
      <c r="AE51">
        <f ca="1">Inputs!E16+(Inputs!G16-Inputs!E16)*BETAINV(RAND(),Model!J10,Model!K10)</f>
        <v>0.46499919826949865</v>
      </c>
      <c r="AF51">
        <f ca="1">(Inputs!H16+(Inputs!J16-Inputs!H16)*BETAINV(RAND(),Model!L10,Model!M10))*Inputs!$C$6</f>
        <v>72415.31654127044</v>
      </c>
      <c r="AG51">
        <f t="shared" ca="1" si="16"/>
        <v>0.24584948466138878</v>
      </c>
      <c r="AH51">
        <f t="shared" ca="1" si="17"/>
        <v>0.65021801433152993</v>
      </c>
      <c r="AI51">
        <f t="shared" ca="1" si="18"/>
        <v>0</v>
      </c>
      <c r="AJ51" s="47">
        <f t="shared" ca="1" si="19"/>
        <v>0</v>
      </c>
      <c r="AK51">
        <f t="shared" ca="1" si="20"/>
        <v>526503.72707351041</v>
      </c>
    </row>
    <row r="52" spans="2:37" x14ac:dyDescent="0.2">
      <c r="B52">
        <f ca="1">Inputs!B12+(Inputs!D12-Inputs!B12)*BETAINV(RAND(),Model!H6,Model!I6)</f>
        <v>2.6718083997942359</v>
      </c>
      <c r="C52">
        <f ca="1">Inputs!E12+(Inputs!G12-Inputs!E12)*BETAINV(RAND(),Model!J6,Model!K6)</f>
        <v>0.30790395869909543</v>
      </c>
      <c r="D52">
        <f ca="1">(Inputs!H12+(Inputs!J12-Inputs!H12)*BETAINV(RAND(),Model!L6,Model!M6))*Inputs!$C$6</f>
        <v>32056.036038613514</v>
      </c>
      <c r="E52">
        <f t="shared" ca="1" si="0"/>
        <v>0.82266038318214063</v>
      </c>
      <c r="F52">
        <f t="shared" ca="1" si="1"/>
        <v>3.4696998700345594E-2</v>
      </c>
      <c r="G52">
        <f t="shared" ca="1" si="2"/>
        <v>0</v>
      </c>
      <c r="H52" s="47">
        <f t="shared" ca="1" si="3"/>
        <v>0</v>
      </c>
      <c r="I52">
        <f ca="1">Inputs!B13+(Inputs!D13-Inputs!B13)*BETAINV(RAND(),Model!H7,Model!I7)</f>
        <v>2.2167967089743579</v>
      </c>
      <c r="J52">
        <f ca="1">Inputs!E13+(Inputs!G13-Inputs!E13)*BETAINV(RAND(),Model!J7,Model!K7)</f>
        <v>0.37533435308766594</v>
      </c>
      <c r="K52">
        <f ca="1">(Inputs!H13+(Inputs!J13-Inputs!H13)*BETAINV(RAND(),Model!L7,Model!M7))*Inputs!$C$6</f>
        <v>35349.570061300095</v>
      </c>
      <c r="L52">
        <f t="shared" ca="1" si="4"/>
        <v>0.83203995868975744</v>
      </c>
      <c r="M52">
        <f t="shared" ca="1" si="5"/>
        <v>3.4764175598595126E-2</v>
      </c>
      <c r="N52">
        <f t="shared" ca="1" si="6"/>
        <v>0</v>
      </c>
      <c r="O52" s="47">
        <f t="shared" ca="1" si="7"/>
        <v>0</v>
      </c>
      <c r="P52">
        <f ca="1">Inputs!B14+(Inputs!D14-Inputs!B14)*BETAINV(RAND(),Model!H8,Model!I8)</f>
        <v>0.38206307408512652</v>
      </c>
      <c r="Q52">
        <f ca="1">Inputs!E14+(Inputs!G14-Inputs!E14)*BETAINV(RAND(),Model!J8,Model!K8)</f>
        <v>0.63896831833619938</v>
      </c>
      <c r="R52">
        <f ca="1">(Inputs!H14+(Inputs!J14-Inputs!H14)*BETAINV(RAND(),Model!L8,Model!M8))*Inputs!$C$6</f>
        <v>427203.95372329949</v>
      </c>
      <c r="S52">
        <f t="shared" ca="1" si="8"/>
        <v>0.24412619994653206</v>
      </c>
      <c r="T52">
        <f t="shared" ca="1" si="9"/>
        <v>1.0686282197202357E-2</v>
      </c>
      <c r="U52">
        <f t="shared" ca="1" si="10"/>
        <v>0</v>
      </c>
      <c r="V52" s="47">
        <f t="shared" ca="1" si="11"/>
        <v>0</v>
      </c>
      <c r="W52">
        <f ca="1">Inputs!B15+(Inputs!D15-Inputs!B15)*BETAINV(RAND(),Model!H9,Model!I9)</f>
        <v>2.365586987765937</v>
      </c>
      <c r="X52">
        <f ca="1">Inputs!E15+(Inputs!G15-Inputs!E15)*BETAINV(RAND(),Model!J9,Model!K9)</f>
        <v>0.47937852805984105</v>
      </c>
      <c r="Y52">
        <f ca="1">(Inputs!H15+(Inputs!J15-Inputs!H15)*BETAINV(RAND(),Model!L9,Model!M9))*Inputs!$C$6</f>
        <v>34768.644042598455</v>
      </c>
      <c r="Z52">
        <f t="shared" ca="1" si="12"/>
        <v>1.134011608192748</v>
      </c>
      <c r="AA52">
        <f t="shared" ca="1" si="13"/>
        <v>0.21862884248428871</v>
      </c>
      <c r="AB52">
        <f t="shared" ca="1" si="14"/>
        <v>0</v>
      </c>
      <c r="AC52" s="47">
        <f t="shared" ca="1" si="15"/>
        <v>0</v>
      </c>
      <c r="AD52">
        <f ca="1">Inputs!B16+(Inputs!D16-Inputs!B16)*BETAINV(RAND(),Model!H10,Model!I10)</f>
        <v>0.88991264528812764</v>
      </c>
      <c r="AE52">
        <f ca="1">Inputs!E16+(Inputs!G16-Inputs!E16)*BETAINV(RAND(),Model!J10,Model!K10)</f>
        <v>0.71951733162642273</v>
      </c>
      <c r="AF52">
        <f ca="1">(Inputs!H16+(Inputs!J16-Inputs!H16)*BETAINV(RAND(),Model!L10,Model!M10))*Inputs!$C$6</f>
        <v>107177.79285229999</v>
      </c>
      <c r="AG52">
        <f t="shared" ca="1" si="16"/>
        <v>0.64030757191832488</v>
      </c>
      <c r="AH52">
        <f t="shared" ca="1" si="17"/>
        <v>0.66437613078255164</v>
      </c>
      <c r="AI52">
        <f t="shared" ca="1" si="18"/>
        <v>1</v>
      </c>
      <c r="AJ52" s="47">
        <f t="shared" ca="1" si="19"/>
        <v>107177.79285229999</v>
      </c>
      <c r="AK52">
        <f t="shared" ca="1" si="20"/>
        <v>107177.79285229999</v>
      </c>
    </row>
    <row r="53" spans="2:37" x14ac:dyDescent="0.2">
      <c r="B53">
        <f ca="1">Inputs!B12+(Inputs!D12-Inputs!B12)*BETAINV(RAND(),Model!H6,Model!I6)</f>
        <v>5.0022033392387746</v>
      </c>
      <c r="C53">
        <f ca="1">Inputs!E12+(Inputs!G12-Inputs!E12)*BETAINV(RAND(),Model!J6,Model!K6)</f>
        <v>0.26736847506611239</v>
      </c>
      <c r="D53">
        <f ca="1">(Inputs!H12+(Inputs!J12-Inputs!H12)*BETAINV(RAND(),Model!L6,Model!M6))*Inputs!$C$6</f>
        <v>11201.712110897915</v>
      </c>
      <c r="E53">
        <f t="shared" ca="1" si="0"/>
        <v>1.3374314787828865</v>
      </c>
      <c r="F53">
        <f t="shared" ca="1" si="1"/>
        <v>5.0148852118310661E-2</v>
      </c>
      <c r="G53">
        <f t="shared" ca="1" si="2"/>
        <v>0</v>
      </c>
      <c r="H53" s="47">
        <f t="shared" ca="1" si="3"/>
        <v>0</v>
      </c>
      <c r="I53">
        <f ca="1">Inputs!B13+(Inputs!D13-Inputs!B13)*BETAINV(RAND(),Model!H7,Model!I7)</f>
        <v>1.1484695299461669</v>
      </c>
      <c r="J53">
        <f ca="1">Inputs!E13+(Inputs!G13-Inputs!E13)*BETAINV(RAND(),Model!J7,Model!K7)</f>
        <v>0.2010175688628098</v>
      </c>
      <c r="K53">
        <f ca="1">(Inputs!H13+(Inputs!J13-Inputs!H13)*BETAINV(RAND(),Model!L7,Model!M7))*Inputs!$C$6</f>
        <v>21918.235989236407</v>
      </c>
      <c r="L53">
        <f t="shared" ca="1" si="4"/>
        <v>0.23086255282279242</v>
      </c>
      <c r="M53">
        <f t="shared" ca="1" si="5"/>
        <v>0.98568751145148803</v>
      </c>
      <c r="N53">
        <f t="shared" ca="1" si="6"/>
        <v>2</v>
      </c>
      <c r="O53" s="47">
        <f t="shared" ca="1" si="7"/>
        <v>43836.471978472815</v>
      </c>
      <c r="P53">
        <f ca="1">Inputs!B14+(Inputs!D14-Inputs!B14)*BETAINV(RAND(),Model!H8,Model!I8)</f>
        <v>0.23601968389354089</v>
      </c>
      <c r="Q53">
        <f ca="1">Inputs!E14+(Inputs!G14-Inputs!E14)*BETAINV(RAND(),Model!J8,Model!K8)</f>
        <v>0.76480177207966182</v>
      </c>
      <c r="R53">
        <f ca="1">(Inputs!H14+(Inputs!J14-Inputs!H14)*BETAINV(RAND(),Model!L8,Model!M8))*Inputs!$C$6</f>
        <v>305674.5917988047</v>
      </c>
      <c r="S53">
        <f t="shared" ca="1" si="8"/>
        <v>0.18050827248746168</v>
      </c>
      <c r="T53">
        <f t="shared" ca="1" si="9"/>
        <v>0.12396392799479761</v>
      </c>
      <c r="U53">
        <f t="shared" ca="1" si="10"/>
        <v>0</v>
      </c>
      <c r="V53" s="47">
        <f t="shared" ca="1" si="11"/>
        <v>0</v>
      </c>
      <c r="W53">
        <f ca="1">Inputs!B15+(Inputs!D15-Inputs!B15)*BETAINV(RAND(),Model!H9,Model!I9)</f>
        <v>1.5864933237051855</v>
      </c>
      <c r="X53">
        <f ca="1">Inputs!E15+(Inputs!G15-Inputs!E15)*BETAINV(RAND(),Model!J9,Model!K9)</f>
        <v>0.42305384098184418</v>
      </c>
      <c r="Y53">
        <f ca="1">(Inputs!H15+(Inputs!J15-Inputs!H15)*BETAINV(RAND(),Model!L9,Model!M9))*Inputs!$C$6</f>
        <v>15499.388059987081</v>
      </c>
      <c r="Z53">
        <f t="shared" ca="1" si="12"/>
        <v>0.67117209428553093</v>
      </c>
      <c r="AA53">
        <f t="shared" ca="1" si="13"/>
        <v>8.5593258435767705E-3</v>
      </c>
      <c r="AB53">
        <f t="shared" ca="1" si="14"/>
        <v>0</v>
      </c>
      <c r="AC53" s="47">
        <f t="shared" ca="1" si="15"/>
        <v>0</v>
      </c>
      <c r="AD53">
        <f ca="1">Inputs!B16+(Inputs!D16-Inputs!B16)*BETAINV(RAND(),Model!H10,Model!I10)</f>
        <v>0.49898014278841812</v>
      </c>
      <c r="AE53">
        <f ca="1">Inputs!E16+(Inputs!G16-Inputs!E16)*BETAINV(RAND(),Model!J10,Model!K10)</f>
        <v>0.657291161405406</v>
      </c>
      <c r="AF53">
        <f ca="1">(Inputs!H16+(Inputs!J16-Inputs!H16)*BETAINV(RAND(),Model!L10,Model!M10))*Inputs!$C$6</f>
        <v>46419.786187386686</v>
      </c>
      <c r="AG53">
        <f t="shared" ca="1" si="16"/>
        <v>0.32797523757163466</v>
      </c>
      <c r="AH53">
        <f t="shared" ca="1" si="17"/>
        <v>0.43624031498227722</v>
      </c>
      <c r="AI53">
        <f t="shared" ca="1" si="18"/>
        <v>0</v>
      </c>
      <c r="AJ53" s="47">
        <f t="shared" ca="1" si="19"/>
        <v>0</v>
      </c>
      <c r="AK53">
        <f t="shared" ca="1" si="20"/>
        <v>43836.471978472815</v>
      </c>
    </row>
    <row r="54" spans="2:37" x14ac:dyDescent="0.2">
      <c r="B54">
        <f ca="1">Inputs!B12+(Inputs!D12-Inputs!B12)*BETAINV(RAND(),Model!H6,Model!I6)</f>
        <v>2.7559409750825097</v>
      </c>
      <c r="C54">
        <f ca="1">Inputs!E12+(Inputs!G12-Inputs!E12)*BETAINV(RAND(),Model!J6,Model!K6)</f>
        <v>0.33106515829337529</v>
      </c>
      <c r="D54">
        <f ca="1">(Inputs!H12+(Inputs!J12-Inputs!H12)*BETAINV(RAND(),Model!L6,Model!M6))*Inputs!$C$6</f>
        <v>40443.54915141884</v>
      </c>
      <c r="E54">
        <f t="shared" ca="1" si="0"/>
        <v>0.91239603516289014</v>
      </c>
      <c r="F54">
        <f t="shared" ca="1" si="1"/>
        <v>0.67646205410415505</v>
      </c>
      <c r="G54">
        <f t="shared" ca="1" si="2"/>
        <v>1</v>
      </c>
      <c r="H54" s="47">
        <f t="shared" ca="1" si="3"/>
        <v>40443.54915141884</v>
      </c>
      <c r="I54">
        <f ca="1">Inputs!B13+(Inputs!D13-Inputs!B13)*BETAINV(RAND(),Model!H7,Model!I7)</f>
        <v>2.0148384530529859</v>
      </c>
      <c r="J54">
        <f ca="1">Inputs!E13+(Inputs!G13-Inputs!E13)*BETAINV(RAND(),Model!J7,Model!K7)</f>
        <v>0.39805046274732703</v>
      </c>
      <c r="K54">
        <f ca="1">(Inputs!H13+(Inputs!J13-Inputs!H13)*BETAINV(RAND(),Model!L7,Model!M7))*Inputs!$C$6</f>
        <v>36316.090188634415</v>
      </c>
      <c r="L54">
        <f t="shared" ca="1" si="4"/>
        <v>0.80200737859884963</v>
      </c>
      <c r="M54">
        <f t="shared" ca="1" si="5"/>
        <v>0.11714507502392657</v>
      </c>
      <c r="N54">
        <f t="shared" ca="1" si="6"/>
        <v>0</v>
      </c>
      <c r="O54" s="47">
        <f t="shared" ca="1" si="7"/>
        <v>0</v>
      </c>
      <c r="P54">
        <f ca="1">Inputs!B14+(Inputs!D14-Inputs!B14)*BETAINV(RAND(),Model!H8,Model!I8)</f>
        <v>0.31609245969200367</v>
      </c>
      <c r="Q54">
        <f ca="1">Inputs!E14+(Inputs!G14-Inputs!E14)*BETAINV(RAND(),Model!J8,Model!K8)</f>
        <v>0.73643247193314432</v>
      </c>
      <c r="R54">
        <f ca="1">(Inputs!H14+(Inputs!J14-Inputs!H14)*BETAINV(RAND(),Model!L8,Model!M8))*Inputs!$C$6</f>
        <v>253219.47462194462</v>
      </c>
      <c r="S54">
        <f t="shared" ca="1" si="8"/>
        <v>0.23278075145041005</v>
      </c>
      <c r="T54">
        <f t="shared" ca="1" si="9"/>
        <v>0.96320441938800305</v>
      </c>
      <c r="U54">
        <f t="shared" ca="1" si="10"/>
        <v>1</v>
      </c>
      <c r="V54" s="47">
        <f t="shared" ca="1" si="11"/>
        <v>253219.47462194462</v>
      </c>
      <c r="W54">
        <f ca="1">Inputs!B15+(Inputs!D15-Inputs!B15)*BETAINV(RAND(),Model!H9,Model!I9)</f>
        <v>1.3991680534302822</v>
      </c>
      <c r="X54">
        <f ca="1">Inputs!E15+(Inputs!G15-Inputs!E15)*BETAINV(RAND(),Model!J9,Model!K9)</f>
        <v>0.41179592590115877</v>
      </c>
      <c r="Y54">
        <f ca="1">(Inputs!H15+(Inputs!J15-Inputs!H15)*BETAINV(RAND(),Model!L9,Model!M9))*Inputs!$C$6</f>
        <v>38668.771777761795</v>
      </c>
      <c r="Z54">
        <f t="shared" ca="1" si="12"/>
        <v>0.57617170405364504</v>
      </c>
      <c r="AA54">
        <f t="shared" ca="1" si="13"/>
        <v>0.76118750789742395</v>
      </c>
      <c r="AB54">
        <f t="shared" ca="1" si="14"/>
        <v>1</v>
      </c>
      <c r="AC54" s="47">
        <f t="shared" ca="1" si="15"/>
        <v>38668.771777761795</v>
      </c>
      <c r="AD54">
        <f ca="1">Inputs!B16+(Inputs!D16-Inputs!B16)*BETAINV(RAND(),Model!H10,Model!I10)</f>
        <v>0.42333264160905065</v>
      </c>
      <c r="AE54">
        <f ca="1">Inputs!E16+(Inputs!G16-Inputs!E16)*BETAINV(RAND(),Model!J10,Model!K10)</f>
        <v>0.5451255458970139</v>
      </c>
      <c r="AF54">
        <f ca="1">(Inputs!H16+(Inputs!J16-Inputs!H16)*BETAINV(RAND(),Model!L10,Model!M10))*Inputs!$C$6</f>
        <v>89123.282549268974</v>
      </c>
      <c r="AG54">
        <f t="shared" ca="1" si="16"/>
        <v>0.23076943735315866</v>
      </c>
      <c r="AH54">
        <f t="shared" ca="1" si="17"/>
        <v>0.75203936905868496</v>
      </c>
      <c r="AI54">
        <f t="shared" ca="1" si="18"/>
        <v>0</v>
      </c>
      <c r="AJ54" s="47">
        <f t="shared" ca="1" si="19"/>
        <v>0</v>
      </c>
      <c r="AK54">
        <f t="shared" ca="1" si="20"/>
        <v>332331.79555112525</v>
      </c>
    </row>
    <row r="55" spans="2:37" x14ac:dyDescent="0.2">
      <c r="B55">
        <f ca="1">Inputs!B12+(Inputs!D12-Inputs!B12)*BETAINV(RAND(),Model!H6,Model!I6)</f>
        <v>1.6654074336811466</v>
      </c>
      <c r="C55">
        <f ca="1">Inputs!E12+(Inputs!G12-Inputs!E12)*BETAINV(RAND(),Model!J6,Model!K6)</f>
        <v>0.38170217164543219</v>
      </c>
      <c r="D55">
        <f ca="1">(Inputs!H12+(Inputs!J12-Inputs!H12)*BETAINV(RAND(),Model!L6,Model!M6))*Inputs!$C$6</f>
        <v>41333.980808101842</v>
      </c>
      <c r="E55">
        <f t="shared" ca="1" si="0"/>
        <v>0.6356896341105398</v>
      </c>
      <c r="F55">
        <f t="shared" ca="1" si="1"/>
        <v>0.65137796445801588</v>
      </c>
      <c r="G55">
        <f t="shared" ca="1" si="2"/>
        <v>1</v>
      </c>
      <c r="H55" s="47">
        <f t="shared" ca="1" si="3"/>
        <v>41333.980808101842</v>
      </c>
      <c r="I55">
        <f ca="1">Inputs!B13+(Inputs!D13-Inputs!B13)*BETAINV(RAND(),Model!H7,Model!I7)</f>
        <v>1.5887967396459697</v>
      </c>
      <c r="J55">
        <f ca="1">Inputs!E13+(Inputs!G13-Inputs!E13)*BETAINV(RAND(),Model!J7,Model!K7)</f>
        <v>0.33910523747546839</v>
      </c>
      <c r="K55">
        <f ca="1">(Inputs!H13+(Inputs!J13-Inputs!H13)*BETAINV(RAND(),Model!L7,Model!M7))*Inputs!$C$6</f>
        <v>28046.957109563551</v>
      </c>
      <c r="L55">
        <f t="shared" ca="1" si="4"/>
        <v>0.53876929569789644</v>
      </c>
      <c r="M55">
        <f t="shared" ca="1" si="5"/>
        <v>0.95807015945781582</v>
      </c>
      <c r="N55">
        <f t="shared" ca="1" si="6"/>
        <v>2</v>
      </c>
      <c r="O55" s="47">
        <f t="shared" ca="1" si="7"/>
        <v>56093.914219127102</v>
      </c>
      <c r="P55">
        <f ca="1">Inputs!B14+(Inputs!D14-Inputs!B14)*BETAINV(RAND(),Model!H8,Model!I8)</f>
        <v>0.34585209737957712</v>
      </c>
      <c r="Q55">
        <f ca="1">Inputs!E14+(Inputs!G14-Inputs!E14)*BETAINV(RAND(),Model!J8,Model!K8)</f>
        <v>0.64478881365510199</v>
      </c>
      <c r="R55">
        <f ca="1">(Inputs!H14+(Inputs!J14-Inputs!H14)*BETAINV(RAND(),Model!L8,Model!M8))*Inputs!$C$6</f>
        <v>354439.92583351023</v>
      </c>
      <c r="S55">
        <f t="shared" ca="1" si="8"/>
        <v>0.22300156356950634</v>
      </c>
      <c r="T55">
        <f t="shared" ca="1" si="9"/>
        <v>0.47756346164172658</v>
      </c>
      <c r="U55">
        <f t="shared" ca="1" si="10"/>
        <v>0</v>
      </c>
      <c r="V55" s="47">
        <f t="shared" ca="1" si="11"/>
        <v>0</v>
      </c>
      <c r="W55">
        <f ca="1">Inputs!B15+(Inputs!D15-Inputs!B15)*BETAINV(RAND(),Model!H9,Model!I9)</f>
        <v>1.4587481944764431</v>
      </c>
      <c r="X55">
        <f ca="1">Inputs!E15+(Inputs!G15-Inputs!E15)*BETAINV(RAND(),Model!J9,Model!K9)</f>
        <v>0.34124187224355135</v>
      </c>
      <c r="Y55">
        <f ca="1">(Inputs!H15+(Inputs!J15-Inputs!H15)*BETAINV(RAND(),Model!L9,Model!M9))*Inputs!$C$6</f>
        <v>15249.281884585527</v>
      </c>
      <c r="Z55">
        <f t="shared" ca="1" si="12"/>
        <v>0.49778596501504158</v>
      </c>
      <c r="AA55">
        <f t="shared" ca="1" si="13"/>
        <v>0.7958346295575901</v>
      </c>
      <c r="AB55">
        <f t="shared" ca="1" si="14"/>
        <v>1</v>
      </c>
      <c r="AC55" s="47">
        <f t="shared" ca="1" si="15"/>
        <v>15249.281884585527</v>
      </c>
      <c r="AD55">
        <f ca="1">Inputs!B16+(Inputs!D16-Inputs!B16)*BETAINV(RAND(),Model!H10,Model!I10)</f>
        <v>1.1652503101828144</v>
      </c>
      <c r="AE55">
        <f ca="1">Inputs!E16+(Inputs!G16-Inputs!E16)*BETAINV(RAND(),Model!J10,Model!K10)</f>
        <v>0.61516525901148444</v>
      </c>
      <c r="AF55">
        <f ca="1">(Inputs!H16+(Inputs!J16-Inputs!H16)*BETAINV(RAND(),Model!L10,Model!M10))*Inputs!$C$6</f>
        <v>59517.534362207502</v>
      </c>
      <c r="AG55">
        <f t="shared" ca="1" si="16"/>
        <v>0.71682150887682361</v>
      </c>
      <c r="AH55">
        <f t="shared" ca="1" si="17"/>
        <v>0.85460530071577578</v>
      </c>
      <c r="AI55">
        <f t="shared" ca="1" si="18"/>
        <v>2</v>
      </c>
      <c r="AJ55" s="47">
        <f t="shared" ca="1" si="19"/>
        <v>119035.068724415</v>
      </c>
      <c r="AK55">
        <f t="shared" ca="1" si="20"/>
        <v>231712.24563622946</v>
      </c>
    </row>
    <row r="56" spans="2:37" x14ac:dyDescent="0.2">
      <c r="B56">
        <f ca="1">Inputs!B12+(Inputs!D12-Inputs!B12)*BETAINV(RAND(),Model!H6,Model!I6)</f>
        <v>2.5408517655968126</v>
      </c>
      <c r="C56">
        <f ca="1">Inputs!E12+(Inputs!G12-Inputs!E12)*BETAINV(RAND(),Model!J6,Model!K6)</f>
        <v>0.35337927499473887</v>
      </c>
      <c r="D56">
        <f ca="1">(Inputs!H12+(Inputs!J12-Inputs!H12)*BETAINV(RAND(),Model!L6,Model!M6))*Inputs!$C$6</f>
        <v>55160.952056322349</v>
      </c>
      <c r="E56">
        <f t="shared" ca="1" si="0"/>
        <v>0.89788435479570383</v>
      </c>
      <c r="F56">
        <f t="shared" ca="1" si="1"/>
        <v>0.34502758045408721</v>
      </c>
      <c r="G56">
        <f t="shared" ca="1" si="2"/>
        <v>0</v>
      </c>
      <c r="H56" s="47">
        <f t="shared" ca="1" si="3"/>
        <v>0</v>
      </c>
      <c r="I56">
        <f ca="1">Inputs!B13+(Inputs!D13-Inputs!B13)*BETAINV(RAND(),Model!H7,Model!I7)</f>
        <v>3.7630431468989718</v>
      </c>
      <c r="J56">
        <f ca="1">Inputs!E13+(Inputs!G13-Inputs!E13)*BETAINV(RAND(),Model!J7,Model!K7)</f>
        <v>0.35951835088638073</v>
      </c>
      <c r="K56">
        <f ca="1">(Inputs!H13+(Inputs!J13-Inputs!H13)*BETAINV(RAND(),Model!L7,Model!M7))*Inputs!$C$6</f>
        <v>42217.280261838998</v>
      </c>
      <c r="L56">
        <f t="shared" ca="1" si="4"/>
        <v>1.352883066487415</v>
      </c>
      <c r="M56">
        <f t="shared" ca="1" si="5"/>
        <v>0.68439553653445406</v>
      </c>
      <c r="N56">
        <f t="shared" ca="1" si="6"/>
        <v>2</v>
      </c>
      <c r="O56" s="47">
        <f t="shared" ca="1" si="7"/>
        <v>84434.560523677996</v>
      </c>
      <c r="P56">
        <f ca="1">Inputs!B14+(Inputs!D14-Inputs!B14)*BETAINV(RAND(),Model!H8,Model!I8)</f>
        <v>0.15477108166017561</v>
      </c>
      <c r="Q56">
        <f ca="1">Inputs!E14+(Inputs!G14-Inputs!E14)*BETAINV(RAND(),Model!J8,Model!K8)</f>
        <v>0.44771734295515619</v>
      </c>
      <c r="R56">
        <f ca="1">(Inputs!H14+(Inputs!J14-Inputs!H14)*BETAINV(RAND(),Model!L8,Model!M8))*Inputs!$C$6</f>
        <v>328352.65002219542</v>
      </c>
      <c r="S56">
        <f t="shared" ca="1" si="8"/>
        <v>6.9293697447189329E-2</v>
      </c>
      <c r="T56">
        <f t="shared" ca="1" si="9"/>
        <v>0.75818861738776255</v>
      </c>
      <c r="U56">
        <f t="shared" ca="1" si="10"/>
        <v>0</v>
      </c>
      <c r="V56" s="47">
        <f t="shared" ca="1" si="11"/>
        <v>0</v>
      </c>
      <c r="W56">
        <f ca="1">Inputs!B15+(Inputs!D15-Inputs!B15)*BETAINV(RAND(),Model!H9,Model!I9)</f>
        <v>0.8413802200059155</v>
      </c>
      <c r="X56">
        <f ca="1">Inputs!E15+(Inputs!G15-Inputs!E15)*BETAINV(RAND(),Model!J9,Model!K9)</f>
        <v>0.3977533462191038</v>
      </c>
      <c r="Y56">
        <f ca="1">(Inputs!H15+(Inputs!J15-Inputs!H15)*BETAINV(RAND(),Model!L9,Model!M9))*Inputs!$C$6</f>
        <v>34243.233284936767</v>
      </c>
      <c r="Z56">
        <f t="shared" ca="1" si="12"/>
        <v>0.33466179794991863</v>
      </c>
      <c r="AA56">
        <f t="shared" ca="1" si="13"/>
        <v>0.29725148067391305</v>
      </c>
      <c r="AB56">
        <f t="shared" ca="1" si="14"/>
        <v>0</v>
      </c>
      <c r="AC56" s="47">
        <f t="shared" ca="1" si="15"/>
        <v>0</v>
      </c>
      <c r="AD56">
        <f ca="1">Inputs!B16+(Inputs!D16-Inputs!B16)*BETAINV(RAND(),Model!H10,Model!I10)</f>
        <v>0.27038542198706789</v>
      </c>
      <c r="AE56">
        <f ca="1">Inputs!E16+(Inputs!G16-Inputs!E16)*BETAINV(RAND(),Model!J10,Model!K10)</f>
        <v>0.63864132173610044</v>
      </c>
      <c r="AF56">
        <f ca="1">(Inputs!H16+(Inputs!J16-Inputs!H16)*BETAINV(RAND(),Model!L10,Model!M10))*Inputs!$C$6</f>
        <v>73809.502165959901</v>
      </c>
      <c r="AG56">
        <f t="shared" ca="1" si="16"/>
        <v>0.17267930327599432</v>
      </c>
      <c r="AH56">
        <f t="shared" ca="1" si="17"/>
        <v>0.11898905279069094</v>
      </c>
      <c r="AI56">
        <f t="shared" ca="1" si="18"/>
        <v>0</v>
      </c>
      <c r="AJ56" s="47">
        <f t="shared" ca="1" si="19"/>
        <v>0</v>
      </c>
      <c r="AK56">
        <f t="shared" ca="1" si="20"/>
        <v>84434.560523677996</v>
      </c>
    </row>
    <row r="57" spans="2:37" x14ac:dyDescent="0.2">
      <c r="B57">
        <f ca="1">Inputs!B12+(Inputs!D12-Inputs!B12)*BETAINV(RAND(),Model!H6,Model!I6)</f>
        <v>1.9151836114679144</v>
      </c>
      <c r="C57">
        <f ca="1">Inputs!E12+(Inputs!G12-Inputs!E12)*BETAINV(RAND(),Model!J6,Model!K6)</f>
        <v>0.28918170625716633</v>
      </c>
      <c r="D57">
        <f ca="1">(Inputs!H12+(Inputs!J12-Inputs!H12)*BETAINV(RAND(),Model!L6,Model!M6))*Inputs!$C$6</f>
        <v>60824.012146778456</v>
      </c>
      <c r="E57">
        <f t="shared" ca="1" si="0"/>
        <v>0.55383606456005341</v>
      </c>
      <c r="F57">
        <f t="shared" ca="1" si="1"/>
        <v>0.66717540891305849</v>
      </c>
      <c r="G57">
        <f t="shared" ca="1" si="2"/>
        <v>1</v>
      </c>
      <c r="H57" s="47">
        <f t="shared" ca="1" si="3"/>
        <v>60824.012146778456</v>
      </c>
      <c r="I57">
        <f ca="1">Inputs!B13+(Inputs!D13-Inputs!B13)*BETAINV(RAND(),Model!H7,Model!I7)</f>
        <v>1.6142686741880319</v>
      </c>
      <c r="J57">
        <f ca="1">Inputs!E13+(Inputs!G13-Inputs!E13)*BETAINV(RAND(),Model!J7,Model!K7)</f>
        <v>0.35368740306967283</v>
      </c>
      <c r="K57">
        <f ca="1">(Inputs!H13+(Inputs!J13-Inputs!H13)*BETAINV(RAND(),Model!L7,Model!M7))*Inputs!$C$6</f>
        <v>34321.777313866885</v>
      </c>
      <c r="L57">
        <f t="shared" ca="1" si="4"/>
        <v>0.57094649523028884</v>
      </c>
      <c r="M57">
        <f t="shared" ca="1" si="5"/>
        <v>0.48921330937588536</v>
      </c>
      <c r="N57">
        <f t="shared" ca="1" si="6"/>
        <v>0</v>
      </c>
      <c r="O57" s="47">
        <f t="shared" ca="1" si="7"/>
        <v>0</v>
      </c>
      <c r="P57">
        <f ca="1">Inputs!B14+(Inputs!D14-Inputs!B14)*BETAINV(RAND(),Model!H8,Model!I8)</f>
        <v>0.65516203414468521</v>
      </c>
      <c r="Q57">
        <f ca="1">Inputs!E14+(Inputs!G14-Inputs!E14)*BETAINV(RAND(),Model!J8,Model!K8)</f>
        <v>0.43508101581598757</v>
      </c>
      <c r="R57">
        <f ca="1">(Inputs!H14+(Inputs!J14-Inputs!H14)*BETAINV(RAND(),Model!L8,Model!M8))*Inputs!$C$6</f>
        <v>382828.84255239699</v>
      </c>
      <c r="S57">
        <f t="shared" ca="1" si="8"/>
        <v>0.28504856333973838</v>
      </c>
      <c r="T57">
        <f t="shared" ca="1" si="9"/>
        <v>0.72671709525793904</v>
      </c>
      <c r="U57">
        <f t="shared" ca="1" si="10"/>
        <v>0</v>
      </c>
      <c r="V57" s="47">
        <f t="shared" ca="1" si="11"/>
        <v>0</v>
      </c>
      <c r="W57">
        <f ca="1">Inputs!B15+(Inputs!D15-Inputs!B15)*BETAINV(RAND(),Model!H9,Model!I9)</f>
        <v>1.7358141103334539</v>
      </c>
      <c r="X57">
        <f ca="1">Inputs!E15+(Inputs!G15-Inputs!E15)*BETAINV(RAND(),Model!J9,Model!K9)</f>
        <v>0.29033913303057612</v>
      </c>
      <c r="Y57">
        <f ca="1">(Inputs!H15+(Inputs!J15-Inputs!H15)*BETAINV(RAND(),Model!L9,Model!M9))*Inputs!$C$6</f>
        <v>22442.40717387688</v>
      </c>
      <c r="Z57">
        <f t="shared" ca="1" si="12"/>
        <v>0.50397476389645579</v>
      </c>
      <c r="AA57">
        <f t="shared" ca="1" si="13"/>
        <v>0.27611575684226675</v>
      </c>
      <c r="AB57">
        <f t="shared" ca="1" si="14"/>
        <v>0</v>
      </c>
      <c r="AC57" s="47">
        <f t="shared" ca="1" si="15"/>
        <v>0</v>
      </c>
      <c r="AD57">
        <f ca="1">Inputs!B16+(Inputs!D16-Inputs!B16)*BETAINV(RAND(),Model!H10,Model!I10)</f>
        <v>0.64798717857033883</v>
      </c>
      <c r="AE57">
        <f ca="1">Inputs!E16+(Inputs!G16-Inputs!E16)*BETAINV(RAND(),Model!J10,Model!K10)</f>
        <v>0.6223808968512351</v>
      </c>
      <c r="AF57">
        <f ca="1">(Inputs!H16+(Inputs!J16-Inputs!H16)*BETAINV(RAND(),Model!L10,Model!M10))*Inputs!$C$6</f>
        <v>72192.859605383128</v>
      </c>
      <c r="AG57">
        <f t="shared" ca="1" si="16"/>
        <v>0.4032948413467089</v>
      </c>
      <c r="AH57">
        <f t="shared" ca="1" si="17"/>
        <v>0.29235052859128074</v>
      </c>
      <c r="AI57">
        <f t="shared" ca="1" si="18"/>
        <v>0</v>
      </c>
      <c r="AJ57" s="47">
        <f t="shared" ca="1" si="19"/>
        <v>0</v>
      </c>
      <c r="AK57">
        <f t="shared" ca="1" si="20"/>
        <v>60824.012146778456</v>
      </c>
    </row>
    <row r="58" spans="2:37" x14ac:dyDescent="0.2">
      <c r="B58">
        <f ca="1">Inputs!B12+(Inputs!D12-Inputs!B12)*BETAINV(RAND(),Model!H6,Model!I6)</f>
        <v>2.8894150274455339</v>
      </c>
      <c r="C58">
        <f ca="1">Inputs!E12+(Inputs!G12-Inputs!E12)*BETAINV(RAND(),Model!J6,Model!K6)</f>
        <v>0.28546597115128547</v>
      </c>
      <c r="D58">
        <f ca="1">(Inputs!H12+(Inputs!J12-Inputs!H12)*BETAINV(RAND(),Model!L6,Model!M6))*Inputs!$C$6</f>
        <v>28800.396187737311</v>
      </c>
      <c r="E58">
        <f t="shared" ca="1" si="0"/>
        <v>0.8248296668688575</v>
      </c>
      <c r="F58">
        <f t="shared" ca="1" si="1"/>
        <v>0.90766477624576625</v>
      </c>
      <c r="G58">
        <f t="shared" ca="1" si="2"/>
        <v>2</v>
      </c>
      <c r="H58" s="47">
        <f t="shared" ca="1" si="3"/>
        <v>57600.792375474623</v>
      </c>
      <c r="I58">
        <f ca="1">Inputs!B13+(Inputs!D13-Inputs!B13)*BETAINV(RAND(),Model!H7,Model!I7)</f>
        <v>2.1630034727080067</v>
      </c>
      <c r="J58">
        <f ca="1">Inputs!E13+(Inputs!G13-Inputs!E13)*BETAINV(RAND(),Model!J7,Model!K7)</f>
        <v>0.3238779437797461</v>
      </c>
      <c r="K58">
        <f ca="1">(Inputs!H13+(Inputs!J13-Inputs!H13)*BETAINV(RAND(),Model!L7,Model!M7))*Inputs!$C$6</f>
        <v>16974.583759783349</v>
      </c>
      <c r="L58">
        <f t="shared" ca="1" si="4"/>
        <v>0.70054911712911938</v>
      </c>
      <c r="M58">
        <f t="shared" ca="1" si="5"/>
        <v>0.29120198834166255</v>
      </c>
      <c r="N58">
        <f t="shared" ca="1" si="6"/>
        <v>0</v>
      </c>
      <c r="O58" s="47">
        <f t="shared" ca="1" si="7"/>
        <v>0</v>
      </c>
      <c r="P58">
        <f ca="1">Inputs!B14+(Inputs!D14-Inputs!B14)*BETAINV(RAND(),Model!H8,Model!I8)</f>
        <v>0.18608808632762236</v>
      </c>
      <c r="Q58">
        <f ca="1">Inputs!E14+(Inputs!G14-Inputs!E14)*BETAINV(RAND(),Model!J8,Model!K8)</f>
        <v>0.52895801454511304</v>
      </c>
      <c r="R58">
        <f ca="1">(Inputs!H14+(Inputs!J14-Inputs!H14)*BETAINV(RAND(),Model!L8,Model!M8))*Inputs!$C$6</f>
        <v>233378.78013635907</v>
      </c>
      <c r="S58">
        <f t="shared" ca="1" si="8"/>
        <v>9.8432784674358717E-2</v>
      </c>
      <c r="T58">
        <f t="shared" ca="1" si="9"/>
        <v>0.38496707486685755</v>
      </c>
      <c r="U58">
        <f t="shared" ca="1" si="10"/>
        <v>0</v>
      </c>
      <c r="V58" s="47">
        <f t="shared" ca="1" si="11"/>
        <v>0</v>
      </c>
      <c r="W58">
        <f ca="1">Inputs!B15+(Inputs!D15-Inputs!B15)*BETAINV(RAND(),Model!H9,Model!I9)</f>
        <v>2.5685810554183912</v>
      </c>
      <c r="X58">
        <f ca="1">Inputs!E15+(Inputs!G15-Inputs!E15)*BETAINV(RAND(),Model!J9,Model!K9)</f>
        <v>0.45216222422168495</v>
      </c>
      <c r="Y58">
        <f ca="1">(Inputs!H15+(Inputs!J15-Inputs!H15)*BETAINV(RAND(),Model!L9,Model!M9))*Inputs!$C$6</f>
        <v>27487.236985073003</v>
      </c>
      <c r="Z58">
        <f t="shared" ca="1" si="12"/>
        <v>1.1614153231116628</v>
      </c>
      <c r="AA58">
        <f t="shared" ca="1" si="13"/>
        <v>0.10935868203800192</v>
      </c>
      <c r="AB58">
        <f t="shared" ca="1" si="14"/>
        <v>0</v>
      </c>
      <c r="AC58" s="47">
        <f t="shared" ca="1" si="15"/>
        <v>0</v>
      </c>
      <c r="AD58">
        <f ca="1">Inputs!B16+(Inputs!D16-Inputs!B16)*BETAINV(RAND(),Model!H10,Model!I10)</f>
        <v>0.50030056061303774</v>
      </c>
      <c r="AE58">
        <f ca="1">Inputs!E16+(Inputs!G16-Inputs!E16)*BETAINV(RAND(),Model!J10,Model!K10)</f>
        <v>0.61527330886419529</v>
      </c>
      <c r="AF58">
        <f ca="1">(Inputs!H16+(Inputs!J16-Inputs!H16)*BETAINV(RAND(),Model!L10,Model!M10))*Inputs!$C$6</f>
        <v>78728.836775022442</v>
      </c>
      <c r="AG58">
        <f t="shared" ca="1" si="16"/>
        <v>0.3078215813549956</v>
      </c>
      <c r="AH58">
        <f t="shared" ca="1" si="17"/>
        <v>2.9141095270493911E-2</v>
      </c>
      <c r="AI58">
        <f t="shared" ca="1" si="18"/>
        <v>0</v>
      </c>
      <c r="AJ58" s="47">
        <f t="shared" ca="1" si="19"/>
        <v>0</v>
      </c>
      <c r="AK58">
        <f t="shared" ca="1" si="20"/>
        <v>57600.792375474623</v>
      </c>
    </row>
    <row r="59" spans="2:37" x14ac:dyDescent="0.2">
      <c r="B59">
        <f ca="1">Inputs!B12+(Inputs!D12-Inputs!B12)*BETAINV(RAND(),Model!H6,Model!I6)</f>
        <v>5.6757650406079199</v>
      </c>
      <c r="C59">
        <f ca="1">Inputs!E12+(Inputs!G12-Inputs!E12)*BETAINV(RAND(),Model!J6,Model!K6)</f>
        <v>0.31281194182455196</v>
      </c>
      <c r="D59">
        <f ca="1">(Inputs!H12+(Inputs!J12-Inputs!H12)*BETAINV(RAND(),Model!L6,Model!M6))*Inputs!$C$6</f>
        <v>42402.545808870011</v>
      </c>
      <c r="E59">
        <f t="shared" ca="1" si="0"/>
        <v>1.7754470836924705</v>
      </c>
      <c r="F59">
        <f t="shared" ca="1" si="1"/>
        <v>0.94842252546784001</v>
      </c>
      <c r="G59">
        <f t="shared" ca="1" si="2"/>
        <v>4</v>
      </c>
      <c r="H59" s="47">
        <f t="shared" ca="1" si="3"/>
        <v>169610.18323548004</v>
      </c>
      <c r="I59">
        <f ca="1">Inputs!B13+(Inputs!D13-Inputs!B13)*BETAINV(RAND(),Model!H7,Model!I7)</f>
        <v>3.1617888738044981</v>
      </c>
      <c r="J59">
        <f ca="1">Inputs!E13+(Inputs!G13-Inputs!E13)*BETAINV(RAND(),Model!J7,Model!K7)</f>
        <v>0.29724438191422703</v>
      </c>
      <c r="K59">
        <f ca="1">(Inputs!H13+(Inputs!J13-Inputs!H13)*BETAINV(RAND(),Model!L7,Model!M7))*Inputs!$C$6</f>
        <v>54809.02621296094</v>
      </c>
      <c r="L59">
        <f t="shared" ca="1" si="4"/>
        <v>0.93982397953729802</v>
      </c>
      <c r="M59">
        <f t="shared" ca="1" si="5"/>
        <v>0.40673613310570012</v>
      </c>
      <c r="N59">
        <f t="shared" ca="1" si="6"/>
        <v>1</v>
      </c>
      <c r="O59" s="47">
        <f t="shared" ca="1" si="7"/>
        <v>54809.02621296094</v>
      </c>
      <c r="P59">
        <f ca="1">Inputs!B14+(Inputs!D14-Inputs!B14)*BETAINV(RAND(),Model!H8,Model!I8)</f>
        <v>0.26139272266065822</v>
      </c>
      <c r="Q59">
        <f ca="1">Inputs!E14+(Inputs!G14-Inputs!E14)*BETAINV(RAND(),Model!J8,Model!K8)</f>
        <v>0.69024709382214833</v>
      </c>
      <c r="R59">
        <f ca="1">(Inputs!H14+(Inputs!J14-Inputs!H14)*BETAINV(RAND(),Model!L8,Model!M8))*Inputs!$C$6</f>
        <v>396456.94648992067</v>
      </c>
      <c r="S59">
        <f t="shared" ca="1" si="8"/>
        <v>0.18042556716277816</v>
      </c>
      <c r="T59">
        <f t="shared" ca="1" si="9"/>
        <v>0.50534054731597511</v>
      </c>
      <c r="U59">
        <f t="shared" ca="1" si="10"/>
        <v>0</v>
      </c>
      <c r="V59" s="47">
        <f t="shared" ca="1" si="11"/>
        <v>0</v>
      </c>
      <c r="W59">
        <f ca="1">Inputs!B15+(Inputs!D15-Inputs!B15)*BETAINV(RAND(),Model!H9,Model!I9)</f>
        <v>1.2579024506366308</v>
      </c>
      <c r="X59">
        <f ca="1">Inputs!E15+(Inputs!G15-Inputs!E15)*BETAINV(RAND(),Model!J9,Model!K9)</f>
        <v>0.50665082144282503</v>
      </c>
      <c r="Y59">
        <f ca="1">(Inputs!H15+(Inputs!J15-Inputs!H15)*BETAINV(RAND(),Model!L9,Model!M9))*Inputs!$C$6</f>
        <v>49547.985764743018</v>
      </c>
      <c r="Z59">
        <f t="shared" ca="1" si="12"/>
        <v>0.63731730990999158</v>
      </c>
      <c r="AA59">
        <f t="shared" ca="1" si="13"/>
        <v>0.85045061619840867</v>
      </c>
      <c r="AB59">
        <f t="shared" ca="1" si="14"/>
        <v>1</v>
      </c>
      <c r="AC59" s="47">
        <f t="shared" ca="1" si="15"/>
        <v>49547.985764743018</v>
      </c>
      <c r="AD59">
        <f ca="1">Inputs!B16+(Inputs!D16-Inputs!B16)*BETAINV(RAND(),Model!H10,Model!I10)</f>
        <v>1.0350442784593197</v>
      </c>
      <c r="AE59">
        <f ca="1">Inputs!E16+(Inputs!G16-Inputs!E16)*BETAINV(RAND(),Model!J10,Model!K10)</f>
        <v>0.65880478709662293</v>
      </c>
      <c r="AF59">
        <f ca="1">(Inputs!H16+(Inputs!J16-Inputs!H16)*BETAINV(RAND(),Model!L10,Model!M10))*Inputs!$C$6</f>
        <v>72397.514694243</v>
      </c>
      <c r="AG59">
        <f t="shared" ca="1" si="16"/>
        <v>0.68189212550596978</v>
      </c>
      <c r="AH59">
        <f t="shared" ca="1" si="17"/>
        <v>9.5561730813062074E-2</v>
      </c>
      <c r="AI59">
        <f t="shared" ca="1" si="18"/>
        <v>0</v>
      </c>
      <c r="AJ59" s="47">
        <f t="shared" ca="1" si="19"/>
        <v>0</v>
      </c>
      <c r="AK59">
        <f t="shared" ca="1" si="20"/>
        <v>273967.19521318399</v>
      </c>
    </row>
    <row r="60" spans="2:37" x14ac:dyDescent="0.2">
      <c r="B60">
        <f ca="1">Inputs!B12+(Inputs!D12-Inputs!B12)*BETAINV(RAND(),Model!H6,Model!I6)</f>
        <v>2.2801910845216971</v>
      </c>
      <c r="C60">
        <f ca="1">Inputs!E12+(Inputs!G12-Inputs!E12)*BETAINV(RAND(),Model!J6,Model!K6)</f>
        <v>0.35567026559252124</v>
      </c>
      <c r="D60">
        <f ca="1">(Inputs!H12+(Inputs!J12-Inputs!H12)*BETAINV(RAND(),Model!L6,Model!M6))*Inputs!$C$6</f>
        <v>19581.829750683311</v>
      </c>
      <c r="E60">
        <f t="shared" ca="1" si="0"/>
        <v>0.81099616863353108</v>
      </c>
      <c r="F60">
        <f t="shared" ca="1" si="1"/>
        <v>5.2089552438269959E-2</v>
      </c>
      <c r="G60">
        <f t="shared" ca="1" si="2"/>
        <v>0</v>
      </c>
      <c r="H60" s="47">
        <f t="shared" ca="1" si="3"/>
        <v>0</v>
      </c>
      <c r="I60">
        <f ca="1">Inputs!B13+(Inputs!D13-Inputs!B13)*BETAINV(RAND(),Model!H7,Model!I7)</f>
        <v>1.8672972857667889</v>
      </c>
      <c r="J60">
        <f ca="1">Inputs!E13+(Inputs!G13-Inputs!E13)*BETAINV(RAND(),Model!J7,Model!K7)</f>
        <v>0.17958701289709178</v>
      </c>
      <c r="K60">
        <f ca="1">(Inputs!H13+(Inputs!J13-Inputs!H13)*BETAINV(RAND(),Model!L7,Model!M7))*Inputs!$C$6</f>
        <v>30706.861395081116</v>
      </c>
      <c r="L60">
        <f t="shared" ca="1" si="4"/>
        <v>0.3353423417417048</v>
      </c>
      <c r="M60">
        <f t="shared" ca="1" si="5"/>
        <v>0.97299420289544236</v>
      </c>
      <c r="N60">
        <f t="shared" ca="1" si="6"/>
        <v>2</v>
      </c>
      <c r="O60" s="47">
        <f t="shared" ca="1" si="7"/>
        <v>61413.722790162232</v>
      </c>
      <c r="P60">
        <f ca="1">Inputs!B14+(Inputs!D14-Inputs!B14)*BETAINV(RAND(),Model!H8,Model!I8)</f>
        <v>0.20982909945309483</v>
      </c>
      <c r="Q60">
        <f ca="1">Inputs!E14+(Inputs!G14-Inputs!E14)*BETAINV(RAND(),Model!J8,Model!K8)</f>
        <v>0.53189792401732927</v>
      </c>
      <c r="R60">
        <f ca="1">(Inputs!H14+(Inputs!J14-Inputs!H14)*BETAINV(RAND(),Model!L8,Model!M8))*Inputs!$C$6</f>
        <v>236470.20423077029</v>
      </c>
      <c r="S60">
        <f t="shared" ca="1" si="8"/>
        <v>0.11160766239752686</v>
      </c>
      <c r="T60">
        <f t="shared" ca="1" si="9"/>
        <v>0.36165967047600789</v>
      </c>
      <c r="U60">
        <f t="shared" ca="1" si="10"/>
        <v>0</v>
      </c>
      <c r="V60" s="47">
        <f t="shared" ca="1" si="11"/>
        <v>0</v>
      </c>
      <c r="W60">
        <f ca="1">Inputs!B15+(Inputs!D15-Inputs!B15)*BETAINV(RAND(),Model!H9,Model!I9)</f>
        <v>1.0842595413751233</v>
      </c>
      <c r="X60">
        <f ca="1">Inputs!E15+(Inputs!G15-Inputs!E15)*BETAINV(RAND(),Model!J9,Model!K9)</f>
        <v>0.26525601248392539</v>
      </c>
      <c r="Y60">
        <f ca="1">(Inputs!H15+(Inputs!J15-Inputs!H15)*BETAINV(RAND(),Model!L9,Model!M9))*Inputs!$C$6</f>
        <v>12113.139777400405</v>
      </c>
      <c r="Z60">
        <f t="shared" ca="1" si="12"/>
        <v>0.2876063624428149</v>
      </c>
      <c r="AA60">
        <f t="shared" ca="1" si="13"/>
        <v>0.67735017698830313</v>
      </c>
      <c r="AB60">
        <f t="shared" ca="1" si="14"/>
        <v>0</v>
      </c>
      <c r="AC60" s="47">
        <f t="shared" ca="1" si="15"/>
        <v>0</v>
      </c>
      <c r="AD60">
        <f ca="1">Inputs!B16+(Inputs!D16-Inputs!B16)*BETAINV(RAND(),Model!H10,Model!I10)</f>
        <v>0.74040914519655465</v>
      </c>
      <c r="AE60">
        <f ca="1">Inputs!E16+(Inputs!G16-Inputs!E16)*BETAINV(RAND(),Model!J10,Model!K10)</f>
        <v>0.63449756510283162</v>
      </c>
      <c r="AF60">
        <f ca="1">(Inputs!H16+(Inputs!J16-Inputs!H16)*BETAINV(RAND(),Model!L10,Model!M10))*Inputs!$C$6</f>
        <v>105924.19548564749</v>
      </c>
      <c r="AG60">
        <f t="shared" ca="1" si="16"/>
        <v>0.46978779980708285</v>
      </c>
      <c r="AH60">
        <f t="shared" ca="1" si="17"/>
        <v>0.95348533264979085</v>
      </c>
      <c r="AI60">
        <f t="shared" ca="1" si="18"/>
        <v>2</v>
      </c>
      <c r="AJ60" s="47">
        <f t="shared" ca="1" si="19"/>
        <v>211848.39097129498</v>
      </c>
      <c r="AK60">
        <f t="shared" ca="1" si="20"/>
        <v>273262.11376145721</v>
      </c>
    </row>
    <row r="61" spans="2:37" x14ac:dyDescent="0.2">
      <c r="B61">
        <f ca="1">Inputs!B12+(Inputs!D12-Inputs!B12)*BETAINV(RAND(),Model!H6,Model!I6)</f>
        <v>5.283523530847928</v>
      </c>
      <c r="C61">
        <f ca="1">Inputs!E12+(Inputs!G12-Inputs!E12)*BETAINV(RAND(),Model!J6,Model!K6)</f>
        <v>0.27789961119832929</v>
      </c>
      <c r="D61">
        <f ca="1">(Inputs!H12+(Inputs!J12-Inputs!H12)*BETAINV(RAND(),Model!L6,Model!M6))*Inputs!$C$6</f>
        <v>13267.097383026114</v>
      </c>
      <c r="E61">
        <f t="shared" ca="1" si="0"/>
        <v>1.4682891349798632</v>
      </c>
      <c r="F61">
        <f t="shared" ca="1" si="1"/>
        <v>0.72205969897734579</v>
      </c>
      <c r="G61">
        <f t="shared" ca="1" si="2"/>
        <v>2</v>
      </c>
      <c r="H61" s="47">
        <f t="shared" ca="1" si="3"/>
        <v>26534.194766052227</v>
      </c>
      <c r="I61">
        <f ca="1">Inputs!B13+(Inputs!D13-Inputs!B13)*BETAINV(RAND(),Model!H7,Model!I7)</f>
        <v>3.6813592299635562</v>
      </c>
      <c r="J61">
        <f ca="1">Inputs!E13+(Inputs!G13-Inputs!E13)*BETAINV(RAND(),Model!J7,Model!K7)</f>
        <v>0.16952797985120116</v>
      </c>
      <c r="K61">
        <f ca="1">(Inputs!H13+(Inputs!J13-Inputs!H13)*BETAINV(RAND(),Model!L7,Model!M7))*Inputs!$C$6</f>
        <v>38440.933623758872</v>
      </c>
      <c r="L61">
        <f t="shared" ca="1" si="4"/>
        <v>0.62409339336229519</v>
      </c>
      <c r="M61">
        <f t="shared" ca="1" si="5"/>
        <v>0.37888713763560022</v>
      </c>
      <c r="N61">
        <f t="shared" ca="1" si="6"/>
        <v>0</v>
      </c>
      <c r="O61" s="47">
        <f t="shared" ca="1" si="7"/>
        <v>0</v>
      </c>
      <c r="P61">
        <f ca="1">Inputs!B14+(Inputs!D14-Inputs!B14)*BETAINV(RAND(),Model!H8,Model!I8)</f>
        <v>0.25354074722007824</v>
      </c>
      <c r="Q61">
        <f ca="1">Inputs!E14+(Inputs!G14-Inputs!E14)*BETAINV(RAND(),Model!J8,Model!K8)</f>
        <v>0.45626315716964838</v>
      </c>
      <c r="R61">
        <f ca="1">(Inputs!H14+(Inputs!J14-Inputs!H14)*BETAINV(RAND(),Model!L8,Model!M8))*Inputs!$C$6</f>
        <v>482934.55458584212</v>
      </c>
      <c r="S61">
        <f t="shared" ca="1" si="8"/>
        <v>0.11568130179778464</v>
      </c>
      <c r="T61">
        <f t="shared" ca="1" si="9"/>
        <v>0.40447460552914438</v>
      </c>
      <c r="U61">
        <f t="shared" ca="1" si="10"/>
        <v>0</v>
      </c>
      <c r="V61" s="47">
        <f t="shared" ca="1" si="11"/>
        <v>0</v>
      </c>
      <c r="W61">
        <f ca="1">Inputs!B15+(Inputs!D15-Inputs!B15)*BETAINV(RAND(),Model!H9,Model!I9)</f>
        <v>1.661630901353246</v>
      </c>
      <c r="X61">
        <f ca="1">Inputs!E15+(Inputs!G15-Inputs!E15)*BETAINV(RAND(),Model!J9,Model!K9)</f>
        <v>0.38959495617831585</v>
      </c>
      <c r="Y61">
        <f ca="1">(Inputs!H15+(Inputs!J15-Inputs!H15)*BETAINV(RAND(),Model!L9,Model!M9))*Inputs!$C$6</f>
        <v>21036.137630446145</v>
      </c>
      <c r="Z61">
        <f t="shared" ca="1" si="12"/>
        <v>0.64736301819725339</v>
      </c>
      <c r="AA61">
        <f t="shared" ca="1" si="13"/>
        <v>0.87965672925007954</v>
      </c>
      <c r="AB61">
        <f t="shared" ca="1" si="14"/>
        <v>2</v>
      </c>
      <c r="AC61" s="47">
        <f t="shared" ca="1" si="15"/>
        <v>42072.275260892289</v>
      </c>
      <c r="AD61">
        <f ca="1">Inputs!B16+(Inputs!D16-Inputs!B16)*BETAINV(RAND(),Model!H10,Model!I10)</f>
        <v>0.63890126707752437</v>
      </c>
      <c r="AE61">
        <f ca="1">Inputs!E16+(Inputs!G16-Inputs!E16)*BETAINV(RAND(),Model!J10,Model!K10)</f>
        <v>0.57556726975524164</v>
      </c>
      <c r="AF61">
        <f ca="1">(Inputs!H16+(Inputs!J16-Inputs!H16)*BETAINV(RAND(),Model!L10,Model!M10))*Inputs!$C$6</f>
        <v>108336.11765821208</v>
      </c>
      <c r="AG61">
        <f t="shared" ca="1" si="16"/>
        <v>0.36773065793497517</v>
      </c>
      <c r="AH61">
        <f t="shared" ca="1" si="17"/>
        <v>0.17282114384758573</v>
      </c>
      <c r="AI61">
        <f t="shared" ca="1" si="18"/>
        <v>0</v>
      </c>
      <c r="AJ61" s="47">
        <f t="shared" ca="1" si="19"/>
        <v>0</v>
      </c>
      <c r="AK61">
        <f t="shared" ca="1" si="20"/>
        <v>68606.470026944517</v>
      </c>
    </row>
    <row r="62" spans="2:37" x14ac:dyDescent="0.2">
      <c r="B62">
        <f ca="1">Inputs!B12+(Inputs!D12-Inputs!B12)*BETAINV(RAND(),Model!H6,Model!I6)</f>
        <v>3.9218113196939686</v>
      </c>
      <c r="C62">
        <f ca="1">Inputs!E12+(Inputs!G12-Inputs!E12)*BETAINV(RAND(),Model!J6,Model!K6)</f>
        <v>0.21297300414213158</v>
      </c>
      <c r="D62">
        <f ca="1">(Inputs!H12+(Inputs!J12-Inputs!H12)*BETAINV(RAND(),Model!L6,Model!M6))*Inputs!$C$6</f>
        <v>16753.933435048562</v>
      </c>
      <c r="E62">
        <f t="shared" ca="1" si="0"/>
        <v>0.83523993843384203</v>
      </c>
      <c r="F62">
        <f t="shared" ca="1" si="1"/>
        <v>0.71683117663665485</v>
      </c>
      <c r="G62">
        <f t="shared" ca="1" si="2"/>
        <v>1</v>
      </c>
      <c r="H62" s="47">
        <f t="shared" ca="1" si="3"/>
        <v>16753.933435048562</v>
      </c>
      <c r="I62">
        <f ca="1">Inputs!B13+(Inputs!D13-Inputs!B13)*BETAINV(RAND(),Model!H7,Model!I7)</f>
        <v>3.6296787028356183</v>
      </c>
      <c r="J62">
        <f ca="1">Inputs!E13+(Inputs!G13-Inputs!E13)*BETAINV(RAND(),Model!J7,Model!K7)</f>
        <v>0.31714312017279667</v>
      </c>
      <c r="K62">
        <f ca="1">(Inputs!H13+(Inputs!J13-Inputs!H13)*BETAINV(RAND(),Model!L7,Model!M7))*Inputs!$C$6</f>
        <v>67519.598791317854</v>
      </c>
      <c r="L62">
        <f t="shared" ca="1" si="4"/>
        <v>1.1511276290420371</v>
      </c>
      <c r="M62">
        <f t="shared" ca="1" si="5"/>
        <v>0.56294327592119364</v>
      </c>
      <c r="N62">
        <f t="shared" ca="1" si="6"/>
        <v>1</v>
      </c>
      <c r="O62" s="47">
        <f t="shared" ca="1" si="7"/>
        <v>67519.598791317854</v>
      </c>
      <c r="P62">
        <f ca="1">Inputs!B14+(Inputs!D14-Inputs!B14)*BETAINV(RAND(),Model!H8,Model!I8)</f>
        <v>0.4037797840194367</v>
      </c>
      <c r="Q62">
        <f ca="1">Inputs!E14+(Inputs!G14-Inputs!E14)*BETAINV(RAND(),Model!J8,Model!K8)</f>
        <v>0.54167187586537424</v>
      </c>
      <c r="R62">
        <f ca="1">(Inputs!H14+(Inputs!J14-Inputs!H14)*BETAINV(RAND(),Model!L8,Model!M8))*Inputs!$C$6</f>
        <v>465278.78021012852</v>
      </c>
      <c r="S62">
        <f t="shared" ca="1" si="8"/>
        <v>0.21871615304632394</v>
      </c>
      <c r="T62">
        <f t="shared" ca="1" si="9"/>
        <v>0.72642236770694435</v>
      </c>
      <c r="U62">
        <f t="shared" ca="1" si="10"/>
        <v>0</v>
      </c>
      <c r="V62" s="47">
        <f t="shared" ca="1" si="11"/>
        <v>0</v>
      </c>
      <c r="W62">
        <f ca="1">Inputs!B15+(Inputs!D15-Inputs!B15)*BETAINV(RAND(),Model!H9,Model!I9)</f>
        <v>1.0139817437736287</v>
      </c>
      <c r="X62">
        <f ca="1">Inputs!E15+(Inputs!G15-Inputs!E15)*BETAINV(RAND(),Model!J9,Model!K9)</f>
        <v>0.47681105207881758</v>
      </c>
      <c r="Y62">
        <f ca="1">(Inputs!H15+(Inputs!J15-Inputs!H15)*BETAINV(RAND(),Model!L9,Model!M9))*Inputs!$C$6</f>
        <v>19955.790742488694</v>
      </c>
      <c r="Z62">
        <f t="shared" ca="1" si="12"/>
        <v>0.48347770203741791</v>
      </c>
      <c r="AA62">
        <f t="shared" ca="1" si="13"/>
        <v>0.64087924580078259</v>
      </c>
      <c r="AB62">
        <f t="shared" ca="1" si="14"/>
        <v>1</v>
      </c>
      <c r="AC62" s="47">
        <f t="shared" ca="1" si="15"/>
        <v>19955.790742488694</v>
      </c>
      <c r="AD62">
        <f ca="1">Inputs!B16+(Inputs!D16-Inputs!B16)*BETAINV(RAND(),Model!H10,Model!I10)</f>
        <v>0.54172465005962334</v>
      </c>
      <c r="AE62">
        <f ca="1">Inputs!E16+(Inputs!G16-Inputs!E16)*BETAINV(RAND(),Model!J10,Model!K10)</f>
        <v>0.66091720891685135</v>
      </c>
      <c r="AF62">
        <f ca="1">(Inputs!H16+(Inputs!J16-Inputs!H16)*BETAINV(RAND(),Model!L10,Model!M10))*Inputs!$C$6</f>
        <v>101620.84063827076</v>
      </c>
      <c r="AG62">
        <f t="shared" ca="1" si="16"/>
        <v>0.35803514371886425</v>
      </c>
      <c r="AH62">
        <f t="shared" ca="1" si="17"/>
        <v>0.7917895447676474</v>
      </c>
      <c r="AI62">
        <f t="shared" ca="1" si="18"/>
        <v>1</v>
      </c>
      <c r="AJ62" s="47">
        <f t="shared" ca="1" si="19"/>
        <v>101620.84063827076</v>
      </c>
      <c r="AK62">
        <f t="shared" ca="1" si="20"/>
        <v>205850.16360712587</v>
      </c>
    </row>
    <row r="63" spans="2:37" x14ac:dyDescent="0.2">
      <c r="B63">
        <f ca="1">Inputs!B12+(Inputs!D12-Inputs!B12)*BETAINV(RAND(),Model!H6,Model!I6)</f>
        <v>2.3116742213887025</v>
      </c>
      <c r="C63">
        <f ca="1">Inputs!E12+(Inputs!G12-Inputs!E12)*BETAINV(RAND(),Model!J6,Model!K6)</f>
        <v>0.29480839340010523</v>
      </c>
      <c r="D63">
        <f ca="1">(Inputs!H12+(Inputs!J12-Inputs!H12)*BETAINV(RAND(),Model!L6,Model!M6))*Inputs!$C$6</f>
        <v>30493.447064236465</v>
      </c>
      <c r="E63">
        <f t="shared" ca="1" si="0"/>
        <v>0.68150096327204257</v>
      </c>
      <c r="F63">
        <f t="shared" ca="1" si="1"/>
        <v>4.2057766496065296E-2</v>
      </c>
      <c r="G63">
        <f t="shared" ca="1" si="2"/>
        <v>0</v>
      </c>
      <c r="H63" s="47">
        <f t="shared" ca="1" si="3"/>
        <v>0</v>
      </c>
      <c r="I63">
        <f ca="1">Inputs!B13+(Inputs!D13-Inputs!B13)*BETAINV(RAND(),Model!H7,Model!I7)</f>
        <v>2.5160811207881135</v>
      </c>
      <c r="J63">
        <f ca="1">Inputs!E13+(Inputs!G13-Inputs!E13)*BETAINV(RAND(),Model!J7,Model!K7)</f>
        <v>0.26711117911586446</v>
      </c>
      <c r="K63">
        <f ca="1">(Inputs!H13+(Inputs!J13-Inputs!H13)*BETAINV(RAND(),Model!L7,Model!M7))*Inputs!$C$6</f>
        <v>57422.542522529249</v>
      </c>
      <c r="L63">
        <f t="shared" ca="1" si="4"/>
        <v>0.67207339492487883</v>
      </c>
      <c r="M63">
        <f t="shared" ca="1" si="5"/>
        <v>0.76009903833691761</v>
      </c>
      <c r="N63">
        <f t="shared" ca="1" si="6"/>
        <v>1</v>
      </c>
      <c r="O63" s="47">
        <f t="shared" ca="1" si="7"/>
        <v>57422.542522529249</v>
      </c>
      <c r="P63">
        <f ca="1">Inputs!B14+(Inputs!D14-Inputs!B14)*BETAINV(RAND(),Model!H8,Model!I8)</f>
        <v>0.30047329616305501</v>
      </c>
      <c r="Q63">
        <f ca="1">Inputs!E14+(Inputs!G14-Inputs!E14)*BETAINV(RAND(),Model!J8,Model!K8)</f>
        <v>0.52784473896802031</v>
      </c>
      <c r="R63">
        <f ca="1">(Inputs!H14+(Inputs!J14-Inputs!H14)*BETAINV(RAND(),Model!L8,Model!M8))*Inputs!$C$6</f>
        <v>399047.13287969818</v>
      </c>
      <c r="S63">
        <f t="shared" ca="1" si="8"/>
        <v>0.15860324858004843</v>
      </c>
      <c r="T63">
        <f t="shared" ca="1" si="9"/>
        <v>0.70761351103871428</v>
      </c>
      <c r="U63">
        <f t="shared" ca="1" si="10"/>
        <v>0</v>
      </c>
      <c r="V63" s="47">
        <f t="shared" ca="1" si="11"/>
        <v>0</v>
      </c>
      <c r="W63">
        <f ca="1">Inputs!B15+(Inputs!D15-Inputs!B15)*BETAINV(RAND(),Model!H9,Model!I9)</f>
        <v>1.89365987564095</v>
      </c>
      <c r="X63">
        <f ca="1">Inputs!E15+(Inputs!G15-Inputs!E15)*BETAINV(RAND(),Model!J9,Model!K9)</f>
        <v>0.37528244173010988</v>
      </c>
      <c r="Y63">
        <f ca="1">(Inputs!H15+(Inputs!J15-Inputs!H15)*BETAINV(RAND(),Model!L9,Model!M9))*Inputs!$C$6</f>
        <v>19441.904208049989</v>
      </c>
      <c r="Z63">
        <f t="shared" ca="1" si="12"/>
        <v>0.71065730193687193</v>
      </c>
      <c r="AA63">
        <f t="shared" ca="1" si="13"/>
        <v>0.70720693144611668</v>
      </c>
      <c r="AB63">
        <f t="shared" ca="1" si="14"/>
        <v>1</v>
      </c>
      <c r="AC63" s="47">
        <f t="shared" ca="1" si="15"/>
        <v>19441.904208049989</v>
      </c>
      <c r="AD63">
        <f ca="1">Inputs!B16+(Inputs!D16-Inputs!B16)*BETAINV(RAND(),Model!H10,Model!I10)</f>
        <v>0.90940788079906132</v>
      </c>
      <c r="AE63">
        <f ca="1">Inputs!E16+(Inputs!G16-Inputs!E16)*BETAINV(RAND(),Model!J10,Model!K10)</f>
        <v>0.55572622796403914</v>
      </c>
      <c r="AF63">
        <f ca="1">(Inputs!H16+(Inputs!J16-Inputs!H16)*BETAINV(RAND(),Model!L10,Model!M10))*Inputs!$C$6</f>
        <v>65464.455179874552</v>
      </c>
      <c r="AG63">
        <f t="shared" ca="1" si="16"/>
        <v>0.50538181127723292</v>
      </c>
      <c r="AH63">
        <f t="shared" ca="1" si="17"/>
        <v>0.70777722305257107</v>
      </c>
      <c r="AI63">
        <f t="shared" ca="1" si="18"/>
        <v>1</v>
      </c>
      <c r="AJ63" s="47">
        <f t="shared" ca="1" si="19"/>
        <v>65464.455179874552</v>
      </c>
      <c r="AK63">
        <f t="shared" ca="1" si="20"/>
        <v>142328.9019104538</v>
      </c>
    </row>
    <row r="64" spans="2:37" x14ac:dyDescent="0.2">
      <c r="B64">
        <f ca="1">Inputs!B12+(Inputs!D12-Inputs!B12)*BETAINV(RAND(),Model!H6,Model!I6)</f>
        <v>2.653148312315635</v>
      </c>
      <c r="C64">
        <f ca="1">Inputs!E12+(Inputs!G12-Inputs!E12)*BETAINV(RAND(),Model!J6,Model!K6)</f>
        <v>0.28646314795378308</v>
      </c>
      <c r="D64">
        <f ca="1">(Inputs!H12+(Inputs!J12-Inputs!H12)*BETAINV(RAND(),Model!L6,Model!M6))*Inputs!$C$6</f>
        <v>28379.20781226582</v>
      </c>
      <c r="E64">
        <f t="shared" ca="1" si="0"/>
        <v>0.7600292175342036</v>
      </c>
      <c r="F64">
        <f t="shared" ca="1" si="1"/>
        <v>0.30735567919605067</v>
      </c>
      <c r="G64">
        <f t="shared" ca="1" si="2"/>
        <v>0</v>
      </c>
      <c r="H64" s="47">
        <f t="shared" ca="1" si="3"/>
        <v>0</v>
      </c>
      <c r="I64">
        <f ca="1">Inputs!B13+(Inputs!D13-Inputs!B13)*BETAINV(RAND(),Model!H7,Model!I7)</f>
        <v>2.6383334839333905</v>
      </c>
      <c r="J64">
        <f ca="1">Inputs!E13+(Inputs!G13-Inputs!E13)*BETAINV(RAND(),Model!J7,Model!K7)</f>
        <v>0.27359890996128655</v>
      </c>
      <c r="K64">
        <f ca="1">(Inputs!H13+(Inputs!J13-Inputs!H13)*BETAINV(RAND(),Model!L7,Model!M7))*Inputs!$C$6</f>
        <v>56774.198775104371</v>
      </c>
      <c r="L64">
        <f t="shared" ca="1" si="4"/>
        <v>0.72184516531853915</v>
      </c>
      <c r="M64">
        <f t="shared" ca="1" si="5"/>
        <v>0.43896984979871401</v>
      </c>
      <c r="N64">
        <f t="shared" ca="1" si="6"/>
        <v>0</v>
      </c>
      <c r="O64" s="47">
        <f t="shared" ca="1" si="7"/>
        <v>0</v>
      </c>
      <c r="P64">
        <f ca="1">Inputs!B14+(Inputs!D14-Inputs!B14)*BETAINV(RAND(),Model!H8,Model!I8)</f>
        <v>0.49567461450087202</v>
      </c>
      <c r="Q64">
        <f ca="1">Inputs!E14+(Inputs!G14-Inputs!E14)*BETAINV(RAND(),Model!J8,Model!K8)</f>
        <v>0.536919597161156</v>
      </c>
      <c r="R64">
        <f ca="1">(Inputs!H14+(Inputs!J14-Inputs!H14)*BETAINV(RAND(),Model!L8,Model!M8))*Inputs!$C$6</f>
        <v>525898.2973522126</v>
      </c>
      <c r="S64">
        <f t="shared" ca="1" si="8"/>
        <v>0.2661374143408195</v>
      </c>
      <c r="T64">
        <f t="shared" ca="1" si="9"/>
        <v>0.75094614410785976</v>
      </c>
      <c r="U64">
        <f t="shared" ca="1" si="10"/>
        <v>0</v>
      </c>
      <c r="V64" s="47">
        <f t="shared" ca="1" si="11"/>
        <v>0</v>
      </c>
      <c r="W64">
        <f ca="1">Inputs!B15+(Inputs!D15-Inputs!B15)*BETAINV(RAND(),Model!H9,Model!I9)</f>
        <v>2.3149336344470921</v>
      </c>
      <c r="X64">
        <f ca="1">Inputs!E15+(Inputs!G15-Inputs!E15)*BETAINV(RAND(),Model!J9,Model!K9)</f>
        <v>0.50544449645729217</v>
      </c>
      <c r="Y64">
        <f ca="1">(Inputs!H15+(Inputs!J15-Inputs!H15)*BETAINV(RAND(),Model!L9,Model!M9))*Inputs!$C$6</f>
        <v>18496.652397981376</v>
      </c>
      <c r="Z64">
        <f t="shared" ca="1" si="12"/>
        <v>1.1700704651951597</v>
      </c>
      <c r="AA64">
        <f t="shared" ca="1" si="13"/>
        <v>0.3981990051547506</v>
      </c>
      <c r="AB64">
        <f t="shared" ca="1" si="14"/>
        <v>1</v>
      </c>
      <c r="AC64" s="47">
        <f t="shared" ca="1" si="15"/>
        <v>18496.652397981376</v>
      </c>
      <c r="AD64">
        <f ca="1">Inputs!B16+(Inputs!D16-Inputs!B16)*BETAINV(RAND(),Model!H10,Model!I10)</f>
        <v>1.0140318049087291</v>
      </c>
      <c r="AE64">
        <f ca="1">Inputs!E16+(Inputs!G16-Inputs!E16)*BETAINV(RAND(),Model!J10,Model!K10)</f>
        <v>0.55252572706101666</v>
      </c>
      <c r="AF64">
        <f ca="1">(Inputs!H16+(Inputs!J16-Inputs!H16)*BETAINV(RAND(),Model!L10,Model!M10))*Inputs!$C$6</f>
        <v>56673.493577484369</v>
      </c>
      <c r="AG64">
        <f t="shared" ca="1" si="16"/>
        <v>0.56027866027019058</v>
      </c>
      <c r="AH64">
        <f t="shared" ca="1" si="17"/>
        <v>0.54618849680765547</v>
      </c>
      <c r="AI64">
        <f t="shared" ca="1" si="18"/>
        <v>0</v>
      </c>
      <c r="AJ64" s="47">
        <f t="shared" ca="1" si="19"/>
        <v>0</v>
      </c>
      <c r="AK64">
        <f t="shared" ca="1" si="20"/>
        <v>18496.652397981376</v>
      </c>
    </row>
    <row r="65" spans="2:37" x14ac:dyDescent="0.2">
      <c r="B65">
        <f ca="1">Inputs!B12+(Inputs!D12-Inputs!B12)*BETAINV(RAND(),Model!H6,Model!I6)</f>
        <v>5.0077005124200209</v>
      </c>
      <c r="C65">
        <f ca="1">Inputs!E12+(Inputs!G12-Inputs!E12)*BETAINV(RAND(),Model!J6,Model!K6)</f>
        <v>0.34922313973891772</v>
      </c>
      <c r="D65">
        <f ca="1">(Inputs!H12+(Inputs!J12-Inputs!H12)*BETAINV(RAND(),Model!L6,Model!M6))*Inputs!$C$6</f>
        <v>34349.19865695636</v>
      </c>
      <c r="E65">
        <f t="shared" ca="1" si="0"/>
        <v>1.7488048958195068</v>
      </c>
      <c r="F65">
        <f t="shared" ca="1" si="1"/>
        <v>0.70439166392199881</v>
      </c>
      <c r="G65">
        <f t="shared" ca="1" si="2"/>
        <v>2</v>
      </c>
      <c r="H65" s="47">
        <f t="shared" ca="1" si="3"/>
        <v>68698.397313912719</v>
      </c>
      <c r="I65">
        <f ca="1">Inputs!B13+(Inputs!D13-Inputs!B13)*BETAINV(RAND(),Model!H7,Model!I7)</f>
        <v>3.0115361042748425</v>
      </c>
      <c r="J65">
        <f ca="1">Inputs!E13+(Inputs!G13-Inputs!E13)*BETAINV(RAND(),Model!J7,Model!K7)</f>
        <v>0.22416104253519967</v>
      </c>
      <c r="K65">
        <f ca="1">(Inputs!H13+(Inputs!J13-Inputs!H13)*BETAINV(RAND(),Model!L7,Model!M7))*Inputs!$C$6</f>
        <v>52681.730978895379</v>
      </c>
      <c r="L65">
        <f t="shared" ca="1" si="4"/>
        <v>0.67506907276664252</v>
      </c>
      <c r="M65">
        <f t="shared" ca="1" si="5"/>
        <v>0.19614100343462726</v>
      </c>
      <c r="N65">
        <f t="shared" ca="1" si="6"/>
        <v>0</v>
      </c>
      <c r="O65" s="47">
        <f t="shared" ca="1" si="7"/>
        <v>0</v>
      </c>
      <c r="P65">
        <f ca="1">Inputs!B14+(Inputs!D14-Inputs!B14)*BETAINV(RAND(),Model!H8,Model!I8)</f>
        <v>0.24986710882771201</v>
      </c>
      <c r="Q65">
        <f ca="1">Inputs!E14+(Inputs!G14-Inputs!E14)*BETAINV(RAND(),Model!J8,Model!K8)</f>
        <v>0.38509660064389434</v>
      </c>
      <c r="R65">
        <f ca="1">(Inputs!H14+(Inputs!J14-Inputs!H14)*BETAINV(RAND(),Model!L8,Model!M8))*Inputs!$C$6</f>
        <v>399891.29566076322</v>
      </c>
      <c r="S65">
        <f t="shared" ca="1" si="8"/>
        <v>9.62229742222699E-2</v>
      </c>
      <c r="T65">
        <f t="shared" ca="1" si="9"/>
        <v>0.269167385072555</v>
      </c>
      <c r="U65">
        <f t="shared" ca="1" si="10"/>
        <v>0</v>
      </c>
      <c r="V65" s="47">
        <f t="shared" ca="1" si="11"/>
        <v>0</v>
      </c>
      <c r="W65">
        <f ca="1">Inputs!B15+(Inputs!D15-Inputs!B15)*BETAINV(RAND(),Model!H9,Model!I9)</f>
        <v>1.5984506375483172</v>
      </c>
      <c r="X65">
        <f ca="1">Inputs!E15+(Inputs!G15-Inputs!E15)*BETAINV(RAND(),Model!J9,Model!K9)</f>
        <v>0.36029500756810673</v>
      </c>
      <c r="Y65">
        <f ca="1">(Inputs!H15+(Inputs!J15-Inputs!H15)*BETAINV(RAND(),Model!L9,Model!M9))*Inputs!$C$6</f>
        <v>27210.071843084508</v>
      </c>
      <c r="Z65">
        <f t="shared" ca="1" si="12"/>
        <v>0.57591378455271591</v>
      </c>
      <c r="AA65">
        <f t="shared" ca="1" si="13"/>
        <v>0.48309973312058774</v>
      </c>
      <c r="AB65">
        <f t="shared" ca="1" si="14"/>
        <v>0</v>
      </c>
      <c r="AC65" s="47">
        <f t="shared" ca="1" si="15"/>
        <v>0</v>
      </c>
      <c r="AD65">
        <f ca="1">Inputs!B16+(Inputs!D16-Inputs!B16)*BETAINV(RAND(),Model!H10,Model!I10)</f>
        <v>0.92670901561407182</v>
      </c>
      <c r="AE65">
        <f ca="1">Inputs!E16+(Inputs!G16-Inputs!E16)*BETAINV(RAND(),Model!J10,Model!K10)</f>
        <v>0.54417254638046386</v>
      </c>
      <c r="AF65">
        <f ca="1">(Inputs!H16+(Inputs!J16-Inputs!H16)*BETAINV(RAND(),Model!L10,Model!M10))*Inputs!$C$6</f>
        <v>61825.979490225051</v>
      </c>
      <c r="AG65">
        <f t="shared" ca="1" si="16"/>
        <v>0.50428960478044249</v>
      </c>
      <c r="AH65">
        <f t="shared" ca="1" si="17"/>
        <v>0.21318437439713689</v>
      </c>
      <c r="AI65">
        <f t="shared" ca="1" si="18"/>
        <v>0</v>
      </c>
      <c r="AJ65" s="47">
        <f t="shared" ca="1" si="19"/>
        <v>0</v>
      </c>
      <c r="AK65">
        <f t="shared" ca="1" si="20"/>
        <v>68698.397313912719</v>
      </c>
    </row>
    <row r="66" spans="2:37" x14ac:dyDescent="0.2">
      <c r="B66">
        <f ca="1">Inputs!B12+(Inputs!D12-Inputs!B12)*BETAINV(RAND(),Model!H6,Model!I6)</f>
        <v>2.5304974426537399</v>
      </c>
      <c r="C66">
        <f ca="1">Inputs!E12+(Inputs!G12-Inputs!E12)*BETAINV(RAND(),Model!J6,Model!K6)</f>
        <v>0.30127529387880381</v>
      </c>
      <c r="D66">
        <f ca="1">(Inputs!H12+(Inputs!J12-Inputs!H12)*BETAINV(RAND(),Model!L6,Model!M6))*Inputs!$C$6</f>
        <v>23009.69348134987</v>
      </c>
      <c r="E66">
        <f t="shared" ca="1" si="0"/>
        <v>0.76237636069506698</v>
      </c>
      <c r="F66">
        <f t="shared" ca="1" si="1"/>
        <v>0.21064863412744372</v>
      </c>
      <c r="G66">
        <f t="shared" ca="1" si="2"/>
        <v>0</v>
      </c>
      <c r="H66" s="47">
        <f t="shared" ca="1" si="3"/>
        <v>0</v>
      </c>
      <c r="I66">
        <f ca="1">Inputs!B13+(Inputs!D13-Inputs!B13)*BETAINV(RAND(),Model!H7,Model!I7)</f>
        <v>3.1549073489570674</v>
      </c>
      <c r="J66">
        <f ca="1">Inputs!E13+(Inputs!G13-Inputs!E13)*BETAINV(RAND(),Model!J7,Model!K7)</f>
        <v>0.2007243374530506</v>
      </c>
      <c r="K66">
        <f ca="1">(Inputs!H13+(Inputs!J13-Inputs!H13)*BETAINV(RAND(),Model!L7,Model!M7))*Inputs!$C$6</f>
        <v>29859.972214681511</v>
      </c>
      <c r="L66">
        <f t="shared" ca="1" si="4"/>
        <v>0.63326668734516767</v>
      </c>
      <c r="M66">
        <f t="shared" ca="1" si="5"/>
        <v>0.40381629999994717</v>
      </c>
      <c r="N66">
        <f t="shared" ca="1" si="6"/>
        <v>0</v>
      </c>
      <c r="O66" s="47">
        <f t="shared" ca="1" si="7"/>
        <v>0</v>
      </c>
      <c r="P66">
        <f ca="1">Inputs!B14+(Inputs!D14-Inputs!B14)*BETAINV(RAND(),Model!H8,Model!I8)</f>
        <v>0.43514792404040636</v>
      </c>
      <c r="Q66">
        <f ca="1">Inputs!E14+(Inputs!G14-Inputs!E14)*BETAINV(RAND(),Model!J8,Model!K8)</f>
        <v>0.62608498853529482</v>
      </c>
      <c r="R66">
        <f ca="1">(Inputs!H14+(Inputs!J14-Inputs!H14)*BETAINV(RAND(),Model!L8,Model!M8))*Inputs!$C$6</f>
        <v>310455.37527845887</v>
      </c>
      <c r="S66">
        <f t="shared" ca="1" si="8"/>
        <v>0.27243958303399518</v>
      </c>
      <c r="T66">
        <f t="shared" ca="1" si="9"/>
        <v>0.96261800791254681</v>
      </c>
      <c r="U66">
        <f t="shared" ca="1" si="10"/>
        <v>1</v>
      </c>
      <c r="V66" s="47">
        <f t="shared" ca="1" si="11"/>
        <v>310455.37527845887</v>
      </c>
      <c r="W66">
        <f ca="1">Inputs!B15+(Inputs!D15-Inputs!B15)*BETAINV(RAND(),Model!H9,Model!I9)</f>
        <v>0.59141065822493299</v>
      </c>
      <c r="X66">
        <f ca="1">Inputs!E15+(Inputs!G15-Inputs!E15)*BETAINV(RAND(),Model!J9,Model!K9)</f>
        <v>0.37352936896673034</v>
      </c>
      <c r="Y66">
        <f ca="1">(Inputs!H15+(Inputs!J15-Inputs!H15)*BETAINV(RAND(),Model!L9,Model!M9))*Inputs!$C$6</f>
        <v>44736.323119472392</v>
      </c>
      <c r="Z66">
        <f t="shared" ca="1" si="12"/>
        <v>0.22090924996695785</v>
      </c>
      <c r="AA66">
        <f t="shared" ca="1" si="13"/>
        <v>0.46563075733858039</v>
      </c>
      <c r="AB66">
        <f t="shared" ca="1" si="14"/>
        <v>0</v>
      </c>
      <c r="AC66" s="47">
        <f t="shared" ca="1" si="15"/>
        <v>0</v>
      </c>
      <c r="AD66">
        <f ca="1">Inputs!B16+(Inputs!D16-Inputs!B16)*BETAINV(RAND(),Model!H10,Model!I10)</f>
        <v>1.0426874737690144</v>
      </c>
      <c r="AE66">
        <f ca="1">Inputs!E16+(Inputs!G16-Inputs!E16)*BETAINV(RAND(),Model!J10,Model!K10)</f>
        <v>0.55220827988598076</v>
      </c>
      <c r="AF66">
        <f ca="1">(Inputs!H16+(Inputs!J16-Inputs!H16)*BETAINV(RAND(),Model!L10,Model!M10))*Inputs!$C$6</f>
        <v>63418.92087518773</v>
      </c>
      <c r="AG66">
        <f t="shared" ca="1" si="16"/>
        <v>0.57578065634864617</v>
      </c>
      <c r="AH66">
        <f t="shared" ca="1" si="17"/>
        <v>0.55792961748192549</v>
      </c>
      <c r="AI66">
        <f t="shared" ca="1" si="18"/>
        <v>0</v>
      </c>
      <c r="AJ66" s="47">
        <f t="shared" ca="1" si="19"/>
        <v>0</v>
      </c>
      <c r="AK66">
        <f t="shared" ca="1" si="20"/>
        <v>310455.37527845887</v>
      </c>
    </row>
    <row r="67" spans="2:37" x14ac:dyDescent="0.2">
      <c r="B67">
        <f ca="1">Inputs!B12+(Inputs!D12-Inputs!B12)*BETAINV(RAND(),Model!H6,Model!I6)</f>
        <v>4.7857794591384426</v>
      </c>
      <c r="C67">
        <f ca="1">Inputs!E12+(Inputs!G12-Inputs!E12)*BETAINV(RAND(),Model!J6,Model!K6)</f>
        <v>0.26835875125979436</v>
      </c>
      <c r="D67">
        <f ca="1">(Inputs!H12+(Inputs!J12-Inputs!H12)*BETAINV(RAND(),Model!L6,Model!M6))*Inputs!$C$6</f>
        <v>47864.055503462958</v>
      </c>
      <c r="E67">
        <f t="shared" ca="1" si="0"/>
        <v>1.2843057994591665</v>
      </c>
      <c r="F67">
        <f t="shared" ca="1" si="1"/>
        <v>0.62930013605409585</v>
      </c>
      <c r="G67">
        <f t="shared" ca="1" si="2"/>
        <v>1</v>
      </c>
      <c r="H67" s="47">
        <f t="shared" ca="1" si="3"/>
        <v>47864.055503462958</v>
      </c>
      <c r="I67">
        <f ca="1">Inputs!B13+(Inputs!D13-Inputs!B13)*BETAINV(RAND(),Model!H7,Model!I7)</f>
        <v>3.8065409309875617</v>
      </c>
      <c r="J67">
        <f ca="1">Inputs!E13+(Inputs!G13-Inputs!E13)*BETAINV(RAND(),Model!J7,Model!K7)</f>
        <v>0.28394264369098532</v>
      </c>
      <c r="K67">
        <f ca="1">(Inputs!H13+(Inputs!J13-Inputs!H13)*BETAINV(RAND(),Model!L7,Model!M7))*Inputs!$C$6</f>
        <v>36501.307048180897</v>
      </c>
      <c r="L67">
        <f t="shared" ca="1" si="4"/>
        <v>1.0808392952625527</v>
      </c>
      <c r="M67">
        <f t="shared" ca="1" si="5"/>
        <v>0.734132845664342</v>
      </c>
      <c r="N67">
        <f t="shared" ca="1" si="6"/>
        <v>2</v>
      </c>
      <c r="O67" s="47">
        <f t="shared" ca="1" si="7"/>
        <v>73002.614096361795</v>
      </c>
      <c r="P67">
        <f ca="1">Inputs!B14+(Inputs!D14-Inputs!B14)*BETAINV(RAND(),Model!H8,Model!I8)</f>
        <v>0.1834271123675531</v>
      </c>
      <c r="Q67">
        <f ca="1">Inputs!E14+(Inputs!G14-Inputs!E14)*BETAINV(RAND(),Model!J8,Model!K8)</f>
        <v>0.46495996713883714</v>
      </c>
      <c r="R67">
        <f ca="1">(Inputs!H14+(Inputs!J14-Inputs!H14)*BETAINV(RAND(),Model!L8,Model!M8))*Inputs!$C$6</f>
        <v>340215.06758443621</v>
      </c>
      <c r="S67">
        <f t="shared" ca="1" si="8"/>
        <v>8.5286264138789272E-2</v>
      </c>
      <c r="T67">
        <f t="shared" ca="1" si="9"/>
        <v>8.4559661775407968E-2</v>
      </c>
      <c r="U67">
        <f t="shared" ca="1" si="10"/>
        <v>0</v>
      </c>
      <c r="V67" s="47">
        <f t="shared" ca="1" si="11"/>
        <v>0</v>
      </c>
      <c r="W67">
        <f ca="1">Inputs!B15+(Inputs!D15-Inputs!B15)*BETAINV(RAND(),Model!H9,Model!I9)</f>
        <v>0.89435224925947043</v>
      </c>
      <c r="X67">
        <f ca="1">Inputs!E15+(Inputs!G15-Inputs!E15)*BETAINV(RAND(),Model!J9,Model!K9)</f>
        <v>0.35587681142273531</v>
      </c>
      <c r="Y67">
        <f ca="1">(Inputs!H15+(Inputs!J15-Inputs!H15)*BETAINV(RAND(),Model!L9,Model!M9))*Inputs!$C$6</f>
        <v>52487.062083573735</v>
      </c>
      <c r="Z67">
        <f t="shared" ca="1" si="12"/>
        <v>0.3182792267552117</v>
      </c>
      <c r="AA67">
        <f t="shared" ca="1" si="13"/>
        <v>0.29749285838783279</v>
      </c>
      <c r="AB67">
        <f t="shared" ca="1" si="14"/>
        <v>0</v>
      </c>
      <c r="AC67" s="47">
        <f t="shared" ca="1" si="15"/>
        <v>0</v>
      </c>
      <c r="AD67">
        <f ca="1">Inputs!B16+(Inputs!D16-Inputs!B16)*BETAINV(RAND(),Model!H10,Model!I10)</f>
        <v>0.56750370056003852</v>
      </c>
      <c r="AE67">
        <f ca="1">Inputs!E16+(Inputs!G16-Inputs!E16)*BETAINV(RAND(),Model!J10,Model!K10)</f>
        <v>0.75051041496675719</v>
      </c>
      <c r="AF67">
        <f ca="1">(Inputs!H16+(Inputs!J16-Inputs!H16)*BETAINV(RAND(),Model!L10,Model!M10))*Inputs!$C$6</f>
        <v>50809.052274015026</v>
      </c>
      <c r="AG67">
        <f t="shared" ca="1" si="16"/>
        <v>0.42591743780248481</v>
      </c>
      <c r="AH67">
        <f t="shared" ca="1" si="17"/>
        <v>0.64890116092838368</v>
      </c>
      <c r="AI67">
        <f t="shared" ca="1" si="18"/>
        <v>0</v>
      </c>
      <c r="AJ67" s="47">
        <f t="shared" ca="1" si="19"/>
        <v>0</v>
      </c>
      <c r="AK67">
        <f t="shared" ca="1" si="20"/>
        <v>120866.66959982476</v>
      </c>
    </row>
    <row r="68" spans="2:37" x14ac:dyDescent="0.2">
      <c r="B68">
        <f ca="1">Inputs!B12+(Inputs!D12-Inputs!B12)*BETAINV(RAND(),Model!H6,Model!I6)</f>
        <v>3.6872974577379263</v>
      </c>
      <c r="C68">
        <f ca="1">Inputs!E12+(Inputs!G12-Inputs!E12)*BETAINV(RAND(),Model!J6,Model!K6)</f>
        <v>0.39486977439501958</v>
      </c>
      <c r="D68">
        <f ca="1">(Inputs!H12+(Inputs!J12-Inputs!H12)*BETAINV(RAND(),Model!L6,Model!M6))*Inputs!$C$6</f>
        <v>19967.671734918535</v>
      </c>
      <c r="E68">
        <f t="shared" ca="1" si="0"/>
        <v>1.4560023152643042</v>
      </c>
      <c r="F68">
        <f t="shared" ca="1" si="1"/>
        <v>0.10275903217458382</v>
      </c>
      <c r="G68">
        <f t="shared" ca="1" si="2"/>
        <v>0</v>
      </c>
      <c r="H68" s="47">
        <f t="shared" ca="1" si="3"/>
        <v>0</v>
      </c>
      <c r="I68">
        <f ca="1">Inputs!B13+(Inputs!D13-Inputs!B13)*BETAINV(RAND(),Model!H7,Model!I7)</f>
        <v>1.2505197393750622</v>
      </c>
      <c r="J68">
        <f ca="1">Inputs!E13+(Inputs!G13-Inputs!E13)*BETAINV(RAND(),Model!J7,Model!K7)</f>
        <v>0.21162118510351424</v>
      </c>
      <c r="K68">
        <f ca="1">(Inputs!H13+(Inputs!J13-Inputs!H13)*BETAINV(RAND(),Model!L7,Model!M7))*Inputs!$C$6</f>
        <v>41168.190944097827</v>
      </c>
      <c r="L68">
        <f t="shared" ca="1" si="4"/>
        <v>0.26463646924188844</v>
      </c>
      <c r="M68">
        <f t="shared" ca="1" si="5"/>
        <v>0.58191626355072634</v>
      </c>
      <c r="N68">
        <f t="shared" ca="1" si="6"/>
        <v>0</v>
      </c>
      <c r="O68" s="47">
        <f t="shared" ca="1" si="7"/>
        <v>0</v>
      </c>
      <c r="P68">
        <f ca="1">Inputs!B14+(Inputs!D14-Inputs!B14)*BETAINV(RAND(),Model!H8,Model!I8)</f>
        <v>0.38931625644553769</v>
      </c>
      <c r="Q68">
        <f ca="1">Inputs!E14+(Inputs!G14-Inputs!E14)*BETAINV(RAND(),Model!J8,Model!K8)</f>
        <v>0.72247017183411577</v>
      </c>
      <c r="R68">
        <f ca="1">(Inputs!H14+(Inputs!J14-Inputs!H14)*BETAINV(RAND(),Model!L8,Model!M8))*Inputs!$C$6</f>
        <v>561457.54916558159</v>
      </c>
      <c r="S68">
        <f t="shared" ca="1" si="8"/>
        <v>0.28126938269202229</v>
      </c>
      <c r="T68">
        <f t="shared" ca="1" si="9"/>
        <v>0.86507659938401815</v>
      </c>
      <c r="U68">
        <f t="shared" ca="1" si="10"/>
        <v>1</v>
      </c>
      <c r="V68" s="47">
        <f t="shared" ca="1" si="11"/>
        <v>561457.54916558159</v>
      </c>
      <c r="W68">
        <f ca="1">Inputs!B15+(Inputs!D15-Inputs!B15)*BETAINV(RAND(),Model!H9,Model!I9)</f>
        <v>1.1698464877929562</v>
      </c>
      <c r="X68">
        <f ca="1">Inputs!E15+(Inputs!G15-Inputs!E15)*BETAINV(RAND(),Model!J9,Model!K9)</f>
        <v>0.55961449612029412</v>
      </c>
      <c r="Y68">
        <f ca="1">(Inputs!H15+(Inputs!J15-Inputs!H15)*BETAINV(RAND(),Model!L9,Model!M9))*Inputs!$C$6</f>
        <v>19674.426107290827</v>
      </c>
      <c r="Z68">
        <f t="shared" ca="1" si="12"/>
        <v>0.654663052804351</v>
      </c>
      <c r="AA68">
        <f t="shared" ca="1" si="13"/>
        <v>9.090304020371609E-2</v>
      </c>
      <c r="AB68">
        <f t="shared" ca="1" si="14"/>
        <v>0</v>
      </c>
      <c r="AC68" s="47">
        <f t="shared" ca="1" si="15"/>
        <v>0</v>
      </c>
      <c r="AD68">
        <f ca="1">Inputs!B16+(Inputs!D16-Inputs!B16)*BETAINV(RAND(),Model!H10,Model!I10)</f>
        <v>1.0460941492775417</v>
      </c>
      <c r="AE68">
        <f ca="1">Inputs!E16+(Inputs!G16-Inputs!E16)*BETAINV(RAND(),Model!J10,Model!K10)</f>
        <v>0.47659867995307614</v>
      </c>
      <c r="AF68">
        <f ca="1">(Inputs!H16+(Inputs!J16-Inputs!H16)*BETAINV(RAND(),Model!L10,Model!M10))*Inputs!$C$6</f>
        <v>151398.72944666332</v>
      </c>
      <c r="AG68">
        <f t="shared" ca="1" si="16"/>
        <v>0.49856709065231258</v>
      </c>
      <c r="AH68">
        <f t="shared" ca="1" si="17"/>
        <v>0.54721384125397521</v>
      </c>
      <c r="AI68">
        <f t="shared" ca="1" si="18"/>
        <v>0</v>
      </c>
      <c r="AJ68" s="47">
        <f t="shared" ca="1" si="19"/>
        <v>0</v>
      </c>
      <c r="AK68">
        <f t="shared" ca="1" si="20"/>
        <v>561457.54916558159</v>
      </c>
    </row>
    <row r="69" spans="2:37" x14ac:dyDescent="0.2">
      <c r="B69">
        <f ca="1">Inputs!B12+(Inputs!D12-Inputs!B12)*BETAINV(RAND(),Model!H6,Model!I6)</f>
        <v>2.5895737206640712</v>
      </c>
      <c r="C69">
        <f ca="1">Inputs!E12+(Inputs!G12-Inputs!E12)*BETAINV(RAND(),Model!J6,Model!K6)</f>
        <v>0.32328176671597891</v>
      </c>
      <c r="D69">
        <f ca="1">(Inputs!H12+(Inputs!J12-Inputs!H12)*BETAINV(RAND(),Model!L6,Model!M6))*Inputs!$C$6</f>
        <v>41803.444069600417</v>
      </c>
      <c r="E69">
        <f t="shared" ca="1" si="0"/>
        <v>0.83716196745755178</v>
      </c>
      <c r="F69">
        <f t="shared" ca="1" si="1"/>
        <v>0.23725780337863911</v>
      </c>
      <c r="G69">
        <f t="shared" ca="1" si="2"/>
        <v>0</v>
      </c>
      <c r="H69" s="47">
        <f t="shared" ca="1" si="3"/>
        <v>0</v>
      </c>
      <c r="I69">
        <f ca="1">Inputs!B13+(Inputs!D13-Inputs!B13)*BETAINV(RAND(),Model!H7,Model!I7)</f>
        <v>3.8238303496571628</v>
      </c>
      <c r="J69">
        <f ca="1">Inputs!E13+(Inputs!G13-Inputs!E13)*BETAINV(RAND(),Model!J7,Model!K7)</f>
        <v>0.27966136754730198</v>
      </c>
      <c r="K69">
        <f ca="1">(Inputs!H13+(Inputs!J13-Inputs!H13)*BETAINV(RAND(),Model!L7,Model!M7))*Inputs!$C$6</f>
        <v>19788.020800054201</v>
      </c>
      <c r="L69">
        <f t="shared" ca="1" si="4"/>
        <v>1.0693776248540001</v>
      </c>
      <c r="M69">
        <f t="shared" ca="1" si="5"/>
        <v>0.82259832711389702</v>
      </c>
      <c r="N69">
        <f t="shared" ca="1" si="6"/>
        <v>2</v>
      </c>
      <c r="O69" s="47">
        <f t="shared" ca="1" si="7"/>
        <v>39576.041600108401</v>
      </c>
      <c r="P69">
        <f ca="1">Inputs!B14+(Inputs!D14-Inputs!B14)*BETAINV(RAND(),Model!H8,Model!I8)</f>
        <v>0.2519123852972438</v>
      </c>
      <c r="Q69">
        <f ca="1">Inputs!E14+(Inputs!G14-Inputs!E14)*BETAINV(RAND(),Model!J8,Model!K8)</f>
        <v>0.68245651443698319</v>
      </c>
      <c r="R69">
        <f ca="1">(Inputs!H14+(Inputs!J14-Inputs!H14)*BETAINV(RAND(),Model!L8,Model!M8))*Inputs!$C$6</f>
        <v>349899.86188683554</v>
      </c>
      <c r="S69">
        <f t="shared" ca="1" si="8"/>
        <v>0.17191924841346334</v>
      </c>
      <c r="T69">
        <f t="shared" ca="1" si="9"/>
        <v>0.57460296213705531</v>
      </c>
      <c r="U69">
        <f t="shared" ca="1" si="10"/>
        <v>0</v>
      </c>
      <c r="V69" s="47">
        <f t="shared" ca="1" si="11"/>
        <v>0</v>
      </c>
      <c r="W69">
        <f ca="1">Inputs!B15+(Inputs!D15-Inputs!B15)*BETAINV(RAND(),Model!H9,Model!I9)</f>
        <v>0.4542584582315915</v>
      </c>
      <c r="X69">
        <f ca="1">Inputs!E15+(Inputs!G15-Inputs!E15)*BETAINV(RAND(),Model!J9,Model!K9)</f>
        <v>0.40445520287297188</v>
      </c>
      <c r="Y69">
        <f ca="1">(Inputs!H15+(Inputs!J15-Inputs!H15)*BETAINV(RAND(),Model!L9,Model!M9))*Inputs!$C$6</f>
        <v>18746.400158047491</v>
      </c>
      <c r="Z69">
        <f t="shared" ca="1" si="12"/>
        <v>0.18372719688082176</v>
      </c>
      <c r="AA69">
        <f t="shared" ca="1" si="13"/>
        <v>0.24411433929022963</v>
      </c>
      <c r="AB69">
        <f t="shared" ca="1" si="14"/>
        <v>0</v>
      </c>
      <c r="AC69" s="47">
        <f t="shared" ca="1" si="15"/>
        <v>0</v>
      </c>
      <c r="AD69">
        <f ca="1">Inputs!B16+(Inputs!D16-Inputs!B16)*BETAINV(RAND(),Model!H10,Model!I10)</f>
        <v>0.41984330494551714</v>
      </c>
      <c r="AE69">
        <f ca="1">Inputs!E16+(Inputs!G16-Inputs!E16)*BETAINV(RAND(),Model!J10,Model!K10)</f>
        <v>0.65156833706036033</v>
      </c>
      <c r="AF69">
        <f ca="1">(Inputs!H16+(Inputs!J16-Inputs!H16)*BETAINV(RAND(),Model!L10,Model!M10))*Inputs!$C$6</f>
        <v>60906.353903051284</v>
      </c>
      <c r="AG69">
        <f t="shared" ca="1" si="16"/>
        <v>0.27355660402927634</v>
      </c>
      <c r="AH69">
        <f t="shared" ca="1" si="17"/>
        <v>0.2816195914632097</v>
      </c>
      <c r="AI69">
        <f t="shared" ca="1" si="18"/>
        <v>0</v>
      </c>
      <c r="AJ69" s="47">
        <f t="shared" ca="1" si="19"/>
        <v>0</v>
      </c>
      <c r="AK69">
        <f t="shared" ca="1" si="20"/>
        <v>39576.041600108401</v>
      </c>
    </row>
    <row r="70" spans="2:37" x14ac:dyDescent="0.2">
      <c r="B70">
        <f ca="1">Inputs!B12+(Inputs!D12-Inputs!B12)*BETAINV(RAND(),Model!H6,Model!I6)</f>
        <v>3.9091731313030698</v>
      </c>
      <c r="C70">
        <f ca="1">Inputs!E12+(Inputs!G12-Inputs!E12)*BETAINV(RAND(),Model!J6,Model!K6)</f>
        <v>0.42981244486374592</v>
      </c>
      <c r="D70">
        <f ca="1">(Inputs!H12+(Inputs!J12-Inputs!H12)*BETAINV(RAND(),Model!L6,Model!M6))*Inputs!$C$6</f>
        <v>24227.453945682337</v>
      </c>
      <c r="E70">
        <f t="shared" ca="1" si="0"/>
        <v>1.6802112609610376</v>
      </c>
      <c r="F70">
        <f t="shared" ca="1" si="1"/>
        <v>0.2573880280992753</v>
      </c>
      <c r="G70">
        <f t="shared" ca="1" si="2"/>
        <v>1</v>
      </c>
      <c r="H70" s="47">
        <f t="shared" ca="1" si="3"/>
        <v>24227.453945682337</v>
      </c>
      <c r="I70">
        <f ca="1">Inputs!B13+(Inputs!D13-Inputs!B13)*BETAINV(RAND(),Model!H7,Model!I7)</f>
        <v>1.6347847573412939</v>
      </c>
      <c r="J70">
        <f ca="1">Inputs!E13+(Inputs!G13-Inputs!E13)*BETAINV(RAND(),Model!J7,Model!K7)</f>
        <v>0.29386362283351308</v>
      </c>
      <c r="K70">
        <f ca="1">(Inputs!H13+(Inputs!J13-Inputs!H13)*BETAINV(RAND(),Model!L7,Model!M7))*Inputs!$C$6</f>
        <v>25617.374682532227</v>
      </c>
      <c r="L70">
        <f t="shared" ca="1" si="4"/>
        <v>0.4804037713453182</v>
      </c>
      <c r="M70">
        <f t="shared" ca="1" si="5"/>
        <v>0.39010623133741507</v>
      </c>
      <c r="N70">
        <f t="shared" ca="1" si="6"/>
        <v>0</v>
      </c>
      <c r="O70" s="47">
        <f t="shared" ca="1" si="7"/>
        <v>0</v>
      </c>
      <c r="P70">
        <f ca="1">Inputs!B14+(Inputs!D14-Inputs!B14)*BETAINV(RAND(),Model!H8,Model!I8)</f>
        <v>0.53121011839122245</v>
      </c>
      <c r="Q70">
        <f ca="1">Inputs!E14+(Inputs!G14-Inputs!E14)*BETAINV(RAND(),Model!J8,Model!K8)</f>
        <v>0.72415721974446789</v>
      </c>
      <c r="R70">
        <f ca="1">(Inputs!H14+(Inputs!J14-Inputs!H14)*BETAINV(RAND(),Model!L8,Model!M8))*Inputs!$C$6</f>
        <v>331342.35292945098</v>
      </c>
      <c r="S70">
        <f t="shared" ca="1" si="8"/>
        <v>0.38467964243431729</v>
      </c>
      <c r="T70">
        <f t="shared" ca="1" si="9"/>
        <v>0.40401038130490086</v>
      </c>
      <c r="U70">
        <f t="shared" ca="1" si="10"/>
        <v>0</v>
      </c>
      <c r="V70" s="47">
        <f t="shared" ca="1" si="11"/>
        <v>0</v>
      </c>
      <c r="W70">
        <f ca="1">Inputs!B15+(Inputs!D15-Inputs!B15)*BETAINV(RAND(),Model!H9,Model!I9)</f>
        <v>1.284249247404863</v>
      </c>
      <c r="X70">
        <f ca="1">Inputs!E15+(Inputs!G15-Inputs!E15)*BETAINV(RAND(),Model!J9,Model!K9)</f>
        <v>0.31253500194052519</v>
      </c>
      <c r="Y70">
        <f ca="1">(Inputs!H15+(Inputs!J15-Inputs!H15)*BETAINV(RAND(),Model!L9,Model!M9))*Inputs!$C$6</f>
        <v>20352.712716577233</v>
      </c>
      <c r="Z70">
        <f t="shared" ca="1" si="12"/>
        <v>0.40137284102979687</v>
      </c>
      <c r="AA70">
        <f t="shared" ca="1" si="13"/>
        <v>9.0797982707129243E-3</v>
      </c>
      <c r="AB70">
        <f t="shared" ca="1" si="14"/>
        <v>0</v>
      </c>
      <c r="AC70" s="47">
        <f t="shared" ca="1" si="15"/>
        <v>0</v>
      </c>
      <c r="AD70">
        <f ca="1">Inputs!B16+(Inputs!D16-Inputs!B16)*BETAINV(RAND(),Model!H10,Model!I10)</f>
        <v>0.42915781396634312</v>
      </c>
      <c r="AE70">
        <f ca="1">Inputs!E16+(Inputs!G16-Inputs!E16)*BETAINV(RAND(),Model!J10,Model!K10)</f>
        <v>0.72535354906723937</v>
      </c>
      <c r="AF70">
        <f ca="1">(Inputs!H16+(Inputs!J16-Inputs!H16)*BETAINV(RAND(),Model!L10,Model!M10))*Inputs!$C$6</f>
        <v>71517.986972784784</v>
      </c>
      <c r="AG70">
        <f t="shared" ca="1" si="16"/>
        <v>0.31129114347042502</v>
      </c>
      <c r="AH70">
        <f t="shared" ca="1" si="17"/>
        <v>0.88466199278344837</v>
      </c>
      <c r="AI70">
        <f t="shared" ca="1" si="18"/>
        <v>1</v>
      </c>
      <c r="AJ70" s="47">
        <f t="shared" ca="1" si="19"/>
        <v>71517.986972784784</v>
      </c>
      <c r="AK70">
        <f t="shared" ca="1" si="20"/>
        <v>95745.440918467124</v>
      </c>
    </row>
    <row r="71" spans="2:37" x14ac:dyDescent="0.2">
      <c r="B71">
        <f ca="1">Inputs!B12+(Inputs!D12-Inputs!B12)*BETAINV(RAND(),Model!H6,Model!I6)</f>
        <v>4.3703546870968175</v>
      </c>
      <c r="C71">
        <f ca="1">Inputs!E12+(Inputs!G12-Inputs!E12)*BETAINV(RAND(),Model!J6,Model!K6)</f>
        <v>0.25895069099663887</v>
      </c>
      <c r="D71">
        <f ca="1">(Inputs!H12+(Inputs!J12-Inputs!H12)*BETAINV(RAND(),Model!L6,Model!M6))*Inputs!$C$6</f>
        <v>14799.253322546745</v>
      </c>
      <c r="E71">
        <f t="shared" ca="1" si="0"/>
        <v>1.1317063661241202</v>
      </c>
      <c r="F71">
        <f t="shared" ca="1" si="1"/>
        <v>0.44841426012968866</v>
      </c>
      <c r="G71">
        <f t="shared" ca="1" si="2"/>
        <v>1</v>
      </c>
      <c r="H71" s="47">
        <f t="shared" ca="1" si="3"/>
        <v>14799.253322546745</v>
      </c>
      <c r="I71">
        <f ca="1">Inputs!B13+(Inputs!D13-Inputs!B13)*BETAINV(RAND(),Model!H7,Model!I7)</f>
        <v>0.93229313055726226</v>
      </c>
      <c r="J71">
        <f ca="1">Inputs!E13+(Inputs!G13-Inputs!E13)*BETAINV(RAND(),Model!J7,Model!K7)</f>
        <v>0.34677120211474555</v>
      </c>
      <c r="K71">
        <f ca="1">(Inputs!H13+(Inputs!J13-Inputs!H13)*BETAINV(RAND(),Model!L7,Model!M7))*Inputs!$C$6</f>
        <v>19257.477358009466</v>
      </c>
      <c r="L71">
        <f t="shared" ca="1" si="4"/>
        <v>0.32329240960666122</v>
      </c>
      <c r="M71">
        <f t="shared" ca="1" si="5"/>
        <v>7.6471970540185841E-2</v>
      </c>
      <c r="N71">
        <f t="shared" ca="1" si="6"/>
        <v>0</v>
      </c>
      <c r="O71" s="47">
        <f t="shared" ca="1" si="7"/>
        <v>0</v>
      </c>
      <c r="P71">
        <f ca="1">Inputs!B14+(Inputs!D14-Inputs!B14)*BETAINV(RAND(),Model!H8,Model!I8)</f>
        <v>0.36941610212220999</v>
      </c>
      <c r="Q71">
        <f ca="1">Inputs!E14+(Inputs!G14-Inputs!E14)*BETAINV(RAND(),Model!J8,Model!K8)</f>
        <v>0.43285063961995374</v>
      </c>
      <c r="R71">
        <f ca="1">(Inputs!H14+(Inputs!J14-Inputs!H14)*BETAINV(RAND(),Model!L8,Model!M8))*Inputs!$C$6</f>
        <v>317068.77543521242</v>
      </c>
      <c r="S71">
        <f t="shared" ca="1" si="8"/>
        <v>0.15990199608950875</v>
      </c>
      <c r="T71">
        <f t="shared" ca="1" si="9"/>
        <v>0.73692512562479384</v>
      </c>
      <c r="U71">
        <f t="shared" ca="1" si="10"/>
        <v>0</v>
      </c>
      <c r="V71" s="47">
        <f t="shared" ca="1" si="11"/>
        <v>0</v>
      </c>
      <c r="W71">
        <f ca="1">Inputs!B15+(Inputs!D15-Inputs!B15)*BETAINV(RAND(),Model!H9,Model!I9)</f>
        <v>0.94524349641443273</v>
      </c>
      <c r="X71">
        <f ca="1">Inputs!E15+(Inputs!G15-Inputs!E15)*BETAINV(RAND(),Model!J9,Model!K9)</f>
        <v>0.33448292272386559</v>
      </c>
      <c r="Y71">
        <f ca="1">(Inputs!H15+(Inputs!J15-Inputs!H15)*BETAINV(RAND(),Model!L9,Model!M9))*Inputs!$C$6</f>
        <v>8927.0238617367722</v>
      </c>
      <c r="Z71">
        <f t="shared" ca="1" si="12"/>
        <v>0.31616780736642525</v>
      </c>
      <c r="AA71">
        <f t="shared" ca="1" si="13"/>
        <v>0.56994275868618904</v>
      </c>
      <c r="AB71">
        <f t="shared" ca="1" si="14"/>
        <v>0</v>
      </c>
      <c r="AC71" s="47">
        <f t="shared" ca="1" si="15"/>
        <v>0</v>
      </c>
      <c r="AD71">
        <f ca="1">Inputs!B16+(Inputs!D16-Inputs!B16)*BETAINV(RAND(),Model!H10,Model!I10)</f>
        <v>0.54517331485670939</v>
      </c>
      <c r="AE71">
        <f ca="1">Inputs!E16+(Inputs!G16-Inputs!E16)*BETAINV(RAND(),Model!J10,Model!K10)</f>
        <v>0.61077019714875957</v>
      </c>
      <c r="AF71">
        <f ca="1">(Inputs!H16+(Inputs!J16-Inputs!H16)*BETAINV(RAND(),Model!L10,Model!M10))*Inputs!$C$6</f>
        <v>91330.335713974855</v>
      </c>
      <c r="AG71">
        <f t="shared" ca="1" si="16"/>
        <v>0.33297561299527517</v>
      </c>
      <c r="AH71">
        <f t="shared" ca="1" si="17"/>
        <v>0.81489932415453337</v>
      </c>
      <c r="AI71">
        <f t="shared" ca="1" si="18"/>
        <v>1</v>
      </c>
      <c r="AJ71" s="47">
        <f t="shared" ca="1" si="19"/>
        <v>91330.335713974855</v>
      </c>
      <c r="AK71">
        <f t="shared" ca="1" si="20"/>
        <v>106129.5890365216</v>
      </c>
    </row>
    <row r="72" spans="2:37" x14ac:dyDescent="0.2">
      <c r="B72">
        <f ca="1">Inputs!B12+(Inputs!D12-Inputs!B12)*BETAINV(RAND(),Model!H6,Model!I6)</f>
        <v>5.9553126418968265</v>
      </c>
      <c r="C72">
        <f ca="1">Inputs!E12+(Inputs!G12-Inputs!E12)*BETAINV(RAND(),Model!J6,Model!K6)</f>
        <v>0.40630984217397126</v>
      </c>
      <c r="D72">
        <f ca="1">(Inputs!H12+(Inputs!J12-Inputs!H12)*BETAINV(RAND(),Model!L6,Model!M6))*Inputs!$C$6</f>
        <v>30545.305838114426</v>
      </c>
      <c r="E72">
        <f t="shared" ca="1" si="0"/>
        <v>2.4197021396257554</v>
      </c>
      <c r="F72">
        <f t="shared" ca="1" si="1"/>
        <v>0.38375762197331809</v>
      </c>
      <c r="G72">
        <f t="shared" ca="1" si="2"/>
        <v>2</v>
      </c>
      <c r="H72" s="47">
        <f t="shared" ca="1" si="3"/>
        <v>61090.611676228851</v>
      </c>
      <c r="I72">
        <f ca="1">Inputs!B13+(Inputs!D13-Inputs!B13)*BETAINV(RAND(),Model!H7,Model!I7)</f>
        <v>1.5220264339205829</v>
      </c>
      <c r="J72">
        <f ca="1">Inputs!E13+(Inputs!G13-Inputs!E13)*BETAINV(RAND(),Model!J7,Model!K7)</f>
        <v>0.19477435790565781</v>
      </c>
      <c r="K72">
        <f ca="1">(Inputs!H13+(Inputs!J13-Inputs!H13)*BETAINV(RAND(),Model!L7,Model!M7))*Inputs!$C$6</f>
        <v>27050.418843610321</v>
      </c>
      <c r="L72">
        <f t="shared" ca="1" si="4"/>
        <v>0.29645172138231962</v>
      </c>
      <c r="M72">
        <f t="shared" ca="1" si="5"/>
        <v>0.43999240193500844</v>
      </c>
      <c r="N72">
        <f t="shared" ca="1" si="6"/>
        <v>0</v>
      </c>
      <c r="O72" s="47">
        <f t="shared" ca="1" si="7"/>
        <v>0</v>
      </c>
      <c r="P72">
        <f ca="1">Inputs!B14+(Inputs!D14-Inputs!B14)*BETAINV(RAND(),Model!H8,Model!I8)</f>
        <v>0.33172679707833619</v>
      </c>
      <c r="Q72">
        <f ca="1">Inputs!E14+(Inputs!G14-Inputs!E14)*BETAINV(RAND(),Model!J8,Model!K8)</f>
        <v>0.38513765888498613</v>
      </c>
      <c r="R72">
        <f ca="1">(Inputs!H14+(Inputs!J14-Inputs!H14)*BETAINV(RAND(),Model!L8,Model!M8))*Inputs!$C$6</f>
        <v>343124.88119677227</v>
      </c>
      <c r="S72">
        <f t="shared" ca="1" si="8"/>
        <v>0.12776048201616524</v>
      </c>
      <c r="T72">
        <f t="shared" ca="1" si="9"/>
        <v>0.35720705121199703</v>
      </c>
      <c r="U72">
        <f t="shared" ca="1" si="10"/>
        <v>0</v>
      </c>
      <c r="V72" s="47">
        <f t="shared" ca="1" si="11"/>
        <v>0</v>
      </c>
      <c r="W72">
        <f ca="1">Inputs!B15+(Inputs!D15-Inputs!B15)*BETAINV(RAND(),Model!H9,Model!I9)</f>
        <v>2.1666330852649294</v>
      </c>
      <c r="X72">
        <f ca="1">Inputs!E15+(Inputs!G15-Inputs!E15)*BETAINV(RAND(),Model!J9,Model!K9)</f>
        <v>0.53018503769956549</v>
      </c>
      <c r="Y72">
        <f ca="1">(Inputs!H15+(Inputs!J15-Inputs!H15)*BETAINV(RAND(),Model!L9,Model!M9))*Inputs!$C$6</f>
        <v>21107.12028612326</v>
      </c>
      <c r="Z72">
        <f t="shared" ca="1" si="12"/>
        <v>1.1487164439923125</v>
      </c>
      <c r="AA72">
        <f t="shared" ca="1" si="13"/>
        <v>0.71927117057246326</v>
      </c>
      <c r="AB72">
        <f t="shared" ca="1" si="14"/>
        <v>2</v>
      </c>
      <c r="AC72" s="47">
        <f t="shared" ca="1" si="15"/>
        <v>42214.240572246519</v>
      </c>
      <c r="AD72">
        <f ca="1">Inputs!B16+(Inputs!D16-Inputs!B16)*BETAINV(RAND(),Model!H10,Model!I10)</f>
        <v>0.4682500264128398</v>
      </c>
      <c r="AE72">
        <f ca="1">Inputs!E16+(Inputs!G16-Inputs!E16)*BETAINV(RAND(),Model!J10,Model!K10)</f>
        <v>0.57692443502557123</v>
      </c>
      <c r="AF72">
        <f ca="1">(Inputs!H16+(Inputs!J16-Inputs!H16)*BETAINV(RAND(),Model!L10,Model!M10))*Inputs!$C$6</f>
        <v>56217.586733540105</v>
      </c>
      <c r="AG72">
        <f t="shared" ca="1" si="16"/>
        <v>0.27014488193893643</v>
      </c>
      <c r="AH72">
        <f t="shared" ca="1" si="17"/>
        <v>0.82451889172916393</v>
      </c>
      <c r="AI72">
        <f t="shared" ca="1" si="18"/>
        <v>1</v>
      </c>
      <c r="AJ72" s="47">
        <f t="shared" ca="1" si="19"/>
        <v>56217.586733540105</v>
      </c>
      <c r="AK72">
        <f t="shared" ca="1" si="20"/>
        <v>159522.43898201548</v>
      </c>
    </row>
    <row r="73" spans="2:37" x14ac:dyDescent="0.2">
      <c r="B73">
        <f ca="1">Inputs!B12+(Inputs!D12-Inputs!B12)*BETAINV(RAND(),Model!H6,Model!I6)</f>
        <v>3.2160674717313666</v>
      </c>
      <c r="C73">
        <f ca="1">Inputs!E12+(Inputs!G12-Inputs!E12)*BETAINV(RAND(),Model!J6,Model!K6)</f>
        <v>0.24705164371151719</v>
      </c>
      <c r="D73">
        <f ca="1">(Inputs!H12+(Inputs!J12-Inputs!H12)*BETAINV(RAND(),Model!L6,Model!M6))*Inputs!$C$6</f>
        <v>18633.316674204721</v>
      </c>
      <c r="E73">
        <f t="shared" ca="1" si="0"/>
        <v>0.79453475517837746</v>
      </c>
      <c r="F73">
        <f t="shared" ca="1" si="1"/>
        <v>0.49680457335687733</v>
      </c>
      <c r="G73">
        <f t="shared" ca="1" si="2"/>
        <v>1</v>
      </c>
      <c r="H73" s="47">
        <f t="shared" ca="1" si="3"/>
        <v>18633.316674204721</v>
      </c>
      <c r="I73">
        <f ca="1">Inputs!B13+(Inputs!D13-Inputs!B13)*BETAINV(RAND(),Model!H7,Model!I7)</f>
        <v>1.3054731372985262</v>
      </c>
      <c r="J73">
        <f ca="1">Inputs!E13+(Inputs!G13-Inputs!E13)*BETAINV(RAND(),Model!J7,Model!K7)</f>
        <v>0.28970200423455839</v>
      </c>
      <c r="K73">
        <f ca="1">(Inputs!H13+(Inputs!J13-Inputs!H13)*BETAINV(RAND(),Model!L7,Model!M7))*Inputs!$C$6</f>
        <v>51328.279078132371</v>
      </c>
      <c r="L73">
        <f t="shared" ca="1" si="4"/>
        <v>0.37819818434975988</v>
      </c>
      <c r="M73">
        <f t="shared" ca="1" si="5"/>
        <v>0.45501954813046408</v>
      </c>
      <c r="N73">
        <f t="shared" ca="1" si="6"/>
        <v>0</v>
      </c>
      <c r="O73" s="47">
        <f t="shared" ca="1" si="7"/>
        <v>0</v>
      </c>
      <c r="P73">
        <f ca="1">Inputs!B14+(Inputs!D14-Inputs!B14)*BETAINV(RAND(),Model!H8,Model!I8)</f>
        <v>0.67432672896297563</v>
      </c>
      <c r="Q73">
        <f ca="1">Inputs!E14+(Inputs!G14-Inputs!E14)*BETAINV(RAND(),Model!J8,Model!K8)</f>
        <v>0.54222299210850555</v>
      </c>
      <c r="R73">
        <f ca="1">(Inputs!H14+(Inputs!J14-Inputs!H14)*BETAINV(RAND(),Model!L8,Model!M8))*Inputs!$C$6</f>
        <v>286457.90155231394</v>
      </c>
      <c r="S73">
        <f t="shared" ca="1" si="8"/>
        <v>0.36563545663704589</v>
      </c>
      <c r="T73">
        <f t="shared" ca="1" si="9"/>
        <v>0.27120258563652322</v>
      </c>
      <c r="U73">
        <f t="shared" ca="1" si="10"/>
        <v>0</v>
      </c>
      <c r="V73" s="47">
        <f t="shared" ca="1" si="11"/>
        <v>0</v>
      </c>
      <c r="W73">
        <f ca="1">Inputs!B15+(Inputs!D15-Inputs!B15)*BETAINV(RAND(),Model!H9,Model!I9)</f>
        <v>1.1640254454111509</v>
      </c>
      <c r="X73">
        <f ca="1">Inputs!E15+(Inputs!G15-Inputs!E15)*BETAINV(RAND(),Model!J9,Model!K9)</f>
        <v>0.33708811773154812</v>
      </c>
      <c r="Y73">
        <f ca="1">(Inputs!H15+(Inputs!J15-Inputs!H15)*BETAINV(RAND(),Model!L9,Model!M9))*Inputs!$C$6</f>
        <v>29488.568802772599</v>
      </c>
      <c r="Z73">
        <f t="shared" ca="1" si="12"/>
        <v>0.39237914638527177</v>
      </c>
      <c r="AA73">
        <f t="shared" ca="1" si="13"/>
        <v>0.23596486096551395</v>
      </c>
      <c r="AB73">
        <f t="shared" ca="1" si="14"/>
        <v>0</v>
      </c>
      <c r="AC73" s="47">
        <f t="shared" ca="1" si="15"/>
        <v>0</v>
      </c>
      <c r="AD73">
        <f ca="1">Inputs!B16+(Inputs!D16-Inputs!B16)*BETAINV(RAND(),Model!H10,Model!I10)</f>
        <v>0.31630575070873346</v>
      </c>
      <c r="AE73">
        <f ca="1">Inputs!E16+(Inputs!G16-Inputs!E16)*BETAINV(RAND(),Model!J10,Model!K10)</f>
        <v>0.73676473807216847</v>
      </c>
      <c r="AF73">
        <f ca="1">(Inputs!H16+(Inputs!J16-Inputs!H16)*BETAINV(RAND(),Model!L10,Model!M10))*Inputs!$C$6</f>
        <v>152559.05910527284</v>
      </c>
      <c r="AG73">
        <f t="shared" ca="1" si="16"/>
        <v>0.23304292357164061</v>
      </c>
      <c r="AH73">
        <f t="shared" ca="1" si="17"/>
        <v>5.0585048409433786E-2</v>
      </c>
      <c r="AI73">
        <f t="shared" ca="1" si="18"/>
        <v>0</v>
      </c>
      <c r="AJ73" s="47">
        <f t="shared" ca="1" si="19"/>
        <v>0</v>
      </c>
      <c r="AK73">
        <f t="shared" ca="1" si="20"/>
        <v>18633.316674204721</v>
      </c>
    </row>
    <row r="74" spans="2:37" x14ac:dyDescent="0.2">
      <c r="B74">
        <f ca="1">Inputs!B12+(Inputs!D12-Inputs!B12)*BETAINV(RAND(),Model!H6,Model!I6)</f>
        <v>5.1523627051466976</v>
      </c>
      <c r="C74">
        <f ca="1">Inputs!E12+(Inputs!G12-Inputs!E12)*BETAINV(RAND(),Model!J6,Model!K6)</f>
        <v>0.36958010054266721</v>
      </c>
      <c r="D74">
        <f ca="1">(Inputs!H12+(Inputs!J12-Inputs!H12)*BETAINV(RAND(),Model!L6,Model!M6))*Inputs!$C$6</f>
        <v>11259.636148287454</v>
      </c>
      <c r="E74">
        <f t="shared" ca="1" si="0"/>
        <v>1.9042107266004054</v>
      </c>
      <c r="F74">
        <f t="shared" ca="1" si="1"/>
        <v>0.14220854415030415</v>
      </c>
      <c r="G74">
        <f t="shared" ca="1" si="2"/>
        <v>0</v>
      </c>
      <c r="H74" s="47">
        <f t="shared" ca="1" si="3"/>
        <v>0</v>
      </c>
      <c r="I74">
        <f ca="1">Inputs!B13+(Inputs!D13-Inputs!B13)*BETAINV(RAND(),Model!H7,Model!I7)</f>
        <v>2.8817144657179266</v>
      </c>
      <c r="J74">
        <f ca="1">Inputs!E13+(Inputs!G13-Inputs!E13)*BETAINV(RAND(),Model!J7,Model!K7)</f>
        <v>0.21843816073539793</v>
      </c>
      <c r="K74">
        <f ca="1">(Inputs!H13+(Inputs!J13-Inputs!H13)*BETAINV(RAND(),Model!L7,Model!M7))*Inputs!$C$6</f>
        <v>29984.722612054273</v>
      </c>
      <c r="L74">
        <f t="shared" ca="1" si="4"/>
        <v>0.62947640765601376</v>
      </c>
      <c r="M74">
        <f t="shared" ca="1" si="5"/>
        <v>0.99955255632497531</v>
      </c>
      <c r="N74">
        <f t="shared" ca="1" si="6"/>
        <v>4</v>
      </c>
      <c r="O74" s="47">
        <f t="shared" ca="1" si="7"/>
        <v>119938.89044821709</v>
      </c>
      <c r="P74">
        <f ca="1">Inputs!B14+(Inputs!D14-Inputs!B14)*BETAINV(RAND(),Model!H8,Model!I8)</f>
        <v>0.16872035631391016</v>
      </c>
      <c r="Q74">
        <f ca="1">Inputs!E14+(Inputs!G14-Inputs!E14)*BETAINV(RAND(),Model!J8,Model!K8)</f>
        <v>0.51695513254513403</v>
      </c>
      <c r="R74">
        <f ca="1">(Inputs!H14+(Inputs!J14-Inputs!H14)*BETAINV(RAND(),Model!L8,Model!M8))*Inputs!$C$6</f>
        <v>250599.73023907852</v>
      </c>
      <c r="S74">
        <f t="shared" ca="1" si="8"/>
        <v>8.7220854161319666E-2</v>
      </c>
      <c r="T74">
        <f t="shared" ca="1" si="9"/>
        <v>0.28657727443174719</v>
      </c>
      <c r="U74">
        <f t="shared" ca="1" si="10"/>
        <v>0</v>
      </c>
      <c r="V74" s="47">
        <f t="shared" ca="1" si="11"/>
        <v>0</v>
      </c>
      <c r="W74">
        <f ca="1">Inputs!B15+(Inputs!D15-Inputs!B15)*BETAINV(RAND(),Model!H9,Model!I9)</f>
        <v>0.41340569858782183</v>
      </c>
      <c r="X74">
        <f ca="1">Inputs!E15+(Inputs!G15-Inputs!E15)*BETAINV(RAND(),Model!J9,Model!K9)</f>
        <v>0.45829034094342674</v>
      </c>
      <c r="Y74">
        <f ca="1">(Inputs!H15+(Inputs!J15-Inputs!H15)*BETAINV(RAND(),Model!L9,Model!M9))*Inputs!$C$6</f>
        <v>17696.094365604575</v>
      </c>
      <c r="Z74">
        <f t="shared" ca="1" si="12"/>
        <v>0.18945983855376838</v>
      </c>
      <c r="AA74">
        <f t="shared" ca="1" si="13"/>
        <v>7.2237914987696494E-2</v>
      </c>
      <c r="AB74">
        <f t="shared" ca="1" si="14"/>
        <v>0</v>
      </c>
      <c r="AC74" s="47">
        <f t="shared" ca="1" si="15"/>
        <v>0</v>
      </c>
      <c r="AD74">
        <f ca="1">Inputs!B16+(Inputs!D16-Inputs!B16)*BETAINV(RAND(),Model!H10,Model!I10)</f>
        <v>1.0030828455760656</v>
      </c>
      <c r="AE74">
        <f ca="1">Inputs!E16+(Inputs!G16-Inputs!E16)*BETAINV(RAND(),Model!J10,Model!K10)</f>
        <v>0.718588630592361</v>
      </c>
      <c r="AF74">
        <f ca="1">(Inputs!H16+(Inputs!J16-Inputs!H16)*BETAINV(RAND(),Model!L10,Model!M10))*Inputs!$C$6</f>
        <v>88096.253828429952</v>
      </c>
      <c r="AG74">
        <f t="shared" ca="1" si="16"/>
        <v>0.72080392837319374</v>
      </c>
      <c r="AH74">
        <f t="shared" ca="1" si="17"/>
        <v>0.78943751059495093</v>
      </c>
      <c r="AI74">
        <f t="shared" ca="1" si="18"/>
        <v>1</v>
      </c>
      <c r="AJ74" s="47">
        <f t="shared" ca="1" si="19"/>
        <v>88096.253828429952</v>
      </c>
      <c r="AK74">
        <f t="shared" ca="1" si="20"/>
        <v>208035.14427664704</v>
      </c>
    </row>
    <row r="75" spans="2:37" x14ac:dyDescent="0.2">
      <c r="B75">
        <f ca="1">Inputs!B12+(Inputs!D12-Inputs!B12)*BETAINV(RAND(),Model!H6,Model!I6)</f>
        <v>4.8830604621850835</v>
      </c>
      <c r="C75">
        <f ca="1">Inputs!E12+(Inputs!G12-Inputs!E12)*BETAINV(RAND(),Model!J6,Model!K6)</f>
        <v>0.40033832746122866</v>
      </c>
      <c r="D75">
        <f ca="1">(Inputs!H12+(Inputs!J12-Inputs!H12)*BETAINV(RAND(),Model!L6,Model!M6))*Inputs!$C$6</f>
        <v>12284.552465995152</v>
      </c>
      <c r="E75">
        <f t="shared" ca="1" si="0"/>
        <v>1.9548762583232304</v>
      </c>
      <c r="F75">
        <f t="shared" ca="1" si="1"/>
        <v>0.15527556735125791</v>
      </c>
      <c r="G75">
        <f t="shared" ca="1" si="2"/>
        <v>1</v>
      </c>
      <c r="H75" s="47">
        <f t="shared" ca="1" si="3"/>
        <v>12284.552465995152</v>
      </c>
      <c r="I75">
        <f ca="1">Inputs!B13+(Inputs!D13-Inputs!B13)*BETAINV(RAND(),Model!H7,Model!I7)</f>
        <v>1.8850979799579064</v>
      </c>
      <c r="J75">
        <f ca="1">Inputs!E13+(Inputs!G13-Inputs!E13)*BETAINV(RAND(),Model!J7,Model!K7)</f>
        <v>0.21096503570058001</v>
      </c>
      <c r="K75">
        <f ca="1">(Inputs!H13+(Inputs!J13-Inputs!H13)*BETAINV(RAND(),Model!L7,Model!M7))*Inputs!$C$6</f>
        <v>20053.145871034543</v>
      </c>
      <c r="L75">
        <f t="shared" ca="1" si="4"/>
        <v>0.39768976264091099</v>
      </c>
      <c r="M75">
        <f t="shared" ca="1" si="5"/>
        <v>0.58557020649261193</v>
      </c>
      <c r="N75">
        <f t="shared" ca="1" si="6"/>
        <v>0</v>
      </c>
      <c r="O75" s="47">
        <f t="shared" ca="1" si="7"/>
        <v>0</v>
      </c>
      <c r="P75">
        <f ca="1">Inputs!B14+(Inputs!D14-Inputs!B14)*BETAINV(RAND(),Model!H8,Model!I8)</f>
        <v>0.25348142108818084</v>
      </c>
      <c r="Q75">
        <f ca="1">Inputs!E14+(Inputs!G14-Inputs!E14)*BETAINV(RAND(),Model!J8,Model!K8)</f>
        <v>0.78862719688739125</v>
      </c>
      <c r="R75">
        <f ca="1">(Inputs!H14+(Inputs!J14-Inputs!H14)*BETAINV(RAND(),Model!L8,Model!M8))*Inputs!$C$6</f>
        <v>191593.89701355327</v>
      </c>
      <c r="S75">
        <f t="shared" ca="1" si="8"/>
        <v>0.19990234257580453</v>
      </c>
      <c r="T75">
        <f t="shared" ca="1" si="9"/>
        <v>1.6769672228704513E-2</v>
      </c>
      <c r="U75">
        <f t="shared" ca="1" si="10"/>
        <v>0</v>
      </c>
      <c r="V75" s="47">
        <f t="shared" ca="1" si="11"/>
        <v>0</v>
      </c>
      <c r="W75">
        <f ca="1">Inputs!B15+(Inputs!D15-Inputs!B15)*BETAINV(RAND(),Model!H9,Model!I9)</f>
        <v>0.94517715758224563</v>
      </c>
      <c r="X75">
        <f ca="1">Inputs!E15+(Inputs!G15-Inputs!E15)*BETAINV(RAND(),Model!J9,Model!K9)</f>
        <v>0.42408820949742643</v>
      </c>
      <c r="Y75">
        <f ca="1">(Inputs!H15+(Inputs!J15-Inputs!H15)*BETAINV(RAND(),Model!L9,Model!M9))*Inputs!$C$6</f>
        <v>48309.153542209162</v>
      </c>
      <c r="Z75">
        <f t="shared" ca="1" si="12"/>
        <v>0.40083848841692143</v>
      </c>
      <c r="AA75">
        <f t="shared" ca="1" si="13"/>
        <v>0.72454738971205257</v>
      </c>
      <c r="AB75">
        <f t="shared" ca="1" si="14"/>
        <v>1</v>
      </c>
      <c r="AC75" s="47">
        <f t="shared" ca="1" si="15"/>
        <v>48309.153542209162</v>
      </c>
      <c r="AD75">
        <f ca="1">Inputs!B16+(Inputs!D16-Inputs!B16)*BETAINV(RAND(),Model!H10,Model!I10)</f>
        <v>0.34051499030894689</v>
      </c>
      <c r="AE75">
        <f ca="1">Inputs!E16+(Inputs!G16-Inputs!E16)*BETAINV(RAND(),Model!J10,Model!K10)</f>
        <v>0.44090802662710882</v>
      </c>
      <c r="AF75">
        <f ca="1">(Inputs!H16+(Inputs!J16-Inputs!H16)*BETAINV(RAND(),Model!L10,Model!M10))*Inputs!$C$6</f>
        <v>38023.929594830988</v>
      </c>
      <c r="AG75">
        <f t="shared" ca="1" si="16"/>
        <v>0.15013579241406685</v>
      </c>
      <c r="AH75">
        <f t="shared" ca="1" si="17"/>
        <v>0.30233286209866694</v>
      </c>
      <c r="AI75">
        <f t="shared" ca="1" si="18"/>
        <v>0</v>
      </c>
      <c r="AJ75" s="47">
        <f t="shared" ca="1" si="19"/>
        <v>0</v>
      </c>
      <c r="AK75">
        <f t="shared" ca="1" si="20"/>
        <v>60593.706008204317</v>
      </c>
    </row>
    <row r="76" spans="2:37" x14ac:dyDescent="0.2">
      <c r="B76">
        <f ca="1">Inputs!B12+(Inputs!D12-Inputs!B12)*BETAINV(RAND(),Model!H6,Model!I6)</f>
        <v>2.3433014566259098</v>
      </c>
      <c r="C76">
        <f ca="1">Inputs!E12+(Inputs!G12-Inputs!E12)*BETAINV(RAND(),Model!J6,Model!K6)</f>
        <v>0.41744694588264075</v>
      </c>
      <c r="D76">
        <f ca="1">(Inputs!H12+(Inputs!J12-Inputs!H12)*BETAINV(RAND(),Model!L6,Model!M6))*Inputs!$C$6</f>
        <v>26969.987639348623</v>
      </c>
      <c r="E76">
        <f t="shared" ref="E76:E139" ca="1" si="21">B76*C76</f>
        <v>0.97820403635082942</v>
      </c>
      <c r="F76">
        <f t="shared" ref="F76:F139" ca="1" si="22">RAND()</f>
        <v>0.55672430166555187</v>
      </c>
      <c r="G76">
        <f t="shared" ref="G76:G139" ca="1" si="23">IF(F76&lt;EXP(-E76),0,IF(F76&lt;EXP(-E76)*(1+E76),1,IF(F76&lt;EXP(-E76)*(1+E76+E76^2/2),2,IF(F76&lt;EXP(-E76)*(1+E76+E76^2/2+E76^3/6),3,4))))</f>
        <v>1</v>
      </c>
      <c r="H76" s="47">
        <f t="shared" ref="H76:H139" ca="1" si="24">G76*D76</f>
        <v>26969.987639348623</v>
      </c>
      <c r="I76">
        <f ca="1">Inputs!B13+(Inputs!D13-Inputs!B13)*BETAINV(RAND(),Model!H7,Model!I7)</f>
        <v>1.0468560697767493</v>
      </c>
      <c r="J76">
        <f ca="1">Inputs!E13+(Inputs!G13-Inputs!E13)*BETAINV(RAND(),Model!J7,Model!K7)</f>
        <v>0.22755018746006733</v>
      </c>
      <c r="K76">
        <f ca="1">(Inputs!H13+(Inputs!J13-Inputs!H13)*BETAINV(RAND(),Model!L7,Model!M7))*Inputs!$C$6</f>
        <v>23222.860072689891</v>
      </c>
      <c r="L76">
        <f t="shared" ref="L76:L139" ca="1" si="25">I76*J76</f>
        <v>0.23821229492140863</v>
      </c>
      <c r="M76">
        <f t="shared" ref="M76:M139" ca="1" si="26">RAND()</f>
        <v>0.99512784730919679</v>
      </c>
      <c r="N76">
        <f t="shared" ref="N76:N139" ca="1" si="27">IF(M76&lt;EXP(-L76),0,IF(M76&lt;EXP(-L76)*(1+L76),1,IF(M76&lt;EXP(-L76)*(1+L76+L76^2/2),2,IF(M76&lt;EXP(-L76)*(1+L76+L76^2/2+L76^3/6),3,4))))</f>
        <v>2</v>
      </c>
      <c r="O76" s="47">
        <f t="shared" ref="O76:O139" ca="1" si="28">N76*K76</f>
        <v>46445.720145379782</v>
      </c>
      <c r="P76">
        <f ca="1">Inputs!B14+(Inputs!D14-Inputs!B14)*BETAINV(RAND(),Model!H8,Model!I8)</f>
        <v>0.13393053071903802</v>
      </c>
      <c r="Q76">
        <f ca="1">Inputs!E14+(Inputs!G14-Inputs!E14)*BETAINV(RAND(),Model!J8,Model!K8)</f>
        <v>0.43796681160362705</v>
      </c>
      <c r="R76">
        <f ca="1">(Inputs!H14+(Inputs!J14-Inputs!H14)*BETAINV(RAND(),Model!L8,Model!M8))*Inputs!$C$6</f>
        <v>383973.99356403667</v>
      </c>
      <c r="S76">
        <f t="shared" ref="S76:S139" ca="1" si="29">P76*Q76</f>
        <v>5.8657127515398706E-2</v>
      </c>
      <c r="T76">
        <f t="shared" ref="T76:T139" ca="1" si="30">RAND()</f>
        <v>0.40437031785476762</v>
      </c>
      <c r="U76">
        <f t="shared" ref="U76:U139" ca="1" si="31">IF(T76&lt;EXP(-S76),0,IF(T76&lt;EXP(-S76)*(1+S76),1,IF(T76&lt;EXP(-S76)*(1+S76+S76^2/2),2,IF(T76&lt;EXP(-S76)*(1+S76+S76^2/2+S76^3/6),3,4))))</f>
        <v>0</v>
      </c>
      <c r="V76" s="47">
        <f t="shared" ref="V76:V139" ca="1" si="32">U76*R76</f>
        <v>0</v>
      </c>
      <c r="W76">
        <f ca="1">Inputs!B15+(Inputs!D15-Inputs!B15)*BETAINV(RAND(),Model!H9,Model!I9)</f>
        <v>0.50636701547929819</v>
      </c>
      <c r="X76">
        <f ca="1">Inputs!E15+(Inputs!G15-Inputs!E15)*BETAINV(RAND(),Model!J9,Model!K9)</f>
        <v>0.37483907483084222</v>
      </c>
      <c r="Y76">
        <f ca="1">(Inputs!H15+(Inputs!J15-Inputs!H15)*BETAINV(RAND(),Model!L9,Model!M9))*Inputs!$C$6</f>
        <v>52706.139664138922</v>
      </c>
      <c r="Z76">
        <f t="shared" ref="Z76:Z139" ca="1" si="33">W76*X76</f>
        <v>0.1898061436071149</v>
      </c>
      <c r="AA76">
        <f t="shared" ref="AA76:AA139" ca="1" si="34">RAND()</f>
        <v>0.94615091608382007</v>
      </c>
      <c r="AB76">
        <f t="shared" ref="AB76:AB139" ca="1" si="35">IF(AA76&lt;EXP(-Z76),0,IF(AA76&lt;EXP(-Z76)*(1+Z76),1,IF(AA76&lt;EXP(-Z76)*(1+Z76+Z76^2/2),2,IF(AA76&lt;EXP(-Z76)*(1+Z76+Z76^2/2+Z76^3/6),3,4))))</f>
        <v>1</v>
      </c>
      <c r="AC76" s="47">
        <f t="shared" ref="AC76:AC139" ca="1" si="36">AB76*Y76</f>
        <v>52706.139664138922</v>
      </c>
      <c r="AD76">
        <f ca="1">Inputs!B16+(Inputs!D16-Inputs!B16)*BETAINV(RAND(),Model!H10,Model!I10)</f>
        <v>0.8377406089936601</v>
      </c>
      <c r="AE76">
        <f ca="1">Inputs!E16+(Inputs!G16-Inputs!E16)*BETAINV(RAND(),Model!J10,Model!K10)</f>
        <v>0.58853072571928</v>
      </c>
      <c r="AF76">
        <f ca="1">(Inputs!H16+(Inputs!J16-Inputs!H16)*BETAINV(RAND(),Model!L10,Model!M10))*Inputs!$C$6</f>
        <v>44790.560506476621</v>
      </c>
      <c r="AG76">
        <f t="shared" ref="AG76:AG139" ca="1" si="37">AD76*AE76</f>
        <v>0.49303608857555037</v>
      </c>
      <c r="AH76">
        <f t="shared" ref="AH76:AH139" ca="1" si="38">RAND()</f>
        <v>8.4359687493179458E-2</v>
      </c>
      <c r="AI76">
        <f t="shared" ref="AI76:AI139" ca="1" si="39">IF(AH76&lt;EXP(-AG76),0,IF(AH76&lt;EXP(-AG76)*(1+AG76),1,IF(AH76&lt;EXP(-AG76)*(1+AG76+AG76^2/2),2,IF(AH76&lt;EXP(-AG76)*(1+AG76+AG76^2/2+AG76^3/6),3,4))))</f>
        <v>0</v>
      </c>
      <c r="AJ76" s="47">
        <f t="shared" ref="AJ76:AJ139" ca="1" si="40">AI76*AF76</f>
        <v>0</v>
      </c>
      <c r="AK76">
        <f t="shared" ref="AK76:AK139" ca="1" si="41">H76+O76+V76+AC76+AJ76</f>
        <v>126121.84744886734</v>
      </c>
    </row>
    <row r="77" spans="2:37" x14ac:dyDescent="0.2">
      <c r="B77">
        <f ca="1">Inputs!B12+(Inputs!D12-Inputs!B12)*BETAINV(RAND(),Model!H6,Model!I6)</f>
        <v>5.7015193099195631</v>
      </c>
      <c r="C77">
        <f ca="1">Inputs!E12+(Inputs!G12-Inputs!E12)*BETAINV(RAND(),Model!J6,Model!K6)</f>
        <v>0.27918408784007415</v>
      </c>
      <c r="D77">
        <f ca="1">(Inputs!H12+(Inputs!J12-Inputs!H12)*BETAINV(RAND(),Model!L6,Model!M6))*Inputs!$C$6</f>
        <v>34631.852088467713</v>
      </c>
      <c r="E77">
        <f t="shared" ca="1" si="21"/>
        <v>1.5917734678424622</v>
      </c>
      <c r="F77">
        <f t="shared" ca="1" si="22"/>
        <v>0.97174629945478608</v>
      </c>
      <c r="G77">
        <f t="shared" ca="1" si="23"/>
        <v>4</v>
      </c>
      <c r="H77" s="47">
        <f t="shared" ca="1" si="24"/>
        <v>138527.40835387085</v>
      </c>
      <c r="I77">
        <f ca="1">Inputs!B13+(Inputs!D13-Inputs!B13)*BETAINV(RAND(),Model!H7,Model!I7)</f>
        <v>2.465299483766922</v>
      </c>
      <c r="J77">
        <f ca="1">Inputs!E13+(Inputs!G13-Inputs!E13)*BETAINV(RAND(),Model!J7,Model!K7)</f>
        <v>0.3307478668198649</v>
      </c>
      <c r="K77">
        <f ca="1">(Inputs!H13+(Inputs!J13-Inputs!H13)*BETAINV(RAND(),Model!L7,Model!M7))*Inputs!$C$6</f>
        <v>54566.718030553617</v>
      </c>
      <c r="L77">
        <f t="shared" ca="1" si="25"/>
        <v>0.81539254532802363</v>
      </c>
      <c r="M77">
        <f t="shared" ca="1" si="26"/>
        <v>0.59557568910816017</v>
      </c>
      <c r="N77">
        <f t="shared" ca="1" si="27"/>
        <v>1</v>
      </c>
      <c r="O77" s="47">
        <f t="shared" ca="1" si="28"/>
        <v>54566.718030553617</v>
      </c>
      <c r="P77">
        <f ca="1">Inputs!B14+(Inputs!D14-Inputs!B14)*BETAINV(RAND(),Model!H8,Model!I8)</f>
        <v>0.32949544237595507</v>
      </c>
      <c r="Q77">
        <f ca="1">Inputs!E14+(Inputs!G14-Inputs!E14)*BETAINV(RAND(),Model!J8,Model!K8)</f>
        <v>0.684142562575621</v>
      </c>
      <c r="R77">
        <f ca="1">(Inputs!H14+(Inputs!J14-Inputs!H14)*BETAINV(RAND(),Model!L8,Model!M8))*Inputs!$C$6</f>
        <v>201945.55618137063</v>
      </c>
      <c r="S77">
        <f t="shared" ca="1" si="29"/>
        <v>0.22542185630407377</v>
      </c>
      <c r="T77">
        <f t="shared" ca="1" si="30"/>
        <v>0.63042868687479681</v>
      </c>
      <c r="U77">
        <f t="shared" ca="1" si="31"/>
        <v>0</v>
      </c>
      <c r="V77" s="47">
        <f t="shared" ca="1" si="32"/>
        <v>0</v>
      </c>
      <c r="W77">
        <f ca="1">Inputs!B15+(Inputs!D15-Inputs!B15)*BETAINV(RAND(),Model!H9,Model!I9)</f>
        <v>1.8017009510724875</v>
      </c>
      <c r="X77">
        <f ca="1">Inputs!E15+(Inputs!G15-Inputs!E15)*BETAINV(RAND(),Model!J9,Model!K9)</f>
        <v>0.33326618274403086</v>
      </c>
      <c r="Y77">
        <f ca="1">(Inputs!H15+(Inputs!J15-Inputs!H15)*BETAINV(RAND(),Model!L9,Model!M9))*Inputs!$C$6</f>
        <v>22457.606723641289</v>
      </c>
      <c r="Z77">
        <f t="shared" ca="1" si="33"/>
        <v>0.60044599841021784</v>
      </c>
      <c r="AA77">
        <f t="shared" ca="1" si="34"/>
        <v>0.99411969948991619</v>
      </c>
      <c r="AB77">
        <f t="shared" ca="1" si="35"/>
        <v>3</v>
      </c>
      <c r="AC77" s="47">
        <f t="shared" ca="1" si="36"/>
        <v>67372.820170923864</v>
      </c>
      <c r="AD77">
        <f ca="1">Inputs!B16+(Inputs!D16-Inputs!B16)*BETAINV(RAND(),Model!H10,Model!I10)</f>
        <v>0.99569302812580185</v>
      </c>
      <c r="AE77">
        <f ca="1">Inputs!E16+(Inputs!G16-Inputs!E16)*BETAINV(RAND(),Model!J10,Model!K10)</f>
        <v>0.65143965326195308</v>
      </c>
      <c r="AF77">
        <f ca="1">(Inputs!H16+(Inputs!J16-Inputs!H16)*BETAINV(RAND(),Model!L10,Model!M10))*Inputs!$C$6</f>
        <v>77473.750573575293</v>
      </c>
      <c r="AG77">
        <f t="shared" ca="1" si="37"/>
        <v>0.64863392099761641</v>
      </c>
      <c r="AH77">
        <f t="shared" ca="1" si="38"/>
        <v>0.19805787251768969</v>
      </c>
      <c r="AI77">
        <f t="shared" ca="1" si="39"/>
        <v>0</v>
      </c>
      <c r="AJ77" s="47">
        <f t="shared" ca="1" si="40"/>
        <v>0</v>
      </c>
      <c r="AK77">
        <f t="shared" ca="1" si="41"/>
        <v>260466.94655534832</v>
      </c>
    </row>
    <row r="78" spans="2:37" x14ac:dyDescent="0.2">
      <c r="B78">
        <f ca="1">Inputs!B12+(Inputs!D12-Inputs!B12)*BETAINV(RAND(),Model!H6,Model!I6)</f>
        <v>4.1088348161460306</v>
      </c>
      <c r="C78">
        <f ca="1">Inputs!E12+(Inputs!G12-Inputs!E12)*BETAINV(RAND(),Model!J6,Model!K6)</f>
        <v>0.3093941744763451</v>
      </c>
      <c r="D78">
        <f ca="1">(Inputs!H12+(Inputs!J12-Inputs!H12)*BETAINV(RAND(),Model!L6,Model!M6))*Inputs!$C$6</f>
        <v>35561.010882176619</v>
      </c>
      <c r="E78">
        <f t="shared" ca="1" si="21"/>
        <v>1.2712495560011663</v>
      </c>
      <c r="F78">
        <f t="shared" ca="1" si="22"/>
        <v>3.9876587439596656E-2</v>
      </c>
      <c r="G78">
        <f t="shared" ca="1" si="23"/>
        <v>0</v>
      </c>
      <c r="H78" s="47">
        <f t="shared" ca="1" si="24"/>
        <v>0</v>
      </c>
      <c r="I78">
        <f ca="1">Inputs!B13+(Inputs!D13-Inputs!B13)*BETAINV(RAND(),Model!H7,Model!I7)</f>
        <v>3.9659431214573897</v>
      </c>
      <c r="J78">
        <f ca="1">Inputs!E13+(Inputs!G13-Inputs!E13)*BETAINV(RAND(),Model!J7,Model!K7)</f>
        <v>0.24950552906680523</v>
      </c>
      <c r="K78">
        <f ca="1">(Inputs!H13+(Inputs!J13-Inputs!H13)*BETAINV(RAND(),Model!L7,Model!M7))*Inputs!$C$6</f>
        <v>13762.390576492435</v>
      </c>
      <c r="L78">
        <f t="shared" ca="1" si="25"/>
        <v>0.98952473676808306</v>
      </c>
      <c r="M78">
        <f t="shared" ca="1" si="26"/>
        <v>0.53830431578218008</v>
      </c>
      <c r="N78">
        <f t="shared" ca="1" si="27"/>
        <v>1</v>
      </c>
      <c r="O78" s="47">
        <f t="shared" ca="1" si="28"/>
        <v>13762.390576492435</v>
      </c>
      <c r="P78">
        <f ca="1">Inputs!B14+(Inputs!D14-Inputs!B14)*BETAINV(RAND(),Model!H8,Model!I8)</f>
        <v>0.38624626567454856</v>
      </c>
      <c r="Q78">
        <f ca="1">Inputs!E14+(Inputs!G14-Inputs!E14)*BETAINV(RAND(),Model!J8,Model!K8)</f>
        <v>0.49717687503943331</v>
      </c>
      <c r="R78">
        <f ca="1">(Inputs!H14+(Inputs!J14-Inputs!H14)*BETAINV(RAND(),Model!L8,Model!M8))*Inputs!$C$6</f>
        <v>492008.30605286994</v>
      </c>
      <c r="S78">
        <f t="shared" ca="1" si="29"/>
        <v>0.1920327113637228</v>
      </c>
      <c r="T78">
        <f t="shared" ca="1" si="30"/>
        <v>0.1323447986065962</v>
      </c>
      <c r="U78">
        <f t="shared" ca="1" si="31"/>
        <v>0</v>
      </c>
      <c r="V78" s="47">
        <f t="shared" ca="1" si="32"/>
        <v>0</v>
      </c>
      <c r="W78">
        <f ca="1">Inputs!B15+(Inputs!D15-Inputs!B15)*BETAINV(RAND(),Model!H9,Model!I9)</f>
        <v>0.47731260863689584</v>
      </c>
      <c r="X78">
        <f ca="1">Inputs!E15+(Inputs!G15-Inputs!E15)*BETAINV(RAND(),Model!J9,Model!K9)</f>
        <v>0.48460351839556731</v>
      </c>
      <c r="Y78">
        <f ca="1">(Inputs!H15+(Inputs!J15-Inputs!H15)*BETAINV(RAND(),Model!L9,Model!M9))*Inputs!$C$6</f>
        <v>24934.673111693621</v>
      </c>
      <c r="Z78">
        <f t="shared" ca="1" si="33"/>
        <v>0.23130736952000616</v>
      </c>
      <c r="AA78">
        <f t="shared" ca="1" si="34"/>
        <v>0.27894657016733959</v>
      </c>
      <c r="AB78">
        <f t="shared" ca="1" si="35"/>
        <v>0</v>
      </c>
      <c r="AC78" s="47">
        <f t="shared" ca="1" si="36"/>
        <v>0</v>
      </c>
      <c r="AD78">
        <f ca="1">Inputs!B16+(Inputs!D16-Inputs!B16)*BETAINV(RAND(),Model!H10,Model!I10)</f>
        <v>0.43737657959991066</v>
      </c>
      <c r="AE78">
        <f ca="1">Inputs!E16+(Inputs!G16-Inputs!E16)*BETAINV(RAND(),Model!J10,Model!K10)</f>
        <v>0.55934328245871967</v>
      </c>
      <c r="AF78">
        <f ca="1">(Inputs!H16+(Inputs!J16-Inputs!H16)*BETAINV(RAND(),Model!L10,Model!M10))*Inputs!$C$6</f>
        <v>61528.339045279186</v>
      </c>
      <c r="AG78">
        <f t="shared" ca="1" si="37"/>
        <v>0.24464365170398153</v>
      </c>
      <c r="AH78">
        <f t="shared" ca="1" si="38"/>
        <v>0.11279397602961616</v>
      </c>
      <c r="AI78">
        <f t="shared" ca="1" si="39"/>
        <v>0</v>
      </c>
      <c r="AJ78" s="47">
        <f t="shared" ca="1" si="40"/>
        <v>0</v>
      </c>
      <c r="AK78">
        <f t="shared" ca="1" si="41"/>
        <v>13762.390576492435</v>
      </c>
    </row>
    <row r="79" spans="2:37" x14ac:dyDescent="0.2">
      <c r="B79">
        <f ca="1">Inputs!B12+(Inputs!D12-Inputs!B12)*BETAINV(RAND(),Model!H6,Model!I6)</f>
        <v>5.1030780583813282</v>
      </c>
      <c r="C79">
        <f ca="1">Inputs!E12+(Inputs!G12-Inputs!E12)*BETAINV(RAND(),Model!J6,Model!K6)</f>
        <v>0.2534608904931685</v>
      </c>
      <c r="D79">
        <f ca="1">(Inputs!H12+(Inputs!J12-Inputs!H12)*BETAINV(RAND(),Model!L6,Model!M6))*Inputs!$C$6</f>
        <v>46574.32294866132</v>
      </c>
      <c r="E79">
        <f t="shared" ca="1" si="21"/>
        <v>1.2934307089334807</v>
      </c>
      <c r="F79">
        <f t="shared" ca="1" si="22"/>
        <v>0.59486879624654543</v>
      </c>
      <c r="G79">
        <f t="shared" ca="1" si="23"/>
        <v>1</v>
      </c>
      <c r="H79" s="47">
        <f t="shared" ca="1" si="24"/>
        <v>46574.32294866132</v>
      </c>
      <c r="I79">
        <f ca="1">Inputs!B13+(Inputs!D13-Inputs!B13)*BETAINV(RAND(),Model!H7,Model!I7)</f>
        <v>1.5315449287285425</v>
      </c>
      <c r="J79">
        <f ca="1">Inputs!E13+(Inputs!G13-Inputs!E13)*BETAINV(RAND(),Model!J7,Model!K7)</f>
        <v>0.14694426457815229</v>
      </c>
      <c r="K79">
        <f ca="1">(Inputs!H13+(Inputs!J13-Inputs!H13)*BETAINV(RAND(),Model!L7,Model!M7))*Inputs!$C$6</f>
        <v>28743.874100451318</v>
      </c>
      <c r="L79">
        <f t="shared" ca="1" si="25"/>
        <v>0.22505174322041435</v>
      </c>
      <c r="M79">
        <f t="shared" ca="1" si="26"/>
        <v>0.59212787796148014</v>
      </c>
      <c r="N79">
        <f t="shared" ca="1" si="27"/>
        <v>0</v>
      </c>
      <c r="O79" s="47">
        <f t="shared" ca="1" si="28"/>
        <v>0</v>
      </c>
      <c r="P79">
        <f ca="1">Inputs!B14+(Inputs!D14-Inputs!B14)*BETAINV(RAND(),Model!H8,Model!I8)</f>
        <v>0.45142165119708566</v>
      </c>
      <c r="Q79">
        <f ca="1">Inputs!E14+(Inputs!G14-Inputs!E14)*BETAINV(RAND(),Model!J8,Model!K8)</f>
        <v>0.79873619666040696</v>
      </c>
      <c r="R79">
        <f ca="1">(Inputs!H14+(Inputs!J14-Inputs!H14)*BETAINV(RAND(),Model!L8,Model!M8))*Inputs!$C$6</f>
        <v>205370.21142534394</v>
      </c>
      <c r="S79">
        <f t="shared" ca="1" si="29"/>
        <v>0.36056681276732105</v>
      </c>
      <c r="T79">
        <f t="shared" ca="1" si="30"/>
        <v>0.87960089626465976</v>
      </c>
      <c r="U79">
        <f t="shared" ca="1" si="31"/>
        <v>1</v>
      </c>
      <c r="V79" s="47">
        <f t="shared" ca="1" si="32"/>
        <v>205370.21142534394</v>
      </c>
      <c r="W79">
        <f ca="1">Inputs!B15+(Inputs!D15-Inputs!B15)*BETAINV(RAND(),Model!H9,Model!I9)</f>
        <v>1.9262795219358027</v>
      </c>
      <c r="X79">
        <f ca="1">Inputs!E15+(Inputs!G15-Inputs!E15)*BETAINV(RAND(),Model!J9,Model!K9)</f>
        <v>0.37338240127553368</v>
      </c>
      <c r="Y79">
        <f ca="1">(Inputs!H15+(Inputs!J15-Inputs!H15)*BETAINV(RAND(),Model!L9,Model!M9))*Inputs!$C$6</f>
        <v>43530.583325189524</v>
      </c>
      <c r="Z79">
        <f t="shared" ca="1" si="33"/>
        <v>0.71923887342827708</v>
      </c>
      <c r="AA79">
        <f t="shared" ca="1" si="34"/>
        <v>0.90565462240728356</v>
      </c>
      <c r="AB79">
        <f t="shared" ca="1" si="35"/>
        <v>2</v>
      </c>
      <c r="AC79" s="47">
        <f t="shared" ca="1" si="36"/>
        <v>87061.166650379047</v>
      </c>
      <c r="AD79">
        <f ca="1">Inputs!B16+(Inputs!D16-Inputs!B16)*BETAINV(RAND(),Model!H10,Model!I10)</f>
        <v>1.015620477403242</v>
      </c>
      <c r="AE79">
        <f ca="1">Inputs!E16+(Inputs!G16-Inputs!E16)*BETAINV(RAND(),Model!J10,Model!K10)</f>
        <v>0.65809074829325254</v>
      </c>
      <c r="AF79">
        <f ca="1">(Inputs!H16+(Inputs!J16-Inputs!H16)*BETAINV(RAND(),Model!L10,Model!M10))*Inputs!$C$6</f>
        <v>156342.46828523182</v>
      </c>
      <c r="AG79">
        <f t="shared" ca="1" si="37"/>
        <v>0.6683704399562499</v>
      </c>
      <c r="AH79">
        <f t="shared" ca="1" si="38"/>
        <v>0.73020535143552256</v>
      </c>
      <c r="AI79">
        <f t="shared" ca="1" si="39"/>
        <v>1</v>
      </c>
      <c r="AJ79" s="47">
        <f t="shared" ca="1" si="40"/>
        <v>156342.46828523182</v>
      </c>
      <c r="AK79">
        <f t="shared" ca="1" si="41"/>
        <v>495348.16930961609</v>
      </c>
    </row>
    <row r="80" spans="2:37" x14ac:dyDescent="0.2">
      <c r="B80">
        <f ca="1">Inputs!B12+(Inputs!D12-Inputs!B12)*BETAINV(RAND(),Model!H6,Model!I6)</f>
        <v>4.4588669992817493</v>
      </c>
      <c r="C80">
        <f ca="1">Inputs!E12+(Inputs!G12-Inputs!E12)*BETAINV(RAND(),Model!J6,Model!K6)</f>
        <v>0.19007727827304474</v>
      </c>
      <c r="D80">
        <f ca="1">(Inputs!H12+(Inputs!J12-Inputs!H12)*BETAINV(RAND(),Model!L6,Model!M6))*Inputs!$C$6</f>
        <v>37639.251942254785</v>
      </c>
      <c r="E80">
        <f t="shared" ca="1" si="21"/>
        <v>0.84752930340497301</v>
      </c>
      <c r="F80">
        <f t="shared" ca="1" si="22"/>
        <v>0.39635804141061182</v>
      </c>
      <c r="G80">
        <f t="shared" ca="1" si="23"/>
        <v>0</v>
      </c>
      <c r="H80" s="47">
        <f t="shared" ca="1" si="24"/>
        <v>0</v>
      </c>
      <c r="I80">
        <f ca="1">Inputs!B13+(Inputs!D13-Inputs!B13)*BETAINV(RAND(),Model!H7,Model!I7)</f>
        <v>1.1860294319634184</v>
      </c>
      <c r="J80">
        <f ca="1">Inputs!E13+(Inputs!G13-Inputs!E13)*BETAINV(RAND(),Model!J7,Model!K7)</f>
        <v>0.26509028095665943</v>
      </c>
      <c r="K80">
        <f ca="1">(Inputs!H13+(Inputs!J13-Inputs!H13)*BETAINV(RAND(),Model!L7,Model!M7))*Inputs!$C$6</f>
        <v>27001.173873607022</v>
      </c>
      <c r="L80">
        <f t="shared" ca="1" si="25"/>
        <v>0.31440487534204975</v>
      </c>
      <c r="M80">
        <f t="shared" ca="1" si="26"/>
        <v>0.4062477527269901</v>
      </c>
      <c r="N80">
        <f t="shared" ca="1" si="27"/>
        <v>0</v>
      </c>
      <c r="O80" s="47">
        <f t="shared" ca="1" si="28"/>
        <v>0</v>
      </c>
      <c r="P80">
        <f ca="1">Inputs!B14+(Inputs!D14-Inputs!B14)*BETAINV(RAND(),Model!H8,Model!I8)</f>
        <v>0.49071575639638654</v>
      </c>
      <c r="Q80">
        <f ca="1">Inputs!E14+(Inputs!G14-Inputs!E14)*BETAINV(RAND(),Model!J8,Model!K8)</f>
        <v>0.54602847068773697</v>
      </c>
      <c r="R80">
        <f ca="1">(Inputs!H14+(Inputs!J14-Inputs!H14)*BETAINV(RAND(),Model!L8,Model!M8))*Inputs!$C$6</f>
        <v>403703.84609237616</v>
      </c>
      <c r="S80">
        <f t="shared" ca="1" si="29"/>
        <v>0.267944774007495</v>
      </c>
      <c r="T80">
        <f t="shared" ca="1" si="30"/>
        <v>0.91979123608493329</v>
      </c>
      <c r="U80">
        <f t="shared" ca="1" si="31"/>
        <v>1</v>
      </c>
      <c r="V80" s="47">
        <f t="shared" ca="1" si="32"/>
        <v>403703.84609237616</v>
      </c>
      <c r="W80">
        <f ca="1">Inputs!B15+(Inputs!D15-Inputs!B15)*BETAINV(RAND(),Model!H9,Model!I9)</f>
        <v>1.9420686034322188</v>
      </c>
      <c r="X80">
        <f ca="1">Inputs!E15+(Inputs!G15-Inputs!E15)*BETAINV(RAND(),Model!J9,Model!K9)</f>
        <v>0.55795315597451633</v>
      </c>
      <c r="Y80">
        <f ca="1">(Inputs!H15+(Inputs!J15-Inputs!H15)*BETAINV(RAND(),Model!L9,Model!M9))*Inputs!$C$6</f>
        <v>13005.719777328022</v>
      </c>
      <c r="Z80">
        <f t="shared" ca="1" si="33"/>
        <v>1.0835833064040279</v>
      </c>
      <c r="AA80">
        <f t="shared" ca="1" si="34"/>
        <v>0.30134063981482806</v>
      </c>
      <c r="AB80">
        <f t="shared" ca="1" si="35"/>
        <v>0</v>
      </c>
      <c r="AC80" s="47">
        <f t="shared" ca="1" si="36"/>
        <v>0</v>
      </c>
      <c r="AD80">
        <f ca="1">Inputs!B16+(Inputs!D16-Inputs!B16)*BETAINV(RAND(),Model!H10,Model!I10)</f>
        <v>0.68779507315048516</v>
      </c>
      <c r="AE80">
        <f ca="1">Inputs!E16+(Inputs!G16-Inputs!E16)*BETAINV(RAND(),Model!J10,Model!K10)</f>
        <v>0.65210255146986063</v>
      </c>
      <c r="AF80">
        <f ca="1">(Inputs!H16+(Inputs!J16-Inputs!H16)*BETAINV(RAND(),Model!L10,Model!M10))*Inputs!$C$6</f>
        <v>70612.799965225553</v>
      </c>
      <c r="AG80">
        <f t="shared" ca="1" si="37"/>
        <v>0.44851292208983079</v>
      </c>
      <c r="AH80">
        <f t="shared" ca="1" si="38"/>
        <v>0.37485818951560901</v>
      </c>
      <c r="AI80">
        <f t="shared" ca="1" si="39"/>
        <v>0</v>
      </c>
      <c r="AJ80" s="47">
        <f t="shared" ca="1" si="40"/>
        <v>0</v>
      </c>
      <c r="AK80">
        <f t="shared" ca="1" si="41"/>
        <v>403703.84609237616</v>
      </c>
    </row>
    <row r="81" spans="2:37" x14ac:dyDescent="0.2">
      <c r="B81">
        <f ca="1">Inputs!B12+(Inputs!D12-Inputs!B12)*BETAINV(RAND(),Model!H6,Model!I6)</f>
        <v>4.817895662923295</v>
      </c>
      <c r="C81">
        <f ca="1">Inputs!E12+(Inputs!G12-Inputs!E12)*BETAINV(RAND(),Model!J6,Model!K6)</f>
        <v>0.41125125033600762</v>
      </c>
      <c r="D81">
        <f ca="1">(Inputs!H12+(Inputs!J12-Inputs!H12)*BETAINV(RAND(),Model!L6,Model!M6))*Inputs!$C$6</f>
        <v>27976.02630679241</v>
      </c>
      <c r="E81">
        <f t="shared" ca="1" si="21"/>
        <v>1.9813656153656334</v>
      </c>
      <c r="F81">
        <f t="shared" ca="1" si="22"/>
        <v>0.77406432916949652</v>
      </c>
      <c r="G81">
        <f t="shared" ca="1" si="23"/>
        <v>3</v>
      </c>
      <c r="H81" s="47">
        <f t="shared" ca="1" si="24"/>
        <v>83928.078920377229</v>
      </c>
      <c r="I81">
        <f ca="1">Inputs!B13+(Inputs!D13-Inputs!B13)*BETAINV(RAND(),Model!H7,Model!I7)</f>
        <v>1.229837883589477</v>
      </c>
      <c r="J81">
        <f ca="1">Inputs!E13+(Inputs!G13-Inputs!E13)*BETAINV(RAND(),Model!J7,Model!K7)</f>
        <v>0.32697867739752634</v>
      </c>
      <c r="K81">
        <f ca="1">(Inputs!H13+(Inputs!J13-Inputs!H13)*BETAINV(RAND(),Model!L7,Model!M7))*Inputs!$C$6</f>
        <v>62378.896778835762</v>
      </c>
      <c r="L81">
        <f t="shared" ca="1" si="25"/>
        <v>0.40213076458946018</v>
      </c>
      <c r="M81">
        <f t="shared" ca="1" si="26"/>
        <v>0.87391578594928976</v>
      </c>
      <c r="N81">
        <f t="shared" ca="1" si="27"/>
        <v>1</v>
      </c>
      <c r="O81" s="47">
        <f t="shared" ca="1" si="28"/>
        <v>62378.896778835762</v>
      </c>
      <c r="P81">
        <f ca="1">Inputs!B14+(Inputs!D14-Inputs!B14)*BETAINV(RAND(),Model!H8,Model!I8)</f>
        <v>0.52844232149582071</v>
      </c>
      <c r="Q81">
        <f ca="1">Inputs!E14+(Inputs!G14-Inputs!E14)*BETAINV(RAND(),Model!J8,Model!K8)</f>
        <v>0.49867054986300785</v>
      </c>
      <c r="R81">
        <f ca="1">(Inputs!H14+(Inputs!J14-Inputs!H14)*BETAINV(RAND(),Model!L8,Model!M8))*Inputs!$C$6</f>
        <v>498549.90289082471</v>
      </c>
      <c r="S81">
        <f t="shared" ca="1" si="29"/>
        <v>0.26351862303120527</v>
      </c>
      <c r="T81">
        <f t="shared" ca="1" si="30"/>
        <v>0.45561297845930593</v>
      </c>
      <c r="U81">
        <f t="shared" ca="1" si="31"/>
        <v>0</v>
      </c>
      <c r="V81" s="47">
        <f t="shared" ca="1" si="32"/>
        <v>0</v>
      </c>
      <c r="W81">
        <f ca="1">Inputs!B15+(Inputs!D15-Inputs!B15)*BETAINV(RAND(),Model!H9,Model!I9)</f>
        <v>1.2845109439744589</v>
      </c>
      <c r="X81">
        <f ca="1">Inputs!E15+(Inputs!G15-Inputs!E15)*BETAINV(RAND(),Model!J9,Model!K9)</f>
        <v>0.45519397196758887</v>
      </c>
      <c r="Y81">
        <f ca="1">(Inputs!H15+(Inputs!J15-Inputs!H15)*BETAINV(RAND(),Model!L9,Model!M9))*Inputs!$C$6</f>
        <v>39749.707235094174</v>
      </c>
      <c r="Z81">
        <f t="shared" ca="1" si="33"/>
        <v>0.58470163862357094</v>
      </c>
      <c r="AA81">
        <f t="shared" ca="1" si="34"/>
        <v>0.44557364353960627</v>
      </c>
      <c r="AB81">
        <f t="shared" ca="1" si="35"/>
        <v>0</v>
      </c>
      <c r="AC81" s="47">
        <f t="shared" ca="1" si="36"/>
        <v>0</v>
      </c>
      <c r="AD81">
        <f ca="1">Inputs!B16+(Inputs!D16-Inputs!B16)*BETAINV(RAND(),Model!H10,Model!I10)</f>
        <v>0.54953110171020692</v>
      </c>
      <c r="AE81">
        <f ca="1">Inputs!E16+(Inputs!G16-Inputs!E16)*BETAINV(RAND(),Model!J10,Model!K10)</f>
        <v>0.7492834449880923</v>
      </c>
      <c r="AF81">
        <f ca="1">(Inputs!H16+(Inputs!J16-Inputs!H16)*BETAINV(RAND(),Model!L10,Model!M10))*Inputs!$C$6</f>
        <v>44677.282105621402</v>
      </c>
      <c r="AG81">
        <f t="shared" ca="1" si="37"/>
        <v>0.41175455701752556</v>
      </c>
      <c r="AH81">
        <f t="shared" ca="1" si="38"/>
        <v>0.22805141904774218</v>
      </c>
      <c r="AI81">
        <f t="shared" ca="1" si="39"/>
        <v>0</v>
      </c>
      <c r="AJ81" s="47">
        <f t="shared" ca="1" si="40"/>
        <v>0</v>
      </c>
      <c r="AK81">
        <f t="shared" ca="1" si="41"/>
        <v>146306.97569921298</v>
      </c>
    </row>
    <row r="82" spans="2:37" x14ac:dyDescent="0.2">
      <c r="B82">
        <f ca="1">Inputs!B12+(Inputs!D12-Inputs!B12)*BETAINV(RAND(),Model!H6,Model!I6)</f>
        <v>1.6801264353633454</v>
      </c>
      <c r="C82">
        <f ca="1">Inputs!E12+(Inputs!G12-Inputs!E12)*BETAINV(RAND(),Model!J6,Model!K6)</f>
        <v>0.2356436211614486</v>
      </c>
      <c r="D82">
        <f ca="1">(Inputs!H12+(Inputs!J12-Inputs!H12)*BETAINV(RAND(),Model!L6,Model!M6))*Inputs!$C$6</f>
        <v>20091.987949617222</v>
      </c>
      <c r="E82">
        <f t="shared" ca="1" si="21"/>
        <v>0.39591107723809521</v>
      </c>
      <c r="F82">
        <f t="shared" ca="1" si="22"/>
        <v>0.51053479241720978</v>
      </c>
      <c r="G82">
        <f t="shared" ca="1" si="23"/>
        <v>0</v>
      </c>
      <c r="H82" s="47">
        <f t="shared" ca="1" si="24"/>
        <v>0</v>
      </c>
      <c r="I82">
        <f ca="1">Inputs!B13+(Inputs!D13-Inputs!B13)*BETAINV(RAND(),Model!H7,Model!I7)</f>
        <v>2.0642220468721471</v>
      </c>
      <c r="J82">
        <f ca="1">Inputs!E13+(Inputs!G13-Inputs!E13)*BETAINV(RAND(),Model!J7,Model!K7)</f>
        <v>0.2417969168227945</v>
      </c>
      <c r="K82">
        <f ca="1">(Inputs!H13+(Inputs!J13-Inputs!H13)*BETAINV(RAND(),Model!L7,Model!M7))*Inputs!$C$6</f>
        <v>77769.06772106803</v>
      </c>
      <c r="L82">
        <f t="shared" ca="1" si="25"/>
        <v>0.49912252657132317</v>
      </c>
      <c r="M82">
        <f t="shared" ca="1" si="26"/>
        <v>0.59704744572493962</v>
      </c>
      <c r="N82">
        <f t="shared" ca="1" si="27"/>
        <v>0</v>
      </c>
      <c r="O82" s="47">
        <f t="shared" ca="1" si="28"/>
        <v>0</v>
      </c>
      <c r="P82">
        <f ca="1">Inputs!B14+(Inputs!D14-Inputs!B14)*BETAINV(RAND(),Model!H8,Model!I8)</f>
        <v>0.12373902262914158</v>
      </c>
      <c r="Q82">
        <f ca="1">Inputs!E14+(Inputs!G14-Inputs!E14)*BETAINV(RAND(),Model!J8,Model!K8)</f>
        <v>0.52735704693748797</v>
      </c>
      <c r="R82">
        <f ca="1">(Inputs!H14+(Inputs!J14-Inputs!H14)*BETAINV(RAND(),Model!L8,Model!M8))*Inputs!$C$6</f>
        <v>491561.80031135364</v>
      </c>
      <c r="S82">
        <f t="shared" ca="1" si="29"/>
        <v>6.5254645564635103E-2</v>
      </c>
      <c r="T82">
        <f t="shared" ca="1" si="30"/>
        <v>0.94078811423498621</v>
      </c>
      <c r="U82">
        <f t="shared" ca="1" si="31"/>
        <v>1</v>
      </c>
      <c r="V82" s="47">
        <f t="shared" ca="1" si="32"/>
        <v>491561.80031135364</v>
      </c>
      <c r="W82">
        <f ca="1">Inputs!B15+(Inputs!D15-Inputs!B15)*BETAINV(RAND(),Model!H9,Model!I9)</f>
        <v>0.66674072377179194</v>
      </c>
      <c r="X82">
        <f ca="1">Inputs!E15+(Inputs!G15-Inputs!E15)*BETAINV(RAND(),Model!J9,Model!K9)</f>
        <v>0.39684333366612268</v>
      </c>
      <c r="Y82">
        <f ca="1">(Inputs!H15+(Inputs!J15-Inputs!H15)*BETAINV(RAND(),Model!L9,Model!M9))*Inputs!$C$6</f>
        <v>36378.215783076426</v>
      </c>
      <c r="Z82">
        <f t="shared" ca="1" si="33"/>
        <v>0.26459161151256139</v>
      </c>
      <c r="AA82">
        <f t="shared" ca="1" si="34"/>
        <v>0.9745435841381006</v>
      </c>
      <c r="AB82">
        <f t="shared" ca="1" si="35"/>
        <v>2</v>
      </c>
      <c r="AC82" s="47">
        <f t="shared" ca="1" si="36"/>
        <v>72756.431566152853</v>
      </c>
      <c r="AD82">
        <f ca="1">Inputs!B16+(Inputs!D16-Inputs!B16)*BETAINV(RAND(),Model!H10,Model!I10)</f>
        <v>1.3282288839179577</v>
      </c>
      <c r="AE82">
        <f ca="1">Inputs!E16+(Inputs!G16-Inputs!E16)*BETAINV(RAND(),Model!J10,Model!K10)</f>
        <v>0.49147048391295078</v>
      </c>
      <c r="AF82">
        <f ca="1">(Inputs!H16+(Inputs!J16-Inputs!H16)*BETAINV(RAND(),Model!L10,Model!M10))*Inputs!$C$6</f>
        <v>111620.91704132831</v>
      </c>
      <c r="AG82">
        <f t="shared" ca="1" si="37"/>
        <v>0.65278529232631721</v>
      </c>
      <c r="AH82">
        <f t="shared" ca="1" si="38"/>
        <v>0.76679452060115494</v>
      </c>
      <c r="AI82">
        <f t="shared" ca="1" si="39"/>
        <v>1</v>
      </c>
      <c r="AJ82" s="47">
        <f t="shared" ca="1" si="40"/>
        <v>111620.91704132831</v>
      </c>
      <c r="AK82">
        <f t="shared" ca="1" si="41"/>
        <v>675939.14891883475</v>
      </c>
    </row>
    <row r="83" spans="2:37" x14ac:dyDescent="0.2">
      <c r="B83">
        <f ca="1">Inputs!B12+(Inputs!D12-Inputs!B12)*BETAINV(RAND(),Model!H6,Model!I6)</f>
        <v>2.3707045825609336</v>
      </c>
      <c r="C83">
        <f ca="1">Inputs!E12+(Inputs!G12-Inputs!E12)*BETAINV(RAND(),Model!J6,Model!K6)</f>
        <v>0.3772733880331976</v>
      </c>
      <c r="D83">
        <f ca="1">(Inputs!H12+(Inputs!J12-Inputs!H12)*BETAINV(RAND(),Model!L6,Model!M6))*Inputs!$C$6</f>
        <v>17577.039367274014</v>
      </c>
      <c r="E83">
        <f t="shared" ca="1" si="21"/>
        <v>0.89440374988859084</v>
      </c>
      <c r="F83">
        <f t="shared" ca="1" si="22"/>
        <v>0.80657733515497321</v>
      </c>
      <c r="G83">
        <f t="shared" ca="1" si="23"/>
        <v>2</v>
      </c>
      <c r="H83" s="47">
        <f t="shared" ca="1" si="24"/>
        <v>35154.078734548028</v>
      </c>
      <c r="I83">
        <f ca="1">Inputs!B13+(Inputs!D13-Inputs!B13)*BETAINV(RAND(),Model!H7,Model!I7)</f>
        <v>1.6629884806988915</v>
      </c>
      <c r="J83">
        <f ca="1">Inputs!E13+(Inputs!G13-Inputs!E13)*BETAINV(RAND(),Model!J7,Model!K7)</f>
        <v>0.2581884063326042</v>
      </c>
      <c r="K83">
        <f ca="1">(Inputs!H13+(Inputs!J13-Inputs!H13)*BETAINV(RAND(),Model!L7,Model!M7))*Inputs!$C$6</f>
        <v>15427.018663395242</v>
      </c>
      <c r="L83">
        <f t="shared" ca="1" si="25"/>
        <v>0.42936434558112552</v>
      </c>
      <c r="M83">
        <f t="shared" ca="1" si="26"/>
        <v>0.83443934373995809</v>
      </c>
      <c r="N83">
        <f t="shared" ca="1" si="27"/>
        <v>1</v>
      </c>
      <c r="O83" s="47">
        <f t="shared" ca="1" si="28"/>
        <v>15427.018663395242</v>
      </c>
      <c r="P83">
        <f ca="1">Inputs!B14+(Inputs!D14-Inputs!B14)*BETAINV(RAND(),Model!H8,Model!I8)</f>
        <v>0.53703141701337576</v>
      </c>
      <c r="Q83">
        <f ca="1">Inputs!E14+(Inputs!G14-Inputs!E14)*BETAINV(RAND(),Model!J8,Model!K8)</f>
        <v>0.59323558299745183</v>
      </c>
      <c r="R83">
        <f ca="1">(Inputs!H14+(Inputs!J14-Inputs!H14)*BETAINV(RAND(),Model!L8,Model!M8))*Inputs!$C$6</f>
        <v>366437.83519512229</v>
      </c>
      <c r="S83">
        <f t="shared" ca="1" si="29"/>
        <v>0.31858614575987765</v>
      </c>
      <c r="T83">
        <f t="shared" ca="1" si="30"/>
        <v>0.37526834395539177</v>
      </c>
      <c r="U83">
        <f t="shared" ca="1" si="31"/>
        <v>0</v>
      </c>
      <c r="V83" s="47">
        <f t="shared" ca="1" si="32"/>
        <v>0</v>
      </c>
      <c r="W83">
        <f ca="1">Inputs!B15+(Inputs!D15-Inputs!B15)*BETAINV(RAND(),Model!H9,Model!I9)</f>
        <v>1.3199292168402583</v>
      </c>
      <c r="X83">
        <f ca="1">Inputs!E15+(Inputs!G15-Inputs!E15)*BETAINV(RAND(),Model!J9,Model!K9)</f>
        <v>0.48117493529129096</v>
      </c>
      <c r="Y83">
        <f ca="1">(Inputs!H15+(Inputs!J15-Inputs!H15)*BETAINV(RAND(),Model!L9,Model!M9))*Inputs!$C$6</f>
        <v>55772.700514370365</v>
      </c>
      <c r="Z83">
        <f t="shared" ca="1" si="33"/>
        <v>0.63511685550219565</v>
      </c>
      <c r="AA83">
        <f t="shared" ca="1" si="34"/>
        <v>1.6696382088824402E-3</v>
      </c>
      <c r="AB83">
        <f t="shared" ca="1" si="35"/>
        <v>0</v>
      </c>
      <c r="AC83" s="47">
        <f t="shared" ca="1" si="36"/>
        <v>0</v>
      </c>
      <c r="AD83">
        <f ca="1">Inputs!B16+(Inputs!D16-Inputs!B16)*BETAINV(RAND(),Model!H10,Model!I10)</f>
        <v>0.67724616967005402</v>
      </c>
      <c r="AE83">
        <f ca="1">Inputs!E16+(Inputs!G16-Inputs!E16)*BETAINV(RAND(),Model!J10,Model!K10)</f>
        <v>0.56902234613933822</v>
      </c>
      <c r="AF83">
        <f ca="1">(Inputs!H16+(Inputs!J16-Inputs!H16)*BETAINV(RAND(),Model!L10,Model!M10))*Inputs!$C$6</f>
        <v>84101.819160865518</v>
      </c>
      <c r="AG83">
        <f t="shared" ca="1" si="37"/>
        <v>0.38536820437953445</v>
      </c>
      <c r="AH83">
        <f t="shared" ca="1" si="38"/>
        <v>9.1517645493263577E-2</v>
      </c>
      <c r="AI83">
        <f t="shared" ca="1" si="39"/>
        <v>0</v>
      </c>
      <c r="AJ83" s="47">
        <f t="shared" ca="1" si="40"/>
        <v>0</v>
      </c>
      <c r="AK83">
        <f t="shared" ca="1" si="41"/>
        <v>50581.097397943267</v>
      </c>
    </row>
    <row r="84" spans="2:37" x14ac:dyDescent="0.2">
      <c r="B84">
        <f ca="1">Inputs!B12+(Inputs!D12-Inputs!B12)*BETAINV(RAND(),Model!H6,Model!I6)</f>
        <v>3.9475226946171209</v>
      </c>
      <c r="C84">
        <f ca="1">Inputs!E12+(Inputs!G12-Inputs!E12)*BETAINV(RAND(),Model!J6,Model!K6)</f>
        <v>0.48374971880582984</v>
      </c>
      <c r="D84">
        <f ca="1">(Inputs!H12+(Inputs!J12-Inputs!H12)*BETAINV(RAND(),Model!L6,Model!M6))*Inputs!$C$6</f>
        <v>26020.118284394863</v>
      </c>
      <c r="E84">
        <f t="shared" ca="1" si="21"/>
        <v>1.909612993500664</v>
      </c>
      <c r="F84">
        <f t="shared" ca="1" si="22"/>
        <v>0.35004755156354239</v>
      </c>
      <c r="G84">
        <f t="shared" ca="1" si="23"/>
        <v>1</v>
      </c>
      <c r="H84" s="47">
        <f t="shared" ca="1" si="24"/>
        <v>26020.118284394863</v>
      </c>
      <c r="I84">
        <f ca="1">Inputs!B13+(Inputs!D13-Inputs!B13)*BETAINV(RAND(),Model!H7,Model!I7)</f>
        <v>1.0219160266536687</v>
      </c>
      <c r="J84">
        <f ca="1">Inputs!E13+(Inputs!G13-Inputs!E13)*BETAINV(RAND(),Model!J7,Model!K7)</f>
        <v>0.22302558054119789</v>
      </c>
      <c r="K84">
        <f ca="1">(Inputs!H13+(Inputs!J13-Inputs!H13)*BETAINV(RAND(),Model!L7,Model!M7))*Inputs!$C$6</f>
        <v>31495.034810611513</v>
      </c>
      <c r="L84">
        <f t="shared" ca="1" si="25"/>
        <v>0.22791341510878871</v>
      </c>
      <c r="M84">
        <f t="shared" ca="1" si="26"/>
        <v>0.57126213254421765</v>
      </c>
      <c r="N84">
        <f t="shared" ca="1" si="27"/>
        <v>0</v>
      </c>
      <c r="O84" s="47">
        <f t="shared" ca="1" si="28"/>
        <v>0</v>
      </c>
      <c r="P84">
        <f ca="1">Inputs!B14+(Inputs!D14-Inputs!B14)*BETAINV(RAND(),Model!H8,Model!I8)</f>
        <v>0.17074247541246546</v>
      </c>
      <c r="Q84">
        <f ca="1">Inputs!E14+(Inputs!G14-Inputs!E14)*BETAINV(RAND(),Model!J8,Model!K8)</f>
        <v>0.73620770856183748</v>
      </c>
      <c r="R84">
        <f ca="1">(Inputs!H14+(Inputs!J14-Inputs!H14)*BETAINV(RAND(),Model!L8,Model!M8))*Inputs!$C$6</f>
        <v>569082.55566135806</v>
      </c>
      <c r="S84">
        <f t="shared" ca="1" si="29"/>
        <v>0.12570192657758708</v>
      </c>
      <c r="T84">
        <f t="shared" ca="1" si="30"/>
        <v>0.29457424569607726</v>
      </c>
      <c r="U84">
        <f t="shared" ca="1" si="31"/>
        <v>0</v>
      </c>
      <c r="V84" s="47">
        <f t="shared" ca="1" si="32"/>
        <v>0</v>
      </c>
      <c r="W84">
        <f ca="1">Inputs!B15+(Inputs!D15-Inputs!B15)*BETAINV(RAND(),Model!H9,Model!I9)</f>
        <v>1.160114021114572</v>
      </c>
      <c r="X84">
        <f ca="1">Inputs!E15+(Inputs!G15-Inputs!E15)*BETAINV(RAND(),Model!J9,Model!K9)</f>
        <v>0.34067945545971645</v>
      </c>
      <c r="Y84">
        <f ca="1">(Inputs!H15+(Inputs!J15-Inputs!H15)*BETAINV(RAND(),Model!L9,Model!M9))*Inputs!$C$6</f>
        <v>33061.760297042048</v>
      </c>
      <c r="Z84">
        <f t="shared" ca="1" si="33"/>
        <v>0.39522701298449436</v>
      </c>
      <c r="AA84">
        <f t="shared" ca="1" si="34"/>
        <v>0.27049490504948648</v>
      </c>
      <c r="AB84">
        <f t="shared" ca="1" si="35"/>
        <v>0</v>
      </c>
      <c r="AC84" s="47">
        <f t="shared" ca="1" si="36"/>
        <v>0</v>
      </c>
      <c r="AD84">
        <f ca="1">Inputs!B16+(Inputs!D16-Inputs!B16)*BETAINV(RAND(),Model!H10,Model!I10)</f>
        <v>1.1609705859793631</v>
      </c>
      <c r="AE84">
        <f ca="1">Inputs!E16+(Inputs!G16-Inputs!E16)*BETAINV(RAND(),Model!J10,Model!K10)</f>
        <v>0.55011519899896588</v>
      </c>
      <c r="AF84">
        <f ca="1">(Inputs!H16+(Inputs!J16-Inputs!H16)*BETAINV(RAND(),Model!L10,Model!M10))*Inputs!$C$6</f>
        <v>70990.773029014337</v>
      </c>
      <c r="AG84">
        <f t="shared" ca="1" si="37"/>
        <v>0.63866756493798338</v>
      </c>
      <c r="AH84">
        <f t="shared" ca="1" si="38"/>
        <v>0.3269432593776046</v>
      </c>
      <c r="AI84">
        <f t="shared" ca="1" si="39"/>
        <v>0</v>
      </c>
      <c r="AJ84" s="47">
        <f t="shared" ca="1" si="40"/>
        <v>0</v>
      </c>
      <c r="AK84">
        <f t="shared" ca="1" si="41"/>
        <v>26020.118284394863</v>
      </c>
    </row>
    <row r="85" spans="2:37" x14ac:dyDescent="0.2">
      <c r="B85">
        <f ca="1">Inputs!B12+(Inputs!D12-Inputs!B12)*BETAINV(RAND(),Model!H6,Model!I6)</f>
        <v>4.5225779169175144</v>
      </c>
      <c r="C85">
        <f ca="1">Inputs!E12+(Inputs!G12-Inputs!E12)*BETAINV(RAND(),Model!J6,Model!K6)</f>
        <v>0.39661919566890902</v>
      </c>
      <c r="D85">
        <f ca="1">(Inputs!H12+(Inputs!J12-Inputs!H12)*BETAINV(RAND(),Model!L6,Model!M6))*Inputs!$C$6</f>
        <v>43894.751362125877</v>
      </c>
      <c r="E85">
        <f t="shared" ca="1" si="21"/>
        <v>1.7937412157577945</v>
      </c>
      <c r="F85">
        <f t="shared" ca="1" si="22"/>
        <v>0.91904478129361777</v>
      </c>
      <c r="G85">
        <f t="shared" ca="1" si="23"/>
        <v>4</v>
      </c>
      <c r="H85" s="47">
        <f t="shared" ca="1" si="24"/>
        <v>175579.00544850351</v>
      </c>
      <c r="I85">
        <f ca="1">Inputs!B13+(Inputs!D13-Inputs!B13)*BETAINV(RAND(),Model!H7,Model!I7)</f>
        <v>3.3138536174000013</v>
      </c>
      <c r="J85">
        <f ca="1">Inputs!E13+(Inputs!G13-Inputs!E13)*BETAINV(RAND(),Model!J7,Model!K7)</f>
        <v>0.4011967392910335</v>
      </c>
      <c r="K85">
        <f ca="1">(Inputs!H13+(Inputs!J13-Inputs!H13)*BETAINV(RAND(),Model!L7,Model!M7))*Inputs!$C$6</f>
        <v>65146.882986181743</v>
      </c>
      <c r="L85">
        <f t="shared" ca="1" si="25"/>
        <v>1.3295072657886766</v>
      </c>
      <c r="M85">
        <f t="shared" ca="1" si="26"/>
        <v>0.64884871792469279</v>
      </c>
      <c r="N85">
        <f t="shared" ca="1" si="27"/>
        <v>2</v>
      </c>
      <c r="O85" s="47">
        <f t="shared" ca="1" si="28"/>
        <v>130293.76597236349</v>
      </c>
      <c r="P85">
        <f ca="1">Inputs!B14+(Inputs!D14-Inputs!B14)*BETAINV(RAND(),Model!H8,Model!I8)</f>
        <v>0.2497622816138873</v>
      </c>
      <c r="Q85">
        <f ca="1">Inputs!E14+(Inputs!G14-Inputs!E14)*BETAINV(RAND(),Model!J8,Model!K8)</f>
        <v>0.4408216302287214</v>
      </c>
      <c r="R85">
        <f ca="1">(Inputs!H14+(Inputs!J14-Inputs!H14)*BETAINV(RAND(),Model!L8,Model!M8))*Inputs!$C$6</f>
        <v>551947.09839134791</v>
      </c>
      <c r="S85">
        <f t="shared" ca="1" si="29"/>
        <v>0.11010061615067882</v>
      </c>
      <c r="T85">
        <f t="shared" ca="1" si="30"/>
        <v>0.11889367460598432</v>
      </c>
      <c r="U85">
        <f t="shared" ca="1" si="31"/>
        <v>0</v>
      </c>
      <c r="V85" s="47">
        <f t="shared" ca="1" si="32"/>
        <v>0</v>
      </c>
      <c r="W85">
        <f ca="1">Inputs!B15+(Inputs!D15-Inputs!B15)*BETAINV(RAND(),Model!H9,Model!I9)</f>
        <v>0.96215190812121154</v>
      </c>
      <c r="X85">
        <f ca="1">Inputs!E15+(Inputs!G15-Inputs!E15)*BETAINV(RAND(),Model!J9,Model!K9)</f>
        <v>0.43750198024837028</v>
      </c>
      <c r="Y85">
        <f ca="1">(Inputs!H15+(Inputs!J15-Inputs!H15)*BETAINV(RAND(),Model!L9,Model!M9))*Inputs!$C$6</f>
        <v>12082.298551289046</v>
      </c>
      <c r="Z85">
        <f t="shared" ca="1" si="33"/>
        <v>0.42094336510277808</v>
      </c>
      <c r="AA85">
        <f t="shared" ca="1" si="34"/>
        <v>7.1233300455275983E-2</v>
      </c>
      <c r="AB85">
        <f t="shared" ca="1" si="35"/>
        <v>0</v>
      </c>
      <c r="AC85" s="47">
        <f t="shared" ca="1" si="36"/>
        <v>0</v>
      </c>
      <c r="AD85">
        <f ca="1">Inputs!B16+(Inputs!D16-Inputs!B16)*BETAINV(RAND(),Model!H10,Model!I10)</f>
        <v>0.94125446699701065</v>
      </c>
      <c r="AE85">
        <f ca="1">Inputs!E16+(Inputs!G16-Inputs!E16)*BETAINV(RAND(),Model!J10,Model!K10)</f>
        <v>0.75989938818697045</v>
      </c>
      <c r="AF85">
        <f ca="1">(Inputs!H16+(Inputs!J16-Inputs!H16)*BETAINV(RAND(),Model!L10,Model!M10))*Inputs!$C$6</f>
        <v>57692.334403922177</v>
      </c>
      <c r="AG85">
        <f t="shared" ca="1" si="37"/>
        <v>0.7152586935992814</v>
      </c>
      <c r="AH85">
        <f t="shared" ca="1" si="38"/>
        <v>0.67087918907167365</v>
      </c>
      <c r="AI85">
        <f t="shared" ca="1" si="39"/>
        <v>1</v>
      </c>
      <c r="AJ85" s="47">
        <f t="shared" ca="1" si="40"/>
        <v>57692.334403922177</v>
      </c>
      <c r="AK85">
        <f t="shared" ca="1" si="41"/>
        <v>363565.10582478921</v>
      </c>
    </row>
    <row r="86" spans="2:37" x14ac:dyDescent="0.2">
      <c r="B86">
        <f ca="1">Inputs!B12+(Inputs!D12-Inputs!B12)*BETAINV(RAND(),Model!H6,Model!I6)</f>
        <v>1.8824474151248445</v>
      </c>
      <c r="C86">
        <f ca="1">Inputs!E12+(Inputs!G12-Inputs!E12)*BETAINV(RAND(),Model!J6,Model!K6)</f>
        <v>0.26878712424079443</v>
      </c>
      <c r="D86">
        <f ca="1">(Inputs!H12+(Inputs!J12-Inputs!H12)*BETAINV(RAND(),Model!L6,Model!M6))*Inputs!$C$6</f>
        <v>42561.272546288725</v>
      </c>
      <c r="E86">
        <f t="shared" ca="1" si="21"/>
        <v>0.50597762724592388</v>
      </c>
      <c r="F86">
        <f t="shared" ca="1" si="22"/>
        <v>0.78492272940420216</v>
      </c>
      <c r="G86">
        <f t="shared" ca="1" si="23"/>
        <v>1</v>
      </c>
      <c r="H86" s="47">
        <f t="shared" ca="1" si="24"/>
        <v>42561.272546288725</v>
      </c>
      <c r="I86">
        <f ca="1">Inputs!B13+(Inputs!D13-Inputs!B13)*BETAINV(RAND(),Model!H7,Model!I7)</f>
        <v>1.9556454805248653</v>
      </c>
      <c r="J86">
        <f ca="1">Inputs!E13+(Inputs!G13-Inputs!E13)*BETAINV(RAND(),Model!J7,Model!K7)</f>
        <v>0.22199539623539988</v>
      </c>
      <c r="K86">
        <f ca="1">(Inputs!H13+(Inputs!J13-Inputs!H13)*BETAINV(RAND(),Model!L7,Model!M7))*Inputs!$C$6</f>
        <v>29372.528356741524</v>
      </c>
      <c r="L86">
        <f t="shared" ca="1" si="25"/>
        <v>0.43414429334508647</v>
      </c>
      <c r="M86">
        <f t="shared" ca="1" si="26"/>
        <v>0.11310160326058727</v>
      </c>
      <c r="N86">
        <f t="shared" ca="1" si="27"/>
        <v>0</v>
      </c>
      <c r="O86" s="47">
        <f t="shared" ca="1" si="28"/>
        <v>0</v>
      </c>
      <c r="P86">
        <f ca="1">Inputs!B14+(Inputs!D14-Inputs!B14)*BETAINV(RAND(),Model!H8,Model!I8)</f>
        <v>0.16517754722807299</v>
      </c>
      <c r="Q86">
        <f ca="1">Inputs!E14+(Inputs!G14-Inputs!E14)*BETAINV(RAND(),Model!J8,Model!K8)</f>
        <v>0.53922224882693559</v>
      </c>
      <c r="R86">
        <f ca="1">(Inputs!H14+(Inputs!J14-Inputs!H14)*BETAINV(RAND(),Model!L8,Model!M8))*Inputs!$C$6</f>
        <v>426732.43619093578</v>
      </c>
      <c r="S86">
        <f t="shared" ca="1" si="29"/>
        <v>8.9067408472038881E-2</v>
      </c>
      <c r="T86">
        <f t="shared" ca="1" si="30"/>
        <v>3.025148804345823E-2</v>
      </c>
      <c r="U86">
        <f t="shared" ca="1" si="31"/>
        <v>0</v>
      </c>
      <c r="V86" s="47">
        <f t="shared" ca="1" si="32"/>
        <v>0</v>
      </c>
      <c r="W86">
        <f ca="1">Inputs!B15+(Inputs!D15-Inputs!B15)*BETAINV(RAND(),Model!H9,Model!I9)</f>
        <v>0.56551101138086923</v>
      </c>
      <c r="X86">
        <f ca="1">Inputs!E15+(Inputs!G15-Inputs!E15)*BETAINV(RAND(),Model!J9,Model!K9)</f>
        <v>0.50934125058343027</v>
      </c>
      <c r="Y86">
        <f ca="1">(Inputs!H15+(Inputs!J15-Inputs!H15)*BETAINV(RAND(),Model!L9,Model!M9))*Inputs!$C$6</f>
        <v>23036.819034282697</v>
      </c>
      <c r="Z86">
        <f t="shared" ca="1" si="33"/>
        <v>0.28803808575543238</v>
      </c>
      <c r="AA86">
        <f t="shared" ca="1" si="34"/>
        <v>0.90993098033857778</v>
      </c>
      <c r="AB86">
        <f t="shared" ca="1" si="35"/>
        <v>1</v>
      </c>
      <c r="AC86" s="47">
        <f t="shared" ca="1" si="36"/>
        <v>23036.819034282697</v>
      </c>
      <c r="AD86">
        <f ca="1">Inputs!B16+(Inputs!D16-Inputs!B16)*BETAINV(RAND(),Model!H10,Model!I10)</f>
        <v>0.8889333392433767</v>
      </c>
      <c r="AE86">
        <f ca="1">Inputs!E16+(Inputs!G16-Inputs!E16)*BETAINV(RAND(),Model!J10,Model!K10)</f>
        <v>0.61908420753732618</v>
      </c>
      <c r="AF86">
        <f ca="1">(Inputs!H16+(Inputs!J16-Inputs!H16)*BETAINV(RAND(),Model!L10,Model!M10))*Inputs!$C$6</f>
        <v>60701.18438562785</v>
      </c>
      <c r="AG86">
        <f t="shared" ca="1" si="37"/>
        <v>0.55032459187899496</v>
      </c>
      <c r="AH86">
        <f t="shared" ca="1" si="38"/>
        <v>0.41593856592484502</v>
      </c>
      <c r="AI86">
        <f t="shared" ca="1" si="39"/>
        <v>0</v>
      </c>
      <c r="AJ86" s="47">
        <f t="shared" ca="1" si="40"/>
        <v>0</v>
      </c>
      <c r="AK86">
        <f t="shared" ca="1" si="41"/>
        <v>65598.091580571418</v>
      </c>
    </row>
    <row r="87" spans="2:37" x14ac:dyDescent="0.2">
      <c r="B87">
        <f ca="1">Inputs!B12+(Inputs!D12-Inputs!B12)*BETAINV(RAND(),Model!H6,Model!I6)</f>
        <v>4.9077899770723477</v>
      </c>
      <c r="C87">
        <f ca="1">Inputs!E12+(Inputs!G12-Inputs!E12)*BETAINV(RAND(),Model!J6,Model!K6)</f>
        <v>0.29383871989641913</v>
      </c>
      <c r="D87">
        <f ca="1">(Inputs!H12+(Inputs!J12-Inputs!H12)*BETAINV(RAND(),Model!L6,Model!M6))*Inputs!$C$6</f>
        <v>32262.003805456832</v>
      </c>
      <c r="E87">
        <f t="shared" ca="1" si="21"/>
        <v>1.4420987243834149</v>
      </c>
      <c r="F87">
        <f t="shared" ca="1" si="22"/>
        <v>0.58944310343094863</v>
      </c>
      <c r="G87">
        <f t="shared" ca="1" si="23"/>
        <v>2</v>
      </c>
      <c r="H87" s="47">
        <f t="shared" ca="1" si="24"/>
        <v>64524.007610913664</v>
      </c>
      <c r="I87">
        <f ca="1">Inputs!B13+(Inputs!D13-Inputs!B13)*BETAINV(RAND(),Model!H7,Model!I7)</f>
        <v>1.3752840618733049</v>
      </c>
      <c r="J87">
        <f ca="1">Inputs!E13+(Inputs!G13-Inputs!E13)*BETAINV(RAND(),Model!J7,Model!K7)</f>
        <v>0.29454435196072992</v>
      </c>
      <c r="K87">
        <f ca="1">(Inputs!H13+(Inputs!J13-Inputs!H13)*BETAINV(RAND(),Model!L7,Model!M7))*Inputs!$C$6</f>
        <v>40516.028537386439</v>
      </c>
      <c r="L87">
        <f t="shared" ca="1" si="25"/>
        <v>0.40508215276639298</v>
      </c>
      <c r="M87">
        <f t="shared" ca="1" si="26"/>
        <v>0.17504487020678539</v>
      </c>
      <c r="N87">
        <f t="shared" ca="1" si="27"/>
        <v>0</v>
      </c>
      <c r="O87" s="47">
        <f t="shared" ca="1" si="28"/>
        <v>0</v>
      </c>
      <c r="P87">
        <f ca="1">Inputs!B14+(Inputs!D14-Inputs!B14)*BETAINV(RAND(),Model!H8,Model!I8)</f>
        <v>0.21213661167988607</v>
      </c>
      <c r="Q87">
        <f ca="1">Inputs!E14+(Inputs!G14-Inputs!E14)*BETAINV(RAND(),Model!J8,Model!K8)</f>
        <v>0.77345505696480799</v>
      </c>
      <c r="R87">
        <f ca="1">(Inputs!H14+(Inputs!J14-Inputs!H14)*BETAINV(RAND(),Model!L8,Model!M8))*Inputs!$C$6</f>
        <v>441089.03083934635</v>
      </c>
      <c r="S87">
        <f t="shared" ca="1" si="29"/>
        <v>0.16407813507118763</v>
      </c>
      <c r="T87">
        <f t="shared" ca="1" si="30"/>
        <v>0.51009397157875735</v>
      </c>
      <c r="U87">
        <f t="shared" ca="1" si="31"/>
        <v>0</v>
      </c>
      <c r="V87" s="47">
        <f t="shared" ca="1" si="32"/>
        <v>0</v>
      </c>
      <c r="W87">
        <f ca="1">Inputs!B15+(Inputs!D15-Inputs!B15)*BETAINV(RAND(),Model!H9,Model!I9)</f>
        <v>0.95124220725676745</v>
      </c>
      <c r="X87">
        <f ca="1">Inputs!E15+(Inputs!G15-Inputs!E15)*BETAINV(RAND(),Model!J9,Model!K9)</f>
        <v>0.5384559423363724</v>
      </c>
      <c r="Y87">
        <f ca="1">(Inputs!H15+(Inputs!J15-Inputs!H15)*BETAINV(RAND(),Model!L9,Model!M9))*Inputs!$C$6</f>
        <v>41496.2735832904</v>
      </c>
      <c r="Z87">
        <f t="shared" ca="1" si="33"/>
        <v>0.51220201909857355</v>
      </c>
      <c r="AA87">
        <f t="shared" ca="1" si="34"/>
        <v>0.2292542101093944</v>
      </c>
      <c r="AB87">
        <f t="shared" ca="1" si="35"/>
        <v>0</v>
      </c>
      <c r="AC87" s="47">
        <f t="shared" ca="1" si="36"/>
        <v>0</v>
      </c>
      <c r="AD87">
        <f ca="1">Inputs!B16+(Inputs!D16-Inputs!B16)*BETAINV(RAND(),Model!H10,Model!I10)</f>
        <v>0.96337845330818683</v>
      </c>
      <c r="AE87">
        <f ca="1">Inputs!E16+(Inputs!G16-Inputs!E16)*BETAINV(RAND(),Model!J10,Model!K10)</f>
        <v>0.63740647413835427</v>
      </c>
      <c r="AF87">
        <f ca="1">(Inputs!H16+(Inputs!J16-Inputs!H16)*BETAINV(RAND(),Model!L10,Model!M10))*Inputs!$C$6</f>
        <v>97977.067569029037</v>
      </c>
      <c r="AG87">
        <f t="shared" ca="1" si="37"/>
        <v>0.61406366318403249</v>
      </c>
      <c r="AH87">
        <f t="shared" ca="1" si="38"/>
        <v>0.85461353518336425</v>
      </c>
      <c r="AI87">
        <f t="shared" ca="1" si="39"/>
        <v>1</v>
      </c>
      <c r="AJ87" s="47">
        <f t="shared" ca="1" si="40"/>
        <v>97977.067569029037</v>
      </c>
      <c r="AK87">
        <f t="shared" ca="1" si="41"/>
        <v>162501.07517994271</v>
      </c>
    </row>
    <row r="88" spans="2:37" x14ac:dyDescent="0.2">
      <c r="B88">
        <f ca="1">Inputs!B12+(Inputs!D12-Inputs!B12)*BETAINV(RAND(),Model!H6,Model!I6)</f>
        <v>5.1515664440945468</v>
      </c>
      <c r="C88">
        <f ca="1">Inputs!E12+(Inputs!G12-Inputs!E12)*BETAINV(RAND(),Model!J6,Model!K6)</f>
        <v>0.3124803155017164</v>
      </c>
      <c r="D88">
        <f ca="1">(Inputs!H12+(Inputs!J12-Inputs!H12)*BETAINV(RAND(),Model!L6,Model!M6))*Inputs!$C$6</f>
        <v>41441.394186032172</v>
      </c>
      <c r="E88">
        <f t="shared" ca="1" si="21"/>
        <v>1.6097631077787193</v>
      </c>
      <c r="F88">
        <f t="shared" ca="1" si="22"/>
        <v>0.57449731973055984</v>
      </c>
      <c r="G88">
        <f t="shared" ca="1" si="23"/>
        <v>2</v>
      </c>
      <c r="H88" s="47">
        <f t="shared" ca="1" si="24"/>
        <v>82882.788372064344</v>
      </c>
      <c r="I88">
        <f ca="1">Inputs!B13+(Inputs!D13-Inputs!B13)*BETAINV(RAND(),Model!H7,Model!I7)</f>
        <v>1.6296869566961099</v>
      </c>
      <c r="J88">
        <f ca="1">Inputs!E13+(Inputs!G13-Inputs!E13)*BETAINV(RAND(),Model!J7,Model!K7)</f>
        <v>0.41916550059192959</v>
      </c>
      <c r="K88">
        <f ca="1">(Inputs!H13+(Inputs!J13-Inputs!H13)*BETAINV(RAND(),Model!L7,Model!M7))*Inputs!$C$6</f>
        <v>59712.09460214815</v>
      </c>
      <c r="L88">
        <f t="shared" ca="1" si="25"/>
        <v>0.68310854901166318</v>
      </c>
      <c r="M88">
        <f t="shared" ca="1" si="26"/>
        <v>0.22246836979100837</v>
      </c>
      <c r="N88">
        <f t="shared" ca="1" si="27"/>
        <v>0</v>
      </c>
      <c r="O88" s="47">
        <f t="shared" ca="1" si="28"/>
        <v>0</v>
      </c>
      <c r="P88">
        <f ca="1">Inputs!B14+(Inputs!D14-Inputs!B14)*BETAINV(RAND(),Model!H8,Model!I8)</f>
        <v>0.18276506893405303</v>
      </c>
      <c r="Q88">
        <f ca="1">Inputs!E14+(Inputs!G14-Inputs!E14)*BETAINV(RAND(),Model!J8,Model!K8)</f>
        <v>0.7178359179057483</v>
      </c>
      <c r="R88">
        <f ca="1">(Inputs!H14+(Inputs!J14-Inputs!H14)*BETAINV(RAND(),Model!L8,Model!M8))*Inputs!$C$6</f>
        <v>502079.29339993245</v>
      </c>
      <c r="S88">
        <f t="shared" ca="1" si="29"/>
        <v>0.13119533101938333</v>
      </c>
      <c r="T88">
        <f t="shared" ca="1" si="30"/>
        <v>0.65237397022589039</v>
      </c>
      <c r="U88">
        <f t="shared" ca="1" si="31"/>
        <v>0</v>
      </c>
      <c r="V88" s="47">
        <f t="shared" ca="1" si="32"/>
        <v>0</v>
      </c>
      <c r="W88">
        <f ca="1">Inputs!B15+(Inputs!D15-Inputs!B15)*BETAINV(RAND(),Model!H9,Model!I9)</f>
        <v>0.9870322198858783</v>
      </c>
      <c r="X88">
        <f ca="1">Inputs!E15+(Inputs!G15-Inputs!E15)*BETAINV(RAND(),Model!J9,Model!K9)</f>
        <v>0.41252430628615833</v>
      </c>
      <c r="Y88">
        <f ca="1">(Inputs!H15+(Inputs!J15-Inputs!H15)*BETAINV(RAND(),Model!L9,Model!M9))*Inputs!$C$6</f>
        <v>13670.585436733652</v>
      </c>
      <c r="Z88">
        <f t="shared" ca="1" si="33"/>
        <v>0.40717478179050881</v>
      </c>
      <c r="AA88">
        <f t="shared" ca="1" si="34"/>
        <v>0.78324909475128934</v>
      </c>
      <c r="AB88">
        <f t="shared" ca="1" si="35"/>
        <v>1</v>
      </c>
      <c r="AC88" s="47">
        <f t="shared" ca="1" si="36"/>
        <v>13670.585436733652</v>
      </c>
      <c r="AD88">
        <f ca="1">Inputs!B16+(Inputs!D16-Inputs!B16)*BETAINV(RAND(),Model!H10,Model!I10)</f>
        <v>0.54104801163717853</v>
      </c>
      <c r="AE88">
        <f ca="1">Inputs!E16+(Inputs!G16-Inputs!E16)*BETAINV(RAND(),Model!J10,Model!K10)</f>
        <v>0.63674807075108442</v>
      </c>
      <c r="AF88">
        <f ca="1">(Inputs!H16+(Inputs!J16-Inputs!H16)*BETAINV(RAND(),Model!L10,Model!M10))*Inputs!$C$6</f>
        <v>123242.15572524526</v>
      </c>
      <c r="AG88">
        <f t="shared" ca="1" si="37"/>
        <v>0.34451127759368372</v>
      </c>
      <c r="AH88">
        <f t="shared" ca="1" si="38"/>
        <v>0.97199425710889253</v>
      </c>
      <c r="AI88">
        <f t="shared" ca="1" si="39"/>
        <v>2</v>
      </c>
      <c r="AJ88" s="47">
        <f t="shared" ca="1" si="40"/>
        <v>246484.31145049052</v>
      </c>
      <c r="AK88">
        <f t="shared" ca="1" si="41"/>
        <v>343037.68525928853</v>
      </c>
    </row>
    <row r="89" spans="2:37" x14ac:dyDescent="0.2">
      <c r="B89">
        <f ca="1">Inputs!B12+(Inputs!D12-Inputs!B12)*BETAINV(RAND(),Model!H6,Model!I6)</f>
        <v>4.7728947605672705</v>
      </c>
      <c r="C89">
        <f ca="1">Inputs!E12+(Inputs!G12-Inputs!E12)*BETAINV(RAND(),Model!J6,Model!K6)</f>
        <v>0.41978957862667499</v>
      </c>
      <c r="D89">
        <f ca="1">(Inputs!H12+(Inputs!J12-Inputs!H12)*BETAINV(RAND(),Model!L6,Model!M6))*Inputs!$C$6</f>
        <v>25024.941686501676</v>
      </c>
      <c r="E89">
        <f t="shared" ca="1" si="21"/>
        <v>2.0036114803679994</v>
      </c>
      <c r="F89">
        <f t="shared" ca="1" si="22"/>
        <v>0.88253967439995085</v>
      </c>
      <c r="G89">
        <f t="shared" ca="1" si="23"/>
        <v>4</v>
      </c>
      <c r="H89" s="47">
        <f t="shared" ca="1" si="24"/>
        <v>100099.7667460067</v>
      </c>
      <c r="I89">
        <f ca="1">Inputs!B13+(Inputs!D13-Inputs!B13)*BETAINV(RAND(),Model!H7,Model!I7)</f>
        <v>2.6880424074735538</v>
      </c>
      <c r="J89">
        <f ca="1">Inputs!E13+(Inputs!G13-Inputs!E13)*BETAINV(RAND(),Model!J7,Model!K7)</f>
        <v>0.21119750113454364</v>
      </c>
      <c r="K89">
        <f ca="1">(Inputs!H13+(Inputs!J13-Inputs!H13)*BETAINV(RAND(),Model!L7,Model!M7))*Inputs!$C$6</f>
        <v>55646.241241350355</v>
      </c>
      <c r="L89">
        <f t="shared" ca="1" si="25"/>
        <v>0.56770783940209724</v>
      </c>
      <c r="M89">
        <f t="shared" ca="1" si="26"/>
        <v>2.5418463545625825E-2</v>
      </c>
      <c r="N89">
        <f t="shared" ca="1" si="27"/>
        <v>0</v>
      </c>
      <c r="O89" s="47">
        <f t="shared" ca="1" si="28"/>
        <v>0</v>
      </c>
      <c r="P89">
        <f ca="1">Inputs!B14+(Inputs!D14-Inputs!B14)*BETAINV(RAND(),Model!H8,Model!I8)</f>
        <v>0.36564629143244565</v>
      </c>
      <c r="Q89">
        <f ca="1">Inputs!E14+(Inputs!G14-Inputs!E14)*BETAINV(RAND(),Model!J8,Model!K8)</f>
        <v>0.51783245316583715</v>
      </c>
      <c r="R89">
        <f ca="1">(Inputs!H14+(Inputs!J14-Inputs!H14)*BETAINV(RAND(),Model!L8,Model!M8))*Inputs!$C$6</f>
        <v>294525.78744876164</v>
      </c>
      <c r="S89">
        <f t="shared" ca="1" si="29"/>
        <v>0.18934351608345396</v>
      </c>
      <c r="T89">
        <f t="shared" ca="1" si="30"/>
        <v>0.15195256806364588</v>
      </c>
      <c r="U89">
        <f t="shared" ca="1" si="31"/>
        <v>0</v>
      </c>
      <c r="V89" s="47">
        <f t="shared" ca="1" si="32"/>
        <v>0</v>
      </c>
      <c r="W89">
        <f ca="1">Inputs!B15+(Inputs!D15-Inputs!B15)*BETAINV(RAND(),Model!H9,Model!I9)</f>
        <v>0.61830402259796524</v>
      </c>
      <c r="X89">
        <f ca="1">Inputs!E15+(Inputs!G15-Inputs!E15)*BETAINV(RAND(),Model!J9,Model!K9)</f>
        <v>0.35993587497501228</v>
      </c>
      <c r="Y89">
        <f ca="1">(Inputs!H15+(Inputs!J15-Inputs!H15)*BETAINV(RAND(),Model!L9,Model!M9))*Inputs!$C$6</f>
        <v>25749.919851919825</v>
      </c>
      <c r="Z89">
        <f t="shared" ca="1" si="33"/>
        <v>0.22254979937436839</v>
      </c>
      <c r="AA89">
        <f t="shared" ca="1" si="34"/>
        <v>0.73235754061150049</v>
      </c>
      <c r="AB89">
        <f t="shared" ca="1" si="35"/>
        <v>0</v>
      </c>
      <c r="AC89" s="47">
        <f t="shared" ca="1" si="36"/>
        <v>0</v>
      </c>
      <c r="AD89">
        <f ca="1">Inputs!B16+(Inputs!D16-Inputs!B16)*BETAINV(RAND(),Model!H10,Model!I10)</f>
        <v>0.70055510179694558</v>
      </c>
      <c r="AE89">
        <f ca="1">Inputs!E16+(Inputs!G16-Inputs!E16)*BETAINV(RAND(),Model!J10,Model!K10)</f>
        <v>0.47510842297527828</v>
      </c>
      <c r="AF89">
        <f ca="1">(Inputs!H16+(Inputs!J16-Inputs!H16)*BETAINV(RAND(),Model!L10,Model!M10))*Inputs!$C$6</f>
        <v>156872.89282756695</v>
      </c>
      <c r="AG89">
        <f t="shared" ca="1" si="37"/>
        <v>0.33283962962203234</v>
      </c>
      <c r="AH89">
        <f t="shared" ca="1" si="38"/>
        <v>0.87423707676503692</v>
      </c>
      <c r="AI89">
        <f t="shared" ca="1" si="39"/>
        <v>1</v>
      </c>
      <c r="AJ89" s="47">
        <f t="shared" ca="1" si="40"/>
        <v>156872.89282756695</v>
      </c>
      <c r="AK89">
        <f t="shared" ca="1" si="41"/>
        <v>256972.65957357365</v>
      </c>
    </row>
    <row r="90" spans="2:37" x14ac:dyDescent="0.2">
      <c r="B90">
        <f ca="1">Inputs!B12+(Inputs!D12-Inputs!B12)*BETAINV(RAND(),Model!H6,Model!I6)</f>
        <v>4.0065524051088151</v>
      </c>
      <c r="C90">
        <f ca="1">Inputs!E12+(Inputs!G12-Inputs!E12)*BETAINV(RAND(),Model!J6,Model!K6)</f>
        <v>0.24920614495420759</v>
      </c>
      <c r="D90">
        <f ca="1">(Inputs!H12+(Inputs!J12-Inputs!H12)*BETAINV(RAND(),Model!L6,Model!M6))*Inputs!$C$6</f>
        <v>33891.018301898504</v>
      </c>
      <c r="E90">
        <f t="shared" ca="1" si="21"/>
        <v>0.9984574794341764</v>
      </c>
      <c r="F90">
        <f t="shared" ca="1" si="22"/>
        <v>0.72360088932892497</v>
      </c>
      <c r="G90">
        <f t="shared" ca="1" si="23"/>
        <v>1</v>
      </c>
      <c r="H90" s="47">
        <f t="shared" ca="1" si="24"/>
        <v>33891.018301898504</v>
      </c>
      <c r="I90">
        <f ca="1">Inputs!B13+(Inputs!D13-Inputs!B13)*BETAINV(RAND(),Model!H7,Model!I7)</f>
        <v>3.1358788281125558</v>
      </c>
      <c r="J90">
        <f ca="1">Inputs!E13+(Inputs!G13-Inputs!E13)*BETAINV(RAND(),Model!J7,Model!K7)</f>
        <v>0.21149814969878661</v>
      </c>
      <c r="K90">
        <f ca="1">(Inputs!H13+(Inputs!J13-Inputs!H13)*BETAINV(RAND(),Model!L7,Model!M7))*Inputs!$C$6</f>
        <v>63740.62150158413</v>
      </c>
      <c r="L90">
        <f t="shared" ca="1" si="25"/>
        <v>0.66323256982540479</v>
      </c>
      <c r="M90">
        <f t="shared" ca="1" si="26"/>
        <v>0.98681850954006678</v>
      </c>
      <c r="N90">
        <f t="shared" ca="1" si="27"/>
        <v>3</v>
      </c>
      <c r="O90" s="47">
        <f t="shared" ca="1" si="28"/>
        <v>191221.86450475239</v>
      </c>
      <c r="P90">
        <f ca="1">Inputs!B14+(Inputs!D14-Inputs!B14)*BETAINV(RAND(),Model!H8,Model!I8)</f>
        <v>0.18550794025461576</v>
      </c>
      <c r="Q90">
        <f ca="1">Inputs!E14+(Inputs!G14-Inputs!E14)*BETAINV(RAND(),Model!J8,Model!K8)</f>
        <v>0.47024674879253903</v>
      </c>
      <c r="R90">
        <f ca="1">(Inputs!H14+(Inputs!J14-Inputs!H14)*BETAINV(RAND(),Model!L8,Model!M8))*Inputs!$C$6</f>
        <v>442151.55670795526</v>
      </c>
      <c r="S90">
        <f t="shared" ca="1" si="29"/>
        <v>8.7234505779933635E-2</v>
      </c>
      <c r="T90">
        <f t="shared" ca="1" si="30"/>
        <v>0.14153243137545168</v>
      </c>
      <c r="U90">
        <f t="shared" ca="1" si="31"/>
        <v>0</v>
      </c>
      <c r="V90" s="47">
        <f t="shared" ca="1" si="32"/>
        <v>0</v>
      </c>
      <c r="W90">
        <f ca="1">Inputs!B15+(Inputs!D15-Inputs!B15)*BETAINV(RAND(),Model!H9,Model!I9)</f>
        <v>1.878057626320133</v>
      </c>
      <c r="X90">
        <f ca="1">Inputs!E15+(Inputs!G15-Inputs!E15)*BETAINV(RAND(),Model!J9,Model!K9)</f>
        <v>0.3790688604798339</v>
      </c>
      <c r="Y90">
        <f ca="1">(Inputs!H15+(Inputs!J15-Inputs!H15)*BETAINV(RAND(),Model!L9,Model!M9))*Inputs!$C$6</f>
        <v>9355.5807285120172</v>
      </c>
      <c r="Z90">
        <f t="shared" ca="1" si="33"/>
        <v>0.71191316432463447</v>
      </c>
      <c r="AA90">
        <f t="shared" ca="1" si="34"/>
        <v>0.88890078107877124</v>
      </c>
      <c r="AB90">
        <f t="shared" ca="1" si="35"/>
        <v>2</v>
      </c>
      <c r="AC90" s="47">
        <f t="shared" ca="1" si="36"/>
        <v>18711.161457024034</v>
      </c>
      <c r="AD90">
        <f ca="1">Inputs!B16+(Inputs!D16-Inputs!B16)*BETAINV(RAND(),Model!H10,Model!I10)</f>
        <v>0.61005736687862788</v>
      </c>
      <c r="AE90">
        <f ca="1">Inputs!E16+(Inputs!G16-Inputs!E16)*BETAINV(RAND(),Model!J10,Model!K10)</f>
        <v>0.75376068630822668</v>
      </c>
      <c r="AF90">
        <f ca="1">(Inputs!H16+(Inputs!J16-Inputs!H16)*BETAINV(RAND(),Model!L10,Model!M10))*Inputs!$C$6</f>
        <v>88119.508871874918</v>
      </c>
      <c r="AG90">
        <f t="shared" ca="1" si="37"/>
        <v>0.45983725954582416</v>
      </c>
      <c r="AH90">
        <f t="shared" ca="1" si="38"/>
        <v>0.51471154955183818</v>
      </c>
      <c r="AI90">
        <f t="shared" ca="1" si="39"/>
        <v>0</v>
      </c>
      <c r="AJ90" s="47">
        <f t="shared" ca="1" si="40"/>
        <v>0</v>
      </c>
      <c r="AK90">
        <f t="shared" ca="1" si="41"/>
        <v>243824.04426367494</v>
      </c>
    </row>
    <row r="91" spans="2:37" x14ac:dyDescent="0.2">
      <c r="B91">
        <f ca="1">Inputs!B12+(Inputs!D12-Inputs!B12)*BETAINV(RAND(),Model!H6,Model!I6)</f>
        <v>4.4221691704148469</v>
      </c>
      <c r="C91">
        <f ca="1">Inputs!E12+(Inputs!G12-Inputs!E12)*BETAINV(RAND(),Model!J6,Model!K6)</f>
        <v>0.27415427099150458</v>
      </c>
      <c r="D91">
        <f ca="1">(Inputs!H12+(Inputs!J12-Inputs!H12)*BETAINV(RAND(),Model!L6,Model!M6))*Inputs!$C$6</f>
        <v>21659.092133504902</v>
      </c>
      <c r="E91">
        <f t="shared" ca="1" si="21"/>
        <v>1.2123565651161889</v>
      </c>
      <c r="F91">
        <f t="shared" ca="1" si="22"/>
        <v>0.45444377357315213</v>
      </c>
      <c r="G91">
        <f t="shared" ca="1" si="23"/>
        <v>1</v>
      </c>
      <c r="H91" s="47">
        <f t="shared" ca="1" si="24"/>
        <v>21659.092133504902</v>
      </c>
      <c r="I91">
        <f ca="1">Inputs!B13+(Inputs!D13-Inputs!B13)*BETAINV(RAND(),Model!H7,Model!I7)</f>
        <v>1.4770060716809312</v>
      </c>
      <c r="J91">
        <f ca="1">Inputs!E13+(Inputs!G13-Inputs!E13)*BETAINV(RAND(),Model!J7,Model!K7)</f>
        <v>0.27553888456001646</v>
      </c>
      <c r="K91">
        <f ca="1">(Inputs!H13+(Inputs!J13-Inputs!H13)*BETAINV(RAND(),Model!L7,Model!M7))*Inputs!$C$6</f>
        <v>47207.936130784998</v>
      </c>
      <c r="L91">
        <f t="shared" ca="1" si="25"/>
        <v>0.4069726054793355</v>
      </c>
      <c r="M91">
        <f t="shared" ca="1" si="26"/>
        <v>0.98882813381023626</v>
      </c>
      <c r="N91">
        <f t="shared" ca="1" si="27"/>
        <v>2</v>
      </c>
      <c r="O91" s="47">
        <f t="shared" ca="1" si="28"/>
        <v>94415.872261569995</v>
      </c>
      <c r="P91">
        <f ca="1">Inputs!B14+(Inputs!D14-Inputs!B14)*BETAINV(RAND(),Model!H8,Model!I8)</f>
        <v>0.36990538250958171</v>
      </c>
      <c r="Q91">
        <f ca="1">Inputs!E14+(Inputs!G14-Inputs!E14)*BETAINV(RAND(),Model!J8,Model!K8)</f>
        <v>0.6581002028525953</v>
      </c>
      <c r="R91">
        <f ca="1">(Inputs!H14+(Inputs!J14-Inputs!H14)*BETAINV(RAND(),Model!L8,Model!M8))*Inputs!$C$6</f>
        <v>161399.44463635838</v>
      </c>
      <c r="S91">
        <f t="shared" ca="1" si="29"/>
        <v>0.24343480726582259</v>
      </c>
      <c r="T91">
        <f t="shared" ca="1" si="30"/>
        <v>0.40038548717072908</v>
      </c>
      <c r="U91">
        <f t="shared" ca="1" si="31"/>
        <v>0</v>
      </c>
      <c r="V91" s="47">
        <f t="shared" ca="1" si="32"/>
        <v>0</v>
      </c>
      <c r="W91">
        <f ca="1">Inputs!B15+(Inputs!D15-Inputs!B15)*BETAINV(RAND(),Model!H9,Model!I9)</f>
        <v>1.1759905631465897</v>
      </c>
      <c r="X91">
        <f ca="1">Inputs!E15+(Inputs!G15-Inputs!E15)*BETAINV(RAND(),Model!J9,Model!K9)</f>
        <v>0.46916300682709977</v>
      </c>
      <c r="Y91">
        <f ca="1">(Inputs!H15+(Inputs!J15-Inputs!H15)*BETAINV(RAND(),Model!L9,Model!M9))*Inputs!$C$6</f>
        <v>25436.453182699672</v>
      </c>
      <c r="Z91">
        <f t="shared" ca="1" si="33"/>
        <v>0.55173126860614841</v>
      </c>
      <c r="AA91">
        <f t="shared" ca="1" si="34"/>
        <v>0.37203014084736219</v>
      </c>
      <c r="AB91">
        <f t="shared" ca="1" si="35"/>
        <v>0</v>
      </c>
      <c r="AC91" s="47">
        <f t="shared" ca="1" si="36"/>
        <v>0</v>
      </c>
      <c r="AD91">
        <f ca="1">Inputs!B16+(Inputs!D16-Inputs!B16)*BETAINV(RAND(),Model!H10,Model!I10)</f>
        <v>0.9027117815141199</v>
      </c>
      <c r="AE91">
        <f ca="1">Inputs!E16+(Inputs!G16-Inputs!E16)*BETAINV(RAND(),Model!J10,Model!K10)</f>
        <v>0.62471920751446897</v>
      </c>
      <c r="AF91">
        <f ca="1">(Inputs!H16+(Inputs!J16-Inputs!H16)*BETAINV(RAND(),Model!L10,Model!M10))*Inputs!$C$6</f>
        <v>65419.921413326621</v>
      </c>
      <c r="AG91">
        <f t="shared" ca="1" si="37"/>
        <v>0.56394138876147548</v>
      </c>
      <c r="AH91">
        <f t="shared" ca="1" si="38"/>
        <v>0.80959090426818214</v>
      </c>
      <c r="AI91">
        <f t="shared" ca="1" si="39"/>
        <v>1</v>
      </c>
      <c r="AJ91" s="47">
        <f t="shared" ca="1" si="40"/>
        <v>65419.921413326621</v>
      </c>
      <c r="AK91">
        <f t="shared" ca="1" si="41"/>
        <v>181494.88580840151</v>
      </c>
    </row>
    <row r="92" spans="2:37" x14ac:dyDescent="0.2">
      <c r="B92">
        <f ca="1">Inputs!B12+(Inputs!D12-Inputs!B12)*BETAINV(RAND(),Model!H6,Model!I6)</f>
        <v>4.2996334714549667</v>
      </c>
      <c r="C92">
        <f ca="1">Inputs!E12+(Inputs!G12-Inputs!E12)*BETAINV(RAND(),Model!J6,Model!K6)</f>
        <v>0.28314200369512715</v>
      </c>
      <c r="D92">
        <f ca="1">(Inputs!H12+(Inputs!J12-Inputs!H12)*BETAINV(RAND(),Model!L6,Model!M6))*Inputs!$C$6</f>
        <v>13996.043876970583</v>
      </c>
      <c r="E92">
        <f t="shared" ca="1" si="21"/>
        <v>1.2174068362623947</v>
      </c>
      <c r="F92">
        <f t="shared" ca="1" si="22"/>
        <v>0.5147707424884681</v>
      </c>
      <c r="G92">
        <f t="shared" ca="1" si="23"/>
        <v>1</v>
      </c>
      <c r="H92" s="47">
        <f t="shared" ca="1" si="24"/>
        <v>13996.043876970583</v>
      </c>
      <c r="I92">
        <f ca="1">Inputs!B13+(Inputs!D13-Inputs!B13)*BETAINV(RAND(),Model!H7,Model!I7)</f>
        <v>3.5029401874478365</v>
      </c>
      <c r="J92">
        <f ca="1">Inputs!E13+(Inputs!G13-Inputs!E13)*BETAINV(RAND(),Model!J7,Model!K7)</f>
        <v>0.21739389971297976</v>
      </c>
      <c r="K92">
        <f ca="1">(Inputs!H13+(Inputs!J13-Inputs!H13)*BETAINV(RAND(),Model!L7,Model!M7))*Inputs!$C$6</f>
        <v>51346.483580997963</v>
      </c>
      <c r="L92">
        <f t="shared" ca="1" si="25"/>
        <v>0.76151782781060151</v>
      </c>
      <c r="M92">
        <f t="shared" ca="1" si="26"/>
        <v>0.63832664410994866</v>
      </c>
      <c r="N92">
        <f t="shared" ca="1" si="27"/>
        <v>1</v>
      </c>
      <c r="O92" s="47">
        <f t="shared" ca="1" si="28"/>
        <v>51346.483580997963</v>
      </c>
      <c r="P92">
        <f ca="1">Inputs!B14+(Inputs!D14-Inputs!B14)*BETAINV(RAND(),Model!H8,Model!I8)</f>
        <v>0.18328496219878368</v>
      </c>
      <c r="Q92">
        <f ca="1">Inputs!E14+(Inputs!G14-Inputs!E14)*BETAINV(RAND(),Model!J8,Model!K8)</f>
        <v>0.57436018150244883</v>
      </c>
      <c r="R92">
        <f ca="1">(Inputs!H14+(Inputs!J14-Inputs!H14)*BETAINV(RAND(),Model!L8,Model!M8))*Inputs!$C$6</f>
        <v>430234.58090890374</v>
      </c>
      <c r="S92">
        <f t="shared" ca="1" si="29"/>
        <v>0.10527158415516287</v>
      </c>
      <c r="T92">
        <f t="shared" ca="1" si="30"/>
        <v>7.2217088266787854E-2</v>
      </c>
      <c r="U92">
        <f t="shared" ca="1" si="31"/>
        <v>0</v>
      </c>
      <c r="V92" s="47">
        <f t="shared" ca="1" si="32"/>
        <v>0</v>
      </c>
      <c r="W92">
        <f ca="1">Inputs!B15+(Inputs!D15-Inputs!B15)*BETAINV(RAND(),Model!H9,Model!I9)</f>
        <v>1.4411715449593536</v>
      </c>
      <c r="X92">
        <f ca="1">Inputs!E15+(Inputs!G15-Inputs!E15)*BETAINV(RAND(),Model!J9,Model!K9)</f>
        <v>0.60068859535013841</v>
      </c>
      <c r="Y92">
        <f ca="1">(Inputs!H15+(Inputs!J15-Inputs!H15)*BETAINV(RAND(),Model!L9,Model!M9))*Inputs!$C$6</f>
        <v>32441.45709369723</v>
      </c>
      <c r="Z92">
        <f t="shared" ca="1" si="33"/>
        <v>0.86569531100022301</v>
      </c>
      <c r="AA92">
        <f t="shared" ca="1" si="34"/>
        <v>0.48251268310373552</v>
      </c>
      <c r="AB92">
        <f t="shared" ca="1" si="35"/>
        <v>1</v>
      </c>
      <c r="AC92" s="47">
        <f t="shared" ca="1" si="36"/>
        <v>32441.45709369723</v>
      </c>
      <c r="AD92">
        <f ca="1">Inputs!B16+(Inputs!D16-Inputs!B16)*BETAINV(RAND(),Model!H10,Model!I10)</f>
        <v>0.52696466165652422</v>
      </c>
      <c r="AE92">
        <f ca="1">Inputs!E16+(Inputs!G16-Inputs!E16)*BETAINV(RAND(),Model!J10,Model!K10)</f>
        <v>0.65114459572609429</v>
      </c>
      <c r="AF92">
        <f ca="1">(Inputs!H16+(Inputs!J16-Inputs!H16)*BETAINV(RAND(),Model!L10,Model!M10))*Inputs!$C$6</f>
        <v>71393.539861370358</v>
      </c>
      <c r="AG92">
        <f t="shared" ca="1" si="37"/>
        <v>0.3431301915762755</v>
      </c>
      <c r="AH92">
        <f t="shared" ca="1" si="38"/>
        <v>0.43812316316240363</v>
      </c>
      <c r="AI92">
        <f t="shared" ca="1" si="39"/>
        <v>0</v>
      </c>
      <c r="AJ92" s="47">
        <f t="shared" ca="1" si="40"/>
        <v>0</v>
      </c>
      <c r="AK92">
        <f t="shared" ca="1" si="41"/>
        <v>97783.984551665781</v>
      </c>
    </row>
    <row r="93" spans="2:37" x14ac:dyDescent="0.2">
      <c r="B93">
        <f ca="1">Inputs!B12+(Inputs!D12-Inputs!B12)*BETAINV(RAND(),Model!H6,Model!I6)</f>
        <v>2.5246159560980659</v>
      </c>
      <c r="C93">
        <f ca="1">Inputs!E12+(Inputs!G12-Inputs!E12)*BETAINV(RAND(),Model!J6,Model!K6)</f>
        <v>0.3630246668619489</v>
      </c>
      <c r="D93">
        <f ca="1">(Inputs!H12+(Inputs!J12-Inputs!H12)*BETAINV(RAND(),Model!L6,Model!M6))*Inputs!$C$6</f>
        <v>16108.298703693363</v>
      </c>
      <c r="E93">
        <f t="shared" ca="1" si="21"/>
        <v>0.91649786641686093</v>
      </c>
      <c r="F93">
        <f t="shared" ca="1" si="22"/>
        <v>0.23415078636349285</v>
      </c>
      <c r="G93">
        <f t="shared" ca="1" si="23"/>
        <v>0</v>
      </c>
      <c r="H93" s="47">
        <f t="shared" ca="1" si="24"/>
        <v>0</v>
      </c>
      <c r="I93">
        <f ca="1">Inputs!B13+(Inputs!D13-Inputs!B13)*BETAINV(RAND(),Model!H7,Model!I7)</f>
        <v>2.190247775604151</v>
      </c>
      <c r="J93">
        <f ca="1">Inputs!E13+(Inputs!G13-Inputs!E13)*BETAINV(RAND(),Model!J7,Model!K7)</f>
        <v>0.30086083037442346</v>
      </c>
      <c r="K93">
        <f ca="1">(Inputs!H13+(Inputs!J13-Inputs!H13)*BETAINV(RAND(),Model!L7,Model!M7))*Inputs!$C$6</f>
        <v>11724.558965794951</v>
      </c>
      <c r="L93">
        <f t="shared" ca="1" si="25"/>
        <v>0.65895976449399873</v>
      </c>
      <c r="M93">
        <f t="shared" ca="1" si="26"/>
        <v>0.55214919826405595</v>
      </c>
      <c r="N93">
        <f t="shared" ca="1" si="27"/>
        <v>1</v>
      </c>
      <c r="O93" s="47">
        <f t="shared" ca="1" si="28"/>
        <v>11724.558965794951</v>
      </c>
      <c r="P93">
        <f ca="1">Inputs!B14+(Inputs!D14-Inputs!B14)*BETAINV(RAND(),Model!H8,Model!I8)</f>
        <v>0.29186776225541256</v>
      </c>
      <c r="Q93">
        <f ca="1">Inputs!E14+(Inputs!G14-Inputs!E14)*BETAINV(RAND(),Model!J8,Model!K8)</f>
        <v>0.64311143350063782</v>
      </c>
      <c r="R93">
        <f ca="1">(Inputs!H14+(Inputs!J14-Inputs!H14)*BETAINV(RAND(),Model!L8,Model!M8))*Inputs!$C$6</f>
        <v>276434.45610887342</v>
      </c>
      <c r="S93">
        <f t="shared" ca="1" si="29"/>
        <v>0.18770349497670172</v>
      </c>
      <c r="T93">
        <f t="shared" ca="1" si="30"/>
        <v>0.51180059785284959</v>
      </c>
      <c r="U93">
        <f t="shared" ca="1" si="31"/>
        <v>0</v>
      </c>
      <c r="V93" s="47">
        <f t="shared" ca="1" si="32"/>
        <v>0</v>
      </c>
      <c r="W93">
        <f ca="1">Inputs!B15+(Inputs!D15-Inputs!B15)*BETAINV(RAND(),Model!H9,Model!I9)</f>
        <v>0.7547092504142372</v>
      </c>
      <c r="X93">
        <f ca="1">Inputs!E15+(Inputs!G15-Inputs!E15)*BETAINV(RAND(),Model!J9,Model!K9)</f>
        <v>0.47668150907702278</v>
      </c>
      <c r="Y93">
        <f ca="1">(Inputs!H15+(Inputs!J15-Inputs!H15)*BETAINV(RAND(),Model!L9,Model!M9))*Inputs!$C$6</f>
        <v>27608.401119277733</v>
      </c>
      <c r="Z93">
        <f t="shared" ca="1" si="33"/>
        <v>0.35975594440184727</v>
      </c>
      <c r="AA93">
        <f t="shared" ca="1" si="34"/>
        <v>0.90693294424082704</v>
      </c>
      <c r="AB93">
        <f t="shared" ca="1" si="35"/>
        <v>1</v>
      </c>
      <c r="AC93" s="47">
        <f t="shared" ca="1" si="36"/>
        <v>27608.401119277733</v>
      </c>
      <c r="AD93">
        <f ca="1">Inputs!B16+(Inputs!D16-Inputs!B16)*BETAINV(RAND(),Model!H10,Model!I10)</f>
        <v>1.021846988393218</v>
      </c>
      <c r="AE93">
        <f ca="1">Inputs!E16+(Inputs!G16-Inputs!E16)*BETAINV(RAND(),Model!J10,Model!K10)</f>
        <v>0.49611646701877388</v>
      </c>
      <c r="AF93">
        <f ca="1">(Inputs!H16+(Inputs!J16-Inputs!H16)*BETAINV(RAND(),Model!L10,Model!M10))*Inputs!$C$6</f>
        <v>88819.474428005153</v>
      </c>
      <c r="AG93">
        <f t="shared" ca="1" si="37"/>
        <v>0.50695511771541735</v>
      </c>
      <c r="AH93">
        <f t="shared" ca="1" si="38"/>
        <v>0.74145428900647647</v>
      </c>
      <c r="AI93">
        <f t="shared" ca="1" si="39"/>
        <v>1</v>
      </c>
      <c r="AJ93" s="47">
        <f t="shared" ca="1" si="40"/>
        <v>88819.474428005153</v>
      </c>
      <c r="AK93">
        <f t="shared" ca="1" si="41"/>
        <v>128152.43451307784</v>
      </c>
    </row>
    <row r="94" spans="2:37" x14ac:dyDescent="0.2">
      <c r="B94">
        <f ca="1">Inputs!B12+(Inputs!D12-Inputs!B12)*BETAINV(RAND(),Model!H6,Model!I6)</f>
        <v>3.5307799039327361</v>
      </c>
      <c r="C94">
        <f ca="1">Inputs!E12+(Inputs!G12-Inputs!E12)*BETAINV(RAND(),Model!J6,Model!K6)</f>
        <v>0.28622717648339735</v>
      </c>
      <c r="D94">
        <f ca="1">(Inputs!H12+(Inputs!J12-Inputs!H12)*BETAINV(RAND(),Model!L6,Model!M6))*Inputs!$C$6</f>
        <v>22960.187078197654</v>
      </c>
      <c r="E94">
        <f t="shared" ca="1" si="21"/>
        <v>1.0106051626869881</v>
      </c>
      <c r="F94">
        <f t="shared" ca="1" si="22"/>
        <v>0.55829611874237017</v>
      </c>
      <c r="G94">
        <f t="shared" ca="1" si="23"/>
        <v>1</v>
      </c>
      <c r="H94" s="47">
        <f t="shared" ca="1" si="24"/>
        <v>22960.187078197654</v>
      </c>
      <c r="I94">
        <f ca="1">Inputs!B13+(Inputs!D13-Inputs!B13)*BETAINV(RAND(),Model!H7,Model!I7)</f>
        <v>2.039780571845454</v>
      </c>
      <c r="J94">
        <f ca="1">Inputs!E13+(Inputs!G13-Inputs!E13)*BETAINV(RAND(),Model!J7,Model!K7)</f>
        <v>0.36606310209914961</v>
      </c>
      <c r="K94">
        <f ca="1">(Inputs!H13+(Inputs!J13-Inputs!H13)*BETAINV(RAND(),Model!L7,Model!M7))*Inputs!$C$6</f>
        <v>29102.069595402805</v>
      </c>
      <c r="L94">
        <f t="shared" ca="1" si="25"/>
        <v>0.74668840373132417</v>
      </c>
      <c r="M94">
        <f t="shared" ca="1" si="26"/>
        <v>0.57100088565631879</v>
      </c>
      <c r="N94">
        <f t="shared" ca="1" si="27"/>
        <v>1</v>
      </c>
      <c r="O94" s="47">
        <f t="shared" ca="1" si="28"/>
        <v>29102.069595402805</v>
      </c>
      <c r="P94">
        <f ca="1">Inputs!B14+(Inputs!D14-Inputs!B14)*BETAINV(RAND(),Model!H8,Model!I8)</f>
        <v>0.27363294442228386</v>
      </c>
      <c r="Q94">
        <f ca="1">Inputs!E14+(Inputs!G14-Inputs!E14)*BETAINV(RAND(),Model!J8,Model!K8)</f>
        <v>0.45105997406877713</v>
      </c>
      <c r="R94">
        <f ca="1">(Inputs!H14+(Inputs!J14-Inputs!H14)*BETAINV(RAND(),Model!L8,Model!M8))*Inputs!$C$6</f>
        <v>288870.08718521771</v>
      </c>
      <c r="S94">
        <f t="shared" ca="1" si="29"/>
        <v>0.1234248688154785</v>
      </c>
      <c r="T94">
        <f t="shared" ca="1" si="30"/>
        <v>0.32722489653927866</v>
      </c>
      <c r="U94">
        <f t="shared" ca="1" si="31"/>
        <v>0</v>
      </c>
      <c r="V94" s="47">
        <f t="shared" ca="1" si="32"/>
        <v>0</v>
      </c>
      <c r="W94">
        <f ca="1">Inputs!B15+(Inputs!D15-Inputs!B15)*BETAINV(RAND(),Model!H9,Model!I9)</f>
        <v>1.1586450373305905</v>
      </c>
      <c r="X94">
        <f ca="1">Inputs!E15+(Inputs!G15-Inputs!E15)*BETAINV(RAND(),Model!J9,Model!K9)</f>
        <v>0.40699285397133811</v>
      </c>
      <c r="Y94">
        <f ca="1">(Inputs!H15+(Inputs!J15-Inputs!H15)*BETAINV(RAND(),Model!L9,Model!M9))*Inputs!$C$6</f>
        <v>31112.59786793527</v>
      </c>
      <c r="Z94">
        <f t="shared" ca="1" si="33"/>
        <v>0.47156025048290462</v>
      </c>
      <c r="AA94">
        <f t="shared" ca="1" si="34"/>
        <v>7.2851710024562699E-2</v>
      </c>
      <c r="AB94">
        <f t="shared" ca="1" si="35"/>
        <v>0</v>
      </c>
      <c r="AC94" s="47">
        <f t="shared" ca="1" si="36"/>
        <v>0</v>
      </c>
      <c r="AD94">
        <f ca="1">Inputs!B16+(Inputs!D16-Inputs!B16)*BETAINV(RAND(),Model!H10,Model!I10)</f>
        <v>0.75585436251618998</v>
      </c>
      <c r="AE94">
        <f ca="1">Inputs!E16+(Inputs!G16-Inputs!E16)*BETAINV(RAND(),Model!J10,Model!K10)</f>
        <v>0.60608223529614003</v>
      </c>
      <c r="AF94">
        <f ca="1">(Inputs!H16+(Inputs!J16-Inputs!H16)*BETAINV(RAND(),Model!L10,Model!M10))*Inputs!$C$6</f>
        <v>84915.859349463048</v>
      </c>
      <c r="AG94">
        <f t="shared" ca="1" si="37"/>
        <v>0.45810990159215137</v>
      </c>
      <c r="AH94">
        <f t="shared" ca="1" si="38"/>
        <v>0.99800764393921781</v>
      </c>
      <c r="AI94">
        <f t="shared" ca="1" si="39"/>
        <v>3</v>
      </c>
      <c r="AJ94" s="47">
        <f t="shared" ca="1" si="40"/>
        <v>254747.57804838914</v>
      </c>
      <c r="AK94">
        <f t="shared" ca="1" si="41"/>
        <v>306809.83472198958</v>
      </c>
    </row>
    <row r="95" spans="2:37" x14ac:dyDescent="0.2">
      <c r="B95">
        <f ca="1">Inputs!B12+(Inputs!D12-Inputs!B12)*BETAINV(RAND(),Model!H6,Model!I6)</f>
        <v>5.0554011959807399</v>
      </c>
      <c r="C95">
        <f ca="1">Inputs!E12+(Inputs!G12-Inputs!E12)*BETAINV(RAND(),Model!J6,Model!K6)</f>
        <v>0.50287947268479816</v>
      </c>
      <c r="D95">
        <f ca="1">(Inputs!H12+(Inputs!J12-Inputs!H12)*BETAINV(RAND(),Model!L6,Model!M6))*Inputs!$C$6</f>
        <v>39727.3822589419</v>
      </c>
      <c r="E95">
        <f t="shared" ca="1" si="21"/>
        <v>2.5422574876448922</v>
      </c>
      <c r="F95">
        <f t="shared" ca="1" si="22"/>
        <v>0.5684469021062567</v>
      </c>
      <c r="G95">
        <f t="shared" ca="1" si="23"/>
        <v>3</v>
      </c>
      <c r="H95" s="47">
        <f t="shared" ca="1" si="24"/>
        <v>119182.1467768257</v>
      </c>
      <c r="I95">
        <f ca="1">Inputs!B13+(Inputs!D13-Inputs!B13)*BETAINV(RAND(),Model!H7,Model!I7)</f>
        <v>1.8138951173262936</v>
      </c>
      <c r="J95">
        <f ca="1">Inputs!E13+(Inputs!G13-Inputs!E13)*BETAINV(RAND(),Model!J7,Model!K7)</f>
        <v>0.192387902661283</v>
      </c>
      <c r="K95">
        <f ca="1">(Inputs!H13+(Inputs!J13-Inputs!H13)*BETAINV(RAND(),Model!L7,Model!M7))*Inputs!$C$6</f>
        <v>29920.392566485942</v>
      </c>
      <c r="L95">
        <f t="shared" ca="1" si="25"/>
        <v>0.34897147726994748</v>
      </c>
      <c r="M95">
        <f t="shared" ca="1" si="26"/>
        <v>0.34801650116373195</v>
      </c>
      <c r="N95">
        <f t="shared" ca="1" si="27"/>
        <v>0</v>
      </c>
      <c r="O95" s="47">
        <f t="shared" ca="1" si="28"/>
        <v>0</v>
      </c>
      <c r="P95">
        <f ca="1">Inputs!B14+(Inputs!D14-Inputs!B14)*BETAINV(RAND(),Model!H8,Model!I8)</f>
        <v>0.40435584132370583</v>
      </c>
      <c r="Q95">
        <f ca="1">Inputs!E14+(Inputs!G14-Inputs!E14)*BETAINV(RAND(),Model!J8,Model!K8)</f>
        <v>0.61177117522028324</v>
      </c>
      <c r="R95">
        <f ca="1">(Inputs!H14+(Inputs!J14-Inputs!H14)*BETAINV(RAND(),Model!L8,Model!M8))*Inputs!$C$6</f>
        <v>343405.12836154853</v>
      </c>
      <c r="S95">
        <f t="shared" ca="1" si="29"/>
        <v>0.2473732482537899</v>
      </c>
      <c r="T95">
        <f t="shared" ca="1" si="30"/>
        <v>0.74632591956192063</v>
      </c>
      <c r="U95">
        <f t="shared" ca="1" si="31"/>
        <v>0</v>
      </c>
      <c r="V95" s="47">
        <f t="shared" ca="1" si="32"/>
        <v>0</v>
      </c>
      <c r="W95">
        <f ca="1">Inputs!B15+(Inputs!D15-Inputs!B15)*BETAINV(RAND(),Model!H9,Model!I9)</f>
        <v>2.0859927135038463</v>
      </c>
      <c r="X95">
        <f ca="1">Inputs!E15+(Inputs!G15-Inputs!E15)*BETAINV(RAND(),Model!J9,Model!K9)</f>
        <v>0.35534360287742828</v>
      </c>
      <c r="Y95">
        <f ca="1">(Inputs!H15+(Inputs!J15-Inputs!H15)*BETAINV(RAND(),Model!L9,Model!M9))*Inputs!$C$6</f>
        <v>50480.859826245367</v>
      </c>
      <c r="Z95">
        <f t="shared" ca="1" si="33"/>
        <v>0.74124416639251978</v>
      </c>
      <c r="AA95">
        <f t="shared" ca="1" si="34"/>
        <v>0.48022255949766579</v>
      </c>
      <c r="AB95">
        <f t="shared" ca="1" si="35"/>
        <v>1</v>
      </c>
      <c r="AC95" s="47">
        <f t="shared" ca="1" si="36"/>
        <v>50480.859826245367</v>
      </c>
      <c r="AD95">
        <f ca="1">Inputs!B16+(Inputs!D16-Inputs!B16)*BETAINV(RAND(),Model!H10,Model!I10)</f>
        <v>0.57158211520165858</v>
      </c>
      <c r="AE95">
        <f ca="1">Inputs!E16+(Inputs!G16-Inputs!E16)*BETAINV(RAND(),Model!J10,Model!K10)</f>
        <v>0.61097492097475647</v>
      </c>
      <c r="AF95">
        <f ca="1">(Inputs!H16+(Inputs!J16-Inputs!H16)*BETAINV(RAND(),Model!L10,Model!M10))*Inputs!$C$6</f>
        <v>125652.41191968511</v>
      </c>
      <c r="AG95">
        <f t="shared" ca="1" si="37"/>
        <v>0.34922233766591748</v>
      </c>
      <c r="AH95">
        <f t="shared" ca="1" si="38"/>
        <v>3.3944437374183178E-2</v>
      </c>
      <c r="AI95">
        <f t="shared" ca="1" si="39"/>
        <v>0</v>
      </c>
      <c r="AJ95" s="47">
        <f t="shared" ca="1" si="40"/>
        <v>0</v>
      </c>
      <c r="AK95">
        <f t="shared" ca="1" si="41"/>
        <v>169663.00660307106</v>
      </c>
    </row>
    <row r="96" spans="2:37" x14ac:dyDescent="0.2">
      <c r="B96">
        <f ca="1">Inputs!B12+(Inputs!D12-Inputs!B12)*BETAINV(RAND(),Model!H6,Model!I6)</f>
        <v>4.5128653390145264</v>
      </c>
      <c r="C96">
        <f ca="1">Inputs!E12+(Inputs!G12-Inputs!E12)*BETAINV(RAND(),Model!J6,Model!K6)</f>
        <v>0.36794906196448196</v>
      </c>
      <c r="D96">
        <f ca="1">(Inputs!H12+(Inputs!J12-Inputs!H12)*BETAINV(RAND(),Model!L6,Model!M6))*Inputs!$C$6</f>
        <v>20813.478007956244</v>
      </c>
      <c r="E96">
        <f t="shared" ca="1" si="21"/>
        <v>1.6605045682624189</v>
      </c>
      <c r="F96">
        <f t="shared" ca="1" si="22"/>
        <v>0.53603048647772888</v>
      </c>
      <c r="G96">
        <f t="shared" ca="1" si="23"/>
        <v>2</v>
      </c>
      <c r="H96" s="47">
        <f t="shared" ca="1" si="24"/>
        <v>41626.956015912489</v>
      </c>
      <c r="I96">
        <f ca="1">Inputs!B13+(Inputs!D13-Inputs!B13)*BETAINV(RAND(),Model!H7,Model!I7)</f>
        <v>2.9950299336895321</v>
      </c>
      <c r="J96">
        <f ca="1">Inputs!E13+(Inputs!G13-Inputs!E13)*BETAINV(RAND(),Model!J7,Model!K7)</f>
        <v>0.37952276296798537</v>
      </c>
      <c r="K96">
        <f ca="1">(Inputs!H13+(Inputs!J13-Inputs!H13)*BETAINV(RAND(),Model!L7,Model!M7))*Inputs!$C$6</f>
        <v>36182.769009505086</v>
      </c>
      <c r="L96">
        <f t="shared" ca="1" si="25"/>
        <v>1.1366820356056733</v>
      </c>
      <c r="M96">
        <f t="shared" ca="1" si="26"/>
        <v>0.30497290073630023</v>
      </c>
      <c r="N96">
        <f t="shared" ca="1" si="27"/>
        <v>0</v>
      </c>
      <c r="O96" s="47">
        <f t="shared" ca="1" si="28"/>
        <v>0</v>
      </c>
      <c r="P96">
        <f ca="1">Inputs!B14+(Inputs!D14-Inputs!B14)*BETAINV(RAND(),Model!H8,Model!I8)</f>
        <v>0.31242815325623452</v>
      </c>
      <c r="Q96">
        <f ca="1">Inputs!E14+(Inputs!G14-Inputs!E14)*BETAINV(RAND(),Model!J8,Model!K8)</f>
        <v>0.45636571627176847</v>
      </c>
      <c r="R96">
        <f ca="1">(Inputs!H14+(Inputs!J14-Inputs!H14)*BETAINV(RAND(),Model!L8,Model!M8))*Inputs!$C$6</f>
        <v>478736.67510391719</v>
      </c>
      <c r="S96">
        <f t="shared" ca="1" si="29"/>
        <v>0.14258149794424732</v>
      </c>
      <c r="T96">
        <f t="shared" ca="1" si="30"/>
        <v>0.71461109306634285</v>
      </c>
      <c r="U96">
        <f t="shared" ca="1" si="31"/>
        <v>0</v>
      </c>
      <c r="V96" s="47">
        <f t="shared" ca="1" si="32"/>
        <v>0</v>
      </c>
      <c r="W96">
        <f ca="1">Inputs!B15+(Inputs!D15-Inputs!B15)*BETAINV(RAND(),Model!H9,Model!I9)</f>
        <v>0.68241697855036776</v>
      </c>
      <c r="X96">
        <f ca="1">Inputs!E15+(Inputs!G15-Inputs!E15)*BETAINV(RAND(),Model!J9,Model!K9)</f>
        <v>0.33601785976506737</v>
      </c>
      <c r="Y96">
        <f ca="1">(Inputs!H15+(Inputs!J15-Inputs!H15)*BETAINV(RAND(),Model!L9,Model!M9))*Inputs!$C$6</f>
        <v>41753.000058772916</v>
      </c>
      <c r="Z96">
        <f t="shared" ca="1" si="33"/>
        <v>0.22930429259983845</v>
      </c>
      <c r="AA96">
        <f t="shared" ca="1" si="34"/>
        <v>0.742933437286045</v>
      </c>
      <c r="AB96">
        <f t="shared" ca="1" si="35"/>
        <v>0</v>
      </c>
      <c r="AC96" s="47">
        <f t="shared" ca="1" si="36"/>
        <v>0</v>
      </c>
      <c r="AD96">
        <f ca="1">Inputs!B16+(Inputs!D16-Inputs!B16)*BETAINV(RAND(),Model!H10,Model!I10)</f>
        <v>0.73004260929891784</v>
      </c>
      <c r="AE96">
        <f ca="1">Inputs!E16+(Inputs!G16-Inputs!E16)*BETAINV(RAND(),Model!J10,Model!K10)</f>
        <v>0.6038865204994015</v>
      </c>
      <c r="AF96">
        <f ca="1">(Inputs!H16+(Inputs!J16-Inputs!H16)*BETAINV(RAND(),Model!L10,Model!M10))*Inputs!$C$6</f>
        <v>129397.55572388464</v>
      </c>
      <c r="AG96">
        <f t="shared" ca="1" si="37"/>
        <v>0.4408628911458275</v>
      </c>
      <c r="AH96">
        <f t="shared" ca="1" si="38"/>
        <v>0.84757530802711867</v>
      </c>
      <c r="AI96">
        <f t="shared" ca="1" si="39"/>
        <v>1</v>
      </c>
      <c r="AJ96" s="47">
        <f t="shared" ca="1" si="40"/>
        <v>129397.55572388464</v>
      </c>
      <c r="AK96">
        <f t="shared" ca="1" si="41"/>
        <v>171024.51173979713</v>
      </c>
    </row>
    <row r="97" spans="2:37" x14ac:dyDescent="0.2">
      <c r="B97">
        <f ca="1">Inputs!B12+(Inputs!D12-Inputs!B12)*BETAINV(RAND(),Model!H6,Model!I6)</f>
        <v>5.139509257642902</v>
      </c>
      <c r="C97">
        <f ca="1">Inputs!E12+(Inputs!G12-Inputs!E12)*BETAINV(RAND(),Model!J6,Model!K6)</f>
        <v>0.26182742425162425</v>
      </c>
      <c r="D97">
        <f ca="1">(Inputs!H12+(Inputs!J12-Inputs!H12)*BETAINV(RAND(),Model!L6,Model!M6))*Inputs!$C$6</f>
        <v>49160.182772434353</v>
      </c>
      <c r="E97">
        <f t="shared" ca="1" si="21"/>
        <v>1.3456644708460186</v>
      </c>
      <c r="F97">
        <f t="shared" ca="1" si="22"/>
        <v>0.81587980022644702</v>
      </c>
      <c r="G97">
        <f t="shared" ca="1" si="23"/>
        <v>2</v>
      </c>
      <c r="H97" s="47">
        <f t="shared" ca="1" si="24"/>
        <v>98320.365544868706</v>
      </c>
      <c r="I97">
        <f ca="1">Inputs!B13+(Inputs!D13-Inputs!B13)*BETAINV(RAND(),Model!H7,Model!I7)</f>
        <v>1.8133593614776506</v>
      </c>
      <c r="J97">
        <f ca="1">Inputs!E13+(Inputs!G13-Inputs!E13)*BETAINV(RAND(),Model!J7,Model!K7)</f>
        <v>0.23863750303568032</v>
      </c>
      <c r="K97">
        <f ca="1">(Inputs!H13+(Inputs!J13-Inputs!H13)*BETAINV(RAND(),Model!L7,Model!M7))*Inputs!$C$6</f>
        <v>62780.53949641667</v>
      </c>
      <c r="L97">
        <f t="shared" ca="1" si="25"/>
        <v>0.43273555012940218</v>
      </c>
      <c r="M97">
        <f t="shared" ca="1" si="26"/>
        <v>0.82620610256477223</v>
      </c>
      <c r="N97">
        <f t="shared" ca="1" si="27"/>
        <v>1</v>
      </c>
      <c r="O97" s="47">
        <f t="shared" ca="1" si="28"/>
        <v>62780.53949641667</v>
      </c>
      <c r="P97">
        <f ca="1">Inputs!B14+(Inputs!D14-Inputs!B14)*BETAINV(RAND(),Model!H8,Model!I8)</f>
        <v>0.14972174976816571</v>
      </c>
      <c r="Q97">
        <f ca="1">Inputs!E14+(Inputs!G14-Inputs!E14)*BETAINV(RAND(),Model!J8,Model!K8)</f>
        <v>0.67342035069780426</v>
      </c>
      <c r="R97">
        <f ca="1">(Inputs!H14+(Inputs!J14-Inputs!H14)*BETAINV(RAND(),Model!L8,Model!M8))*Inputs!$C$6</f>
        <v>243318.52584639975</v>
      </c>
      <c r="S97">
        <f t="shared" ca="1" si="29"/>
        <v>0.10082567323596704</v>
      </c>
      <c r="T97">
        <f t="shared" ca="1" si="30"/>
        <v>0.64775209928226318</v>
      </c>
      <c r="U97">
        <f t="shared" ca="1" si="31"/>
        <v>0</v>
      </c>
      <c r="V97" s="47">
        <f t="shared" ca="1" si="32"/>
        <v>0</v>
      </c>
      <c r="W97">
        <f ca="1">Inputs!B15+(Inputs!D15-Inputs!B15)*BETAINV(RAND(),Model!H9,Model!I9)</f>
        <v>0.55263762239619152</v>
      </c>
      <c r="X97">
        <f ca="1">Inputs!E15+(Inputs!G15-Inputs!E15)*BETAINV(RAND(),Model!J9,Model!K9)</f>
        <v>0.49531572293912951</v>
      </c>
      <c r="Y97">
        <f ca="1">(Inputs!H15+(Inputs!J15-Inputs!H15)*BETAINV(RAND(),Model!L9,Model!M9))*Inputs!$C$6</f>
        <v>16141.499981754027</v>
      </c>
      <c r="Z97">
        <f t="shared" ca="1" si="33"/>
        <v>0.27373010346053128</v>
      </c>
      <c r="AA97">
        <f t="shared" ca="1" si="34"/>
        <v>0.31044841981611415</v>
      </c>
      <c r="AB97">
        <f t="shared" ca="1" si="35"/>
        <v>0</v>
      </c>
      <c r="AC97" s="47">
        <f t="shared" ca="1" si="36"/>
        <v>0</v>
      </c>
      <c r="AD97">
        <f ca="1">Inputs!B16+(Inputs!D16-Inputs!B16)*BETAINV(RAND(),Model!H10,Model!I10)</f>
        <v>0.76551613287262721</v>
      </c>
      <c r="AE97">
        <f ca="1">Inputs!E16+(Inputs!G16-Inputs!E16)*BETAINV(RAND(),Model!J10,Model!K10)</f>
        <v>0.4820680474845993</v>
      </c>
      <c r="AF97">
        <f ca="1">(Inputs!H16+(Inputs!J16-Inputs!H16)*BETAINV(RAND(),Model!L10,Model!M10))*Inputs!$C$6</f>
        <v>157030.00722197857</v>
      </c>
      <c r="AG97">
        <f t="shared" ca="1" si="37"/>
        <v>0.36903086749186848</v>
      </c>
      <c r="AH97">
        <f t="shared" ca="1" si="38"/>
        <v>0.67320030833331546</v>
      </c>
      <c r="AI97">
        <f t="shared" ca="1" si="39"/>
        <v>0</v>
      </c>
      <c r="AJ97" s="47">
        <f t="shared" ca="1" si="40"/>
        <v>0</v>
      </c>
      <c r="AK97">
        <f t="shared" ca="1" si="41"/>
        <v>161100.90504128538</v>
      </c>
    </row>
    <row r="98" spans="2:37" x14ac:dyDescent="0.2">
      <c r="B98">
        <f ca="1">Inputs!B12+(Inputs!D12-Inputs!B12)*BETAINV(RAND(),Model!H6,Model!I6)</f>
        <v>4.1721921423377974</v>
      </c>
      <c r="C98">
        <f ca="1">Inputs!E12+(Inputs!G12-Inputs!E12)*BETAINV(RAND(),Model!J6,Model!K6)</f>
        <v>0.32401035281858764</v>
      </c>
      <c r="D98">
        <f ca="1">(Inputs!H12+(Inputs!J12-Inputs!H12)*BETAINV(RAND(),Model!L6,Model!M6))*Inputs!$C$6</f>
        <v>44036.267048707487</v>
      </c>
      <c r="E98">
        <f t="shared" ca="1" si="21"/>
        <v>1.3518334480658087</v>
      </c>
      <c r="F98">
        <f t="shared" ca="1" si="22"/>
        <v>3.2921873248662137E-2</v>
      </c>
      <c r="G98">
        <f t="shared" ca="1" si="23"/>
        <v>0</v>
      </c>
      <c r="H98" s="47">
        <f t="shared" ca="1" si="24"/>
        <v>0</v>
      </c>
      <c r="I98">
        <f ca="1">Inputs!B13+(Inputs!D13-Inputs!B13)*BETAINV(RAND(),Model!H7,Model!I7)</f>
        <v>1.3108989883956106</v>
      </c>
      <c r="J98">
        <f ca="1">Inputs!E13+(Inputs!G13-Inputs!E13)*BETAINV(RAND(),Model!J7,Model!K7)</f>
        <v>0.34284341921576611</v>
      </c>
      <c r="K98">
        <f ca="1">(Inputs!H13+(Inputs!J13-Inputs!H13)*BETAINV(RAND(),Model!L7,Model!M7))*Inputs!$C$6</f>
        <v>71129.229990724169</v>
      </c>
      <c r="L98">
        <f t="shared" ca="1" si="25"/>
        <v>0.44943309142804005</v>
      </c>
      <c r="M98">
        <f t="shared" ca="1" si="26"/>
        <v>0.46563415957359211</v>
      </c>
      <c r="N98">
        <f t="shared" ca="1" si="27"/>
        <v>0</v>
      </c>
      <c r="O98" s="47">
        <f t="shared" ca="1" si="28"/>
        <v>0</v>
      </c>
      <c r="P98">
        <f ca="1">Inputs!B14+(Inputs!D14-Inputs!B14)*BETAINV(RAND(),Model!H8,Model!I8)</f>
        <v>0.31907796939084854</v>
      </c>
      <c r="Q98">
        <f ca="1">Inputs!E14+(Inputs!G14-Inputs!E14)*BETAINV(RAND(),Model!J8,Model!K8)</f>
        <v>0.68062210354768682</v>
      </c>
      <c r="R98">
        <f ca="1">(Inputs!H14+(Inputs!J14-Inputs!H14)*BETAINV(RAND(),Model!L8,Model!M8))*Inputs!$C$6</f>
        <v>317479.45882903191</v>
      </c>
      <c r="S98">
        <f t="shared" ca="1" si="29"/>
        <v>0.21717151872252377</v>
      </c>
      <c r="T98">
        <f t="shared" ca="1" si="30"/>
        <v>9.8560938553815536E-4</v>
      </c>
      <c r="U98">
        <f t="shared" ca="1" si="31"/>
        <v>0</v>
      </c>
      <c r="V98" s="47">
        <f t="shared" ca="1" si="32"/>
        <v>0</v>
      </c>
      <c r="W98">
        <f ca="1">Inputs!B15+(Inputs!D15-Inputs!B15)*BETAINV(RAND(),Model!H9,Model!I9)</f>
        <v>1.5978562507838037</v>
      </c>
      <c r="X98">
        <f ca="1">Inputs!E15+(Inputs!G15-Inputs!E15)*BETAINV(RAND(),Model!J9,Model!K9)</f>
        <v>0.3752733877129486</v>
      </c>
      <c r="Y98">
        <f ca="1">(Inputs!H15+(Inputs!J15-Inputs!H15)*BETAINV(RAND(),Model!L9,Model!M9))*Inputs!$C$6</f>
        <v>34266.94363378211</v>
      </c>
      <c r="Z98">
        <f t="shared" ca="1" si="33"/>
        <v>0.59963292830994874</v>
      </c>
      <c r="AA98">
        <f t="shared" ca="1" si="34"/>
        <v>0.54983597844005694</v>
      </c>
      <c r="AB98">
        <f t="shared" ca="1" si="35"/>
        <v>1</v>
      </c>
      <c r="AC98" s="47">
        <f t="shared" ca="1" si="36"/>
        <v>34266.94363378211</v>
      </c>
      <c r="AD98">
        <f ca="1">Inputs!B16+(Inputs!D16-Inputs!B16)*BETAINV(RAND(),Model!H10,Model!I10)</f>
        <v>0.37861733301314648</v>
      </c>
      <c r="AE98">
        <f ca="1">Inputs!E16+(Inputs!G16-Inputs!E16)*BETAINV(RAND(),Model!J10,Model!K10)</f>
        <v>0.48273369734452315</v>
      </c>
      <c r="AF98">
        <f ca="1">(Inputs!H16+(Inputs!J16-Inputs!H16)*BETAINV(RAND(),Model!L10,Model!M10))*Inputs!$C$6</f>
        <v>79811.767038650913</v>
      </c>
      <c r="AG98">
        <f t="shared" ca="1" si="37"/>
        <v>0.18277134504415879</v>
      </c>
      <c r="AH98">
        <f t="shared" ca="1" si="38"/>
        <v>0.12367316219943425</v>
      </c>
      <c r="AI98">
        <f t="shared" ca="1" si="39"/>
        <v>0</v>
      </c>
      <c r="AJ98" s="47">
        <f t="shared" ca="1" si="40"/>
        <v>0</v>
      </c>
      <c r="AK98">
        <f t="shared" ca="1" si="41"/>
        <v>34266.94363378211</v>
      </c>
    </row>
    <row r="99" spans="2:37" x14ac:dyDescent="0.2">
      <c r="B99">
        <f ca="1">Inputs!B12+(Inputs!D12-Inputs!B12)*BETAINV(RAND(),Model!H6,Model!I6)</f>
        <v>4.4200397163585992</v>
      </c>
      <c r="C99">
        <f ca="1">Inputs!E12+(Inputs!G12-Inputs!E12)*BETAINV(RAND(),Model!J6,Model!K6)</f>
        <v>0.30195605199987885</v>
      </c>
      <c r="D99">
        <f ca="1">(Inputs!H12+(Inputs!J12-Inputs!H12)*BETAINV(RAND(),Model!L6,Model!M6))*Inputs!$C$6</f>
        <v>20039.367730350565</v>
      </c>
      <c r="E99">
        <f t="shared" ca="1" si="21"/>
        <v>1.3346577424343069</v>
      </c>
      <c r="F99">
        <f t="shared" ca="1" si="22"/>
        <v>0.48019641722439455</v>
      </c>
      <c r="G99">
        <f t="shared" ca="1" si="23"/>
        <v>1</v>
      </c>
      <c r="H99" s="47">
        <f t="shared" ca="1" si="24"/>
        <v>20039.367730350565</v>
      </c>
      <c r="I99">
        <f ca="1">Inputs!B13+(Inputs!D13-Inputs!B13)*BETAINV(RAND(),Model!H7,Model!I7)</f>
        <v>1.4328308803308882</v>
      </c>
      <c r="J99">
        <f ca="1">Inputs!E13+(Inputs!G13-Inputs!E13)*BETAINV(RAND(),Model!J7,Model!K7)</f>
        <v>0.16723343137832331</v>
      </c>
      <c r="K99">
        <f ca="1">(Inputs!H13+(Inputs!J13-Inputs!H13)*BETAINV(RAND(),Model!L7,Model!M7))*Inputs!$C$6</f>
        <v>57036.135984602115</v>
      </c>
      <c r="L99">
        <f t="shared" ca="1" si="25"/>
        <v>0.23961722470255817</v>
      </c>
      <c r="M99">
        <f t="shared" ca="1" si="26"/>
        <v>0.55066555881134505</v>
      </c>
      <c r="N99">
        <f t="shared" ca="1" si="27"/>
        <v>0</v>
      </c>
      <c r="O99" s="47">
        <f t="shared" ca="1" si="28"/>
        <v>0</v>
      </c>
      <c r="P99">
        <f ca="1">Inputs!B14+(Inputs!D14-Inputs!B14)*BETAINV(RAND(),Model!H8,Model!I8)</f>
        <v>0.28936444125367888</v>
      </c>
      <c r="Q99">
        <f ca="1">Inputs!E14+(Inputs!G14-Inputs!E14)*BETAINV(RAND(),Model!J8,Model!K8)</f>
        <v>0.63306624781677945</v>
      </c>
      <c r="R99">
        <f ca="1">(Inputs!H14+(Inputs!J14-Inputs!H14)*BETAINV(RAND(),Model!L8,Model!M8))*Inputs!$C$6</f>
        <v>411399.19799931417</v>
      </c>
      <c r="S99">
        <f t="shared" ca="1" si="29"/>
        <v>0.18318686107606538</v>
      </c>
      <c r="T99">
        <f t="shared" ca="1" si="30"/>
        <v>0.94864552497425314</v>
      </c>
      <c r="U99">
        <f t="shared" ca="1" si="31"/>
        <v>1</v>
      </c>
      <c r="V99" s="47">
        <f t="shared" ca="1" si="32"/>
        <v>411399.19799931417</v>
      </c>
      <c r="W99">
        <f ca="1">Inputs!B15+(Inputs!D15-Inputs!B15)*BETAINV(RAND(),Model!H9,Model!I9)</f>
        <v>1.5839040180682724</v>
      </c>
      <c r="X99">
        <f ca="1">Inputs!E15+(Inputs!G15-Inputs!E15)*BETAINV(RAND(),Model!J9,Model!K9)</f>
        <v>0.34288722506625924</v>
      </c>
      <c r="Y99">
        <f ca="1">(Inputs!H15+(Inputs!J15-Inputs!H15)*BETAINV(RAND(),Model!L9,Model!M9))*Inputs!$C$6</f>
        <v>9010.4244551571137</v>
      </c>
      <c r="Z99">
        <f t="shared" ca="1" si="33"/>
        <v>0.54310045352672809</v>
      </c>
      <c r="AA99">
        <f t="shared" ca="1" si="34"/>
        <v>0.27553699153255951</v>
      </c>
      <c r="AB99">
        <f t="shared" ca="1" si="35"/>
        <v>0</v>
      </c>
      <c r="AC99" s="47">
        <f t="shared" ca="1" si="36"/>
        <v>0</v>
      </c>
      <c r="AD99">
        <f ca="1">Inputs!B16+(Inputs!D16-Inputs!B16)*BETAINV(RAND(),Model!H10,Model!I10)</f>
        <v>0.57953441847709974</v>
      </c>
      <c r="AE99">
        <f ca="1">Inputs!E16+(Inputs!G16-Inputs!E16)*BETAINV(RAND(),Model!J10,Model!K10)</f>
        <v>0.47476590972885069</v>
      </c>
      <c r="AF99">
        <f ca="1">(Inputs!H16+(Inputs!J16-Inputs!H16)*BETAINV(RAND(),Model!L10,Model!M10))*Inputs!$C$6</f>
        <v>75054.328861721762</v>
      </c>
      <c r="AG99">
        <f t="shared" ca="1" si="37"/>
        <v>0.27514318540746069</v>
      </c>
      <c r="AH99">
        <f t="shared" ca="1" si="38"/>
        <v>0.82989465134554508</v>
      </c>
      <c r="AI99">
        <f t="shared" ca="1" si="39"/>
        <v>1</v>
      </c>
      <c r="AJ99" s="47">
        <f t="shared" ca="1" si="40"/>
        <v>75054.328861721762</v>
      </c>
      <c r="AK99">
        <f t="shared" ca="1" si="41"/>
        <v>506492.89459138655</v>
      </c>
    </row>
    <row r="100" spans="2:37" x14ac:dyDescent="0.2">
      <c r="B100">
        <f ca="1">Inputs!B12+(Inputs!D12-Inputs!B12)*BETAINV(RAND(),Model!H6,Model!I6)</f>
        <v>2.963221039918027</v>
      </c>
      <c r="C100">
        <f ca="1">Inputs!E12+(Inputs!G12-Inputs!E12)*BETAINV(RAND(),Model!J6,Model!K6)</f>
        <v>0.29288764460728905</v>
      </c>
      <c r="D100">
        <f ca="1">(Inputs!H12+(Inputs!J12-Inputs!H12)*BETAINV(RAND(),Model!L6,Model!M6))*Inputs!$C$6</f>
        <v>15836.637824131587</v>
      </c>
      <c r="E100">
        <f t="shared" ca="1" si="21"/>
        <v>0.86789083083235263</v>
      </c>
      <c r="F100">
        <f t="shared" ca="1" si="22"/>
        <v>0.49442804242284755</v>
      </c>
      <c r="G100">
        <f t="shared" ca="1" si="23"/>
        <v>1</v>
      </c>
      <c r="H100" s="47">
        <f t="shared" ca="1" si="24"/>
        <v>15836.637824131587</v>
      </c>
      <c r="I100">
        <f ca="1">Inputs!B13+(Inputs!D13-Inputs!B13)*BETAINV(RAND(),Model!H7,Model!I7)</f>
        <v>2.4791112982584105</v>
      </c>
      <c r="J100">
        <f ca="1">Inputs!E13+(Inputs!G13-Inputs!E13)*BETAINV(RAND(),Model!J7,Model!K7)</f>
        <v>0.25662054768713743</v>
      </c>
      <c r="K100">
        <f ca="1">(Inputs!H13+(Inputs!J13-Inputs!H13)*BETAINV(RAND(),Model!L7,Model!M7))*Inputs!$C$6</f>
        <v>71131.868945038193</v>
      </c>
      <c r="L100">
        <f t="shared" ca="1" si="25"/>
        <v>0.63619089913644367</v>
      </c>
      <c r="M100">
        <f t="shared" ca="1" si="26"/>
        <v>0.71540154111777421</v>
      </c>
      <c r="N100">
        <f t="shared" ca="1" si="27"/>
        <v>1</v>
      </c>
      <c r="O100" s="47">
        <f t="shared" ca="1" si="28"/>
        <v>71131.868945038193</v>
      </c>
      <c r="P100">
        <f ca="1">Inputs!B14+(Inputs!D14-Inputs!B14)*BETAINV(RAND(),Model!H8,Model!I8)</f>
        <v>0.29808577154740729</v>
      </c>
      <c r="Q100">
        <f ca="1">Inputs!E14+(Inputs!G14-Inputs!E14)*BETAINV(RAND(),Model!J8,Model!K8)</f>
        <v>0.60389979635934665</v>
      </c>
      <c r="R100">
        <f ca="1">(Inputs!H14+(Inputs!J14-Inputs!H14)*BETAINV(RAND(),Model!L8,Model!M8))*Inputs!$C$6</f>
        <v>257731.24629953699</v>
      </c>
      <c r="S100">
        <f t="shared" ca="1" si="29"/>
        <v>0.180013936735098</v>
      </c>
      <c r="T100">
        <f t="shared" ca="1" si="30"/>
        <v>0.78051323978890785</v>
      </c>
      <c r="U100">
        <f t="shared" ca="1" si="31"/>
        <v>0</v>
      </c>
      <c r="V100" s="47">
        <f t="shared" ca="1" si="32"/>
        <v>0</v>
      </c>
      <c r="W100">
        <f ca="1">Inputs!B15+(Inputs!D15-Inputs!B15)*BETAINV(RAND(),Model!H9,Model!I9)</f>
        <v>1.3552757807950784</v>
      </c>
      <c r="X100">
        <f ca="1">Inputs!E15+(Inputs!G15-Inputs!E15)*BETAINV(RAND(),Model!J9,Model!K9)</f>
        <v>0.36760872226398938</v>
      </c>
      <c r="Y100">
        <f ca="1">(Inputs!H15+(Inputs!J15-Inputs!H15)*BETAINV(RAND(),Model!L9,Model!M9))*Inputs!$C$6</f>
        <v>41036.966993103277</v>
      </c>
      <c r="Z100">
        <f t="shared" ca="1" si="33"/>
        <v>0.4982111980934093</v>
      </c>
      <c r="AA100">
        <f t="shared" ca="1" si="34"/>
        <v>0.10810594816064656</v>
      </c>
      <c r="AB100">
        <f t="shared" ca="1" si="35"/>
        <v>0</v>
      </c>
      <c r="AC100" s="47">
        <f t="shared" ca="1" si="36"/>
        <v>0</v>
      </c>
      <c r="AD100">
        <f ca="1">Inputs!B16+(Inputs!D16-Inputs!B16)*BETAINV(RAND(),Model!H10,Model!I10)</f>
        <v>0.72710265162984111</v>
      </c>
      <c r="AE100">
        <f ca="1">Inputs!E16+(Inputs!G16-Inputs!E16)*BETAINV(RAND(),Model!J10,Model!K10)</f>
        <v>0.65060458119139608</v>
      </c>
      <c r="AF100">
        <f ca="1">(Inputs!H16+(Inputs!J16-Inputs!H16)*BETAINV(RAND(),Model!L10,Model!M10))*Inputs!$C$6</f>
        <v>132604.34243816399</v>
      </c>
      <c r="AG100">
        <f t="shared" ca="1" si="37"/>
        <v>0.47305631614678634</v>
      </c>
      <c r="AH100">
        <f t="shared" ca="1" si="38"/>
        <v>0.1494768295842035</v>
      </c>
      <c r="AI100">
        <f t="shared" ca="1" si="39"/>
        <v>0</v>
      </c>
      <c r="AJ100" s="47">
        <f t="shared" ca="1" si="40"/>
        <v>0</v>
      </c>
      <c r="AK100">
        <f t="shared" ca="1" si="41"/>
        <v>86968.506769169777</v>
      </c>
    </row>
    <row r="101" spans="2:37" x14ac:dyDescent="0.2">
      <c r="B101">
        <f ca="1">Inputs!B12+(Inputs!D12-Inputs!B12)*BETAINV(RAND(),Model!H6,Model!I6)</f>
        <v>4.9948723863881686</v>
      </c>
      <c r="C101">
        <f ca="1">Inputs!E12+(Inputs!G12-Inputs!E12)*BETAINV(RAND(),Model!J6,Model!K6)</f>
        <v>0.37169828109589698</v>
      </c>
      <c r="D101">
        <f ca="1">(Inputs!H12+(Inputs!J12-Inputs!H12)*BETAINV(RAND(),Model!L6,Model!M6))*Inputs!$C$6</f>
        <v>38614.12307115618</v>
      </c>
      <c r="E101">
        <f t="shared" ca="1" si="21"/>
        <v>1.8565854803138433</v>
      </c>
      <c r="F101">
        <f t="shared" ca="1" si="22"/>
        <v>0.34182829262961789</v>
      </c>
      <c r="G101">
        <f t="shared" ca="1" si="23"/>
        <v>1</v>
      </c>
      <c r="H101" s="47">
        <f t="shared" ca="1" si="24"/>
        <v>38614.12307115618</v>
      </c>
      <c r="I101">
        <f ca="1">Inputs!B13+(Inputs!D13-Inputs!B13)*BETAINV(RAND(),Model!H7,Model!I7)</f>
        <v>2.0358281504553171</v>
      </c>
      <c r="J101">
        <f ca="1">Inputs!E13+(Inputs!G13-Inputs!E13)*BETAINV(RAND(),Model!J7,Model!K7)</f>
        <v>0.22799378834829814</v>
      </c>
      <c r="K101">
        <f ca="1">(Inputs!H13+(Inputs!J13-Inputs!H13)*BETAINV(RAND(),Model!L7,Model!M7))*Inputs!$C$6</f>
        <v>21593.276331599005</v>
      </c>
      <c r="L101">
        <f t="shared" ca="1" si="25"/>
        <v>0.46415617244841684</v>
      </c>
      <c r="M101">
        <f t="shared" ca="1" si="26"/>
        <v>0.13982218292032467</v>
      </c>
      <c r="N101">
        <f t="shared" ca="1" si="27"/>
        <v>0</v>
      </c>
      <c r="O101" s="47">
        <f t="shared" ca="1" si="28"/>
        <v>0</v>
      </c>
      <c r="P101">
        <f ca="1">Inputs!B14+(Inputs!D14-Inputs!B14)*BETAINV(RAND(),Model!H8,Model!I8)</f>
        <v>0.42098694882128329</v>
      </c>
      <c r="Q101">
        <f ca="1">Inputs!E14+(Inputs!G14-Inputs!E14)*BETAINV(RAND(),Model!J8,Model!K8)</f>
        <v>0.48481328831598086</v>
      </c>
      <c r="R101">
        <f ca="1">(Inputs!H14+(Inputs!J14-Inputs!H14)*BETAINV(RAND(),Model!L8,Model!M8))*Inputs!$C$6</f>
        <v>312111.36888772331</v>
      </c>
      <c r="S101">
        <f t="shared" ca="1" si="29"/>
        <v>0.2041000669961579</v>
      </c>
      <c r="T101">
        <f t="shared" ca="1" si="30"/>
        <v>0.36255258433987259</v>
      </c>
      <c r="U101">
        <f t="shared" ca="1" si="31"/>
        <v>0</v>
      </c>
      <c r="V101" s="47">
        <f t="shared" ca="1" si="32"/>
        <v>0</v>
      </c>
      <c r="W101">
        <f ca="1">Inputs!B15+(Inputs!D15-Inputs!B15)*BETAINV(RAND(),Model!H9,Model!I9)</f>
        <v>1.134917610663599</v>
      </c>
      <c r="X101">
        <f ca="1">Inputs!E15+(Inputs!G15-Inputs!E15)*BETAINV(RAND(),Model!J9,Model!K9)</f>
        <v>0.46217964620437457</v>
      </c>
      <c r="Y101">
        <f ca="1">(Inputs!H15+(Inputs!J15-Inputs!H15)*BETAINV(RAND(),Model!L9,Model!M9))*Inputs!$C$6</f>
        <v>35706.162071953237</v>
      </c>
      <c r="Z101">
        <f t="shared" ca="1" si="33"/>
        <v>0.52453581976761632</v>
      </c>
      <c r="AA101">
        <f t="shared" ca="1" si="34"/>
        <v>0.67872514450685217</v>
      </c>
      <c r="AB101">
        <f t="shared" ca="1" si="35"/>
        <v>1</v>
      </c>
      <c r="AC101" s="47">
        <f t="shared" ca="1" si="36"/>
        <v>35706.162071953237</v>
      </c>
      <c r="AD101">
        <f ca="1">Inputs!B16+(Inputs!D16-Inputs!B16)*BETAINV(RAND(),Model!H10,Model!I10)</f>
        <v>0.58652858493021021</v>
      </c>
      <c r="AE101">
        <f ca="1">Inputs!E16+(Inputs!G16-Inputs!E16)*BETAINV(RAND(),Model!J10,Model!K10)</f>
        <v>0.74516882292941311</v>
      </c>
      <c r="AF101">
        <f ca="1">(Inputs!H16+(Inputs!J16-Inputs!H16)*BETAINV(RAND(),Model!L10,Model!M10))*Inputs!$C$6</f>
        <v>96089.192751269933</v>
      </c>
      <c r="AG101">
        <f t="shared" ca="1" si="37"/>
        <v>0.43706281524689905</v>
      </c>
      <c r="AH101">
        <f t="shared" ca="1" si="38"/>
        <v>0.9632575058934667</v>
      </c>
      <c r="AI101">
        <f t="shared" ca="1" si="39"/>
        <v>2</v>
      </c>
      <c r="AJ101" s="47">
        <f t="shared" ca="1" si="40"/>
        <v>192178.38550253987</v>
      </c>
      <c r="AK101">
        <f t="shared" ca="1" si="41"/>
        <v>266498.67064564931</v>
      </c>
    </row>
    <row r="102" spans="2:37" x14ac:dyDescent="0.2">
      <c r="B102">
        <f ca="1">Inputs!B12+(Inputs!D12-Inputs!B12)*BETAINV(RAND(),Model!H6,Model!I6)</f>
        <v>2.0437069921155246</v>
      </c>
      <c r="C102">
        <f ca="1">Inputs!E12+(Inputs!G12-Inputs!E12)*BETAINV(RAND(),Model!J6,Model!K6)</f>
        <v>0.26668532181198989</v>
      </c>
      <c r="D102">
        <f ca="1">(Inputs!H12+(Inputs!J12-Inputs!H12)*BETAINV(RAND(),Model!L6,Model!M6))*Inputs!$C$6</f>
        <v>34121.657398783813</v>
      </c>
      <c r="E102">
        <f t="shared" ca="1" si="21"/>
        <v>0.54502665688174257</v>
      </c>
      <c r="F102">
        <f t="shared" ca="1" si="22"/>
        <v>5.1395594452515514E-2</v>
      </c>
      <c r="G102">
        <f t="shared" ca="1" si="23"/>
        <v>0</v>
      </c>
      <c r="H102" s="47">
        <f t="shared" ca="1" si="24"/>
        <v>0</v>
      </c>
      <c r="I102">
        <f ca="1">Inputs!B13+(Inputs!D13-Inputs!B13)*BETAINV(RAND(),Model!H7,Model!I7)</f>
        <v>2.4630907287373631</v>
      </c>
      <c r="J102">
        <f ca="1">Inputs!E13+(Inputs!G13-Inputs!E13)*BETAINV(RAND(),Model!J7,Model!K7)</f>
        <v>0.36655158455244508</v>
      </c>
      <c r="K102">
        <f ca="1">(Inputs!H13+(Inputs!J13-Inputs!H13)*BETAINV(RAND(),Model!L7,Model!M7))*Inputs!$C$6</f>
        <v>40085.203723535189</v>
      </c>
      <c r="L102">
        <f t="shared" ca="1" si="25"/>
        <v>0.90284980951511706</v>
      </c>
      <c r="M102">
        <f t="shared" ca="1" si="26"/>
        <v>0.40978002256294321</v>
      </c>
      <c r="N102">
        <f t="shared" ca="1" si="27"/>
        <v>1</v>
      </c>
      <c r="O102" s="47">
        <f t="shared" ca="1" si="28"/>
        <v>40085.203723535189</v>
      </c>
      <c r="P102">
        <f ca="1">Inputs!B14+(Inputs!D14-Inputs!B14)*BETAINV(RAND(),Model!H8,Model!I8)</f>
        <v>0.38584839084002598</v>
      </c>
      <c r="Q102">
        <f ca="1">Inputs!E14+(Inputs!G14-Inputs!E14)*BETAINV(RAND(),Model!J8,Model!K8)</f>
        <v>0.73817473637664888</v>
      </c>
      <c r="R102">
        <f ca="1">(Inputs!H14+(Inputs!J14-Inputs!H14)*BETAINV(RAND(),Model!L8,Model!M8))*Inputs!$C$6</f>
        <v>249357.98823994442</v>
      </c>
      <c r="S102">
        <f t="shared" ca="1" si="29"/>
        <v>0.28482353418969036</v>
      </c>
      <c r="T102">
        <f t="shared" ca="1" si="30"/>
        <v>0.60055925356639894</v>
      </c>
      <c r="U102">
        <f t="shared" ca="1" si="31"/>
        <v>0</v>
      </c>
      <c r="V102" s="47">
        <f t="shared" ca="1" si="32"/>
        <v>0</v>
      </c>
      <c r="W102">
        <f ca="1">Inputs!B15+(Inputs!D15-Inputs!B15)*BETAINV(RAND(),Model!H9,Model!I9)</f>
        <v>0.7035464969968922</v>
      </c>
      <c r="X102">
        <f ca="1">Inputs!E15+(Inputs!G15-Inputs!E15)*BETAINV(RAND(),Model!J9,Model!K9)</f>
        <v>0.49532842954907086</v>
      </c>
      <c r="Y102">
        <f ca="1">(Inputs!H15+(Inputs!J15-Inputs!H15)*BETAINV(RAND(),Model!L9,Model!M9))*Inputs!$C$6</f>
        <v>31100.081492596906</v>
      </c>
      <c r="Z102">
        <f t="shared" ca="1" si="33"/>
        <v>0.34848658147222072</v>
      </c>
      <c r="AA102">
        <f t="shared" ca="1" si="34"/>
        <v>0.31646207593682629</v>
      </c>
      <c r="AB102">
        <f t="shared" ca="1" si="35"/>
        <v>0</v>
      </c>
      <c r="AC102" s="47">
        <f t="shared" ca="1" si="36"/>
        <v>0</v>
      </c>
      <c r="AD102">
        <f ca="1">Inputs!B16+(Inputs!D16-Inputs!B16)*BETAINV(RAND(),Model!H10,Model!I10)</f>
        <v>1.09719847014387</v>
      </c>
      <c r="AE102">
        <f ca="1">Inputs!E16+(Inputs!G16-Inputs!E16)*BETAINV(RAND(),Model!J10,Model!K10)</f>
        <v>0.60165124872942388</v>
      </c>
      <c r="AF102">
        <f ca="1">(Inputs!H16+(Inputs!J16-Inputs!H16)*BETAINV(RAND(),Model!L10,Model!M10))*Inputs!$C$6</f>
        <v>117514.32122902095</v>
      </c>
      <c r="AG102">
        <f t="shared" ca="1" si="37"/>
        <v>0.66013082966607284</v>
      </c>
      <c r="AH102">
        <f t="shared" ca="1" si="38"/>
        <v>0.24773781261735006</v>
      </c>
      <c r="AI102">
        <f t="shared" ca="1" si="39"/>
        <v>0</v>
      </c>
      <c r="AJ102" s="47">
        <f t="shared" ca="1" si="40"/>
        <v>0</v>
      </c>
      <c r="AK102">
        <f t="shared" ca="1" si="41"/>
        <v>40085.203723535189</v>
      </c>
    </row>
    <row r="103" spans="2:37" x14ac:dyDescent="0.2">
      <c r="B103">
        <f ca="1">Inputs!B12+(Inputs!D12-Inputs!B12)*BETAINV(RAND(),Model!H6,Model!I6)</f>
        <v>2.9899762005903021</v>
      </c>
      <c r="C103">
        <f ca="1">Inputs!E12+(Inputs!G12-Inputs!E12)*BETAINV(RAND(),Model!J6,Model!K6)</f>
        <v>0.50195816150991834</v>
      </c>
      <c r="D103">
        <f ca="1">(Inputs!H12+(Inputs!J12-Inputs!H12)*BETAINV(RAND(),Model!L6,Model!M6))*Inputs!$C$6</f>
        <v>26812.301448758197</v>
      </c>
      <c r="E103">
        <f t="shared" ca="1" si="21"/>
        <v>1.500842956606719</v>
      </c>
      <c r="F103">
        <f t="shared" ca="1" si="22"/>
        <v>0.20806721995701638</v>
      </c>
      <c r="G103">
        <f t="shared" ca="1" si="23"/>
        <v>0</v>
      </c>
      <c r="H103" s="47">
        <f t="shared" ca="1" si="24"/>
        <v>0</v>
      </c>
      <c r="I103">
        <f ca="1">Inputs!B13+(Inputs!D13-Inputs!B13)*BETAINV(RAND(),Model!H7,Model!I7)</f>
        <v>1.6808107412598747</v>
      </c>
      <c r="J103">
        <f ca="1">Inputs!E13+(Inputs!G13-Inputs!E13)*BETAINV(RAND(),Model!J7,Model!K7)</f>
        <v>0.3260893379194082</v>
      </c>
      <c r="K103">
        <f ca="1">(Inputs!H13+(Inputs!J13-Inputs!H13)*BETAINV(RAND(),Model!L7,Model!M7))*Inputs!$C$6</f>
        <v>23946.286324030709</v>
      </c>
      <c r="L103">
        <f t="shared" ca="1" si="25"/>
        <v>0.54809446178526222</v>
      </c>
      <c r="M103">
        <f t="shared" ca="1" si="26"/>
        <v>0.8441233162772882</v>
      </c>
      <c r="N103">
        <f t="shared" ca="1" si="27"/>
        <v>1</v>
      </c>
      <c r="O103" s="47">
        <f t="shared" ca="1" si="28"/>
        <v>23946.286324030709</v>
      </c>
      <c r="P103">
        <f ca="1">Inputs!B14+(Inputs!D14-Inputs!B14)*BETAINV(RAND(),Model!H8,Model!I8)</f>
        <v>0.43379182755038104</v>
      </c>
      <c r="Q103">
        <f ca="1">Inputs!E14+(Inputs!G14-Inputs!E14)*BETAINV(RAND(),Model!J8,Model!K8)</f>
        <v>0.69865482434622028</v>
      </c>
      <c r="R103">
        <f ca="1">(Inputs!H14+(Inputs!J14-Inputs!H14)*BETAINV(RAND(),Model!L8,Model!M8))*Inputs!$C$6</f>
        <v>275492.14088572637</v>
      </c>
      <c r="S103">
        <f t="shared" ca="1" si="29"/>
        <v>0.30307075308003734</v>
      </c>
      <c r="T103">
        <f t="shared" ca="1" si="30"/>
        <v>0.9401858925195955</v>
      </c>
      <c r="U103">
        <f t="shared" ca="1" si="31"/>
        <v>1</v>
      </c>
      <c r="V103" s="47">
        <f t="shared" ca="1" si="32"/>
        <v>275492.14088572637</v>
      </c>
      <c r="W103">
        <f ca="1">Inputs!B15+(Inputs!D15-Inputs!B15)*BETAINV(RAND(),Model!H9,Model!I9)</f>
        <v>1.9652724067712388</v>
      </c>
      <c r="X103">
        <f ca="1">Inputs!E15+(Inputs!G15-Inputs!E15)*BETAINV(RAND(),Model!J9,Model!K9)</f>
        <v>0.6184326608209163</v>
      </c>
      <c r="Y103">
        <f ca="1">(Inputs!H15+(Inputs!J15-Inputs!H15)*BETAINV(RAND(),Model!L9,Model!M9))*Inputs!$C$6</f>
        <v>22998.683784922803</v>
      </c>
      <c r="Z103">
        <f t="shared" ca="1" si="33"/>
        <v>1.2153886437574635</v>
      </c>
      <c r="AA103">
        <f t="shared" ca="1" si="34"/>
        <v>0.49061328979408381</v>
      </c>
      <c r="AB103">
        <f t="shared" ca="1" si="35"/>
        <v>1</v>
      </c>
      <c r="AC103" s="47">
        <f t="shared" ca="1" si="36"/>
        <v>22998.683784922803</v>
      </c>
      <c r="AD103">
        <f ca="1">Inputs!B16+(Inputs!D16-Inputs!B16)*BETAINV(RAND(),Model!H10,Model!I10)</f>
        <v>0.64303995306716233</v>
      </c>
      <c r="AE103">
        <f ca="1">Inputs!E16+(Inputs!G16-Inputs!E16)*BETAINV(RAND(),Model!J10,Model!K10)</f>
        <v>0.55316530850352597</v>
      </c>
      <c r="AF103">
        <f ca="1">(Inputs!H16+(Inputs!J16-Inputs!H16)*BETAINV(RAND(),Model!L10,Model!M10))*Inputs!$C$6</f>
        <v>67768.839332245145</v>
      </c>
      <c r="AG103">
        <f t="shared" ca="1" si="37"/>
        <v>0.35570739401848972</v>
      </c>
      <c r="AH103">
        <f t="shared" ca="1" si="38"/>
        <v>0.99588731863025171</v>
      </c>
      <c r="AI103">
        <f t="shared" ca="1" si="39"/>
        <v>3</v>
      </c>
      <c r="AJ103" s="47">
        <f t="shared" ca="1" si="40"/>
        <v>203306.51799673543</v>
      </c>
      <c r="AK103">
        <f t="shared" ca="1" si="41"/>
        <v>525743.62899141537</v>
      </c>
    </row>
    <row r="104" spans="2:37" x14ac:dyDescent="0.2">
      <c r="B104">
        <f ca="1">Inputs!B12+(Inputs!D12-Inputs!B12)*BETAINV(RAND(),Model!H6,Model!I6)</f>
        <v>4.6441457930779535</v>
      </c>
      <c r="C104">
        <f ca="1">Inputs!E12+(Inputs!G12-Inputs!E12)*BETAINV(RAND(),Model!J6,Model!K6)</f>
        <v>0.3536818341872936</v>
      </c>
      <c r="D104">
        <f ca="1">(Inputs!H12+(Inputs!J12-Inputs!H12)*BETAINV(RAND(),Model!L6,Model!M6))*Inputs!$C$6</f>
        <v>27322.995540113516</v>
      </c>
      <c r="E104">
        <f t="shared" ca="1" si="21"/>
        <v>1.6425500023290138</v>
      </c>
      <c r="F104">
        <f t="shared" ca="1" si="22"/>
        <v>0.41232375190561699</v>
      </c>
      <c r="G104">
        <f t="shared" ca="1" si="23"/>
        <v>1</v>
      </c>
      <c r="H104" s="47">
        <f t="shared" ca="1" si="24"/>
        <v>27322.995540113516</v>
      </c>
      <c r="I104">
        <f ca="1">Inputs!B13+(Inputs!D13-Inputs!B13)*BETAINV(RAND(),Model!H7,Model!I7)</f>
        <v>1.1645176565329931</v>
      </c>
      <c r="J104">
        <f ca="1">Inputs!E13+(Inputs!G13-Inputs!E13)*BETAINV(RAND(),Model!J7,Model!K7)</f>
        <v>0.14811607850245925</v>
      </c>
      <c r="K104">
        <f ca="1">(Inputs!H13+(Inputs!J13-Inputs!H13)*BETAINV(RAND(),Model!L7,Model!M7))*Inputs!$C$6</f>
        <v>13395.031736925679</v>
      </c>
      <c r="L104">
        <f t="shared" ca="1" si="25"/>
        <v>0.17248378863254069</v>
      </c>
      <c r="M104">
        <f t="shared" ca="1" si="26"/>
        <v>0.60114676393711386</v>
      </c>
      <c r="N104">
        <f t="shared" ca="1" si="27"/>
        <v>0</v>
      </c>
      <c r="O104" s="47">
        <f t="shared" ca="1" si="28"/>
        <v>0</v>
      </c>
      <c r="P104">
        <f ca="1">Inputs!B14+(Inputs!D14-Inputs!B14)*BETAINV(RAND(),Model!H8,Model!I8)</f>
        <v>0.22302943050336504</v>
      </c>
      <c r="Q104">
        <f ca="1">Inputs!E14+(Inputs!G14-Inputs!E14)*BETAINV(RAND(),Model!J8,Model!K8)</f>
        <v>0.55335321503832824</v>
      </c>
      <c r="R104">
        <f ca="1">(Inputs!H14+(Inputs!J14-Inputs!H14)*BETAINV(RAND(),Model!L8,Model!M8))*Inputs!$C$6</f>
        <v>454981.97766243812</v>
      </c>
      <c r="S104">
        <f t="shared" ca="1" si="29"/>
        <v>0.12341405241720445</v>
      </c>
      <c r="T104">
        <f t="shared" ca="1" si="30"/>
        <v>0.33812866931195451</v>
      </c>
      <c r="U104">
        <f t="shared" ca="1" si="31"/>
        <v>0</v>
      </c>
      <c r="V104" s="47">
        <f t="shared" ca="1" si="32"/>
        <v>0</v>
      </c>
      <c r="W104">
        <f ca="1">Inputs!B15+(Inputs!D15-Inputs!B15)*BETAINV(RAND(),Model!H9,Model!I9)</f>
        <v>1.8749878835395868</v>
      </c>
      <c r="X104">
        <f ca="1">Inputs!E15+(Inputs!G15-Inputs!E15)*BETAINV(RAND(),Model!J9,Model!K9)</f>
        <v>0.60581646354324037</v>
      </c>
      <c r="Y104">
        <f ca="1">(Inputs!H15+(Inputs!J15-Inputs!H15)*BETAINV(RAND(),Model!L9,Model!M9))*Inputs!$C$6</f>
        <v>34199.281612543615</v>
      </c>
      <c r="Z104">
        <f t="shared" ca="1" si="33"/>
        <v>1.1358985287923775</v>
      </c>
      <c r="AA104">
        <f t="shared" ca="1" si="34"/>
        <v>0.35314217056794739</v>
      </c>
      <c r="AB104">
        <f t="shared" ca="1" si="35"/>
        <v>1</v>
      </c>
      <c r="AC104" s="47">
        <f t="shared" ca="1" si="36"/>
        <v>34199.281612543615</v>
      </c>
      <c r="AD104">
        <f ca="1">Inputs!B16+(Inputs!D16-Inputs!B16)*BETAINV(RAND(),Model!H10,Model!I10)</f>
        <v>0.64826094029532444</v>
      </c>
      <c r="AE104">
        <f ca="1">Inputs!E16+(Inputs!G16-Inputs!E16)*BETAINV(RAND(),Model!J10,Model!K10)</f>
        <v>0.66396914670590101</v>
      </c>
      <c r="AF104">
        <f ca="1">(Inputs!H16+(Inputs!J16-Inputs!H16)*BETAINV(RAND(),Model!L10,Model!M10))*Inputs!$C$6</f>
        <v>103988.93732016126</v>
      </c>
      <c r="AG104">
        <f t="shared" ca="1" si="37"/>
        <v>0.43042526337065162</v>
      </c>
      <c r="AH104">
        <f t="shared" ca="1" si="38"/>
        <v>0.43164816717712706</v>
      </c>
      <c r="AI104">
        <f t="shared" ca="1" si="39"/>
        <v>0</v>
      </c>
      <c r="AJ104" s="47">
        <f t="shared" ca="1" si="40"/>
        <v>0</v>
      </c>
      <c r="AK104">
        <f t="shared" ca="1" si="41"/>
        <v>61522.277152657131</v>
      </c>
    </row>
    <row r="105" spans="2:37" x14ac:dyDescent="0.2">
      <c r="B105">
        <f ca="1">Inputs!B12+(Inputs!D12-Inputs!B12)*BETAINV(RAND(),Model!H6,Model!I6)</f>
        <v>3.2790785351139542</v>
      </c>
      <c r="C105">
        <f ca="1">Inputs!E12+(Inputs!G12-Inputs!E12)*BETAINV(RAND(),Model!J6,Model!K6)</f>
        <v>0.30232695873088788</v>
      </c>
      <c r="D105">
        <f ca="1">(Inputs!H12+(Inputs!J12-Inputs!H12)*BETAINV(RAND(),Model!L6,Model!M6))*Inputs!$C$6</f>
        <v>22882.360786134701</v>
      </c>
      <c r="E105">
        <f t="shared" ca="1" si="21"/>
        <v>0.99135384096073675</v>
      </c>
      <c r="F105">
        <f t="shared" ca="1" si="22"/>
        <v>0.90935198115750648</v>
      </c>
      <c r="G105">
        <f t="shared" ca="1" si="23"/>
        <v>2</v>
      </c>
      <c r="H105" s="47">
        <f t="shared" ca="1" si="24"/>
        <v>45764.721572269402</v>
      </c>
      <c r="I105">
        <f ca="1">Inputs!B13+(Inputs!D13-Inputs!B13)*BETAINV(RAND(),Model!H7,Model!I7)</f>
        <v>2.8057134446903644</v>
      </c>
      <c r="J105">
        <f ca="1">Inputs!E13+(Inputs!G13-Inputs!E13)*BETAINV(RAND(),Model!J7,Model!K7)</f>
        <v>0.24329545347389767</v>
      </c>
      <c r="K105">
        <f ca="1">(Inputs!H13+(Inputs!J13-Inputs!H13)*BETAINV(RAND(),Model!L7,Model!M7))*Inputs!$C$6</f>
        <v>36102.862013768645</v>
      </c>
      <c r="L105">
        <f t="shared" ca="1" si="25"/>
        <v>0.6826173248437537</v>
      </c>
      <c r="M105">
        <f t="shared" ca="1" si="26"/>
        <v>0.21297830089373526</v>
      </c>
      <c r="N105">
        <f t="shared" ca="1" si="27"/>
        <v>0</v>
      </c>
      <c r="O105" s="47">
        <f t="shared" ca="1" si="28"/>
        <v>0</v>
      </c>
      <c r="P105">
        <f ca="1">Inputs!B14+(Inputs!D14-Inputs!B14)*BETAINV(RAND(),Model!H8,Model!I8)</f>
        <v>0.31602395610735684</v>
      </c>
      <c r="Q105">
        <f ca="1">Inputs!E14+(Inputs!G14-Inputs!E14)*BETAINV(RAND(),Model!J8,Model!K8)</f>
        <v>0.56754263568255103</v>
      </c>
      <c r="R105">
        <f ca="1">(Inputs!H14+(Inputs!J14-Inputs!H14)*BETAINV(RAND(),Model!L8,Model!M8))*Inputs!$C$6</f>
        <v>224068.9132868798</v>
      </c>
      <c r="S105">
        <f t="shared" ca="1" si="29"/>
        <v>0.17935706898799611</v>
      </c>
      <c r="T105">
        <f t="shared" ca="1" si="30"/>
        <v>3.8231952608938413E-2</v>
      </c>
      <c r="U105">
        <f t="shared" ca="1" si="31"/>
        <v>0</v>
      </c>
      <c r="V105" s="47">
        <f t="shared" ca="1" si="32"/>
        <v>0</v>
      </c>
      <c r="W105">
        <f ca="1">Inputs!B15+(Inputs!D15-Inputs!B15)*BETAINV(RAND(),Model!H9,Model!I9)</f>
        <v>0.59636800902461751</v>
      </c>
      <c r="X105">
        <f ca="1">Inputs!E15+(Inputs!G15-Inputs!E15)*BETAINV(RAND(),Model!J9,Model!K9)</f>
        <v>0.42625158351263503</v>
      </c>
      <c r="Y105">
        <f ca="1">(Inputs!H15+(Inputs!J15-Inputs!H15)*BETAINV(RAND(),Model!L9,Model!M9))*Inputs!$C$6</f>
        <v>35872.296773328802</v>
      </c>
      <c r="Z105">
        <f t="shared" ca="1" si="33"/>
        <v>0.25420280820302066</v>
      </c>
      <c r="AA105">
        <f t="shared" ca="1" si="34"/>
        <v>0.40942310733779208</v>
      </c>
      <c r="AB105">
        <f t="shared" ca="1" si="35"/>
        <v>0</v>
      </c>
      <c r="AC105" s="47">
        <f t="shared" ca="1" si="36"/>
        <v>0</v>
      </c>
      <c r="AD105">
        <f ca="1">Inputs!B16+(Inputs!D16-Inputs!B16)*BETAINV(RAND(),Model!H10,Model!I10)</f>
        <v>0.5599208327729619</v>
      </c>
      <c r="AE105">
        <f ca="1">Inputs!E16+(Inputs!G16-Inputs!E16)*BETAINV(RAND(),Model!J10,Model!K10)</f>
        <v>0.62042793970491361</v>
      </c>
      <c r="AF105">
        <f ca="1">(Inputs!H16+(Inputs!J16-Inputs!H16)*BETAINV(RAND(),Model!L10,Model!M10))*Inputs!$C$6</f>
        <v>68931.988774965794</v>
      </c>
      <c r="AG105">
        <f t="shared" ca="1" si="37"/>
        <v>0.34739052867518821</v>
      </c>
      <c r="AH105">
        <f t="shared" ca="1" si="38"/>
        <v>0.38565831921046378</v>
      </c>
      <c r="AI105">
        <f t="shared" ca="1" si="39"/>
        <v>0</v>
      </c>
      <c r="AJ105" s="47">
        <f t="shared" ca="1" si="40"/>
        <v>0</v>
      </c>
      <c r="AK105">
        <f t="shared" ca="1" si="41"/>
        <v>45764.721572269402</v>
      </c>
    </row>
    <row r="106" spans="2:37" x14ac:dyDescent="0.2">
      <c r="B106">
        <f ca="1">Inputs!B12+(Inputs!D12-Inputs!B12)*BETAINV(RAND(),Model!H6,Model!I6)</f>
        <v>2.4902886519762353</v>
      </c>
      <c r="C106">
        <f ca="1">Inputs!E12+(Inputs!G12-Inputs!E12)*BETAINV(RAND(),Model!J6,Model!K6)</f>
        <v>0.209252632102611</v>
      </c>
      <c r="D106">
        <f ca="1">(Inputs!H12+(Inputs!J12-Inputs!H12)*BETAINV(RAND(),Model!L6,Model!M6))*Inputs!$C$6</f>
        <v>40321.375819131848</v>
      </c>
      <c r="E106">
        <f t="shared" ca="1" si="21"/>
        <v>0.52109945512129019</v>
      </c>
      <c r="F106">
        <f t="shared" ca="1" si="22"/>
        <v>3.9049394045787E-3</v>
      </c>
      <c r="G106">
        <f t="shared" ca="1" si="23"/>
        <v>0</v>
      </c>
      <c r="H106" s="47">
        <f t="shared" ca="1" si="24"/>
        <v>0</v>
      </c>
      <c r="I106">
        <f ca="1">Inputs!B13+(Inputs!D13-Inputs!B13)*BETAINV(RAND(),Model!H7,Model!I7)</f>
        <v>2.4171654173369688</v>
      </c>
      <c r="J106">
        <f ca="1">Inputs!E13+(Inputs!G13-Inputs!E13)*BETAINV(RAND(),Model!J7,Model!K7)</f>
        <v>0.32554334999972251</v>
      </c>
      <c r="K106">
        <f ca="1">(Inputs!H13+(Inputs!J13-Inputs!H13)*BETAINV(RAND(),Model!L7,Model!M7))*Inputs!$C$6</f>
        <v>27965.623248417312</v>
      </c>
      <c r="L106">
        <f t="shared" ca="1" si="25"/>
        <v>0.78689212746335413</v>
      </c>
      <c r="M106">
        <f t="shared" ca="1" si="26"/>
        <v>0.96424083908879754</v>
      </c>
      <c r="N106">
        <f t="shared" ca="1" si="27"/>
        <v>3</v>
      </c>
      <c r="O106" s="47">
        <f t="shared" ca="1" si="28"/>
        <v>83896.869745251941</v>
      </c>
      <c r="P106">
        <f ca="1">Inputs!B14+(Inputs!D14-Inputs!B14)*BETAINV(RAND(),Model!H8,Model!I8)</f>
        <v>0.15956651105335282</v>
      </c>
      <c r="Q106">
        <f ca="1">Inputs!E14+(Inputs!G14-Inputs!E14)*BETAINV(RAND(),Model!J8,Model!K8)</f>
        <v>0.5466052209154445</v>
      </c>
      <c r="R106">
        <f ca="1">(Inputs!H14+(Inputs!J14-Inputs!H14)*BETAINV(RAND(),Model!L8,Model!M8))*Inputs!$C$6</f>
        <v>537767.06850271707</v>
      </c>
      <c r="S106">
        <f t="shared" ca="1" si="29"/>
        <v>8.7219888025024631E-2</v>
      </c>
      <c r="T106">
        <f t="shared" ca="1" si="30"/>
        <v>0.55094260187808475</v>
      </c>
      <c r="U106">
        <f t="shared" ca="1" si="31"/>
        <v>0</v>
      </c>
      <c r="V106" s="47">
        <f t="shared" ca="1" si="32"/>
        <v>0</v>
      </c>
      <c r="W106">
        <f ca="1">Inputs!B15+(Inputs!D15-Inputs!B15)*BETAINV(RAND(),Model!H9,Model!I9)</f>
        <v>1.1731002788701796</v>
      </c>
      <c r="X106">
        <f ca="1">Inputs!E15+(Inputs!G15-Inputs!E15)*BETAINV(RAND(),Model!J9,Model!K9)</f>
        <v>0.22795032459835968</v>
      </c>
      <c r="Y106">
        <f ca="1">(Inputs!H15+(Inputs!J15-Inputs!H15)*BETAINV(RAND(),Model!L9,Model!M9))*Inputs!$C$6</f>
        <v>28632.467700337867</v>
      </c>
      <c r="Z106">
        <f t="shared" ca="1" si="33"/>
        <v>0.26740858935488371</v>
      </c>
      <c r="AA106">
        <f t="shared" ca="1" si="34"/>
        <v>4.847272832432481E-2</v>
      </c>
      <c r="AB106">
        <f t="shared" ca="1" si="35"/>
        <v>0</v>
      </c>
      <c r="AC106" s="47">
        <f t="shared" ca="1" si="36"/>
        <v>0</v>
      </c>
      <c r="AD106">
        <f ca="1">Inputs!B16+(Inputs!D16-Inputs!B16)*BETAINV(RAND(),Model!H10,Model!I10)</f>
        <v>0.41108787982092954</v>
      </c>
      <c r="AE106">
        <f ca="1">Inputs!E16+(Inputs!G16-Inputs!E16)*BETAINV(RAND(),Model!J10,Model!K10)</f>
        <v>0.54867844126865639</v>
      </c>
      <c r="AF106">
        <f ca="1">(Inputs!H16+(Inputs!J16-Inputs!H16)*BETAINV(RAND(),Model!L10,Model!M10))*Inputs!$C$6</f>
        <v>122234.67991398215</v>
      </c>
      <c r="AG106">
        <f t="shared" ca="1" si="37"/>
        <v>0.22555505712458437</v>
      </c>
      <c r="AH106">
        <f t="shared" ca="1" si="38"/>
        <v>0.21201483779540131</v>
      </c>
      <c r="AI106">
        <f t="shared" ca="1" si="39"/>
        <v>0</v>
      </c>
      <c r="AJ106" s="47">
        <f t="shared" ca="1" si="40"/>
        <v>0</v>
      </c>
      <c r="AK106">
        <f t="shared" ca="1" si="41"/>
        <v>83896.869745251941</v>
      </c>
    </row>
    <row r="107" spans="2:37" x14ac:dyDescent="0.2">
      <c r="B107">
        <f ca="1">Inputs!B12+(Inputs!D12-Inputs!B12)*BETAINV(RAND(),Model!H6,Model!I6)</f>
        <v>2.6130233130051166</v>
      </c>
      <c r="C107">
        <f ca="1">Inputs!E12+(Inputs!G12-Inputs!E12)*BETAINV(RAND(),Model!J6,Model!K6)</f>
        <v>0.21732721886283832</v>
      </c>
      <c r="D107">
        <f ca="1">(Inputs!H12+(Inputs!J12-Inputs!H12)*BETAINV(RAND(),Model!L6,Model!M6))*Inputs!$C$6</f>
        <v>21354.258192815319</v>
      </c>
      <c r="E107">
        <f t="shared" ca="1" si="21"/>
        <v>0.56788108943916182</v>
      </c>
      <c r="F107">
        <f t="shared" ca="1" si="22"/>
        <v>0.77955662005131021</v>
      </c>
      <c r="G107">
        <f t="shared" ca="1" si="23"/>
        <v>1</v>
      </c>
      <c r="H107" s="47">
        <f t="shared" ca="1" si="24"/>
        <v>21354.258192815319</v>
      </c>
      <c r="I107">
        <f ca="1">Inputs!B13+(Inputs!D13-Inputs!B13)*BETAINV(RAND(),Model!H7,Model!I7)</f>
        <v>2.378739083273989</v>
      </c>
      <c r="J107">
        <f ca="1">Inputs!E13+(Inputs!G13-Inputs!E13)*BETAINV(RAND(),Model!J7,Model!K7)</f>
        <v>0.26963156922902864</v>
      </c>
      <c r="K107">
        <f ca="1">(Inputs!H13+(Inputs!J13-Inputs!H13)*BETAINV(RAND(),Model!L7,Model!M7))*Inputs!$C$6</f>
        <v>49406.878400508562</v>
      </c>
      <c r="L107">
        <f t="shared" ca="1" si="25"/>
        <v>0.64138315180958672</v>
      </c>
      <c r="M107">
        <f t="shared" ca="1" si="26"/>
        <v>0.25596364306485753</v>
      </c>
      <c r="N107">
        <f t="shared" ca="1" si="27"/>
        <v>0</v>
      </c>
      <c r="O107" s="47">
        <f t="shared" ca="1" si="28"/>
        <v>0</v>
      </c>
      <c r="P107">
        <f ca="1">Inputs!B14+(Inputs!D14-Inputs!B14)*BETAINV(RAND(),Model!H8,Model!I8)</f>
        <v>0.33824482261576727</v>
      </c>
      <c r="Q107">
        <f ca="1">Inputs!E14+(Inputs!G14-Inputs!E14)*BETAINV(RAND(),Model!J8,Model!K8)</f>
        <v>0.47990537025613522</v>
      </c>
      <c r="R107">
        <f ca="1">(Inputs!H14+(Inputs!J14-Inputs!H14)*BETAINV(RAND(),Model!L8,Model!M8))*Inputs!$C$6</f>
        <v>186687.91537423394</v>
      </c>
      <c r="S107">
        <f t="shared" ca="1" si="29"/>
        <v>0.16232550683464056</v>
      </c>
      <c r="T107">
        <f t="shared" ca="1" si="30"/>
        <v>0.14117096819916708</v>
      </c>
      <c r="U107">
        <f t="shared" ca="1" si="31"/>
        <v>0</v>
      </c>
      <c r="V107" s="47">
        <f t="shared" ca="1" si="32"/>
        <v>0</v>
      </c>
      <c r="W107">
        <f ca="1">Inputs!B15+(Inputs!D15-Inputs!B15)*BETAINV(RAND(),Model!H9,Model!I9)</f>
        <v>0.94826512607525748</v>
      </c>
      <c r="X107">
        <f ca="1">Inputs!E15+(Inputs!G15-Inputs!E15)*BETAINV(RAND(),Model!J9,Model!K9)</f>
        <v>0.5931158960484556</v>
      </c>
      <c r="Y107">
        <f ca="1">(Inputs!H15+(Inputs!J15-Inputs!H15)*BETAINV(RAND(),Model!L9,Model!M9))*Inputs!$C$6</f>
        <v>31070.886831553984</v>
      </c>
      <c r="Z107">
        <f t="shared" ca="1" si="33"/>
        <v>0.56243111994362804</v>
      </c>
      <c r="AA107">
        <f t="shared" ca="1" si="34"/>
        <v>0.63324352714639365</v>
      </c>
      <c r="AB107">
        <f t="shared" ca="1" si="35"/>
        <v>1</v>
      </c>
      <c r="AC107" s="47">
        <f t="shared" ca="1" si="36"/>
        <v>31070.886831553984</v>
      </c>
      <c r="AD107">
        <f ca="1">Inputs!B16+(Inputs!D16-Inputs!B16)*BETAINV(RAND(),Model!H10,Model!I10)</f>
        <v>0.91995363561823096</v>
      </c>
      <c r="AE107">
        <f ca="1">Inputs!E16+(Inputs!G16-Inputs!E16)*BETAINV(RAND(),Model!J10,Model!K10)</f>
        <v>0.68955793819517308</v>
      </c>
      <c r="AF107">
        <f ca="1">(Inputs!H16+(Inputs!J16-Inputs!H16)*BETAINV(RAND(),Model!L10,Model!M10))*Inputs!$C$6</f>
        <v>85631.572201742587</v>
      </c>
      <c r="AG107">
        <f t="shared" ca="1" si="37"/>
        <v>0.63436133221206092</v>
      </c>
      <c r="AH107">
        <f t="shared" ca="1" si="38"/>
        <v>0.27691335594250555</v>
      </c>
      <c r="AI107">
        <f t="shared" ca="1" si="39"/>
        <v>0</v>
      </c>
      <c r="AJ107" s="47">
        <f t="shared" ca="1" si="40"/>
        <v>0</v>
      </c>
      <c r="AK107">
        <f t="shared" ca="1" si="41"/>
        <v>52425.145024369303</v>
      </c>
    </row>
    <row r="108" spans="2:37" x14ac:dyDescent="0.2">
      <c r="B108">
        <f ca="1">Inputs!B12+(Inputs!D12-Inputs!B12)*BETAINV(RAND(),Model!H6,Model!I6)</f>
        <v>5.1431670831569107</v>
      </c>
      <c r="C108">
        <f ca="1">Inputs!E12+(Inputs!G12-Inputs!E12)*BETAINV(RAND(),Model!J6,Model!K6)</f>
        <v>0.1966718584179733</v>
      </c>
      <c r="D108">
        <f ca="1">(Inputs!H12+(Inputs!J12-Inputs!H12)*BETAINV(RAND(),Model!L6,Model!M6))*Inputs!$C$6</f>
        <v>42546.486945638957</v>
      </c>
      <c r="E108">
        <f t="shared" ca="1" si="21"/>
        <v>1.0115162283986168</v>
      </c>
      <c r="F108">
        <f t="shared" ca="1" si="22"/>
        <v>0.86856749187514515</v>
      </c>
      <c r="G108">
        <f t="shared" ca="1" si="23"/>
        <v>2</v>
      </c>
      <c r="H108" s="47">
        <f t="shared" ca="1" si="24"/>
        <v>85092.973891277914</v>
      </c>
      <c r="I108">
        <f ca="1">Inputs!B13+(Inputs!D13-Inputs!B13)*BETAINV(RAND(),Model!H7,Model!I7)</f>
        <v>1.0942121493557606</v>
      </c>
      <c r="J108">
        <f ca="1">Inputs!E13+(Inputs!G13-Inputs!E13)*BETAINV(RAND(),Model!J7,Model!K7)</f>
        <v>0.30516995858874313</v>
      </c>
      <c r="K108">
        <f ca="1">(Inputs!H13+(Inputs!J13-Inputs!H13)*BETAINV(RAND(),Model!L7,Model!M7))*Inputs!$C$6</f>
        <v>24042.295824687055</v>
      </c>
      <c r="L108">
        <f t="shared" ca="1" si="25"/>
        <v>0.3339206763061971</v>
      </c>
      <c r="M108">
        <f t="shared" ca="1" si="26"/>
        <v>0.48375531712122943</v>
      </c>
      <c r="N108">
        <f t="shared" ca="1" si="27"/>
        <v>0</v>
      </c>
      <c r="O108" s="47">
        <f t="shared" ca="1" si="28"/>
        <v>0</v>
      </c>
      <c r="P108">
        <f ca="1">Inputs!B14+(Inputs!D14-Inputs!B14)*BETAINV(RAND(),Model!H8,Model!I8)</f>
        <v>0.27207432821426492</v>
      </c>
      <c r="Q108">
        <f ca="1">Inputs!E14+(Inputs!G14-Inputs!E14)*BETAINV(RAND(),Model!J8,Model!K8)</f>
        <v>0.52246803819391363</v>
      </c>
      <c r="R108">
        <f ca="1">(Inputs!H14+(Inputs!J14-Inputs!H14)*BETAINV(RAND(),Model!L8,Model!M8))*Inputs!$C$6</f>
        <v>430818.58620803029</v>
      </c>
      <c r="S108">
        <f t="shared" ca="1" si="29"/>
        <v>0.14215014050503397</v>
      </c>
      <c r="T108">
        <f t="shared" ca="1" si="30"/>
        <v>0.12164532189332466</v>
      </c>
      <c r="U108">
        <f t="shared" ca="1" si="31"/>
        <v>0</v>
      </c>
      <c r="V108" s="47">
        <f t="shared" ca="1" si="32"/>
        <v>0</v>
      </c>
      <c r="W108">
        <f ca="1">Inputs!B15+(Inputs!D15-Inputs!B15)*BETAINV(RAND(),Model!H9,Model!I9)</f>
        <v>0.59185709547874188</v>
      </c>
      <c r="X108">
        <f ca="1">Inputs!E15+(Inputs!G15-Inputs!E15)*BETAINV(RAND(),Model!J9,Model!K9)</f>
        <v>0.53842791713551863</v>
      </c>
      <c r="Y108">
        <f ca="1">(Inputs!H15+(Inputs!J15-Inputs!H15)*BETAINV(RAND(),Model!L9,Model!M9))*Inputs!$C$6</f>
        <v>23782.341729138479</v>
      </c>
      <c r="Z108">
        <f t="shared" ca="1" si="33"/>
        <v>0.31867238316049679</v>
      </c>
      <c r="AA108">
        <f t="shared" ca="1" si="34"/>
        <v>0.6464567469247452</v>
      </c>
      <c r="AB108">
        <f t="shared" ca="1" si="35"/>
        <v>0</v>
      </c>
      <c r="AC108" s="47">
        <f t="shared" ca="1" si="36"/>
        <v>0</v>
      </c>
      <c r="AD108">
        <f ca="1">Inputs!B16+(Inputs!D16-Inputs!B16)*BETAINV(RAND(),Model!H10,Model!I10)</f>
        <v>0.50047358657152685</v>
      </c>
      <c r="AE108">
        <f ca="1">Inputs!E16+(Inputs!G16-Inputs!E16)*BETAINV(RAND(),Model!J10,Model!K10)</f>
        <v>0.65701824520879337</v>
      </c>
      <c r="AF108">
        <f ca="1">(Inputs!H16+(Inputs!J16-Inputs!H16)*BETAINV(RAND(),Model!L10,Model!M10))*Inputs!$C$6</f>
        <v>63560.712353837916</v>
      </c>
      <c r="AG108">
        <f t="shared" ca="1" si="37"/>
        <v>0.32882027762257571</v>
      </c>
      <c r="AH108">
        <f t="shared" ca="1" si="38"/>
        <v>0.54006040940935129</v>
      </c>
      <c r="AI108">
        <f t="shared" ca="1" si="39"/>
        <v>0</v>
      </c>
      <c r="AJ108" s="47">
        <f t="shared" ca="1" si="40"/>
        <v>0</v>
      </c>
      <c r="AK108">
        <f t="shared" ca="1" si="41"/>
        <v>85092.973891277914</v>
      </c>
    </row>
    <row r="109" spans="2:37" x14ac:dyDescent="0.2">
      <c r="B109">
        <f ca="1">Inputs!B12+(Inputs!D12-Inputs!B12)*BETAINV(RAND(),Model!H6,Model!I6)</f>
        <v>3.3959952049755464</v>
      </c>
      <c r="C109">
        <f ca="1">Inputs!E12+(Inputs!G12-Inputs!E12)*BETAINV(RAND(),Model!J6,Model!K6)</f>
        <v>0.2443757260687201</v>
      </c>
      <c r="D109">
        <f ca="1">(Inputs!H12+(Inputs!J12-Inputs!H12)*BETAINV(RAND(),Model!L6,Model!M6))*Inputs!$C$6</f>
        <v>34141.529744665379</v>
      </c>
      <c r="E109">
        <f t="shared" ca="1" si="21"/>
        <v>0.82989879394179111</v>
      </c>
      <c r="F109">
        <f t="shared" ca="1" si="22"/>
        <v>0.47114479866159131</v>
      </c>
      <c r="G109">
        <f t="shared" ca="1" si="23"/>
        <v>1</v>
      </c>
      <c r="H109" s="47">
        <f t="shared" ca="1" si="24"/>
        <v>34141.529744665379</v>
      </c>
      <c r="I109">
        <f ca="1">Inputs!B13+(Inputs!D13-Inputs!B13)*BETAINV(RAND(),Model!H7,Model!I7)</f>
        <v>0.99429967125319862</v>
      </c>
      <c r="J109">
        <f ca="1">Inputs!E13+(Inputs!G13-Inputs!E13)*BETAINV(RAND(),Model!J7,Model!K7)</f>
        <v>0.27246692108288234</v>
      </c>
      <c r="K109">
        <f ca="1">(Inputs!H13+(Inputs!J13-Inputs!H13)*BETAINV(RAND(),Model!L7,Model!M7))*Inputs!$C$6</f>
        <v>11241.034020319819</v>
      </c>
      <c r="L109">
        <f t="shared" ca="1" si="25"/>
        <v>0.2709137700600811</v>
      </c>
      <c r="M109">
        <f t="shared" ca="1" si="26"/>
        <v>0.60602873686589775</v>
      </c>
      <c r="N109">
        <f t="shared" ca="1" si="27"/>
        <v>0</v>
      </c>
      <c r="O109" s="47">
        <f t="shared" ca="1" si="28"/>
        <v>0</v>
      </c>
      <c r="P109">
        <f ca="1">Inputs!B14+(Inputs!D14-Inputs!B14)*BETAINV(RAND(),Model!H8,Model!I8)</f>
        <v>0.22632340228376804</v>
      </c>
      <c r="Q109">
        <f ca="1">Inputs!E14+(Inputs!G14-Inputs!E14)*BETAINV(RAND(),Model!J8,Model!K8)</f>
        <v>0.7908337696845199</v>
      </c>
      <c r="R109">
        <f ca="1">(Inputs!H14+(Inputs!J14-Inputs!H14)*BETAINV(RAND(),Model!L8,Model!M8))*Inputs!$C$6</f>
        <v>330046.72726425575</v>
      </c>
      <c r="S109">
        <f t="shared" ca="1" si="29"/>
        <v>0.17898418939589836</v>
      </c>
      <c r="T109">
        <f t="shared" ca="1" si="30"/>
        <v>3.493564291636686E-2</v>
      </c>
      <c r="U109">
        <f t="shared" ca="1" si="31"/>
        <v>0</v>
      </c>
      <c r="V109" s="47">
        <f t="shared" ca="1" si="32"/>
        <v>0</v>
      </c>
      <c r="W109">
        <f ca="1">Inputs!B15+(Inputs!D15-Inputs!B15)*BETAINV(RAND(),Model!H9,Model!I9)</f>
        <v>1.2660057728395822</v>
      </c>
      <c r="X109">
        <f ca="1">Inputs!E15+(Inputs!G15-Inputs!E15)*BETAINV(RAND(),Model!J9,Model!K9)</f>
        <v>0.38248301522595607</v>
      </c>
      <c r="Y109">
        <f ca="1">(Inputs!H15+(Inputs!J15-Inputs!H15)*BETAINV(RAND(),Model!L9,Model!M9))*Inputs!$C$6</f>
        <v>38456.984173741403</v>
      </c>
      <c r="Z109">
        <f t="shared" ca="1" si="33"/>
        <v>0.48422570528915015</v>
      </c>
      <c r="AA109">
        <f t="shared" ca="1" si="34"/>
        <v>0.56867533389142444</v>
      </c>
      <c r="AB109">
        <f t="shared" ca="1" si="35"/>
        <v>0</v>
      </c>
      <c r="AC109" s="47">
        <f t="shared" ca="1" si="36"/>
        <v>0</v>
      </c>
      <c r="AD109">
        <f ca="1">Inputs!B16+(Inputs!D16-Inputs!B16)*BETAINV(RAND(),Model!H10,Model!I10)</f>
        <v>1.1185348793991063</v>
      </c>
      <c r="AE109">
        <f ca="1">Inputs!E16+(Inputs!G16-Inputs!E16)*BETAINV(RAND(),Model!J10,Model!K10)</f>
        <v>0.76841550846998063</v>
      </c>
      <c r="AF109">
        <f ca="1">(Inputs!H16+(Inputs!J16-Inputs!H16)*BETAINV(RAND(),Model!L10,Model!M10))*Inputs!$C$6</f>
        <v>63571.935454509417</v>
      </c>
      <c r="AG109">
        <f t="shared" ca="1" si="37"/>
        <v>0.85949954809487272</v>
      </c>
      <c r="AH109">
        <f t="shared" ca="1" si="38"/>
        <v>0.60385241883142615</v>
      </c>
      <c r="AI109">
        <f t="shared" ca="1" si="39"/>
        <v>1</v>
      </c>
      <c r="AJ109" s="47">
        <f t="shared" ca="1" si="40"/>
        <v>63571.935454509417</v>
      </c>
      <c r="AK109">
        <f t="shared" ca="1" si="41"/>
        <v>97713.465199174796</v>
      </c>
    </row>
    <row r="110" spans="2:37" x14ac:dyDescent="0.2">
      <c r="B110">
        <f ca="1">Inputs!B12+(Inputs!D12-Inputs!B12)*BETAINV(RAND(),Model!H6,Model!I6)</f>
        <v>5.8347663005691519</v>
      </c>
      <c r="C110">
        <f ca="1">Inputs!E12+(Inputs!G12-Inputs!E12)*BETAINV(RAND(),Model!J6,Model!K6)</f>
        <v>0.27629251120372167</v>
      </c>
      <c r="D110">
        <f ca="1">(Inputs!H12+(Inputs!J12-Inputs!H12)*BETAINV(RAND(),Model!L6,Model!M6))*Inputs!$C$6</f>
        <v>15507.947495866158</v>
      </c>
      <c r="E110">
        <f t="shared" ca="1" si="21"/>
        <v>1.6121022334710999</v>
      </c>
      <c r="F110">
        <f t="shared" ca="1" si="22"/>
        <v>0.59218980377342634</v>
      </c>
      <c r="G110">
        <f t="shared" ca="1" si="23"/>
        <v>2</v>
      </c>
      <c r="H110" s="47">
        <f t="shared" ca="1" si="24"/>
        <v>31015.894991732315</v>
      </c>
      <c r="I110">
        <f ca="1">Inputs!B13+(Inputs!D13-Inputs!B13)*BETAINV(RAND(),Model!H7,Model!I7)</f>
        <v>2.5798388806442372</v>
      </c>
      <c r="J110">
        <f ca="1">Inputs!E13+(Inputs!G13-Inputs!E13)*BETAINV(RAND(),Model!J7,Model!K7)</f>
        <v>0.41094490560062213</v>
      </c>
      <c r="K110">
        <f ca="1">(Inputs!H13+(Inputs!J13-Inputs!H13)*BETAINV(RAND(),Model!L7,Model!M7))*Inputs!$C$6</f>
        <v>50764.109938519745</v>
      </c>
      <c r="L110">
        <f t="shared" ca="1" si="25"/>
        <v>1.0601716452711607</v>
      </c>
      <c r="M110">
        <f t="shared" ca="1" si="26"/>
        <v>0.13463252575053208</v>
      </c>
      <c r="N110">
        <f t="shared" ca="1" si="27"/>
        <v>0</v>
      </c>
      <c r="O110" s="47">
        <f t="shared" ca="1" si="28"/>
        <v>0</v>
      </c>
      <c r="P110">
        <f ca="1">Inputs!B14+(Inputs!D14-Inputs!B14)*BETAINV(RAND(),Model!H8,Model!I8)</f>
        <v>0.32101383967565245</v>
      </c>
      <c r="Q110">
        <f ca="1">Inputs!E14+(Inputs!G14-Inputs!E14)*BETAINV(RAND(),Model!J8,Model!K8)</f>
        <v>0.42542859541457639</v>
      </c>
      <c r="R110">
        <f ca="1">(Inputs!H14+(Inputs!J14-Inputs!H14)*BETAINV(RAND(),Model!L8,Model!M8))*Inputs!$C$6</f>
        <v>271484.04325024079</v>
      </c>
      <c r="S110">
        <f t="shared" ca="1" si="29"/>
        <v>0.13656846692185284</v>
      </c>
      <c r="T110">
        <f t="shared" ca="1" si="30"/>
        <v>0.97696601661018556</v>
      </c>
      <c r="U110">
        <f t="shared" ca="1" si="31"/>
        <v>1</v>
      </c>
      <c r="V110" s="47">
        <f t="shared" ca="1" si="32"/>
        <v>271484.04325024079</v>
      </c>
      <c r="W110">
        <f ca="1">Inputs!B15+(Inputs!D15-Inputs!B15)*BETAINV(RAND(),Model!H9,Model!I9)</f>
        <v>1.4325015614338263</v>
      </c>
      <c r="X110">
        <f ca="1">Inputs!E15+(Inputs!G15-Inputs!E15)*BETAINV(RAND(),Model!J9,Model!K9)</f>
        <v>0.55660974846577216</v>
      </c>
      <c r="Y110">
        <f ca="1">(Inputs!H15+(Inputs!J15-Inputs!H15)*BETAINV(RAND(),Model!L9,Model!M9))*Inputs!$C$6</f>
        <v>21427.335888252648</v>
      </c>
      <c r="Z110">
        <f t="shared" ca="1" si="33"/>
        <v>0.79734433378650793</v>
      </c>
      <c r="AA110">
        <f t="shared" ca="1" si="34"/>
        <v>0.20032936769707754</v>
      </c>
      <c r="AB110">
        <f t="shared" ca="1" si="35"/>
        <v>0</v>
      </c>
      <c r="AC110" s="47">
        <f t="shared" ca="1" si="36"/>
        <v>0</v>
      </c>
      <c r="AD110">
        <f ca="1">Inputs!B16+(Inputs!D16-Inputs!B16)*BETAINV(RAND(),Model!H10,Model!I10)</f>
        <v>1.0117236470991036</v>
      </c>
      <c r="AE110">
        <f ca="1">Inputs!E16+(Inputs!G16-Inputs!E16)*BETAINV(RAND(),Model!J10,Model!K10)</f>
        <v>0.56441227424390328</v>
      </c>
      <c r="AF110">
        <f ca="1">(Inputs!H16+(Inputs!J16-Inputs!H16)*BETAINV(RAND(),Model!L10,Model!M10))*Inputs!$C$6</f>
        <v>92924.33861432501</v>
      </c>
      <c r="AG110">
        <f t="shared" ca="1" si="37"/>
        <v>0.57102924456554127</v>
      </c>
      <c r="AH110">
        <f t="shared" ca="1" si="38"/>
        <v>0.93140059189134683</v>
      </c>
      <c r="AI110">
        <f t="shared" ca="1" si="39"/>
        <v>2</v>
      </c>
      <c r="AJ110" s="47">
        <f t="shared" ca="1" si="40"/>
        <v>185848.67722865002</v>
      </c>
      <c r="AK110">
        <f t="shared" ca="1" si="41"/>
        <v>488348.61547062313</v>
      </c>
    </row>
    <row r="111" spans="2:37" x14ac:dyDescent="0.2">
      <c r="B111">
        <f ca="1">Inputs!B12+(Inputs!D12-Inputs!B12)*BETAINV(RAND(),Model!H6,Model!I6)</f>
        <v>2.8290497413682836</v>
      </c>
      <c r="C111">
        <f ca="1">Inputs!E12+(Inputs!G12-Inputs!E12)*BETAINV(RAND(),Model!J6,Model!K6)</f>
        <v>0.39127618390954544</v>
      </c>
      <c r="D111">
        <f ca="1">(Inputs!H12+(Inputs!J12-Inputs!H12)*BETAINV(RAND(),Model!L6,Model!M6))*Inputs!$C$6</f>
        <v>26828.782634779913</v>
      </c>
      <c r="E111">
        <f t="shared" ca="1" si="21"/>
        <v>1.1069397868928685</v>
      </c>
      <c r="F111">
        <f t="shared" ca="1" si="22"/>
        <v>0.82747990595563947</v>
      </c>
      <c r="G111">
        <f t="shared" ca="1" si="23"/>
        <v>2</v>
      </c>
      <c r="H111" s="47">
        <f t="shared" ca="1" si="24"/>
        <v>53657.565269559826</v>
      </c>
      <c r="I111">
        <f ca="1">Inputs!B13+(Inputs!D13-Inputs!B13)*BETAINV(RAND(),Model!H7,Model!I7)</f>
        <v>1.7268139291340967</v>
      </c>
      <c r="J111">
        <f ca="1">Inputs!E13+(Inputs!G13-Inputs!E13)*BETAINV(RAND(),Model!J7,Model!K7)</f>
        <v>0.31725163602904971</v>
      </c>
      <c r="K111">
        <f ca="1">(Inputs!H13+(Inputs!J13-Inputs!H13)*BETAINV(RAND(),Model!L7,Model!M7))*Inputs!$C$6</f>
        <v>35286.590654765598</v>
      </c>
      <c r="L111">
        <f t="shared" ca="1" si="25"/>
        <v>0.54783454413554367</v>
      </c>
      <c r="M111">
        <f t="shared" ca="1" si="26"/>
        <v>0.62251010202923751</v>
      </c>
      <c r="N111">
        <f t="shared" ca="1" si="27"/>
        <v>1</v>
      </c>
      <c r="O111" s="47">
        <f t="shared" ca="1" si="28"/>
        <v>35286.590654765598</v>
      </c>
      <c r="P111">
        <f ca="1">Inputs!B14+(Inputs!D14-Inputs!B14)*BETAINV(RAND(),Model!H8,Model!I8)</f>
        <v>0.2656850606542544</v>
      </c>
      <c r="Q111">
        <f ca="1">Inputs!E14+(Inputs!G14-Inputs!E14)*BETAINV(RAND(),Model!J8,Model!K8)</f>
        <v>0.63623767800405218</v>
      </c>
      <c r="R111">
        <f ca="1">(Inputs!H14+(Inputs!J14-Inputs!H14)*BETAINV(RAND(),Model!L8,Model!M8))*Inputs!$C$6</f>
        <v>617847.83005443634</v>
      </c>
      <c r="S111">
        <f t="shared" ca="1" si="29"/>
        <v>0.16903884607102859</v>
      </c>
      <c r="T111">
        <f t="shared" ca="1" si="30"/>
        <v>0.83052662035615621</v>
      </c>
      <c r="U111">
        <f t="shared" ca="1" si="31"/>
        <v>0</v>
      </c>
      <c r="V111" s="47">
        <f t="shared" ca="1" si="32"/>
        <v>0</v>
      </c>
      <c r="W111">
        <f ca="1">Inputs!B15+(Inputs!D15-Inputs!B15)*BETAINV(RAND(),Model!H9,Model!I9)</f>
        <v>1.0820737074255873</v>
      </c>
      <c r="X111">
        <f ca="1">Inputs!E15+(Inputs!G15-Inputs!E15)*BETAINV(RAND(),Model!J9,Model!K9)</f>
        <v>0.47135267910109924</v>
      </c>
      <c r="Y111">
        <f ca="1">(Inputs!H15+(Inputs!J15-Inputs!H15)*BETAINV(RAND(),Model!L9,Model!M9))*Inputs!$C$6</f>
        <v>36982.51949776047</v>
      </c>
      <c r="Z111">
        <f t="shared" ca="1" si="33"/>
        <v>0.51003834097990963</v>
      </c>
      <c r="AA111">
        <f t="shared" ca="1" si="34"/>
        <v>0.79170685983521394</v>
      </c>
      <c r="AB111">
        <f t="shared" ca="1" si="35"/>
        <v>1</v>
      </c>
      <c r="AC111" s="47">
        <f t="shared" ca="1" si="36"/>
        <v>36982.51949776047</v>
      </c>
      <c r="AD111">
        <f ca="1">Inputs!B16+(Inputs!D16-Inputs!B16)*BETAINV(RAND(),Model!H10,Model!I10)</f>
        <v>0.4065525469997614</v>
      </c>
      <c r="AE111">
        <f ca="1">Inputs!E16+(Inputs!G16-Inputs!E16)*BETAINV(RAND(),Model!J10,Model!K10)</f>
        <v>0.44498647902534683</v>
      </c>
      <c r="AF111">
        <f ca="1">(Inputs!H16+(Inputs!J16-Inputs!H16)*BETAINV(RAND(),Model!L10,Model!M10))*Inputs!$C$6</f>
        <v>56812.724426801455</v>
      </c>
      <c r="AG111">
        <f t="shared" ca="1" si="37"/>
        <v>0.18091038642821067</v>
      </c>
      <c r="AH111">
        <f t="shared" ca="1" si="38"/>
        <v>4.2503665064723473E-2</v>
      </c>
      <c r="AI111">
        <f t="shared" ca="1" si="39"/>
        <v>0</v>
      </c>
      <c r="AJ111" s="47">
        <f t="shared" ca="1" si="40"/>
        <v>0</v>
      </c>
      <c r="AK111">
        <f t="shared" ca="1" si="41"/>
        <v>125926.6754220859</v>
      </c>
    </row>
    <row r="112" spans="2:37" x14ac:dyDescent="0.2">
      <c r="B112">
        <f ca="1">Inputs!B12+(Inputs!D12-Inputs!B12)*BETAINV(RAND(),Model!H6,Model!I6)</f>
        <v>3.2764078431858707</v>
      </c>
      <c r="C112">
        <f ca="1">Inputs!E12+(Inputs!G12-Inputs!E12)*BETAINV(RAND(),Model!J6,Model!K6)</f>
        <v>0.40510030170067213</v>
      </c>
      <c r="D112">
        <f ca="1">(Inputs!H12+(Inputs!J12-Inputs!H12)*BETAINV(RAND(),Model!L6,Model!M6))*Inputs!$C$6</f>
        <v>21293.713164903733</v>
      </c>
      <c r="E112">
        <f t="shared" ca="1" si="21"/>
        <v>1.3272738057690447</v>
      </c>
      <c r="F112">
        <f t="shared" ca="1" si="22"/>
        <v>0.94913404217793773</v>
      </c>
      <c r="G112">
        <f t="shared" ca="1" si="23"/>
        <v>3</v>
      </c>
      <c r="H112" s="47">
        <f t="shared" ca="1" si="24"/>
        <v>63881.139494711198</v>
      </c>
      <c r="I112">
        <f ca="1">Inputs!B13+(Inputs!D13-Inputs!B13)*BETAINV(RAND(),Model!H7,Model!I7)</f>
        <v>2.9018848690053067</v>
      </c>
      <c r="J112">
        <f ca="1">Inputs!E13+(Inputs!G13-Inputs!E13)*BETAINV(RAND(),Model!J7,Model!K7)</f>
        <v>0.17199122288033619</v>
      </c>
      <c r="K112">
        <f ca="1">(Inputs!H13+(Inputs!J13-Inputs!H13)*BETAINV(RAND(),Model!L7,Model!M7))*Inputs!$C$6</f>
        <v>55264.003729509655</v>
      </c>
      <c r="L112">
        <f t="shared" ca="1" si="25"/>
        <v>0.4990987272781669</v>
      </c>
      <c r="M112">
        <f t="shared" ca="1" si="26"/>
        <v>0.44320980076477112</v>
      </c>
      <c r="N112">
        <f t="shared" ca="1" si="27"/>
        <v>0</v>
      </c>
      <c r="O112" s="47">
        <f t="shared" ca="1" si="28"/>
        <v>0</v>
      </c>
      <c r="P112">
        <f ca="1">Inputs!B14+(Inputs!D14-Inputs!B14)*BETAINV(RAND(),Model!H8,Model!I8)</f>
        <v>0.30666296167967066</v>
      </c>
      <c r="Q112">
        <f ca="1">Inputs!E14+(Inputs!G14-Inputs!E14)*BETAINV(RAND(),Model!J8,Model!K8)</f>
        <v>0.44055664347172274</v>
      </c>
      <c r="R112">
        <f ca="1">(Inputs!H14+(Inputs!J14-Inputs!H14)*BETAINV(RAND(),Model!L8,Model!M8))*Inputs!$C$6</f>
        <v>402586.76319292613</v>
      </c>
      <c r="S112">
        <f t="shared" ca="1" si="29"/>
        <v>0.13510240507469323</v>
      </c>
      <c r="T112">
        <f t="shared" ca="1" si="30"/>
        <v>0.84457032058646064</v>
      </c>
      <c r="U112">
        <f t="shared" ca="1" si="31"/>
        <v>0</v>
      </c>
      <c r="V112" s="47">
        <f t="shared" ca="1" si="32"/>
        <v>0</v>
      </c>
      <c r="W112">
        <f ca="1">Inputs!B15+(Inputs!D15-Inputs!B15)*BETAINV(RAND(),Model!H9,Model!I9)</f>
        <v>1.2783941867417781</v>
      </c>
      <c r="X112">
        <f ca="1">Inputs!E15+(Inputs!G15-Inputs!E15)*BETAINV(RAND(),Model!J9,Model!K9)</f>
        <v>0.44677948099597553</v>
      </c>
      <c r="Y112">
        <f ca="1">(Inputs!H15+(Inputs!J15-Inputs!H15)*BETAINV(RAND(),Model!L9,Model!M9))*Inputs!$C$6</f>
        <v>25885.949207354905</v>
      </c>
      <c r="Z112">
        <f t="shared" ca="1" si="33"/>
        <v>0.57116029126076384</v>
      </c>
      <c r="AA112">
        <f t="shared" ca="1" si="34"/>
        <v>0.35393411848905543</v>
      </c>
      <c r="AB112">
        <f t="shared" ca="1" si="35"/>
        <v>0</v>
      </c>
      <c r="AC112" s="47">
        <f t="shared" ca="1" si="36"/>
        <v>0</v>
      </c>
      <c r="AD112">
        <f ca="1">Inputs!B16+(Inputs!D16-Inputs!B16)*BETAINV(RAND(),Model!H10,Model!I10)</f>
        <v>0.45301954811420397</v>
      </c>
      <c r="AE112">
        <f ca="1">Inputs!E16+(Inputs!G16-Inputs!E16)*BETAINV(RAND(),Model!J10,Model!K10)</f>
        <v>0.67354560375436245</v>
      </c>
      <c r="AF112">
        <f ca="1">(Inputs!H16+(Inputs!J16-Inputs!H16)*BETAINV(RAND(),Model!L10,Model!M10))*Inputs!$C$6</f>
        <v>66159.276445783835</v>
      </c>
      <c r="AG112">
        <f t="shared" ca="1" si="37"/>
        <v>0.30512932504710999</v>
      </c>
      <c r="AH112">
        <f t="shared" ca="1" si="38"/>
        <v>0.62940337746861685</v>
      </c>
      <c r="AI112">
        <f t="shared" ca="1" si="39"/>
        <v>0</v>
      </c>
      <c r="AJ112" s="47">
        <f t="shared" ca="1" si="40"/>
        <v>0</v>
      </c>
      <c r="AK112">
        <f t="shared" ca="1" si="41"/>
        <v>63881.139494711198</v>
      </c>
    </row>
    <row r="113" spans="2:37" x14ac:dyDescent="0.2">
      <c r="B113">
        <f ca="1">Inputs!B12+(Inputs!D12-Inputs!B12)*BETAINV(RAND(),Model!H6,Model!I6)</f>
        <v>1.84677454706593</v>
      </c>
      <c r="C113">
        <f ca="1">Inputs!E12+(Inputs!G12-Inputs!E12)*BETAINV(RAND(),Model!J6,Model!K6)</f>
        <v>0.4006178622470834</v>
      </c>
      <c r="D113">
        <f ca="1">(Inputs!H12+(Inputs!J12-Inputs!H12)*BETAINV(RAND(),Model!L6,Model!M6))*Inputs!$C$6</f>
        <v>28956.359758175451</v>
      </c>
      <c r="E113">
        <f t="shared" ca="1" si="21"/>
        <v>0.73985087109787862</v>
      </c>
      <c r="F113">
        <f t="shared" ca="1" si="22"/>
        <v>0.28126480170995671</v>
      </c>
      <c r="G113">
        <f t="shared" ca="1" si="23"/>
        <v>0</v>
      </c>
      <c r="H113" s="47">
        <f t="shared" ca="1" si="24"/>
        <v>0</v>
      </c>
      <c r="I113">
        <f ca="1">Inputs!B13+(Inputs!D13-Inputs!B13)*BETAINV(RAND(),Model!H7,Model!I7)</f>
        <v>0.93311551602996068</v>
      </c>
      <c r="J113">
        <f ca="1">Inputs!E13+(Inputs!G13-Inputs!E13)*BETAINV(RAND(),Model!J7,Model!K7)</f>
        <v>0.37982808131449219</v>
      </c>
      <c r="K113">
        <f ca="1">(Inputs!H13+(Inputs!J13-Inputs!H13)*BETAINV(RAND(),Model!L7,Model!M7))*Inputs!$C$6</f>
        <v>40711.330032303522</v>
      </c>
      <c r="L113">
        <f t="shared" ca="1" si="25"/>
        <v>0.35442347609844227</v>
      </c>
      <c r="M113">
        <f t="shared" ca="1" si="26"/>
        <v>0.55249036958882025</v>
      </c>
      <c r="N113">
        <f t="shared" ca="1" si="27"/>
        <v>0</v>
      </c>
      <c r="O113" s="47">
        <f t="shared" ca="1" si="28"/>
        <v>0</v>
      </c>
      <c r="P113">
        <f ca="1">Inputs!B14+(Inputs!D14-Inputs!B14)*BETAINV(RAND(),Model!H8,Model!I8)</f>
        <v>0.2973837770190299</v>
      </c>
      <c r="Q113">
        <f ca="1">Inputs!E14+(Inputs!G14-Inputs!E14)*BETAINV(RAND(),Model!J8,Model!K8)</f>
        <v>0.65132741628257973</v>
      </c>
      <c r="R113">
        <f ca="1">(Inputs!H14+(Inputs!J14-Inputs!H14)*BETAINV(RAND(),Model!L8,Model!M8))*Inputs!$C$6</f>
        <v>496783.07190462109</v>
      </c>
      <c r="S113">
        <f t="shared" ca="1" si="29"/>
        <v>0.19369420713015956</v>
      </c>
      <c r="T113">
        <f t="shared" ca="1" si="30"/>
        <v>0.23060809792294035</v>
      </c>
      <c r="U113">
        <f t="shared" ca="1" si="31"/>
        <v>0</v>
      </c>
      <c r="V113" s="47">
        <f t="shared" ca="1" si="32"/>
        <v>0</v>
      </c>
      <c r="W113">
        <f ca="1">Inputs!B15+(Inputs!D15-Inputs!B15)*BETAINV(RAND(),Model!H9,Model!I9)</f>
        <v>1.1580080458177646</v>
      </c>
      <c r="X113">
        <f ca="1">Inputs!E15+(Inputs!G15-Inputs!E15)*BETAINV(RAND(),Model!J9,Model!K9)</f>
        <v>0.33798809174687661</v>
      </c>
      <c r="Y113">
        <f ca="1">(Inputs!H15+(Inputs!J15-Inputs!H15)*BETAINV(RAND(),Model!L9,Model!M9))*Inputs!$C$6</f>
        <v>46827.222154710442</v>
      </c>
      <c r="Z113">
        <f t="shared" ca="1" si="33"/>
        <v>0.39139292963347594</v>
      </c>
      <c r="AA113">
        <f t="shared" ca="1" si="34"/>
        <v>0.101809784124262</v>
      </c>
      <c r="AB113">
        <f t="shared" ca="1" si="35"/>
        <v>0</v>
      </c>
      <c r="AC113" s="47">
        <f t="shared" ca="1" si="36"/>
        <v>0</v>
      </c>
      <c r="AD113">
        <f ca="1">Inputs!B16+(Inputs!D16-Inputs!B16)*BETAINV(RAND(),Model!H10,Model!I10)</f>
        <v>0.54962461857016665</v>
      </c>
      <c r="AE113">
        <f ca="1">Inputs!E16+(Inputs!G16-Inputs!E16)*BETAINV(RAND(),Model!J10,Model!K10)</f>
        <v>0.622837047722824</v>
      </c>
      <c r="AF113">
        <f ca="1">(Inputs!H16+(Inputs!J16-Inputs!H16)*BETAINV(RAND(),Model!L10,Model!M10))*Inputs!$C$6</f>
        <v>60175.629953396856</v>
      </c>
      <c r="AG113">
        <f t="shared" ca="1" si="37"/>
        <v>0.34232657478602579</v>
      </c>
      <c r="AH113">
        <f t="shared" ca="1" si="38"/>
        <v>0.7003721234906134</v>
      </c>
      <c r="AI113">
        <f t="shared" ca="1" si="39"/>
        <v>0</v>
      </c>
      <c r="AJ113" s="47">
        <f t="shared" ca="1" si="40"/>
        <v>0</v>
      </c>
      <c r="AK113">
        <f t="shared" ca="1" si="41"/>
        <v>0</v>
      </c>
    </row>
    <row r="114" spans="2:37" x14ac:dyDescent="0.2">
      <c r="B114">
        <f ca="1">Inputs!B12+(Inputs!D12-Inputs!B12)*BETAINV(RAND(),Model!H6,Model!I6)</f>
        <v>3.2509259631364436</v>
      </c>
      <c r="C114">
        <f ca="1">Inputs!E12+(Inputs!G12-Inputs!E12)*BETAINV(RAND(),Model!J6,Model!K6)</f>
        <v>0.46165858255849967</v>
      </c>
      <c r="D114">
        <f ca="1">(Inputs!H12+(Inputs!J12-Inputs!H12)*BETAINV(RAND(),Model!L6,Model!M6))*Inputs!$C$6</f>
        <v>14197.499168593093</v>
      </c>
      <c r="E114">
        <f t="shared" ca="1" si="21"/>
        <v>1.5008178721441958</v>
      </c>
      <c r="F114">
        <f t="shared" ca="1" si="22"/>
        <v>0.5702285449714255</v>
      </c>
      <c r="G114">
        <f t="shared" ca="1" si="23"/>
        <v>2</v>
      </c>
      <c r="H114" s="47">
        <f t="shared" ca="1" si="24"/>
        <v>28394.998337186185</v>
      </c>
      <c r="I114">
        <f ca="1">Inputs!B13+(Inputs!D13-Inputs!B13)*BETAINV(RAND(),Model!H7,Model!I7)</f>
        <v>2.6552485584466483</v>
      </c>
      <c r="J114">
        <f ca="1">Inputs!E13+(Inputs!G13-Inputs!E13)*BETAINV(RAND(),Model!J7,Model!K7)</f>
        <v>0.20698664882618581</v>
      </c>
      <c r="K114">
        <f ca="1">(Inputs!H13+(Inputs!J13-Inputs!H13)*BETAINV(RAND(),Model!L7,Model!M7))*Inputs!$C$6</f>
        <v>56339.340493803371</v>
      </c>
      <c r="L114">
        <f t="shared" ca="1" si="25"/>
        <v>0.54960100091343245</v>
      </c>
      <c r="M114">
        <f t="shared" ca="1" si="26"/>
        <v>0.9445684691597398</v>
      </c>
      <c r="N114">
        <f t="shared" ca="1" si="27"/>
        <v>2</v>
      </c>
      <c r="O114" s="47">
        <f t="shared" ca="1" si="28"/>
        <v>112678.68098760674</v>
      </c>
      <c r="P114">
        <f ca="1">Inputs!B14+(Inputs!D14-Inputs!B14)*BETAINV(RAND(),Model!H8,Model!I8)</f>
        <v>0.24950980072631071</v>
      </c>
      <c r="Q114">
        <f ca="1">Inputs!E14+(Inputs!G14-Inputs!E14)*BETAINV(RAND(),Model!J8,Model!K8)</f>
        <v>0.74397649233261143</v>
      </c>
      <c r="R114">
        <f ca="1">(Inputs!H14+(Inputs!J14-Inputs!H14)*BETAINV(RAND(),Model!L8,Model!M8))*Inputs!$C$6</f>
        <v>400694.33298105269</v>
      </c>
      <c r="S114">
        <f t="shared" ca="1" si="29"/>
        <v>0.18562942634696949</v>
      </c>
      <c r="T114">
        <f t="shared" ca="1" si="30"/>
        <v>8.6934974576712953E-2</v>
      </c>
      <c r="U114">
        <f t="shared" ca="1" si="31"/>
        <v>0</v>
      </c>
      <c r="V114" s="47">
        <f t="shared" ca="1" si="32"/>
        <v>0</v>
      </c>
      <c r="W114">
        <f ca="1">Inputs!B15+(Inputs!D15-Inputs!B15)*BETAINV(RAND(),Model!H9,Model!I9)</f>
        <v>1.8962018840926644</v>
      </c>
      <c r="X114">
        <f ca="1">Inputs!E15+(Inputs!G15-Inputs!E15)*BETAINV(RAND(),Model!J9,Model!K9)</f>
        <v>0.5750881401699427</v>
      </c>
      <c r="Y114">
        <f ca="1">(Inputs!H15+(Inputs!J15-Inputs!H15)*BETAINV(RAND(),Model!L9,Model!M9))*Inputs!$C$6</f>
        <v>15437.079597658176</v>
      </c>
      <c r="Z114">
        <f t="shared" ca="1" si="33"/>
        <v>1.0904832149095915</v>
      </c>
      <c r="AA114">
        <f t="shared" ca="1" si="34"/>
        <v>0.17119064512111426</v>
      </c>
      <c r="AB114">
        <f t="shared" ca="1" si="35"/>
        <v>0</v>
      </c>
      <c r="AC114" s="47">
        <f t="shared" ca="1" si="36"/>
        <v>0</v>
      </c>
      <c r="AD114">
        <f ca="1">Inputs!B16+(Inputs!D16-Inputs!B16)*BETAINV(RAND(),Model!H10,Model!I10)</f>
        <v>0.7312710835131222</v>
      </c>
      <c r="AE114">
        <f ca="1">Inputs!E16+(Inputs!G16-Inputs!E16)*BETAINV(RAND(),Model!J10,Model!K10)</f>
        <v>0.57984260234453988</v>
      </c>
      <c r="AF114">
        <f ca="1">(Inputs!H16+(Inputs!J16-Inputs!H16)*BETAINV(RAND(),Model!L10,Model!M10))*Inputs!$C$6</f>
        <v>58761.214807619785</v>
      </c>
      <c r="AG114">
        <f t="shared" ca="1" si="37"/>
        <v>0.42402212808356016</v>
      </c>
      <c r="AH114">
        <f t="shared" ca="1" si="38"/>
        <v>0.9489769695229241</v>
      </c>
      <c r="AI114">
        <f t="shared" ca="1" si="39"/>
        <v>2</v>
      </c>
      <c r="AJ114" s="47">
        <f t="shared" ca="1" si="40"/>
        <v>117522.42961523957</v>
      </c>
      <c r="AK114">
        <f t="shared" ca="1" si="41"/>
        <v>258596.10894003249</v>
      </c>
    </row>
    <row r="115" spans="2:37" x14ac:dyDescent="0.2">
      <c r="B115">
        <f ca="1">Inputs!B12+(Inputs!D12-Inputs!B12)*BETAINV(RAND(),Model!H6,Model!I6)</f>
        <v>2.0523674974449495</v>
      </c>
      <c r="C115">
        <f ca="1">Inputs!E12+(Inputs!G12-Inputs!E12)*BETAINV(RAND(),Model!J6,Model!K6)</f>
        <v>0.35681389342893988</v>
      </c>
      <c r="D115">
        <f ca="1">(Inputs!H12+(Inputs!J12-Inputs!H12)*BETAINV(RAND(),Model!L6,Model!M6))*Inputs!$C$6</f>
        <v>29867.567411786935</v>
      </c>
      <c r="E115">
        <f t="shared" ca="1" si="21"/>
        <v>0.73231323751034227</v>
      </c>
      <c r="F115">
        <f t="shared" ca="1" si="22"/>
        <v>0.84966360006564445</v>
      </c>
      <c r="G115">
        <f t="shared" ca="1" si="23"/>
        <v>2</v>
      </c>
      <c r="H115" s="47">
        <f t="shared" ca="1" si="24"/>
        <v>59735.13482357387</v>
      </c>
      <c r="I115">
        <f ca="1">Inputs!B13+(Inputs!D13-Inputs!B13)*BETAINV(RAND(),Model!H7,Model!I7)</f>
        <v>2.1593398470430651</v>
      </c>
      <c r="J115">
        <f ca="1">Inputs!E13+(Inputs!G13-Inputs!E13)*BETAINV(RAND(),Model!J7,Model!K7)</f>
        <v>0.20826722670688672</v>
      </c>
      <c r="K115">
        <f ca="1">(Inputs!H13+(Inputs!J13-Inputs!H13)*BETAINV(RAND(),Model!L7,Model!M7))*Inputs!$C$6</f>
        <v>23025.496100987177</v>
      </c>
      <c r="L115">
        <f t="shared" ca="1" si="25"/>
        <v>0.44971972146133216</v>
      </c>
      <c r="M115">
        <f t="shared" ca="1" si="26"/>
        <v>0.54841557873526681</v>
      </c>
      <c r="N115">
        <f t="shared" ca="1" si="27"/>
        <v>0</v>
      </c>
      <c r="O115" s="47">
        <f t="shared" ca="1" si="28"/>
        <v>0</v>
      </c>
      <c r="P115">
        <f ca="1">Inputs!B14+(Inputs!D14-Inputs!B14)*BETAINV(RAND(),Model!H8,Model!I8)</f>
        <v>0.36394127528037434</v>
      </c>
      <c r="Q115">
        <f ca="1">Inputs!E14+(Inputs!G14-Inputs!E14)*BETAINV(RAND(),Model!J8,Model!K8)</f>
        <v>0.43312124983622224</v>
      </c>
      <c r="R115">
        <f ca="1">(Inputs!H14+(Inputs!J14-Inputs!H14)*BETAINV(RAND(),Model!L8,Model!M8))*Inputs!$C$6</f>
        <v>297906.48116233153</v>
      </c>
      <c r="S115">
        <f t="shared" ca="1" si="29"/>
        <v>0.15763070001642435</v>
      </c>
      <c r="T115">
        <f t="shared" ca="1" si="30"/>
        <v>0.41146554414462622</v>
      </c>
      <c r="U115">
        <f t="shared" ca="1" si="31"/>
        <v>0</v>
      </c>
      <c r="V115" s="47">
        <f t="shared" ca="1" si="32"/>
        <v>0</v>
      </c>
      <c r="W115">
        <f ca="1">Inputs!B15+(Inputs!D15-Inputs!B15)*BETAINV(RAND(),Model!H9,Model!I9)</f>
        <v>1.6772652873636258</v>
      </c>
      <c r="X115">
        <f ca="1">Inputs!E15+(Inputs!G15-Inputs!E15)*BETAINV(RAND(),Model!J9,Model!K9)</f>
        <v>0.2643296411775985</v>
      </c>
      <c r="Y115">
        <f ca="1">(Inputs!H15+(Inputs!J15-Inputs!H15)*BETAINV(RAND(),Model!L9,Model!M9))*Inputs!$C$6</f>
        <v>37798.191441551382</v>
      </c>
      <c r="Z115">
        <f t="shared" ca="1" si="33"/>
        <v>0.44335093156846883</v>
      </c>
      <c r="AA115">
        <f t="shared" ca="1" si="34"/>
        <v>0.86794859152853054</v>
      </c>
      <c r="AB115">
        <f t="shared" ca="1" si="35"/>
        <v>1</v>
      </c>
      <c r="AC115" s="47">
        <f t="shared" ca="1" si="36"/>
        <v>37798.191441551382</v>
      </c>
      <c r="AD115">
        <f ca="1">Inputs!B16+(Inputs!D16-Inputs!B16)*BETAINV(RAND(),Model!H10,Model!I10)</f>
        <v>0.45531056501737582</v>
      </c>
      <c r="AE115">
        <f ca="1">Inputs!E16+(Inputs!G16-Inputs!E16)*BETAINV(RAND(),Model!J10,Model!K10)</f>
        <v>0.66625093860932738</v>
      </c>
      <c r="AF115">
        <f ca="1">(Inputs!H16+(Inputs!J16-Inputs!H16)*BETAINV(RAND(),Model!L10,Model!M10))*Inputs!$C$6</f>
        <v>76927.83309630632</v>
      </c>
      <c r="AG115">
        <f t="shared" ca="1" si="37"/>
        <v>0.30335109130156984</v>
      </c>
      <c r="AH115">
        <f t="shared" ca="1" si="38"/>
        <v>0.80741065409861312</v>
      </c>
      <c r="AI115">
        <f t="shared" ca="1" si="39"/>
        <v>1</v>
      </c>
      <c r="AJ115" s="47">
        <f t="shared" ca="1" si="40"/>
        <v>76927.83309630632</v>
      </c>
      <c r="AK115">
        <f t="shared" ca="1" si="41"/>
        <v>174461.15936143155</v>
      </c>
    </row>
    <row r="116" spans="2:37" x14ac:dyDescent="0.2">
      <c r="B116">
        <f ca="1">Inputs!B12+(Inputs!D12-Inputs!B12)*BETAINV(RAND(),Model!H6,Model!I6)</f>
        <v>1.4453587339808911</v>
      </c>
      <c r="C116">
        <f ca="1">Inputs!E12+(Inputs!G12-Inputs!E12)*BETAINV(RAND(),Model!J6,Model!K6)</f>
        <v>0.45572723246252778</v>
      </c>
      <c r="D116">
        <f ca="1">(Inputs!H12+(Inputs!J12-Inputs!H12)*BETAINV(RAND(),Model!L6,Model!M6))*Inputs!$C$6</f>
        <v>51114.149738049142</v>
      </c>
      <c r="E116">
        <f t="shared" ca="1" si="21"/>
        <v>0.65868933575265443</v>
      </c>
      <c r="F116">
        <f t="shared" ca="1" si="22"/>
        <v>0.27203663570865821</v>
      </c>
      <c r="G116">
        <f t="shared" ca="1" si="23"/>
        <v>0</v>
      </c>
      <c r="H116" s="47">
        <f t="shared" ca="1" si="24"/>
        <v>0</v>
      </c>
      <c r="I116">
        <f ca="1">Inputs!B13+(Inputs!D13-Inputs!B13)*BETAINV(RAND(),Model!H7,Model!I7)</f>
        <v>1.4550789653538443</v>
      </c>
      <c r="J116">
        <f ca="1">Inputs!E13+(Inputs!G13-Inputs!E13)*BETAINV(RAND(),Model!J7,Model!K7)</f>
        <v>0.29235400923883226</v>
      </c>
      <c r="K116">
        <f ca="1">(Inputs!H13+(Inputs!J13-Inputs!H13)*BETAINV(RAND(),Model!L7,Model!M7))*Inputs!$C$6</f>
        <v>32683.451039010757</v>
      </c>
      <c r="L116">
        <f t="shared" ca="1" si="25"/>
        <v>0.42539816928028829</v>
      </c>
      <c r="M116">
        <f t="shared" ca="1" si="26"/>
        <v>0.99370760196536867</v>
      </c>
      <c r="N116">
        <f t="shared" ca="1" si="27"/>
        <v>3</v>
      </c>
      <c r="O116" s="47">
        <f t="shared" ca="1" si="28"/>
        <v>98050.353117032268</v>
      </c>
      <c r="P116">
        <f ca="1">Inputs!B14+(Inputs!D14-Inputs!B14)*BETAINV(RAND(),Model!H8,Model!I8)</f>
        <v>0.14114775307447774</v>
      </c>
      <c r="Q116">
        <f ca="1">Inputs!E14+(Inputs!G14-Inputs!E14)*BETAINV(RAND(),Model!J8,Model!K8)</f>
        <v>0.59008959710245912</v>
      </c>
      <c r="R116">
        <f ca="1">(Inputs!H14+(Inputs!J14-Inputs!H14)*BETAINV(RAND(),Model!L8,Model!M8))*Inputs!$C$6</f>
        <v>323243.94280501135</v>
      </c>
      <c r="S116">
        <f t="shared" ca="1" si="29"/>
        <v>8.3289820743635959E-2</v>
      </c>
      <c r="T116">
        <f t="shared" ca="1" si="30"/>
        <v>0.41627227327501415</v>
      </c>
      <c r="U116">
        <f t="shared" ca="1" si="31"/>
        <v>0</v>
      </c>
      <c r="V116" s="47">
        <f t="shared" ca="1" si="32"/>
        <v>0</v>
      </c>
      <c r="W116">
        <f ca="1">Inputs!B15+(Inputs!D15-Inputs!B15)*BETAINV(RAND(),Model!H9,Model!I9)</f>
        <v>1.2366451526039945</v>
      </c>
      <c r="X116">
        <f ca="1">Inputs!E15+(Inputs!G15-Inputs!E15)*BETAINV(RAND(),Model!J9,Model!K9)</f>
        <v>0.51881945182548816</v>
      </c>
      <c r="Y116">
        <f ca="1">(Inputs!H15+(Inputs!J15-Inputs!H15)*BETAINV(RAND(),Model!L9,Model!M9))*Inputs!$C$6</f>
        <v>13618.426966779414</v>
      </c>
      <c r="Z116">
        <f t="shared" ca="1" si="33"/>
        <v>0.64159556017665165</v>
      </c>
      <c r="AA116">
        <f t="shared" ca="1" si="34"/>
        <v>0.5424130955517823</v>
      </c>
      <c r="AB116">
        <f t="shared" ca="1" si="35"/>
        <v>1</v>
      </c>
      <c r="AC116" s="47">
        <f t="shared" ca="1" si="36"/>
        <v>13618.426966779414</v>
      </c>
      <c r="AD116">
        <f ca="1">Inputs!B16+(Inputs!D16-Inputs!B16)*BETAINV(RAND(),Model!H10,Model!I10)</f>
        <v>0.53547595418316973</v>
      </c>
      <c r="AE116">
        <f ca="1">Inputs!E16+(Inputs!G16-Inputs!E16)*BETAINV(RAND(),Model!J10,Model!K10)</f>
        <v>0.56194406015255371</v>
      </c>
      <c r="AF116">
        <f ca="1">(Inputs!H16+(Inputs!J16-Inputs!H16)*BETAINV(RAND(),Model!L10,Model!M10))*Inputs!$C$6</f>
        <v>50094.142327094632</v>
      </c>
      <c r="AG116">
        <f t="shared" ca="1" si="37"/>
        <v>0.3009075318077532</v>
      </c>
      <c r="AH116">
        <f t="shared" ca="1" si="38"/>
        <v>0.5789142129063295</v>
      </c>
      <c r="AI116">
        <f t="shared" ca="1" si="39"/>
        <v>0</v>
      </c>
      <c r="AJ116" s="47">
        <f t="shared" ca="1" si="40"/>
        <v>0</v>
      </c>
      <c r="AK116">
        <f t="shared" ca="1" si="41"/>
        <v>111668.78008381168</v>
      </c>
    </row>
    <row r="117" spans="2:37" x14ac:dyDescent="0.2">
      <c r="B117">
        <f ca="1">Inputs!B12+(Inputs!D12-Inputs!B12)*BETAINV(RAND(),Model!H6,Model!I6)</f>
        <v>1.9478214975431107</v>
      </c>
      <c r="C117">
        <f ca="1">Inputs!E12+(Inputs!G12-Inputs!E12)*BETAINV(RAND(),Model!J6,Model!K6)</f>
        <v>0.4171043188335769</v>
      </c>
      <c r="D117">
        <f ca="1">(Inputs!H12+(Inputs!J12-Inputs!H12)*BETAINV(RAND(),Model!L6,Model!M6))*Inputs!$C$6</f>
        <v>35796.436612742757</v>
      </c>
      <c r="E117">
        <f t="shared" ca="1" si="21"/>
        <v>0.81244475894211687</v>
      </c>
      <c r="F117">
        <f t="shared" ca="1" si="22"/>
        <v>0.30614988735074611</v>
      </c>
      <c r="G117">
        <f t="shared" ca="1" si="23"/>
        <v>0</v>
      </c>
      <c r="H117" s="47">
        <f t="shared" ca="1" si="24"/>
        <v>0</v>
      </c>
      <c r="I117">
        <f ca="1">Inputs!B13+(Inputs!D13-Inputs!B13)*BETAINV(RAND(),Model!H7,Model!I7)</f>
        <v>2.7977679578079098</v>
      </c>
      <c r="J117">
        <f ca="1">Inputs!E13+(Inputs!G13-Inputs!E13)*BETAINV(RAND(),Model!J7,Model!K7)</f>
        <v>0.36934457091037187</v>
      </c>
      <c r="K117">
        <f ca="1">(Inputs!H13+(Inputs!J13-Inputs!H13)*BETAINV(RAND(),Model!L7,Model!M7))*Inputs!$C$6</f>
        <v>57615.5074567907</v>
      </c>
      <c r="L117">
        <f t="shared" ca="1" si="25"/>
        <v>1.0333404058833497</v>
      </c>
      <c r="M117">
        <f t="shared" ca="1" si="26"/>
        <v>0.73192441904751127</v>
      </c>
      <c r="N117">
        <f t="shared" ca="1" si="27"/>
        <v>2</v>
      </c>
      <c r="O117" s="47">
        <f t="shared" ca="1" si="28"/>
        <v>115231.0149135814</v>
      </c>
      <c r="P117">
        <f ca="1">Inputs!B14+(Inputs!D14-Inputs!B14)*BETAINV(RAND(),Model!H8,Model!I8)</f>
        <v>0.3827966037521654</v>
      </c>
      <c r="Q117">
        <f ca="1">Inputs!E14+(Inputs!G14-Inputs!E14)*BETAINV(RAND(),Model!J8,Model!K8)</f>
        <v>0.72253266949826145</v>
      </c>
      <c r="R117">
        <f ca="1">(Inputs!H14+(Inputs!J14-Inputs!H14)*BETAINV(RAND(),Model!L8,Model!M8))*Inputs!$C$6</f>
        <v>279021.11010483635</v>
      </c>
      <c r="S117">
        <f t="shared" ca="1" si="29"/>
        <v>0.27658305198392025</v>
      </c>
      <c r="T117">
        <f t="shared" ca="1" si="30"/>
        <v>0.25914952437592043</v>
      </c>
      <c r="U117">
        <f t="shared" ca="1" si="31"/>
        <v>0</v>
      </c>
      <c r="V117" s="47">
        <f t="shared" ca="1" si="32"/>
        <v>0</v>
      </c>
      <c r="W117">
        <f ca="1">Inputs!B15+(Inputs!D15-Inputs!B15)*BETAINV(RAND(),Model!H9,Model!I9)</f>
        <v>0.88837667098009732</v>
      </c>
      <c r="X117">
        <f ca="1">Inputs!E15+(Inputs!G15-Inputs!E15)*BETAINV(RAND(),Model!J9,Model!K9)</f>
        <v>0.35964745828053063</v>
      </c>
      <c r="Y117">
        <f ca="1">(Inputs!H15+(Inputs!J15-Inputs!H15)*BETAINV(RAND(),Model!L9,Model!M9))*Inputs!$C$6</f>
        <v>26790.927521466881</v>
      </c>
      <c r="Z117">
        <f t="shared" ca="1" si="33"/>
        <v>0.31950241171371124</v>
      </c>
      <c r="AA117">
        <f t="shared" ca="1" si="34"/>
        <v>6.6462977779749077E-2</v>
      </c>
      <c r="AB117">
        <f t="shared" ca="1" si="35"/>
        <v>0</v>
      </c>
      <c r="AC117" s="47">
        <f t="shared" ca="1" si="36"/>
        <v>0</v>
      </c>
      <c r="AD117">
        <f ca="1">Inputs!B16+(Inputs!D16-Inputs!B16)*BETAINV(RAND(),Model!H10,Model!I10)</f>
        <v>0.88199843317754123</v>
      </c>
      <c r="AE117">
        <f ca="1">Inputs!E16+(Inputs!G16-Inputs!E16)*BETAINV(RAND(),Model!J10,Model!K10)</f>
        <v>0.66458758178203148</v>
      </c>
      <c r="AF117">
        <f ca="1">(Inputs!H16+(Inputs!J16-Inputs!H16)*BETAINV(RAND(),Model!L10,Model!M10))*Inputs!$C$6</f>
        <v>116618.08980127817</v>
      </c>
      <c r="AG117">
        <f t="shared" ca="1" si="37"/>
        <v>0.58616520584100285</v>
      </c>
      <c r="AH117">
        <f t="shared" ca="1" si="38"/>
        <v>0.89855469541342725</v>
      </c>
      <c r="AI117">
        <f t="shared" ca="1" si="39"/>
        <v>2</v>
      </c>
      <c r="AJ117" s="47">
        <f t="shared" ca="1" si="40"/>
        <v>233236.17960255634</v>
      </c>
      <c r="AK117">
        <f t="shared" ca="1" si="41"/>
        <v>348467.19451613771</v>
      </c>
    </row>
    <row r="118" spans="2:37" x14ac:dyDescent="0.2">
      <c r="B118">
        <f ca="1">Inputs!B12+(Inputs!D12-Inputs!B12)*BETAINV(RAND(),Model!H6,Model!I6)</f>
        <v>2.1931263307272602</v>
      </c>
      <c r="C118">
        <f ca="1">Inputs!E12+(Inputs!G12-Inputs!E12)*BETAINV(RAND(),Model!J6,Model!K6)</f>
        <v>0.2722086878029446</v>
      </c>
      <c r="D118">
        <f ca="1">(Inputs!H12+(Inputs!J12-Inputs!H12)*BETAINV(RAND(),Model!L6,Model!M6))*Inputs!$C$6</f>
        <v>14465.958886139641</v>
      </c>
      <c r="E118">
        <f t="shared" ca="1" si="21"/>
        <v>0.5969880406733542</v>
      </c>
      <c r="F118">
        <f t="shared" ca="1" si="22"/>
        <v>0.21271681806149434</v>
      </c>
      <c r="G118">
        <f t="shared" ca="1" si="23"/>
        <v>0</v>
      </c>
      <c r="H118" s="47">
        <f t="shared" ca="1" si="24"/>
        <v>0</v>
      </c>
      <c r="I118">
        <f ca="1">Inputs!B13+(Inputs!D13-Inputs!B13)*BETAINV(RAND(),Model!H7,Model!I7)</f>
        <v>1.9328856304371356</v>
      </c>
      <c r="J118">
        <f ca="1">Inputs!E13+(Inputs!G13-Inputs!E13)*BETAINV(RAND(),Model!J7,Model!K7)</f>
        <v>0.38765409712902843</v>
      </c>
      <c r="K118">
        <f ca="1">(Inputs!H13+(Inputs!J13-Inputs!H13)*BETAINV(RAND(),Model!L7,Model!M7))*Inputs!$C$6</f>
        <v>35113.684753585345</v>
      </c>
      <c r="L118">
        <f t="shared" ca="1" si="25"/>
        <v>0.74929103392078067</v>
      </c>
      <c r="M118">
        <f t="shared" ca="1" si="26"/>
        <v>0.6430967943275343</v>
      </c>
      <c r="N118">
        <f t="shared" ca="1" si="27"/>
        <v>1</v>
      </c>
      <c r="O118" s="47">
        <f t="shared" ca="1" si="28"/>
        <v>35113.684753585345</v>
      </c>
      <c r="P118">
        <f ca="1">Inputs!B14+(Inputs!D14-Inputs!B14)*BETAINV(RAND(),Model!H8,Model!I8)</f>
        <v>0.23776283834239598</v>
      </c>
      <c r="Q118">
        <f ca="1">Inputs!E14+(Inputs!G14-Inputs!E14)*BETAINV(RAND(),Model!J8,Model!K8)</f>
        <v>0.57503778062867461</v>
      </c>
      <c r="R118">
        <f ca="1">(Inputs!H14+(Inputs!J14-Inputs!H14)*BETAINV(RAND(),Model!L8,Model!M8))*Inputs!$C$6</f>
        <v>408774.19905574352</v>
      </c>
      <c r="S118">
        <f t="shared" ca="1" si="29"/>
        <v>0.13672261487638573</v>
      </c>
      <c r="T118">
        <f t="shared" ca="1" si="30"/>
        <v>0.68693576934149325</v>
      </c>
      <c r="U118">
        <f t="shared" ca="1" si="31"/>
        <v>0</v>
      </c>
      <c r="V118" s="47">
        <f t="shared" ca="1" si="32"/>
        <v>0</v>
      </c>
      <c r="W118">
        <f ca="1">Inputs!B15+(Inputs!D15-Inputs!B15)*BETAINV(RAND(),Model!H9,Model!I9)</f>
        <v>0.33595046831720649</v>
      </c>
      <c r="X118">
        <f ca="1">Inputs!E15+(Inputs!G15-Inputs!E15)*BETAINV(RAND(),Model!J9,Model!K9)</f>
        <v>0.27237830839492005</v>
      </c>
      <c r="Y118">
        <f ca="1">(Inputs!H15+(Inputs!J15-Inputs!H15)*BETAINV(RAND(),Model!L9,Model!M9))*Inputs!$C$6</f>
        <v>21012.219272194619</v>
      </c>
      <c r="Z118">
        <f t="shared" ca="1" si="33"/>
        <v>9.1505620264721893E-2</v>
      </c>
      <c r="AA118">
        <f t="shared" ca="1" si="34"/>
        <v>0.9438116615466936</v>
      </c>
      <c r="AB118">
        <f t="shared" ca="1" si="35"/>
        <v>1</v>
      </c>
      <c r="AC118" s="47">
        <f t="shared" ca="1" si="36"/>
        <v>21012.219272194619</v>
      </c>
      <c r="AD118">
        <f ca="1">Inputs!B16+(Inputs!D16-Inputs!B16)*BETAINV(RAND(),Model!H10,Model!I10)</f>
        <v>0.54662496935812677</v>
      </c>
      <c r="AE118">
        <f ca="1">Inputs!E16+(Inputs!G16-Inputs!E16)*BETAINV(RAND(),Model!J10,Model!K10)</f>
        <v>0.72561650284846269</v>
      </c>
      <c r="AF118">
        <f ca="1">(Inputs!H16+(Inputs!J16-Inputs!H16)*BETAINV(RAND(),Model!L10,Model!M10))*Inputs!$C$6</f>
        <v>68397.970948683331</v>
      </c>
      <c r="AG118">
        <f t="shared" ca="1" si="37"/>
        <v>0.39664009863529204</v>
      </c>
      <c r="AH118">
        <f t="shared" ca="1" si="38"/>
        <v>0.18280994741811862</v>
      </c>
      <c r="AI118">
        <f t="shared" ca="1" si="39"/>
        <v>0</v>
      </c>
      <c r="AJ118" s="47">
        <f t="shared" ca="1" si="40"/>
        <v>0</v>
      </c>
      <c r="AK118">
        <f t="shared" ca="1" si="41"/>
        <v>56125.904025779964</v>
      </c>
    </row>
    <row r="119" spans="2:37" x14ac:dyDescent="0.2">
      <c r="B119">
        <f ca="1">Inputs!B12+(Inputs!D12-Inputs!B12)*BETAINV(RAND(),Model!H6,Model!I6)</f>
        <v>2.5121322612978907</v>
      </c>
      <c r="C119">
        <f ca="1">Inputs!E12+(Inputs!G12-Inputs!E12)*BETAINV(RAND(),Model!J6,Model!K6)</f>
        <v>0.33735827905454618</v>
      </c>
      <c r="D119">
        <f ca="1">(Inputs!H12+(Inputs!J12-Inputs!H12)*BETAINV(RAND(),Model!L6,Model!M6))*Inputs!$C$6</f>
        <v>33816.348641321092</v>
      </c>
      <c r="E119">
        <f t="shared" ca="1" si="21"/>
        <v>0.84748861642886197</v>
      </c>
      <c r="F119">
        <f t="shared" ca="1" si="22"/>
        <v>0.53710207010417477</v>
      </c>
      <c r="G119">
        <f t="shared" ca="1" si="23"/>
        <v>1</v>
      </c>
      <c r="H119" s="47">
        <f t="shared" ca="1" si="24"/>
        <v>33816.348641321092</v>
      </c>
      <c r="I119">
        <f ca="1">Inputs!B13+(Inputs!D13-Inputs!B13)*BETAINV(RAND(),Model!H7,Model!I7)</f>
        <v>2.7982198112355432</v>
      </c>
      <c r="J119">
        <f ca="1">Inputs!E13+(Inputs!G13-Inputs!E13)*BETAINV(RAND(),Model!J7,Model!K7)</f>
        <v>0.27008340514527029</v>
      </c>
      <c r="K119">
        <f ca="1">(Inputs!H13+(Inputs!J13-Inputs!H13)*BETAINV(RAND(),Model!L7,Model!M7))*Inputs!$C$6</f>
        <v>32131.948581124161</v>
      </c>
      <c r="L119">
        <f t="shared" ca="1" si="25"/>
        <v>0.75575273496345097</v>
      </c>
      <c r="M119">
        <f t="shared" ca="1" si="26"/>
        <v>0.34794689938444201</v>
      </c>
      <c r="N119">
        <f t="shared" ca="1" si="27"/>
        <v>0</v>
      </c>
      <c r="O119" s="47">
        <f t="shared" ca="1" si="28"/>
        <v>0</v>
      </c>
      <c r="P119">
        <f ca="1">Inputs!B14+(Inputs!D14-Inputs!B14)*BETAINV(RAND(),Model!H8,Model!I8)</f>
        <v>0.45371642025814207</v>
      </c>
      <c r="Q119">
        <f ca="1">Inputs!E14+(Inputs!G14-Inputs!E14)*BETAINV(RAND(),Model!J8,Model!K8)</f>
        <v>0.81296338818698799</v>
      </c>
      <c r="R119">
        <f ca="1">(Inputs!H14+(Inputs!J14-Inputs!H14)*BETAINV(RAND(),Model!L8,Model!M8))*Inputs!$C$6</f>
        <v>519489.92596916144</v>
      </c>
      <c r="S119">
        <f t="shared" ca="1" si="29"/>
        <v>0.36885483828913052</v>
      </c>
      <c r="T119">
        <f t="shared" ca="1" si="30"/>
        <v>0.44110469138229924</v>
      </c>
      <c r="U119">
        <f t="shared" ca="1" si="31"/>
        <v>0</v>
      </c>
      <c r="V119" s="47">
        <f t="shared" ca="1" si="32"/>
        <v>0</v>
      </c>
      <c r="W119">
        <f ca="1">Inputs!B15+(Inputs!D15-Inputs!B15)*BETAINV(RAND(),Model!H9,Model!I9)</f>
        <v>1.7583188337032423</v>
      </c>
      <c r="X119">
        <f ca="1">Inputs!E15+(Inputs!G15-Inputs!E15)*BETAINV(RAND(),Model!J9,Model!K9)</f>
        <v>0.29241867863559978</v>
      </c>
      <c r="Y119">
        <f ca="1">(Inputs!H15+(Inputs!J15-Inputs!H15)*BETAINV(RAND(),Model!L9,Model!M9))*Inputs!$C$6</f>
        <v>67523.936739706769</v>
      </c>
      <c r="Z119">
        <f t="shared" ca="1" si="33"/>
        <v>0.51416526997159107</v>
      </c>
      <c r="AA119">
        <f t="shared" ca="1" si="34"/>
        <v>0.99675068226353924</v>
      </c>
      <c r="AB119">
        <f t="shared" ca="1" si="35"/>
        <v>3</v>
      </c>
      <c r="AC119" s="47">
        <f t="shared" ca="1" si="36"/>
        <v>202571.81021912029</v>
      </c>
      <c r="AD119">
        <f ca="1">Inputs!B16+(Inputs!D16-Inputs!B16)*BETAINV(RAND(),Model!H10,Model!I10)</f>
        <v>0.23054896437862821</v>
      </c>
      <c r="AE119">
        <f ca="1">Inputs!E16+(Inputs!G16-Inputs!E16)*BETAINV(RAND(),Model!J10,Model!K10)</f>
        <v>0.61692573642496551</v>
      </c>
      <c r="AF119">
        <f ca="1">(Inputs!H16+(Inputs!J16-Inputs!H16)*BETAINV(RAND(),Model!L10,Model!M10))*Inputs!$C$6</f>
        <v>78524.944784200183</v>
      </c>
      <c r="AG119">
        <f t="shared" ca="1" si="37"/>
        <v>0.14223158963129834</v>
      </c>
      <c r="AH119">
        <f t="shared" ca="1" si="38"/>
        <v>0.71201148878344844</v>
      </c>
      <c r="AI119">
        <f t="shared" ca="1" si="39"/>
        <v>0</v>
      </c>
      <c r="AJ119" s="47">
        <f t="shared" ca="1" si="40"/>
        <v>0</v>
      </c>
      <c r="AK119">
        <f t="shared" ca="1" si="41"/>
        <v>236388.15886044138</v>
      </c>
    </row>
    <row r="120" spans="2:37" x14ac:dyDescent="0.2">
      <c r="B120">
        <f ca="1">Inputs!B12+(Inputs!D12-Inputs!B12)*BETAINV(RAND(),Model!H6,Model!I6)</f>
        <v>2.8370296508941779</v>
      </c>
      <c r="C120">
        <f ca="1">Inputs!E12+(Inputs!G12-Inputs!E12)*BETAINV(RAND(),Model!J6,Model!K6)</f>
        <v>0.26004586385524314</v>
      </c>
      <c r="D120">
        <f ca="1">(Inputs!H12+(Inputs!J12-Inputs!H12)*BETAINV(RAND(),Model!L6,Model!M6))*Inputs!$C$6</f>
        <v>19086.831367475213</v>
      </c>
      <c r="E120">
        <f t="shared" ca="1" si="21"/>
        <v>0.73775782634971532</v>
      </c>
      <c r="F120">
        <f t="shared" ca="1" si="22"/>
        <v>0.61251223167569735</v>
      </c>
      <c r="G120">
        <f t="shared" ca="1" si="23"/>
        <v>1</v>
      </c>
      <c r="H120" s="47">
        <f t="shared" ca="1" si="24"/>
        <v>19086.831367475213</v>
      </c>
      <c r="I120">
        <f ca="1">Inputs!B13+(Inputs!D13-Inputs!B13)*BETAINV(RAND(),Model!H7,Model!I7)</f>
        <v>2.4618956383095565</v>
      </c>
      <c r="J120">
        <f ca="1">Inputs!E13+(Inputs!G13-Inputs!E13)*BETAINV(RAND(),Model!J7,Model!K7)</f>
        <v>0.3126274578219837</v>
      </c>
      <c r="K120">
        <f ca="1">(Inputs!H13+(Inputs!J13-Inputs!H13)*BETAINV(RAND(),Model!L7,Model!M7))*Inputs!$C$6</f>
        <v>32959.344043047473</v>
      </c>
      <c r="L120">
        <f t="shared" ca="1" si="25"/>
        <v>0.76965617482774651</v>
      </c>
      <c r="M120">
        <f t="shared" ca="1" si="26"/>
        <v>0.40060021373317545</v>
      </c>
      <c r="N120">
        <f t="shared" ca="1" si="27"/>
        <v>0</v>
      </c>
      <c r="O120" s="47">
        <f t="shared" ca="1" si="28"/>
        <v>0</v>
      </c>
      <c r="P120">
        <f ca="1">Inputs!B14+(Inputs!D14-Inputs!B14)*BETAINV(RAND(),Model!H8,Model!I8)</f>
        <v>0.42645724876355673</v>
      </c>
      <c r="Q120">
        <f ca="1">Inputs!E14+(Inputs!G14-Inputs!E14)*BETAINV(RAND(),Model!J8,Model!K8)</f>
        <v>0.74168546635340382</v>
      </c>
      <c r="R120">
        <f ca="1">(Inputs!H14+(Inputs!J14-Inputs!H14)*BETAINV(RAND(),Model!L8,Model!M8))*Inputs!$C$6</f>
        <v>239502.00019915766</v>
      </c>
      <c r="S120">
        <f t="shared" ca="1" si="29"/>
        <v>0.31629714342898813</v>
      </c>
      <c r="T120">
        <f t="shared" ca="1" si="30"/>
        <v>0.83411102450981767</v>
      </c>
      <c r="U120">
        <f t="shared" ca="1" si="31"/>
        <v>1</v>
      </c>
      <c r="V120" s="47">
        <f t="shared" ca="1" si="32"/>
        <v>239502.00019915766</v>
      </c>
      <c r="W120">
        <f ca="1">Inputs!B15+(Inputs!D15-Inputs!B15)*BETAINV(RAND(),Model!H9,Model!I9)</f>
        <v>1.4003433767487761</v>
      </c>
      <c r="X120">
        <f ca="1">Inputs!E15+(Inputs!G15-Inputs!E15)*BETAINV(RAND(),Model!J9,Model!K9)</f>
        <v>0.53142312004615677</v>
      </c>
      <c r="Y120">
        <f ca="1">(Inputs!H15+(Inputs!J15-Inputs!H15)*BETAINV(RAND(),Model!L9,Model!M9))*Inputs!$C$6</f>
        <v>43311.551051719987</v>
      </c>
      <c r="Z120">
        <f t="shared" ca="1" si="33"/>
        <v>0.7441748464078054</v>
      </c>
      <c r="AA120">
        <f t="shared" ca="1" si="34"/>
        <v>0.24654024835326249</v>
      </c>
      <c r="AB120">
        <f t="shared" ca="1" si="35"/>
        <v>0</v>
      </c>
      <c r="AC120" s="47">
        <f t="shared" ca="1" si="36"/>
        <v>0</v>
      </c>
      <c r="AD120">
        <f ca="1">Inputs!B16+(Inputs!D16-Inputs!B16)*BETAINV(RAND(),Model!H10,Model!I10)</f>
        <v>0.60424859791687169</v>
      </c>
      <c r="AE120">
        <f ca="1">Inputs!E16+(Inputs!G16-Inputs!E16)*BETAINV(RAND(),Model!J10,Model!K10)</f>
        <v>0.5196366945090799</v>
      </c>
      <c r="AF120">
        <f ca="1">(Inputs!H16+(Inputs!J16-Inputs!H16)*BETAINV(RAND(),Model!L10,Model!M10))*Inputs!$C$6</f>
        <v>143947.33090371615</v>
      </c>
      <c r="AG120">
        <f t="shared" ca="1" si="37"/>
        <v>0.3139897440832693</v>
      </c>
      <c r="AH120">
        <f t="shared" ca="1" si="38"/>
        <v>0.53597428523864088</v>
      </c>
      <c r="AI120">
        <f t="shared" ca="1" si="39"/>
        <v>0</v>
      </c>
      <c r="AJ120" s="47">
        <f t="shared" ca="1" si="40"/>
        <v>0</v>
      </c>
      <c r="AK120">
        <f t="shared" ca="1" si="41"/>
        <v>258588.83156663287</v>
      </c>
    </row>
    <row r="121" spans="2:37" x14ac:dyDescent="0.2">
      <c r="B121">
        <f ca="1">Inputs!B12+(Inputs!D12-Inputs!B12)*BETAINV(RAND(),Model!H6,Model!I6)</f>
        <v>2.7284199195946268</v>
      </c>
      <c r="C121">
        <f ca="1">Inputs!E12+(Inputs!G12-Inputs!E12)*BETAINV(RAND(),Model!J6,Model!K6)</f>
        <v>0.23441094319221645</v>
      </c>
      <c r="D121">
        <f ca="1">(Inputs!H12+(Inputs!J12-Inputs!H12)*BETAINV(RAND(),Model!L6,Model!M6))*Inputs!$C$6</f>
        <v>31611.088015820351</v>
      </c>
      <c r="E121">
        <f t="shared" ca="1" si="21"/>
        <v>0.6395714867766078</v>
      </c>
      <c r="F121">
        <f t="shared" ca="1" si="22"/>
        <v>0.83950945854676029</v>
      </c>
      <c r="G121">
        <f t="shared" ca="1" si="23"/>
        <v>1</v>
      </c>
      <c r="H121" s="47">
        <f t="shared" ca="1" si="24"/>
        <v>31611.088015820351</v>
      </c>
      <c r="I121">
        <f ca="1">Inputs!B13+(Inputs!D13-Inputs!B13)*BETAINV(RAND(),Model!H7,Model!I7)</f>
        <v>2.6106053695780189</v>
      </c>
      <c r="J121">
        <f ca="1">Inputs!E13+(Inputs!G13-Inputs!E13)*BETAINV(RAND(),Model!J7,Model!K7)</f>
        <v>0.26057251125928882</v>
      </c>
      <c r="K121">
        <f ca="1">(Inputs!H13+(Inputs!J13-Inputs!H13)*BETAINV(RAND(),Model!L7,Model!M7))*Inputs!$C$6</f>
        <v>26392.212085051557</v>
      </c>
      <c r="L121">
        <f t="shared" ca="1" si="25"/>
        <v>0.68025199705792816</v>
      </c>
      <c r="M121">
        <f t="shared" ca="1" si="26"/>
        <v>0.54244380893846111</v>
      </c>
      <c r="N121">
        <f t="shared" ca="1" si="27"/>
        <v>1</v>
      </c>
      <c r="O121" s="47">
        <f t="shared" ca="1" si="28"/>
        <v>26392.212085051557</v>
      </c>
      <c r="P121">
        <f ca="1">Inputs!B14+(Inputs!D14-Inputs!B14)*BETAINV(RAND(),Model!H8,Model!I8)</f>
        <v>0.44193366714638549</v>
      </c>
      <c r="Q121">
        <f ca="1">Inputs!E14+(Inputs!G14-Inputs!E14)*BETAINV(RAND(),Model!J8,Model!K8)</f>
        <v>0.60380592767627195</v>
      </c>
      <c r="R121">
        <f ca="1">(Inputs!H14+(Inputs!J14-Inputs!H14)*BETAINV(RAND(),Model!L8,Model!M8))*Inputs!$C$6</f>
        <v>221048.39184882969</v>
      </c>
      <c r="S121">
        <f t="shared" ca="1" si="29"/>
        <v>0.2668421678627001</v>
      </c>
      <c r="T121">
        <f t="shared" ca="1" si="30"/>
        <v>0.32444256172262553</v>
      </c>
      <c r="U121">
        <f t="shared" ca="1" si="31"/>
        <v>0</v>
      </c>
      <c r="V121" s="47">
        <f t="shared" ca="1" si="32"/>
        <v>0</v>
      </c>
      <c r="W121">
        <f ca="1">Inputs!B15+(Inputs!D15-Inputs!B15)*BETAINV(RAND(),Model!H9,Model!I9)</f>
        <v>1.3719176565000903</v>
      </c>
      <c r="X121">
        <f ca="1">Inputs!E15+(Inputs!G15-Inputs!E15)*BETAINV(RAND(),Model!J9,Model!K9)</f>
        <v>0.25456437418711664</v>
      </c>
      <c r="Y121">
        <f ca="1">(Inputs!H15+(Inputs!J15-Inputs!H15)*BETAINV(RAND(),Model!L9,Model!M9))*Inputs!$C$6</f>
        <v>18369.186630858916</v>
      </c>
      <c r="Z121">
        <f t="shared" ca="1" si="33"/>
        <v>0.34924135966320113</v>
      </c>
      <c r="AA121">
        <f t="shared" ca="1" si="34"/>
        <v>0.54808848336115146</v>
      </c>
      <c r="AB121">
        <f t="shared" ca="1" si="35"/>
        <v>0</v>
      </c>
      <c r="AC121" s="47">
        <f t="shared" ca="1" si="36"/>
        <v>0</v>
      </c>
      <c r="AD121">
        <f ca="1">Inputs!B16+(Inputs!D16-Inputs!B16)*BETAINV(RAND(),Model!H10,Model!I10)</f>
        <v>0.83066013111823556</v>
      </c>
      <c r="AE121">
        <f ca="1">Inputs!E16+(Inputs!G16-Inputs!E16)*BETAINV(RAND(),Model!J10,Model!K10)</f>
        <v>0.47977163621162422</v>
      </c>
      <c r="AF121">
        <f ca="1">(Inputs!H16+(Inputs!J16-Inputs!H16)*BETAINV(RAND(),Model!L10,Model!M10))*Inputs!$C$6</f>
        <v>83585.859683822637</v>
      </c>
      <c r="AG121">
        <f t="shared" ca="1" si="37"/>
        <v>0.39852717024235818</v>
      </c>
      <c r="AH121">
        <f t="shared" ca="1" si="38"/>
        <v>0.53810986201209488</v>
      </c>
      <c r="AI121">
        <f t="shared" ca="1" si="39"/>
        <v>0</v>
      </c>
      <c r="AJ121" s="47">
        <f t="shared" ca="1" si="40"/>
        <v>0</v>
      </c>
      <c r="AK121">
        <f t="shared" ca="1" si="41"/>
        <v>58003.300100871907</v>
      </c>
    </row>
    <row r="122" spans="2:37" x14ac:dyDescent="0.2">
      <c r="B122">
        <f ca="1">Inputs!B12+(Inputs!D12-Inputs!B12)*BETAINV(RAND(),Model!H6,Model!I6)</f>
        <v>1.8871963600987265</v>
      </c>
      <c r="C122">
        <f ca="1">Inputs!E12+(Inputs!G12-Inputs!E12)*BETAINV(RAND(),Model!J6,Model!K6)</f>
        <v>0.42878740529281978</v>
      </c>
      <c r="D122">
        <f ca="1">(Inputs!H12+(Inputs!J12-Inputs!H12)*BETAINV(RAND(),Model!L6,Model!M6))*Inputs!$C$6</f>
        <v>25924.717645302862</v>
      </c>
      <c r="E122">
        <f t="shared" ca="1" si="21"/>
        <v>0.8092060305247869</v>
      </c>
      <c r="F122">
        <f t="shared" ca="1" si="22"/>
        <v>0.11094211094194528</v>
      </c>
      <c r="G122">
        <f t="shared" ca="1" si="23"/>
        <v>0</v>
      </c>
      <c r="H122" s="47">
        <f t="shared" ca="1" si="24"/>
        <v>0</v>
      </c>
      <c r="I122">
        <f ca="1">Inputs!B13+(Inputs!D13-Inputs!B13)*BETAINV(RAND(),Model!H7,Model!I7)</f>
        <v>1.7618901275798886</v>
      </c>
      <c r="J122">
        <f ca="1">Inputs!E13+(Inputs!G13-Inputs!E13)*BETAINV(RAND(),Model!J7,Model!K7)</f>
        <v>0.34652584056400892</v>
      </c>
      <c r="K122">
        <f ca="1">(Inputs!H13+(Inputs!J13-Inputs!H13)*BETAINV(RAND(),Model!L7,Model!M7))*Inputs!$C$6</f>
        <v>33679.113785078785</v>
      </c>
      <c r="L122">
        <f t="shared" ca="1" si="25"/>
        <v>0.61054045744104979</v>
      </c>
      <c r="M122">
        <f t="shared" ca="1" si="26"/>
        <v>0.54056661279711349</v>
      </c>
      <c r="N122">
        <f t="shared" ca="1" si="27"/>
        <v>0</v>
      </c>
      <c r="O122" s="47">
        <f t="shared" ca="1" si="28"/>
        <v>0</v>
      </c>
      <c r="P122">
        <f ca="1">Inputs!B14+(Inputs!D14-Inputs!B14)*BETAINV(RAND(),Model!H8,Model!I8)</f>
        <v>0.24656198849913091</v>
      </c>
      <c r="Q122">
        <f ca="1">Inputs!E14+(Inputs!G14-Inputs!E14)*BETAINV(RAND(),Model!J8,Model!K8)</f>
        <v>0.72528332883507218</v>
      </c>
      <c r="R122">
        <f ca="1">(Inputs!H14+(Inputs!J14-Inputs!H14)*BETAINV(RAND(),Model!L8,Model!M8))*Inputs!$C$6</f>
        <v>298473.50154843443</v>
      </c>
      <c r="S122">
        <f t="shared" ca="1" si="29"/>
        <v>0.17882729978284445</v>
      </c>
      <c r="T122">
        <f t="shared" ca="1" si="30"/>
        <v>0.17395121858262819</v>
      </c>
      <c r="U122">
        <f t="shared" ca="1" si="31"/>
        <v>0</v>
      </c>
      <c r="V122" s="47">
        <f t="shared" ca="1" si="32"/>
        <v>0</v>
      </c>
      <c r="W122">
        <f ca="1">Inputs!B15+(Inputs!D15-Inputs!B15)*BETAINV(RAND(),Model!H9,Model!I9)</f>
        <v>2.363318610115174</v>
      </c>
      <c r="X122">
        <f ca="1">Inputs!E15+(Inputs!G15-Inputs!E15)*BETAINV(RAND(),Model!J9,Model!K9)</f>
        <v>0.55459119024363379</v>
      </c>
      <c r="Y122">
        <f ca="1">(Inputs!H15+(Inputs!J15-Inputs!H15)*BETAINV(RAND(),Model!L9,Model!M9))*Inputs!$C$6</f>
        <v>11104.273111343047</v>
      </c>
      <c r="Z122">
        <f t="shared" ca="1" si="33"/>
        <v>1.3106756809087046</v>
      </c>
      <c r="AA122">
        <f t="shared" ca="1" si="34"/>
        <v>0.2441966321731468</v>
      </c>
      <c r="AB122">
        <f t="shared" ca="1" si="35"/>
        <v>0</v>
      </c>
      <c r="AC122" s="47">
        <f t="shared" ca="1" si="36"/>
        <v>0</v>
      </c>
      <c r="AD122">
        <f ca="1">Inputs!B16+(Inputs!D16-Inputs!B16)*BETAINV(RAND(),Model!H10,Model!I10)</f>
        <v>0.49308677994660455</v>
      </c>
      <c r="AE122">
        <f ca="1">Inputs!E16+(Inputs!G16-Inputs!E16)*BETAINV(RAND(),Model!J10,Model!K10)</f>
        <v>0.43864266198280516</v>
      </c>
      <c r="AF122">
        <f ca="1">(Inputs!H16+(Inputs!J16-Inputs!H16)*BETAINV(RAND(),Model!L10,Model!M10))*Inputs!$C$6</f>
        <v>106521.87008031686</v>
      </c>
      <c r="AG122">
        <f t="shared" ca="1" si="37"/>
        <v>0.21628889774430829</v>
      </c>
      <c r="AH122">
        <f t="shared" ca="1" si="38"/>
        <v>0.90419800638607262</v>
      </c>
      <c r="AI122">
        <f t="shared" ca="1" si="39"/>
        <v>1</v>
      </c>
      <c r="AJ122" s="47">
        <f t="shared" ca="1" si="40"/>
        <v>106521.87008031686</v>
      </c>
      <c r="AK122">
        <f t="shared" ca="1" si="41"/>
        <v>106521.87008031686</v>
      </c>
    </row>
    <row r="123" spans="2:37" x14ac:dyDescent="0.2">
      <c r="B123">
        <f ca="1">Inputs!B12+(Inputs!D12-Inputs!B12)*BETAINV(RAND(),Model!H6,Model!I6)</f>
        <v>2.7097031628094306</v>
      </c>
      <c r="C123">
        <f ca="1">Inputs!E12+(Inputs!G12-Inputs!E12)*BETAINV(RAND(),Model!J6,Model!K6)</f>
        <v>0.26845042813013065</v>
      </c>
      <c r="D123">
        <f ca="1">(Inputs!H12+(Inputs!J12-Inputs!H12)*BETAINV(RAND(),Model!L6,Model!M6))*Inputs!$C$6</f>
        <v>10174.125589374735</v>
      </c>
      <c r="E123">
        <f t="shared" ca="1" si="21"/>
        <v>0.72742097416176077</v>
      </c>
      <c r="F123">
        <f t="shared" ca="1" si="22"/>
        <v>0.45842317899104046</v>
      </c>
      <c r="G123">
        <f t="shared" ca="1" si="23"/>
        <v>0</v>
      </c>
      <c r="H123" s="47">
        <f t="shared" ca="1" si="24"/>
        <v>0</v>
      </c>
      <c r="I123">
        <f ca="1">Inputs!B13+(Inputs!D13-Inputs!B13)*BETAINV(RAND(),Model!H7,Model!I7)</f>
        <v>3.2931480599522236</v>
      </c>
      <c r="J123">
        <f ca="1">Inputs!E13+(Inputs!G13-Inputs!E13)*BETAINV(RAND(),Model!J7,Model!K7)</f>
        <v>0.11017191419144116</v>
      </c>
      <c r="K123">
        <f ca="1">(Inputs!H13+(Inputs!J13-Inputs!H13)*BETAINV(RAND(),Model!L7,Model!M7))*Inputs!$C$6</f>
        <v>33149.492999547794</v>
      </c>
      <c r="L123">
        <f t="shared" ca="1" si="25"/>
        <v>0.36281242548076731</v>
      </c>
      <c r="M123">
        <f t="shared" ca="1" si="26"/>
        <v>0.37938580910023001</v>
      </c>
      <c r="N123">
        <f t="shared" ca="1" si="27"/>
        <v>0</v>
      </c>
      <c r="O123" s="47">
        <f t="shared" ca="1" si="28"/>
        <v>0</v>
      </c>
      <c r="P123">
        <f ca="1">Inputs!B14+(Inputs!D14-Inputs!B14)*BETAINV(RAND(),Model!H8,Model!I8)</f>
        <v>0.27893160752145851</v>
      </c>
      <c r="Q123">
        <f ca="1">Inputs!E14+(Inputs!G14-Inputs!E14)*BETAINV(RAND(),Model!J8,Model!K8)</f>
        <v>0.53353609037487049</v>
      </c>
      <c r="R123">
        <f ca="1">(Inputs!H14+(Inputs!J14-Inputs!H14)*BETAINV(RAND(),Model!L8,Model!M8))*Inputs!$C$6</f>
        <v>497646.00210028834</v>
      </c>
      <c r="S123">
        <f t="shared" ca="1" si="29"/>
        <v>0.14882007935897679</v>
      </c>
      <c r="T123">
        <f t="shared" ca="1" si="30"/>
        <v>0.85173038901361708</v>
      </c>
      <c r="U123">
        <f t="shared" ca="1" si="31"/>
        <v>0</v>
      </c>
      <c r="V123" s="47">
        <f t="shared" ca="1" si="32"/>
        <v>0</v>
      </c>
      <c r="W123">
        <f ca="1">Inputs!B15+(Inputs!D15-Inputs!B15)*BETAINV(RAND(),Model!H9,Model!I9)</f>
        <v>0.85522383311017558</v>
      </c>
      <c r="X123">
        <f ca="1">Inputs!E15+(Inputs!G15-Inputs!E15)*BETAINV(RAND(),Model!J9,Model!K9)</f>
        <v>0.42178798005204998</v>
      </c>
      <c r="Y123">
        <f ca="1">(Inputs!H15+(Inputs!J15-Inputs!H15)*BETAINV(RAND(),Model!L9,Model!M9))*Inputs!$C$6</f>
        <v>49207.959954962127</v>
      </c>
      <c r="Z123">
        <f t="shared" ca="1" si="33"/>
        <v>0.36072313305991244</v>
      </c>
      <c r="AA123">
        <f t="shared" ca="1" si="34"/>
        <v>0.31631520783276146</v>
      </c>
      <c r="AB123">
        <f t="shared" ca="1" si="35"/>
        <v>0</v>
      </c>
      <c r="AC123" s="47">
        <f t="shared" ca="1" si="36"/>
        <v>0</v>
      </c>
      <c r="AD123">
        <f ca="1">Inputs!B16+(Inputs!D16-Inputs!B16)*BETAINV(RAND(),Model!H10,Model!I10)</f>
        <v>0.36542258274279737</v>
      </c>
      <c r="AE123">
        <f ca="1">Inputs!E16+(Inputs!G16-Inputs!E16)*BETAINV(RAND(),Model!J10,Model!K10)</f>
        <v>0.48272462367011659</v>
      </c>
      <c r="AF123">
        <f ca="1">(Inputs!H16+(Inputs!J16-Inputs!H16)*BETAINV(RAND(),Model!L10,Model!M10))*Inputs!$C$6</f>
        <v>67517.758001840266</v>
      </c>
      <c r="AG123">
        <f t="shared" ca="1" si="37"/>
        <v>0.17639847873507891</v>
      </c>
      <c r="AH123">
        <f t="shared" ca="1" si="38"/>
        <v>0.26765846383813241</v>
      </c>
      <c r="AI123">
        <f t="shared" ca="1" si="39"/>
        <v>0</v>
      </c>
      <c r="AJ123" s="47">
        <f t="shared" ca="1" si="40"/>
        <v>0</v>
      </c>
      <c r="AK123">
        <f t="shared" ca="1" si="41"/>
        <v>0</v>
      </c>
    </row>
    <row r="124" spans="2:37" x14ac:dyDescent="0.2">
      <c r="B124">
        <f ca="1">Inputs!B12+(Inputs!D12-Inputs!B12)*BETAINV(RAND(),Model!H6,Model!I6)</f>
        <v>1.4559238973648734</v>
      </c>
      <c r="C124">
        <f ca="1">Inputs!E12+(Inputs!G12-Inputs!E12)*BETAINV(RAND(),Model!J6,Model!K6)</f>
        <v>0.4791643283485032</v>
      </c>
      <c r="D124">
        <f ca="1">(Inputs!H12+(Inputs!J12-Inputs!H12)*BETAINV(RAND(),Model!L6,Model!M6))*Inputs!$C$6</f>
        <v>38105.710034193435</v>
      </c>
      <c r="E124">
        <f t="shared" ca="1" si="21"/>
        <v>0.69762679640737468</v>
      </c>
      <c r="F124">
        <f t="shared" ca="1" si="22"/>
        <v>0.86103700402169403</v>
      </c>
      <c r="G124">
        <f t="shared" ca="1" si="23"/>
        <v>2</v>
      </c>
      <c r="H124" s="47">
        <f t="shared" ca="1" si="24"/>
        <v>76211.420068386869</v>
      </c>
      <c r="I124">
        <f ca="1">Inputs!B13+(Inputs!D13-Inputs!B13)*BETAINV(RAND(),Model!H7,Model!I7)</f>
        <v>1.4442610388967769</v>
      </c>
      <c r="J124">
        <f ca="1">Inputs!E13+(Inputs!G13-Inputs!E13)*BETAINV(RAND(),Model!J7,Model!K7)</f>
        <v>0.35438738189112684</v>
      </c>
      <c r="K124">
        <f ca="1">(Inputs!H13+(Inputs!J13-Inputs!H13)*BETAINV(RAND(),Model!L7,Model!M7))*Inputs!$C$6</f>
        <v>53134.043739408247</v>
      </c>
      <c r="L124">
        <f t="shared" ca="1" si="25"/>
        <v>0.51182788834198767</v>
      </c>
      <c r="M124">
        <f t="shared" ca="1" si="26"/>
        <v>0.73245150725940888</v>
      </c>
      <c r="N124">
        <f t="shared" ca="1" si="27"/>
        <v>1</v>
      </c>
      <c r="O124" s="47">
        <f t="shared" ca="1" si="28"/>
        <v>53134.043739408247</v>
      </c>
      <c r="P124">
        <f ca="1">Inputs!B14+(Inputs!D14-Inputs!B14)*BETAINV(RAND(),Model!H8,Model!I8)</f>
        <v>0.41785223959894324</v>
      </c>
      <c r="Q124">
        <f ca="1">Inputs!E14+(Inputs!G14-Inputs!E14)*BETAINV(RAND(),Model!J8,Model!K8)</f>
        <v>0.65844259479154987</v>
      </c>
      <c r="R124">
        <f ca="1">(Inputs!H14+(Inputs!J14-Inputs!H14)*BETAINV(RAND(),Model!L8,Model!M8))*Inputs!$C$6</f>
        <v>362015.19875725126</v>
      </c>
      <c r="S124">
        <f t="shared" ca="1" si="29"/>
        <v>0.27513171288098859</v>
      </c>
      <c r="T124">
        <f t="shared" ca="1" si="30"/>
        <v>0.58408502662740314</v>
      </c>
      <c r="U124">
        <f t="shared" ca="1" si="31"/>
        <v>0</v>
      </c>
      <c r="V124" s="47">
        <f t="shared" ca="1" si="32"/>
        <v>0</v>
      </c>
      <c r="W124">
        <f ca="1">Inputs!B15+(Inputs!D15-Inputs!B15)*BETAINV(RAND(),Model!H9,Model!I9)</f>
        <v>1.7352874394232829</v>
      </c>
      <c r="X124">
        <f ca="1">Inputs!E15+(Inputs!G15-Inputs!E15)*BETAINV(RAND(),Model!J9,Model!K9)</f>
        <v>0.30127189833788415</v>
      </c>
      <c r="Y124">
        <f ca="1">(Inputs!H15+(Inputs!J15-Inputs!H15)*BETAINV(RAND(),Model!L9,Model!M9))*Inputs!$C$6</f>
        <v>23962.721111067636</v>
      </c>
      <c r="Z124">
        <f t="shared" ca="1" si="33"/>
        <v>0.52279334103693853</v>
      </c>
      <c r="AA124">
        <f t="shared" ca="1" si="34"/>
        <v>0.10313243264950489</v>
      </c>
      <c r="AB124">
        <f t="shared" ca="1" si="35"/>
        <v>0</v>
      </c>
      <c r="AC124" s="47">
        <f t="shared" ca="1" si="36"/>
        <v>0</v>
      </c>
      <c r="AD124">
        <f ca="1">Inputs!B16+(Inputs!D16-Inputs!B16)*BETAINV(RAND(),Model!H10,Model!I10)</f>
        <v>0.90396051970703639</v>
      </c>
      <c r="AE124">
        <f ca="1">Inputs!E16+(Inputs!G16-Inputs!E16)*BETAINV(RAND(),Model!J10,Model!K10)</f>
        <v>0.56861659681555698</v>
      </c>
      <c r="AF124">
        <f ca="1">(Inputs!H16+(Inputs!J16-Inputs!H16)*BETAINV(RAND(),Model!L10,Model!M10))*Inputs!$C$6</f>
        <v>51724.135430856295</v>
      </c>
      <c r="AG124">
        <f t="shared" ca="1" si="37"/>
        <v>0.51400695437143729</v>
      </c>
      <c r="AH124">
        <f t="shared" ca="1" si="38"/>
        <v>0.10962753573876149</v>
      </c>
      <c r="AI124">
        <f t="shared" ca="1" si="39"/>
        <v>0</v>
      </c>
      <c r="AJ124" s="47">
        <f t="shared" ca="1" si="40"/>
        <v>0</v>
      </c>
      <c r="AK124">
        <f t="shared" ca="1" si="41"/>
        <v>129345.46380779511</v>
      </c>
    </row>
    <row r="125" spans="2:37" x14ac:dyDescent="0.2">
      <c r="B125">
        <f ca="1">Inputs!B12+(Inputs!D12-Inputs!B12)*BETAINV(RAND(),Model!H6,Model!I6)</f>
        <v>5.2840483475595512</v>
      </c>
      <c r="C125">
        <f ca="1">Inputs!E12+(Inputs!G12-Inputs!E12)*BETAINV(RAND(),Model!J6,Model!K6)</f>
        <v>0.35155009797537184</v>
      </c>
      <c r="D125">
        <f ca="1">(Inputs!H12+(Inputs!J12-Inputs!H12)*BETAINV(RAND(),Model!L6,Model!M6))*Inputs!$C$6</f>
        <v>12832.240872340373</v>
      </c>
      <c r="E125">
        <f t="shared" ca="1" si="21"/>
        <v>1.857607714291162</v>
      </c>
      <c r="F125">
        <f t="shared" ca="1" si="22"/>
        <v>0.87500247812054011</v>
      </c>
      <c r="G125">
        <f t="shared" ca="1" si="23"/>
        <v>3</v>
      </c>
      <c r="H125" s="47">
        <f t="shared" ca="1" si="24"/>
        <v>38496.722617021122</v>
      </c>
      <c r="I125">
        <f ca="1">Inputs!B13+(Inputs!D13-Inputs!B13)*BETAINV(RAND(),Model!H7,Model!I7)</f>
        <v>0.61711614233879786</v>
      </c>
      <c r="J125">
        <f ca="1">Inputs!E13+(Inputs!G13-Inputs!E13)*BETAINV(RAND(),Model!J7,Model!K7)</f>
        <v>0.2049475042626509</v>
      </c>
      <c r="K125">
        <f ca="1">(Inputs!H13+(Inputs!J13-Inputs!H13)*BETAINV(RAND(),Model!L7,Model!M7))*Inputs!$C$6</f>
        <v>15009.41379098124</v>
      </c>
      <c r="L125">
        <f t="shared" ca="1" si="25"/>
        <v>0.12647641321253145</v>
      </c>
      <c r="M125">
        <f t="shared" ca="1" si="26"/>
        <v>0.19867300678740352</v>
      </c>
      <c r="N125">
        <f t="shared" ca="1" si="27"/>
        <v>0</v>
      </c>
      <c r="O125" s="47">
        <f t="shared" ca="1" si="28"/>
        <v>0</v>
      </c>
      <c r="P125">
        <f ca="1">Inputs!B14+(Inputs!D14-Inputs!B14)*BETAINV(RAND(),Model!H8,Model!I8)</f>
        <v>0.27803438910577527</v>
      </c>
      <c r="Q125">
        <f ca="1">Inputs!E14+(Inputs!G14-Inputs!E14)*BETAINV(RAND(),Model!J8,Model!K8)</f>
        <v>0.73304766920757514</v>
      </c>
      <c r="R125">
        <f ca="1">(Inputs!H14+(Inputs!J14-Inputs!H14)*BETAINV(RAND(),Model!L8,Model!M8))*Inputs!$C$6</f>
        <v>334126.02314153081</v>
      </c>
      <c r="S125">
        <f t="shared" ca="1" si="29"/>
        <v>0.20381246089354058</v>
      </c>
      <c r="T125">
        <f t="shared" ca="1" si="30"/>
        <v>0.90245616817385721</v>
      </c>
      <c r="U125">
        <f t="shared" ca="1" si="31"/>
        <v>1</v>
      </c>
      <c r="V125" s="47">
        <f t="shared" ca="1" si="32"/>
        <v>334126.02314153081</v>
      </c>
      <c r="W125">
        <f ca="1">Inputs!B15+(Inputs!D15-Inputs!B15)*BETAINV(RAND(),Model!H9,Model!I9)</f>
        <v>0.84796237969964894</v>
      </c>
      <c r="X125">
        <f ca="1">Inputs!E15+(Inputs!G15-Inputs!E15)*BETAINV(RAND(),Model!J9,Model!K9)</f>
        <v>0.53043461432644157</v>
      </c>
      <c r="Y125">
        <f ca="1">(Inputs!H15+(Inputs!J15-Inputs!H15)*BETAINV(RAND(),Model!L9,Model!M9))*Inputs!$C$6</f>
        <v>42165.942607385747</v>
      </c>
      <c r="Z125">
        <f t="shared" ca="1" si="33"/>
        <v>0.44978859783931491</v>
      </c>
      <c r="AA125">
        <f t="shared" ca="1" si="34"/>
        <v>0.62976355939340922</v>
      </c>
      <c r="AB125">
        <f t="shared" ca="1" si="35"/>
        <v>0</v>
      </c>
      <c r="AC125" s="47">
        <f t="shared" ca="1" si="36"/>
        <v>0</v>
      </c>
      <c r="AD125">
        <f ca="1">Inputs!B16+(Inputs!D16-Inputs!B16)*BETAINV(RAND(),Model!H10,Model!I10)</f>
        <v>0.71047209918894083</v>
      </c>
      <c r="AE125">
        <f ca="1">Inputs!E16+(Inputs!G16-Inputs!E16)*BETAINV(RAND(),Model!J10,Model!K10)</f>
        <v>0.60291674564297981</v>
      </c>
      <c r="AF125">
        <f ca="1">(Inputs!H16+(Inputs!J16-Inputs!H16)*BETAINV(RAND(),Model!L10,Model!M10))*Inputs!$C$6</f>
        <v>99616.388340733916</v>
      </c>
      <c r="AG125">
        <f t="shared" ca="1" si="37"/>
        <v>0.42835552591313258</v>
      </c>
      <c r="AH125">
        <f t="shared" ca="1" si="38"/>
        <v>0.27061686799046503</v>
      </c>
      <c r="AI125">
        <f t="shared" ca="1" si="39"/>
        <v>0</v>
      </c>
      <c r="AJ125" s="47">
        <f t="shared" ca="1" si="40"/>
        <v>0</v>
      </c>
      <c r="AK125">
        <f t="shared" ca="1" si="41"/>
        <v>372622.74575855193</v>
      </c>
    </row>
    <row r="126" spans="2:37" x14ac:dyDescent="0.2">
      <c r="B126">
        <f ca="1">Inputs!B12+(Inputs!D12-Inputs!B12)*BETAINV(RAND(),Model!H6,Model!I6)</f>
        <v>3.3519241967486093</v>
      </c>
      <c r="C126">
        <f ca="1">Inputs!E12+(Inputs!G12-Inputs!E12)*BETAINV(RAND(),Model!J6,Model!K6)</f>
        <v>0.17810503952680673</v>
      </c>
      <c r="D126">
        <f ca="1">(Inputs!H12+(Inputs!J12-Inputs!H12)*BETAINV(RAND(),Model!L6,Model!M6))*Inputs!$C$6</f>
        <v>26464.853483413037</v>
      </c>
      <c r="E126">
        <f t="shared" ca="1" si="21"/>
        <v>0.5969945915527709</v>
      </c>
      <c r="F126">
        <f t="shared" ca="1" si="22"/>
        <v>0.69598670887965941</v>
      </c>
      <c r="G126">
        <f t="shared" ca="1" si="23"/>
        <v>1</v>
      </c>
      <c r="H126" s="47">
        <f t="shared" ca="1" si="24"/>
        <v>26464.853483413037</v>
      </c>
      <c r="I126">
        <f ca="1">Inputs!B13+(Inputs!D13-Inputs!B13)*BETAINV(RAND(),Model!H7,Model!I7)</f>
        <v>2.2887383465920652</v>
      </c>
      <c r="J126">
        <f ca="1">Inputs!E13+(Inputs!G13-Inputs!E13)*BETAINV(RAND(),Model!J7,Model!K7)</f>
        <v>0.38755480537534492</v>
      </c>
      <c r="K126">
        <f ca="1">(Inputs!H13+(Inputs!J13-Inputs!H13)*BETAINV(RAND(),Model!L7,Model!M7))*Inputs!$C$6</f>
        <v>62794.165765735161</v>
      </c>
      <c r="L126">
        <f t="shared" ca="1" si="25"/>
        <v>0.88701154446857655</v>
      </c>
      <c r="M126">
        <f t="shared" ca="1" si="26"/>
        <v>0.95662711503923015</v>
      </c>
      <c r="N126">
        <f t="shared" ca="1" si="27"/>
        <v>3</v>
      </c>
      <c r="O126" s="47">
        <f t="shared" ca="1" si="28"/>
        <v>188382.4972972055</v>
      </c>
      <c r="P126">
        <f ca="1">Inputs!B14+(Inputs!D14-Inputs!B14)*BETAINV(RAND(),Model!H8,Model!I8)</f>
        <v>0.33714525431304965</v>
      </c>
      <c r="Q126">
        <f ca="1">Inputs!E14+(Inputs!G14-Inputs!E14)*BETAINV(RAND(),Model!J8,Model!K8)</f>
        <v>0.54111201780714113</v>
      </c>
      <c r="R126">
        <f ca="1">(Inputs!H14+(Inputs!J14-Inputs!H14)*BETAINV(RAND(),Model!L8,Model!M8))*Inputs!$C$6</f>
        <v>346706.6993457108</v>
      </c>
      <c r="S126">
        <f t="shared" ca="1" si="29"/>
        <v>0.18243334885543605</v>
      </c>
      <c r="T126">
        <f t="shared" ca="1" si="30"/>
        <v>0.31738760217876161</v>
      </c>
      <c r="U126">
        <f t="shared" ca="1" si="31"/>
        <v>0</v>
      </c>
      <c r="V126" s="47">
        <f t="shared" ca="1" si="32"/>
        <v>0</v>
      </c>
      <c r="W126">
        <f ca="1">Inputs!B15+(Inputs!D15-Inputs!B15)*BETAINV(RAND(),Model!H9,Model!I9)</f>
        <v>1.8546484659445472</v>
      </c>
      <c r="X126">
        <f ca="1">Inputs!E15+(Inputs!G15-Inputs!E15)*BETAINV(RAND(),Model!J9,Model!K9)</f>
        <v>0.50329805295394903</v>
      </c>
      <c r="Y126">
        <f ca="1">(Inputs!H15+(Inputs!J15-Inputs!H15)*BETAINV(RAND(),Model!L9,Model!M9))*Inputs!$C$6</f>
        <v>46157.774151437123</v>
      </c>
      <c r="Z126">
        <f t="shared" ca="1" si="33"/>
        <v>0.93344096182391911</v>
      </c>
      <c r="AA126">
        <f t="shared" ca="1" si="34"/>
        <v>0.60603049432280198</v>
      </c>
      <c r="AB126">
        <f t="shared" ca="1" si="35"/>
        <v>1</v>
      </c>
      <c r="AC126" s="47">
        <f t="shared" ca="1" si="36"/>
        <v>46157.774151437123</v>
      </c>
      <c r="AD126">
        <f ca="1">Inputs!B16+(Inputs!D16-Inputs!B16)*BETAINV(RAND(),Model!H10,Model!I10)</f>
        <v>0.5884719864507868</v>
      </c>
      <c r="AE126">
        <f ca="1">Inputs!E16+(Inputs!G16-Inputs!E16)*BETAINV(RAND(),Model!J10,Model!K10)</f>
        <v>0.61546507757731839</v>
      </c>
      <c r="AF126">
        <f ca="1">(Inputs!H16+(Inputs!J16-Inputs!H16)*BETAINV(RAND(),Model!L10,Model!M10))*Inputs!$C$6</f>
        <v>35582.854944969542</v>
      </c>
      <c r="AG126">
        <f t="shared" ca="1" si="37"/>
        <v>0.36218395679301213</v>
      </c>
      <c r="AH126">
        <f t="shared" ca="1" si="38"/>
        <v>0.91613185060751434</v>
      </c>
      <c r="AI126">
        <f t="shared" ca="1" si="39"/>
        <v>1</v>
      </c>
      <c r="AJ126" s="47">
        <f t="shared" ca="1" si="40"/>
        <v>35582.854944969542</v>
      </c>
      <c r="AK126">
        <f t="shared" ca="1" si="41"/>
        <v>296587.97987702518</v>
      </c>
    </row>
    <row r="127" spans="2:37" x14ac:dyDescent="0.2">
      <c r="B127">
        <f ca="1">Inputs!B12+(Inputs!D12-Inputs!B12)*BETAINV(RAND(),Model!H6,Model!I6)</f>
        <v>3.8933560704996593</v>
      </c>
      <c r="C127">
        <f ca="1">Inputs!E12+(Inputs!G12-Inputs!E12)*BETAINV(RAND(),Model!J6,Model!K6)</f>
        <v>0.32211896666859041</v>
      </c>
      <c r="D127">
        <f ca="1">(Inputs!H12+(Inputs!J12-Inputs!H12)*BETAINV(RAND(),Model!L6,Model!M6))*Inputs!$C$6</f>
        <v>20107.817009685397</v>
      </c>
      <c r="E127">
        <f t="shared" ca="1" si="21"/>
        <v>1.2541238343022338</v>
      </c>
      <c r="F127">
        <f t="shared" ca="1" si="22"/>
        <v>7.3304019085379535E-2</v>
      </c>
      <c r="G127">
        <f t="shared" ca="1" si="23"/>
        <v>0</v>
      </c>
      <c r="H127" s="47">
        <f t="shared" ca="1" si="24"/>
        <v>0</v>
      </c>
      <c r="I127">
        <f ca="1">Inputs!B13+(Inputs!D13-Inputs!B13)*BETAINV(RAND(),Model!H7,Model!I7)</f>
        <v>0.96477941935386657</v>
      </c>
      <c r="J127">
        <f ca="1">Inputs!E13+(Inputs!G13-Inputs!E13)*BETAINV(RAND(),Model!J7,Model!K7)</f>
        <v>0.16474242200982292</v>
      </c>
      <c r="K127">
        <f ca="1">(Inputs!H13+(Inputs!J13-Inputs!H13)*BETAINV(RAND(),Model!L7,Model!M7))*Inputs!$C$6</f>
        <v>38257.713826166306</v>
      </c>
      <c r="L127">
        <f t="shared" ca="1" si="25"/>
        <v>0.1589400982495866</v>
      </c>
      <c r="M127">
        <f t="shared" ca="1" si="26"/>
        <v>0.63735266863642859</v>
      </c>
      <c r="N127">
        <f t="shared" ca="1" si="27"/>
        <v>0</v>
      </c>
      <c r="O127" s="47">
        <f t="shared" ca="1" si="28"/>
        <v>0</v>
      </c>
      <c r="P127">
        <f ca="1">Inputs!B14+(Inputs!D14-Inputs!B14)*BETAINV(RAND(),Model!H8,Model!I8)</f>
        <v>0.48630947578113204</v>
      </c>
      <c r="Q127">
        <f ca="1">Inputs!E14+(Inputs!G14-Inputs!E14)*BETAINV(RAND(),Model!J8,Model!K8)</f>
        <v>0.54027610602139964</v>
      </c>
      <c r="R127">
        <f ca="1">(Inputs!H14+(Inputs!J14-Inputs!H14)*BETAINV(RAND(),Model!L8,Model!M8))*Inputs!$C$6</f>
        <v>380463.4566412167</v>
      </c>
      <c r="S127">
        <f t="shared" ca="1" si="29"/>
        <v>0.26274138989633816</v>
      </c>
      <c r="T127">
        <f t="shared" ca="1" si="30"/>
        <v>0.6547783977589775</v>
      </c>
      <c r="U127">
        <f t="shared" ca="1" si="31"/>
        <v>0</v>
      </c>
      <c r="V127" s="47">
        <f t="shared" ca="1" si="32"/>
        <v>0</v>
      </c>
      <c r="W127">
        <f ca="1">Inputs!B15+(Inputs!D15-Inputs!B15)*BETAINV(RAND(),Model!H9,Model!I9)</f>
        <v>1.2061882328795916</v>
      </c>
      <c r="X127">
        <f ca="1">Inputs!E15+(Inputs!G15-Inputs!E15)*BETAINV(RAND(),Model!J9,Model!K9)</f>
        <v>0.32929895390547514</v>
      </c>
      <c r="Y127">
        <f ca="1">(Inputs!H15+(Inputs!J15-Inputs!H15)*BETAINV(RAND(),Model!L9,Model!M9))*Inputs!$C$6</f>
        <v>19337.114962445252</v>
      </c>
      <c r="Z127">
        <f t="shared" ca="1" si="33"/>
        <v>0.39719652330034316</v>
      </c>
      <c r="AA127">
        <f t="shared" ca="1" si="34"/>
        <v>0.33160684232630411</v>
      </c>
      <c r="AB127">
        <f t="shared" ca="1" si="35"/>
        <v>0</v>
      </c>
      <c r="AC127" s="47">
        <f t="shared" ca="1" si="36"/>
        <v>0</v>
      </c>
      <c r="AD127">
        <f ca="1">Inputs!B16+(Inputs!D16-Inputs!B16)*BETAINV(RAND(),Model!H10,Model!I10)</f>
        <v>0.66698870885158357</v>
      </c>
      <c r="AE127">
        <f ca="1">Inputs!E16+(Inputs!G16-Inputs!E16)*BETAINV(RAND(),Model!J10,Model!K10)</f>
        <v>0.66918972212813499</v>
      </c>
      <c r="AF127">
        <f ca="1">(Inputs!H16+(Inputs!J16-Inputs!H16)*BETAINV(RAND(),Model!L10,Model!M10))*Inputs!$C$6</f>
        <v>66823.277542933793</v>
      </c>
      <c r="AG127">
        <f t="shared" ca="1" si="37"/>
        <v>0.44634198873899472</v>
      </c>
      <c r="AH127">
        <f t="shared" ca="1" si="38"/>
        <v>0.19229256717720566</v>
      </c>
      <c r="AI127">
        <f t="shared" ca="1" si="39"/>
        <v>0</v>
      </c>
      <c r="AJ127" s="47">
        <f t="shared" ca="1" si="40"/>
        <v>0</v>
      </c>
      <c r="AK127">
        <f t="shared" ca="1" si="41"/>
        <v>0</v>
      </c>
    </row>
    <row r="128" spans="2:37" x14ac:dyDescent="0.2">
      <c r="B128">
        <f ca="1">Inputs!B12+(Inputs!D12-Inputs!B12)*BETAINV(RAND(),Model!H6,Model!I6)</f>
        <v>4.43399880189369</v>
      </c>
      <c r="C128">
        <f ca="1">Inputs!E12+(Inputs!G12-Inputs!E12)*BETAINV(RAND(),Model!J6,Model!K6)</f>
        <v>0.36121202259796037</v>
      </c>
      <c r="D128">
        <f ca="1">(Inputs!H12+(Inputs!J12-Inputs!H12)*BETAINV(RAND(),Model!L6,Model!M6))*Inputs!$C$6</f>
        <v>32571.312070436299</v>
      </c>
      <c r="E128">
        <f t="shared" ca="1" si="21"/>
        <v>1.6016136754289527</v>
      </c>
      <c r="F128">
        <f t="shared" ca="1" si="22"/>
        <v>0.92338728451321084</v>
      </c>
      <c r="G128">
        <f t="shared" ca="1" si="23"/>
        <v>4</v>
      </c>
      <c r="H128" s="47">
        <f t="shared" ca="1" si="24"/>
        <v>130285.2482817452</v>
      </c>
      <c r="I128">
        <f ca="1">Inputs!B13+(Inputs!D13-Inputs!B13)*BETAINV(RAND(),Model!H7,Model!I7)</f>
        <v>2.1227453530482636</v>
      </c>
      <c r="J128">
        <f ca="1">Inputs!E13+(Inputs!G13-Inputs!E13)*BETAINV(RAND(),Model!J7,Model!K7)</f>
        <v>0.15183252452552118</v>
      </c>
      <c r="K128">
        <f ca="1">(Inputs!H13+(Inputs!J13-Inputs!H13)*BETAINV(RAND(),Model!L7,Model!M7))*Inputs!$C$6</f>
        <v>14967.518373192897</v>
      </c>
      <c r="L128">
        <f t="shared" ca="1" si="25"/>
        <v>0.32230178587813663</v>
      </c>
      <c r="M128">
        <f t="shared" ca="1" si="26"/>
        <v>0.35014590299606996</v>
      </c>
      <c r="N128">
        <f t="shared" ca="1" si="27"/>
        <v>0</v>
      </c>
      <c r="O128" s="47">
        <f t="shared" ca="1" si="28"/>
        <v>0</v>
      </c>
      <c r="P128">
        <f ca="1">Inputs!B14+(Inputs!D14-Inputs!B14)*BETAINV(RAND(),Model!H8,Model!I8)</f>
        <v>0.47692866904307707</v>
      </c>
      <c r="Q128">
        <f ca="1">Inputs!E14+(Inputs!G14-Inputs!E14)*BETAINV(RAND(),Model!J8,Model!K8)</f>
        <v>0.81099866731516368</v>
      </c>
      <c r="R128">
        <f ca="1">(Inputs!H14+(Inputs!J14-Inputs!H14)*BETAINV(RAND(),Model!L8,Model!M8))*Inputs!$C$6</f>
        <v>563386.35259240109</v>
      </c>
      <c r="S128">
        <f t="shared" ca="1" si="29"/>
        <v>0.38678851499833028</v>
      </c>
      <c r="T128">
        <f t="shared" ca="1" si="30"/>
        <v>0.85858170760256802</v>
      </c>
      <c r="U128">
        <f t="shared" ca="1" si="31"/>
        <v>1</v>
      </c>
      <c r="V128" s="47">
        <f t="shared" ca="1" si="32"/>
        <v>563386.35259240109</v>
      </c>
      <c r="W128">
        <f ca="1">Inputs!B15+(Inputs!D15-Inputs!B15)*BETAINV(RAND(),Model!H9,Model!I9)</f>
        <v>0.97433105050027069</v>
      </c>
      <c r="X128">
        <f ca="1">Inputs!E15+(Inputs!G15-Inputs!E15)*BETAINV(RAND(),Model!J9,Model!K9)</f>
        <v>0.32086976584442239</v>
      </c>
      <c r="Y128">
        <f ca="1">(Inputs!H15+(Inputs!J15-Inputs!H15)*BETAINV(RAND(),Model!L9,Model!M9))*Inputs!$C$6</f>
        <v>26793.105768011417</v>
      </c>
      <c r="Z128">
        <f t="shared" ca="1" si="33"/>
        <v>0.31263337602897195</v>
      </c>
      <c r="AA128">
        <f t="shared" ca="1" si="34"/>
        <v>0.19097435263814022</v>
      </c>
      <c r="AB128">
        <f t="shared" ca="1" si="35"/>
        <v>0</v>
      </c>
      <c r="AC128" s="47">
        <f t="shared" ca="1" si="36"/>
        <v>0</v>
      </c>
      <c r="AD128">
        <f ca="1">Inputs!B16+(Inputs!D16-Inputs!B16)*BETAINV(RAND(),Model!H10,Model!I10)</f>
        <v>0.68886805367932968</v>
      </c>
      <c r="AE128">
        <f ca="1">Inputs!E16+(Inputs!G16-Inputs!E16)*BETAINV(RAND(),Model!J10,Model!K10)</f>
        <v>0.48306657235493383</v>
      </c>
      <c r="AF128">
        <f ca="1">(Inputs!H16+(Inputs!J16-Inputs!H16)*BETAINV(RAND(),Model!L10,Model!M10))*Inputs!$C$6</f>
        <v>56714.00958686199</v>
      </c>
      <c r="AG128">
        <f t="shared" ca="1" si="37"/>
        <v>0.33276912949568838</v>
      </c>
      <c r="AH128">
        <f t="shared" ca="1" si="38"/>
        <v>0.83703681568407706</v>
      </c>
      <c r="AI128">
        <f t="shared" ca="1" si="39"/>
        <v>1</v>
      </c>
      <c r="AJ128" s="47">
        <f t="shared" ca="1" si="40"/>
        <v>56714.00958686199</v>
      </c>
      <c r="AK128">
        <f t="shared" ca="1" si="41"/>
        <v>750385.61046100827</v>
      </c>
    </row>
    <row r="129" spans="2:37" x14ac:dyDescent="0.2">
      <c r="B129">
        <f ca="1">Inputs!B12+(Inputs!D12-Inputs!B12)*BETAINV(RAND(),Model!H6,Model!I6)</f>
        <v>2.3640803238963035</v>
      </c>
      <c r="C129">
        <f ca="1">Inputs!E12+(Inputs!G12-Inputs!E12)*BETAINV(RAND(),Model!J6,Model!K6)</f>
        <v>0.3932499579788562</v>
      </c>
      <c r="D129">
        <f ca="1">(Inputs!H12+(Inputs!J12-Inputs!H12)*BETAINV(RAND(),Model!L6,Model!M6))*Inputs!$C$6</f>
        <v>11541.173252970159</v>
      </c>
      <c r="E129">
        <f t="shared" ca="1" si="21"/>
        <v>0.92967448803086217</v>
      </c>
      <c r="F129">
        <f t="shared" ca="1" si="22"/>
        <v>0.57677850302754063</v>
      </c>
      <c r="G129">
        <f t="shared" ca="1" si="23"/>
        <v>1</v>
      </c>
      <c r="H129" s="47">
        <f t="shared" ca="1" si="24"/>
        <v>11541.173252970159</v>
      </c>
      <c r="I129">
        <f ca="1">Inputs!B13+(Inputs!D13-Inputs!B13)*BETAINV(RAND(),Model!H7,Model!I7)</f>
        <v>1.6052339564572569</v>
      </c>
      <c r="J129">
        <f ca="1">Inputs!E13+(Inputs!G13-Inputs!E13)*BETAINV(RAND(),Model!J7,Model!K7)</f>
        <v>0.1908069364393768</v>
      </c>
      <c r="K129">
        <f ca="1">(Inputs!H13+(Inputs!J13-Inputs!H13)*BETAINV(RAND(),Model!L7,Model!M7))*Inputs!$C$6</f>
        <v>62003.668547253175</v>
      </c>
      <c r="L129">
        <f t="shared" ca="1" si="25"/>
        <v>0.30628977350006914</v>
      </c>
      <c r="M129">
        <f t="shared" ca="1" si="26"/>
        <v>0.86167068406494607</v>
      </c>
      <c r="N129">
        <f t="shared" ca="1" si="27"/>
        <v>1</v>
      </c>
      <c r="O129" s="47">
        <f t="shared" ca="1" si="28"/>
        <v>62003.668547253175</v>
      </c>
      <c r="P129">
        <f ca="1">Inputs!B14+(Inputs!D14-Inputs!B14)*BETAINV(RAND(),Model!H8,Model!I8)</f>
        <v>0.38754333682269537</v>
      </c>
      <c r="Q129">
        <f ca="1">Inputs!E14+(Inputs!G14-Inputs!E14)*BETAINV(RAND(),Model!J8,Model!K8)</f>
        <v>0.61623225444790752</v>
      </c>
      <c r="R129">
        <f ca="1">(Inputs!H14+(Inputs!J14-Inputs!H14)*BETAINV(RAND(),Model!L8,Model!M8))*Inputs!$C$6</f>
        <v>351239.54444248299</v>
      </c>
      <c r="S129">
        <f t="shared" ca="1" si="29"/>
        <v>0.23881670414651435</v>
      </c>
      <c r="T129">
        <f t="shared" ca="1" si="30"/>
        <v>0.45644033411084395</v>
      </c>
      <c r="U129">
        <f t="shared" ca="1" si="31"/>
        <v>0</v>
      </c>
      <c r="V129" s="47">
        <f t="shared" ca="1" si="32"/>
        <v>0</v>
      </c>
      <c r="W129">
        <f ca="1">Inputs!B15+(Inputs!D15-Inputs!B15)*BETAINV(RAND(),Model!H9,Model!I9)</f>
        <v>1.7787710820477698</v>
      </c>
      <c r="X129">
        <f ca="1">Inputs!E15+(Inputs!G15-Inputs!E15)*BETAINV(RAND(),Model!J9,Model!K9)</f>
        <v>0.42362700924544683</v>
      </c>
      <c r="Y129">
        <f ca="1">(Inputs!H15+(Inputs!J15-Inputs!H15)*BETAINV(RAND(),Model!L9,Model!M9))*Inputs!$C$6</f>
        <v>9624.5660066472446</v>
      </c>
      <c r="Z129">
        <f t="shared" ca="1" si="33"/>
        <v>0.75353547362018403</v>
      </c>
      <c r="AA129">
        <f t="shared" ca="1" si="34"/>
        <v>0.54560062094467976</v>
      </c>
      <c r="AB129">
        <f t="shared" ca="1" si="35"/>
        <v>1</v>
      </c>
      <c r="AC129" s="47">
        <f t="shared" ca="1" si="36"/>
        <v>9624.5660066472446</v>
      </c>
      <c r="AD129">
        <f ca="1">Inputs!B16+(Inputs!D16-Inputs!B16)*BETAINV(RAND(),Model!H10,Model!I10)</f>
        <v>1.0774376300238686</v>
      </c>
      <c r="AE129">
        <f ca="1">Inputs!E16+(Inputs!G16-Inputs!E16)*BETAINV(RAND(),Model!J10,Model!K10)</f>
        <v>0.57411951835906028</v>
      </c>
      <c r="AF129">
        <f ca="1">(Inputs!H16+(Inputs!J16-Inputs!H16)*BETAINV(RAND(),Model!L10,Model!M10))*Inputs!$C$6</f>
        <v>90118.89272924891</v>
      </c>
      <c r="AG129">
        <f t="shared" ca="1" si="37"/>
        <v>0.61857797321123087</v>
      </c>
      <c r="AH129">
        <f t="shared" ca="1" si="38"/>
        <v>0.38229036871528554</v>
      </c>
      <c r="AI129">
        <f t="shared" ca="1" si="39"/>
        <v>0</v>
      </c>
      <c r="AJ129" s="47">
        <f t="shared" ca="1" si="40"/>
        <v>0</v>
      </c>
      <c r="AK129">
        <f t="shared" ca="1" si="41"/>
        <v>83169.407806870586</v>
      </c>
    </row>
    <row r="130" spans="2:37" x14ac:dyDescent="0.2">
      <c r="B130">
        <f ca="1">Inputs!B12+(Inputs!D12-Inputs!B12)*BETAINV(RAND(),Model!H6,Model!I6)</f>
        <v>1.8851366474051736</v>
      </c>
      <c r="C130">
        <f ca="1">Inputs!E12+(Inputs!G12-Inputs!E12)*BETAINV(RAND(),Model!J6,Model!K6)</f>
        <v>0.28912322345081948</v>
      </c>
      <c r="D130">
        <f ca="1">(Inputs!H12+(Inputs!J12-Inputs!H12)*BETAINV(RAND(),Model!L6,Model!M6))*Inputs!$C$6</f>
        <v>41557.62570027831</v>
      </c>
      <c r="E130">
        <f t="shared" ca="1" si="21"/>
        <v>0.54503678414305468</v>
      </c>
      <c r="F130">
        <f t="shared" ca="1" si="22"/>
        <v>0.30217578976229387</v>
      </c>
      <c r="G130">
        <f t="shared" ca="1" si="23"/>
        <v>0</v>
      </c>
      <c r="H130" s="47">
        <f t="shared" ca="1" si="24"/>
        <v>0</v>
      </c>
      <c r="I130">
        <f ca="1">Inputs!B13+(Inputs!D13-Inputs!B13)*BETAINV(RAND(),Model!H7,Model!I7)</f>
        <v>1.4387482738322261</v>
      </c>
      <c r="J130">
        <f ca="1">Inputs!E13+(Inputs!G13-Inputs!E13)*BETAINV(RAND(),Model!J7,Model!K7)</f>
        <v>0.25008281538180976</v>
      </c>
      <c r="K130">
        <f ca="1">(Inputs!H13+(Inputs!J13-Inputs!H13)*BETAINV(RAND(),Model!L7,Model!M7))*Inputs!$C$6</f>
        <v>43395.124622470808</v>
      </c>
      <c r="L130">
        <f t="shared" ca="1" si="25"/>
        <v>0.3598062189456821</v>
      </c>
      <c r="M130">
        <f t="shared" ca="1" si="26"/>
        <v>0.13635554629264413</v>
      </c>
      <c r="N130">
        <f t="shared" ca="1" si="27"/>
        <v>0</v>
      </c>
      <c r="O130" s="47">
        <f t="shared" ca="1" si="28"/>
        <v>0</v>
      </c>
      <c r="P130">
        <f ca="1">Inputs!B14+(Inputs!D14-Inputs!B14)*BETAINV(RAND(),Model!H8,Model!I8)</f>
        <v>0.30472649057960399</v>
      </c>
      <c r="Q130">
        <f ca="1">Inputs!E14+(Inputs!G14-Inputs!E14)*BETAINV(RAND(),Model!J8,Model!K8)</f>
        <v>0.70404926764903886</v>
      </c>
      <c r="R130">
        <f ca="1">(Inputs!H14+(Inputs!J14-Inputs!H14)*BETAINV(RAND(),Model!L8,Model!M8))*Inputs!$C$6</f>
        <v>260614.01443671921</v>
      </c>
      <c r="S130">
        <f t="shared" ca="1" si="29"/>
        <v>0.21454246252583192</v>
      </c>
      <c r="T130">
        <f t="shared" ca="1" si="30"/>
        <v>0.72107339383579228</v>
      </c>
      <c r="U130">
        <f t="shared" ca="1" si="31"/>
        <v>0</v>
      </c>
      <c r="V130" s="47">
        <f t="shared" ca="1" si="32"/>
        <v>0</v>
      </c>
      <c r="W130">
        <f ca="1">Inputs!B15+(Inputs!D15-Inputs!B15)*BETAINV(RAND(),Model!H9,Model!I9)</f>
        <v>1.2631480766165282</v>
      </c>
      <c r="X130">
        <f ca="1">Inputs!E15+(Inputs!G15-Inputs!E15)*BETAINV(RAND(),Model!J9,Model!K9)</f>
        <v>0.46200368370439249</v>
      </c>
      <c r="Y130">
        <f ca="1">(Inputs!H15+(Inputs!J15-Inputs!H15)*BETAINV(RAND(),Model!L9,Model!M9))*Inputs!$C$6</f>
        <v>46242.290734578244</v>
      </c>
      <c r="Z130">
        <f t="shared" ca="1" si="33"/>
        <v>0.5835790644609542</v>
      </c>
      <c r="AA130">
        <f t="shared" ca="1" si="34"/>
        <v>0.48547148556049391</v>
      </c>
      <c r="AB130">
        <f t="shared" ca="1" si="35"/>
        <v>0</v>
      </c>
      <c r="AC130" s="47">
        <f t="shared" ca="1" si="36"/>
        <v>0</v>
      </c>
      <c r="AD130">
        <f ca="1">Inputs!B16+(Inputs!D16-Inputs!B16)*BETAINV(RAND(),Model!H10,Model!I10)</f>
        <v>0.59794013669140367</v>
      </c>
      <c r="AE130">
        <f ca="1">Inputs!E16+(Inputs!G16-Inputs!E16)*BETAINV(RAND(),Model!J10,Model!K10)</f>
        <v>0.5541899807206494</v>
      </c>
      <c r="AF130">
        <f ca="1">(Inputs!H16+(Inputs!J16-Inputs!H16)*BETAINV(RAND(),Model!L10,Model!M10))*Inputs!$C$6</f>
        <v>144594.13345167029</v>
      </c>
      <c r="AG130">
        <f t="shared" ca="1" si="37"/>
        <v>0.33137243282511147</v>
      </c>
      <c r="AH130">
        <f t="shared" ca="1" si="38"/>
        <v>0.6984434745310405</v>
      </c>
      <c r="AI130">
        <f t="shared" ca="1" si="39"/>
        <v>0</v>
      </c>
      <c r="AJ130" s="47">
        <f t="shared" ca="1" si="40"/>
        <v>0</v>
      </c>
      <c r="AK130">
        <f t="shared" ca="1" si="41"/>
        <v>0</v>
      </c>
    </row>
    <row r="131" spans="2:37" x14ac:dyDescent="0.2">
      <c r="B131">
        <f ca="1">Inputs!B12+(Inputs!D12-Inputs!B12)*BETAINV(RAND(),Model!H6,Model!I6)</f>
        <v>2.3612393247147527</v>
      </c>
      <c r="C131">
        <f ca="1">Inputs!E12+(Inputs!G12-Inputs!E12)*BETAINV(RAND(),Model!J6,Model!K6)</f>
        <v>0.44349972508503122</v>
      </c>
      <c r="D131">
        <f ca="1">(Inputs!H12+(Inputs!J12-Inputs!H12)*BETAINV(RAND(),Model!L6,Model!M6))*Inputs!$C$6</f>
        <v>35736.954325070401</v>
      </c>
      <c r="E131">
        <f t="shared" ca="1" si="21"/>
        <v>1.0472089913709577</v>
      </c>
      <c r="F131">
        <f t="shared" ca="1" si="22"/>
        <v>0.94087776567094372</v>
      </c>
      <c r="G131">
        <f t="shared" ca="1" si="23"/>
        <v>3</v>
      </c>
      <c r="H131" s="47">
        <f t="shared" ca="1" si="24"/>
        <v>107210.8629752112</v>
      </c>
      <c r="I131">
        <f ca="1">Inputs!B13+(Inputs!D13-Inputs!B13)*BETAINV(RAND(),Model!H7,Model!I7)</f>
        <v>1.1455192445369513</v>
      </c>
      <c r="J131">
        <f ca="1">Inputs!E13+(Inputs!G13-Inputs!E13)*BETAINV(RAND(),Model!J7,Model!K7)</f>
        <v>0.24219957357331062</v>
      </c>
      <c r="K131">
        <f ca="1">(Inputs!H13+(Inputs!J13-Inputs!H13)*BETAINV(RAND(),Model!L7,Model!M7))*Inputs!$C$6</f>
        <v>43032.319346908123</v>
      </c>
      <c r="L131">
        <f t="shared" ca="1" si="25"/>
        <v>0.27744427254687054</v>
      </c>
      <c r="M131">
        <f t="shared" ca="1" si="26"/>
        <v>0.72605000326633184</v>
      </c>
      <c r="N131">
        <f t="shared" ca="1" si="27"/>
        <v>0</v>
      </c>
      <c r="O131" s="47">
        <f t="shared" ca="1" si="28"/>
        <v>0</v>
      </c>
      <c r="P131">
        <f ca="1">Inputs!B14+(Inputs!D14-Inputs!B14)*BETAINV(RAND(),Model!H8,Model!I8)</f>
        <v>0.39315455776645103</v>
      </c>
      <c r="Q131">
        <f ca="1">Inputs!E14+(Inputs!G14-Inputs!E14)*BETAINV(RAND(),Model!J8,Model!K8)</f>
        <v>0.58777296765465581</v>
      </c>
      <c r="R131">
        <f ca="1">(Inputs!H14+(Inputs!J14-Inputs!H14)*BETAINV(RAND(),Model!L8,Model!M8))*Inputs!$C$6</f>
        <v>368355.3248027371</v>
      </c>
      <c r="S131">
        <f t="shared" ca="1" si="29"/>
        <v>0.23108562116534073</v>
      </c>
      <c r="T131">
        <f t="shared" ca="1" si="30"/>
        <v>0.78441104607991985</v>
      </c>
      <c r="U131">
        <f t="shared" ca="1" si="31"/>
        <v>0</v>
      </c>
      <c r="V131" s="47">
        <f t="shared" ca="1" si="32"/>
        <v>0</v>
      </c>
      <c r="W131">
        <f ca="1">Inputs!B15+(Inputs!D15-Inputs!B15)*BETAINV(RAND(),Model!H9,Model!I9)</f>
        <v>1.3047958451818193</v>
      </c>
      <c r="X131">
        <f ca="1">Inputs!E15+(Inputs!G15-Inputs!E15)*BETAINV(RAND(),Model!J9,Model!K9)</f>
        <v>0.44640610647724954</v>
      </c>
      <c r="Y131">
        <f ca="1">(Inputs!H15+(Inputs!J15-Inputs!H15)*BETAINV(RAND(),Model!L9,Model!M9))*Inputs!$C$6</f>
        <v>16311.773147090735</v>
      </c>
      <c r="Z131">
        <f t="shared" ca="1" si="33"/>
        <v>0.58246883299530805</v>
      </c>
      <c r="AA131">
        <f t="shared" ca="1" si="34"/>
        <v>0.54939220785240228</v>
      </c>
      <c r="AB131">
        <f t="shared" ca="1" si="35"/>
        <v>0</v>
      </c>
      <c r="AC131" s="47">
        <f t="shared" ca="1" si="36"/>
        <v>0</v>
      </c>
      <c r="AD131">
        <f ca="1">Inputs!B16+(Inputs!D16-Inputs!B16)*BETAINV(RAND(),Model!H10,Model!I10)</f>
        <v>0.44899228010460235</v>
      </c>
      <c r="AE131">
        <f ca="1">Inputs!E16+(Inputs!G16-Inputs!E16)*BETAINV(RAND(),Model!J10,Model!K10)</f>
        <v>0.72701738305632047</v>
      </c>
      <c r="AF131">
        <f ca="1">(Inputs!H16+(Inputs!J16-Inputs!H16)*BETAINV(RAND(),Model!L10,Model!M10))*Inputs!$C$6</f>
        <v>73744.030121643969</v>
      </c>
      <c r="AG131">
        <f t="shared" ca="1" si="37"/>
        <v>0.32642519249413843</v>
      </c>
      <c r="AH131">
        <f t="shared" ca="1" si="38"/>
        <v>0.28972269112370919</v>
      </c>
      <c r="AI131">
        <f t="shared" ca="1" si="39"/>
        <v>0</v>
      </c>
      <c r="AJ131" s="47">
        <f t="shared" ca="1" si="40"/>
        <v>0</v>
      </c>
      <c r="AK131">
        <f t="shared" ca="1" si="41"/>
        <v>107210.8629752112</v>
      </c>
    </row>
    <row r="132" spans="2:37" x14ac:dyDescent="0.2">
      <c r="B132">
        <f ca="1">Inputs!B12+(Inputs!D12-Inputs!B12)*BETAINV(RAND(),Model!H6,Model!I6)</f>
        <v>4.4345027165223927</v>
      </c>
      <c r="C132">
        <f ca="1">Inputs!E12+(Inputs!G12-Inputs!E12)*BETAINV(RAND(),Model!J6,Model!K6)</f>
        <v>0.43410690133882113</v>
      </c>
      <c r="D132">
        <f ca="1">(Inputs!H12+(Inputs!J12-Inputs!H12)*BETAINV(RAND(),Model!L6,Model!M6))*Inputs!$C$6</f>
        <v>9560.9230292398497</v>
      </c>
      <c r="E132">
        <f t="shared" ca="1" si="21"/>
        <v>1.9250482332481207</v>
      </c>
      <c r="F132">
        <f t="shared" ca="1" si="22"/>
        <v>0.88051629592273106</v>
      </c>
      <c r="G132">
        <f t="shared" ca="1" si="23"/>
        <v>4</v>
      </c>
      <c r="H132" s="47">
        <f t="shared" ca="1" si="24"/>
        <v>38243.692116959399</v>
      </c>
      <c r="I132">
        <f ca="1">Inputs!B13+(Inputs!D13-Inputs!B13)*BETAINV(RAND(),Model!H7,Model!I7)</f>
        <v>2.4849767405746395</v>
      </c>
      <c r="J132">
        <f ca="1">Inputs!E13+(Inputs!G13-Inputs!E13)*BETAINV(RAND(),Model!J7,Model!K7)</f>
        <v>0.25315869476593578</v>
      </c>
      <c r="K132">
        <f ca="1">(Inputs!H13+(Inputs!J13-Inputs!H13)*BETAINV(RAND(),Model!L7,Model!M7))*Inputs!$C$6</f>
        <v>30102.175826935374</v>
      </c>
      <c r="L132">
        <f t="shared" ca="1" si="25"/>
        <v>0.62909346816758516</v>
      </c>
      <c r="M132">
        <f t="shared" ca="1" si="26"/>
        <v>0.52443347633449211</v>
      </c>
      <c r="N132">
        <f t="shared" ca="1" si="27"/>
        <v>0</v>
      </c>
      <c r="O132" s="47">
        <f t="shared" ca="1" si="28"/>
        <v>0</v>
      </c>
      <c r="P132">
        <f ca="1">Inputs!B14+(Inputs!D14-Inputs!B14)*BETAINV(RAND(),Model!H8,Model!I8)</f>
        <v>0.32258916608146176</v>
      </c>
      <c r="Q132">
        <f ca="1">Inputs!E14+(Inputs!G14-Inputs!E14)*BETAINV(RAND(),Model!J8,Model!K8)</f>
        <v>0.50035486840889265</v>
      </c>
      <c r="R132">
        <f ca="1">(Inputs!H14+(Inputs!J14-Inputs!H14)*BETAINV(RAND(),Model!L8,Model!M8))*Inputs!$C$6</f>
        <v>343944.35208785842</v>
      </c>
      <c r="S132">
        <f t="shared" ca="1" si="29"/>
        <v>0.16140905974482422</v>
      </c>
      <c r="T132">
        <f t="shared" ca="1" si="30"/>
        <v>0.74917815547748745</v>
      </c>
      <c r="U132">
        <f t="shared" ca="1" si="31"/>
        <v>0</v>
      </c>
      <c r="V132" s="47">
        <f t="shared" ca="1" si="32"/>
        <v>0</v>
      </c>
      <c r="W132">
        <f ca="1">Inputs!B15+(Inputs!D15-Inputs!B15)*BETAINV(RAND(),Model!H9,Model!I9)</f>
        <v>1.103244272720735</v>
      </c>
      <c r="X132">
        <f ca="1">Inputs!E15+(Inputs!G15-Inputs!E15)*BETAINV(RAND(),Model!J9,Model!K9)</f>
        <v>0.31828638449255864</v>
      </c>
      <c r="Y132">
        <f ca="1">(Inputs!H15+(Inputs!J15-Inputs!H15)*BETAINV(RAND(),Model!L9,Model!M9))*Inputs!$C$6</f>
        <v>19316.51747792873</v>
      </c>
      <c r="Z132">
        <f t="shared" ca="1" si="33"/>
        <v>0.3511476307764051</v>
      </c>
      <c r="AA132">
        <f t="shared" ca="1" si="34"/>
        <v>0.54016094777398083</v>
      </c>
      <c r="AB132">
        <f t="shared" ca="1" si="35"/>
        <v>0</v>
      </c>
      <c r="AC132" s="47">
        <f t="shared" ca="1" si="36"/>
        <v>0</v>
      </c>
      <c r="AD132">
        <f ca="1">Inputs!B16+(Inputs!D16-Inputs!B16)*BETAINV(RAND(),Model!H10,Model!I10)</f>
        <v>0.77302369472233501</v>
      </c>
      <c r="AE132">
        <f ca="1">Inputs!E16+(Inputs!G16-Inputs!E16)*BETAINV(RAND(),Model!J10,Model!K10)</f>
        <v>0.58637908310632247</v>
      </c>
      <c r="AF132">
        <f ca="1">(Inputs!H16+(Inputs!J16-Inputs!H16)*BETAINV(RAND(),Model!L10,Model!M10))*Inputs!$C$6</f>
        <v>56398.838745553352</v>
      </c>
      <c r="AG132">
        <f t="shared" ca="1" si="37"/>
        <v>0.45328492533074455</v>
      </c>
      <c r="AH132">
        <f t="shared" ca="1" si="38"/>
        <v>5.2317304596501968E-3</v>
      </c>
      <c r="AI132">
        <f t="shared" ca="1" si="39"/>
        <v>0</v>
      </c>
      <c r="AJ132" s="47">
        <f t="shared" ca="1" si="40"/>
        <v>0</v>
      </c>
      <c r="AK132">
        <f t="shared" ca="1" si="41"/>
        <v>38243.692116959399</v>
      </c>
    </row>
    <row r="133" spans="2:37" x14ac:dyDescent="0.2">
      <c r="B133">
        <f ca="1">Inputs!B12+(Inputs!D12-Inputs!B12)*BETAINV(RAND(),Model!H6,Model!I6)</f>
        <v>4.5045772727859754</v>
      </c>
      <c r="C133">
        <f ca="1">Inputs!E12+(Inputs!G12-Inputs!E12)*BETAINV(RAND(),Model!J6,Model!K6)</f>
        <v>0.32918254133717295</v>
      </c>
      <c r="D133">
        <f ca="1">(Inputs!H12+(Inputs!J12-Inputs!H12)*BETAINV(RAND(),Model!L6,Model!M6))*Inputs!$C$6</f>
        <v>38600.416482666027</v>
      </c>
      <c r="E133">
        <f t="shared" ca="1" si="21"/>
        <v>1.4828281943053592</v>
      </c>
      <c r="F133">
        <f t="shared" ca="1" si="22"/>
        <v>0.54293265265032631</v>
      </c>
      <c r="G133">
        <f t="shared" ca="1" si="23"/>
        <v>1</v>
      </c>
      <c r="H133" s="47">
        <f t="shared" ca="1" si="24"/>
        <v>38600.416482666027</v>
      </c>
      <c r="I133">
        <f ca="1">Inputs!B13+(Inputs!D13-Inputs!B13)*BETAINV(RAND(),Model!H7,Model!I7)</f>
        <v>1.7824228923308345</v>
      </c>
      <c r="J133">
        <f ca="1">Inputs!E13+(Inputs!G13-Inputs!E13)*BETAINV(RAND(),Model!J7,Model!K7)</f>
        <v>0.33310186873350556</v>
      </c>
      <c r="K133">
        <f ca="1">(Inputs!H13+(Inputs!J13-Inputs!H13)*BETAINV(RAND(),Model!L7,Model!M7))*Inputs!$C$6</f>
        <v>36441.778870820977</v>
      </c>
      <c r="L133">
        <f t="shared" ca="1" si="25"/>
        <v>0.59372839630878094</v>
      </c>
      <c r="M133">
        <f t="shared" ca="1" si="26"/>
        <v>0.97543603696163228</v>
      </c>
      <c r="N133">
        <f t="shared" ca="1" si="27"/>
        <v>2</v>
      </c>
      <c r="O133" s="47">
        <f t="shared" ca="1" si="28"/>
        <v>72883.557741641955</v>
      </c>
      <c r="P133">
        <f ca="1">Inputs!B14+(Inputs!D14-Inputs!B14)*BETAINV(RAND(),Model!H8,Model!I8)</f>
        <v>0.28341156252437649</v>
      </c>
      <c r="Q133">
        <f ca="1">Inputs!E14+(Inputs!G14-Inputs!E14)*BETAINV(RAND(),Model!J8,Model!K8)</f>
        <v>0.46548383176421365</v>
      </c>
      <c r="R133">
        <f ca="1">(Inputs!H14+(Inputs!J14-Inputs!H14)*BETAINV(RAND(),Model!L8,Model!M8))*Inputs!$C$6</f>
        <v>347860.59519547323</v>
      </c>
      <c r="S133">
        <f t="shared" ca="1" si="29"/>
        <v>0.13192350009012979</v>
      </c>
      <c r="T133">
        <f t="shared" ca="1" si="30"/>
        <v>0.62485500720935916</v>
      </c>
      <c r="U133">
        <f t="shared" ca="1" si="31"/>
        <v>0</v>
      </c>
      <c r="V133" s="47">
        <f t="shared" ca="1" si="32"/>
        <v>0</v>
      </c>
      <c r="W133">
        <f ca="1">Inputs!B15+(Inputs!D15-Inputs!B15)*BETAINV(RAND(),Model!H9,Model!I9)</f>
        <v>0.62538044906713641</v>
      </c>
      <c r="X133">
        <f ca="1">Inputs!E15+(Inputs!G15-Inputs!E15)*BETAINV(RAND(),Model!J9,Model!K9)</f>
        <v>0.24371113073297299</v>
      </c>
      <c r="Y133">
        <f ca="1">(Inputs!H15+(Inputs!J15-Inputs!H15)*BETAINV(RAND(),Model!L9,Model!M9))*Inputs!$C$6</f>
        <v>17913.818486115586</v>
      </c>
      <c r="Z133">
        <f t="shared" ca="1" si="33"/>
        <v>0.15241217638044624</v>
      </c>
      <c r="AA133">
        <f t="shared" ca="1" si="34"/>
        <v>0.52736339041331182</v>
      </c>
      <c r="AB133">
        <f t="shared" ca="1" si="35"/>
        <v>0</v>
      </c>
      <c r="AC133" s="47">
        <f t="shared" ca="1" si="36"/>
        <v>0</v>
      </c>
      <c r="AD133">
        <f ca="1">Inputs!B16+(Inputs!D16-Inputs!B16)*BETAINV(RAND(),Model!H10,Model!I10)</f>
        <v>0.36080623025230929</v>
      </c>
      <c r="AE133">
        <f ca="1">Inputs!E16+(Inputs!G16-Inputs!E16)*BETAINV(RAND(),Model!J10,Model!K10)</f>
        <v>0.63010258367270933</v>
      </c>
      <c r="AF133">
        <f ca="1">(Inputs!H16+(Inputs!J16-Inputs!H16)*BETAINV(RAND(),Model!L10,Model!M10))*Inputs!$C$6</f>
        <v>111136.86414615733</v>
      </c>
      <c r="AG133">
        <f t="shared" ca="1" si="37"/>
        <v>0.22734493788719054</v>
      </c>
      <c r="AH133">
        <f t="shared" ca="1" si="38"/>
        <v>0.1499810410250958</v>
      </c>
      <c r="AI133">
        <f t="shared" ca="1" si="39"/>
        <v>0</v>
      </c>
      <c r="AJ133" s="47">
        <f t="shared" ca="1" si="40"/>
        <v>0</v>
      </c>
      <c r="AK133">
        <f t="shared" ca="1" si="41"/>
        <v>111483.97422430798</v>
      </c>
    </row>
    <row r="134" spans="2:37" x14ac:dyDescent="0.2">
      <c r="B134">
        <f ca="1">Inputs!B12+(Inputs!D12-Inputs!B12)*BETAINV(RAND(),Model!H6,Model!I6)</f>
        <v>4.4157844178872487</v>
      </c>
      <c r="C134">
        <f ca="1">Inputs!E12+(Inputs!G12-Inputs!E12)*BETAINV(RAND(),Model!J6,Model!K6)</f>
        <v>0.38407798047264202</v>
      </c>
      <c r="D134">
        <f ca="1">(Inputs!H12+(Inputs!J12-Inputs!H12)*BETAINV(RAND(),Model!L6,Model!M6))*Inputs!$C$6</f>
        <v>10485.224276383484</v>
      </c>
      <c r="E134">
        <f t="shared" ca="1" si="21"/>
        <v>1.6960055614246956</v>
      </c>
      <c r="F134">
        <f t="shared" ca="1" si="22"/>
        <v>0.51238250194452328</v>
      </c>
      <c r="G134">
        <f t="shared" ca="1" si="23"/>
        <v>2</v>
      </c>
      <c r="H134" s="47">
        <f t="shared" ca="1" si="24"/>
        <v>20970.448552766968</v>
      </c>
      <c r="I134">
        <f ca="1">Inputs!B13+(Inputs!D13-Inputs!B13)*BETAINV(RAND(),Model!H7,Model!I7)</f>
        <v>2.3052540443623362</v>
      </c>
      <c r="J134">
        <f ca="1">Inputs!E13+(Inputs!G13-Inputs!E13)*BETAINV(RAND(),Model!J7,Model!K7)</f>
        <v>0.3402859727394989</v>
      </c>
      <c r="K134">
        <f ca="1">(Inputs!H13+(Inputs!J13-Inputs!H13)*BETAINV(RAND(),Model!L7,Model!M7))*Inputs!$C$6</f>
        <v>47535.085425153149</v>
      </c>
      <c r="L134">
        <f t="shared" ca="1" si="25"/>
        <v>0.78444561489750153</v>
      </c>
      <c r="M134">
        <f t="shared" ca="1" si="26"/>
        <v>0.30180371946250417</v>
      </c>
      <c r="N134">
        <f t="shared" ca="1" si="27"/>
        <v>0</v>
      </c>
      <c r="O134" s="47">
        <f t="shared" ca="1" si="28"/>
        <v>0</v>
      </c>
      <c r="P134">
        <f ca="1">Inputs!B14+(Inputs!D14-Inputs!B14)*BETAINV(RAND(),Model!H8,Model!I8)</f>
        <v>0.36154100938946354</v>
      </c>
      <c r="Q134">
        <f ca="1">Inputs!E14+(Inputs!G14-Inputs!E14)*BETAINV(RAND(),Model!J8,Model!K8)</f>
        <v>0.76559435890417737</v>
      </c>
      <c r="R134">
        <f ca="1">(Inputs!H14+(Inputs!J14-Inputs!H14)*BETAINV(RAND(),Model!L8,Model!M8))*Inputs!$C$6</f>
        <v>349545.03626894206</v>
      </c>
      <c r="S134">
        <f t="shared" ca="1" si="29"/>
        <v>0.27679375730109551</v>
      </c>
      <c r="T134">
        <f t="shared" ca="1" si="30"/>
        <v>0.60474253786265897</v>
      </c>
      <c r="U134">
        <f t="shared" ca="1" si="31"/>
        <v>0</v>
      </c>
      <c r="V134" s="47">
        <f t="shared" ca="1" si="32"/>
        <v>0</v>
      </c>
      <c r="W134">
        <f ca="1">Inputs!B15+(Inputs!D15-Inputs!B15)*BETAINV(RAND(),Model!H9,Model!I9)</f>
        <v>1.6943503909414901</v>
      </c>
      <c r="X134">
        <f ca="1">Inputs!E15+(Inputs!G15-Inputs!E15)*BETAINV(RAND(),Model!J9,Model!K9)</f>
        <v>0.38771494498432302</v>
      </c>
      <c r="Y134">
        <f ca="1">(Inputs!H15+(Inputs!J15-Inputs!H15)*BETAINV(RAND(),Model!L9,Model!M9))*Inputs!$C$6</f>
        <v>16652.724292423161</v>
      </c>
      <c r="Z134">
        <f t="shared" ca="1" si="33"/>
        <v>0.65692496860804606</v>
      </c>
      <c r="AA134">
        <f t="shared" ca="1" si="34"/>
        <v>0.38330671325933752</v>
      </c>
      <c r="AB134">
        <f t="shared" ca="1" si="35"/>
        <v>0</v>
      </c>
      <c r="AC134" s="47">
        <f t="shared" ca="1" si="36"/>
        <v>0</v>
      </c>
      <c r="AD134">
        <f ca="1">Inputs!B16+(Inputs!D16-Inputs!B16)*BETAINV(RAND(),Model!H10,Model!I10)</f>
        <v>0.94676239741512114</v>
      </c>
      <c r="AE134">
        <f ca="1">Inputs!E16+(Inputs!G16-Inputs!E16)*BETAINV(RAND(),Model!J10,Model!K10)</f>
        <v>0.69240319951786422</v>
      </c>
      <c r="AF134">
        <f ca="1">(Inputs!H16+(Inputs!J16-Inputs!H16)*BETAINV(RAND(),Model!L10,Model!M10))*Inputs!$C$6</f>
        <v>72494.600267397778</v>
      </c>
      <c r="AG134">
        <f t="shared" ca="1" si="37"/>
        <v>0.65554131315343356</v>
      </c>
      <c r="AH134">
        <f t="shared" ca="1" si="38"/>
        <v>0.47661786799134087</v>
      </c>
      <c r="AI134">
        <f t="shared" ca="1" si="39"/>
        <v>0</v>
      </c>
      <c r="AJ134" s="47">
        <f t="shared" ca="1" si="40"/>
        <v>0</v>
      </c>
      <c r="AK134">
        <f t="shared" ca="1" si="41"/>
        <v>20970.448552766968</v>
      </c>
    </row>
    <row r="135" spans="2:37" x14ac:dyDescent="0.2">
      <c r="B135">
        <f ca="1">Inputs!B12+(Inputs!D12-Inputs!B12)*BETAINV(RAND(),Model!H6,Model!I6)</f>
        <v>3.0561607803947801</v>
      </c>
      <c r="C135">
        <f ca="1">Inputs!E12+(Inputs!G12-Inputs!E12)*BETAINV(RAND(),Model!J6,Model!K6)</f>
        <v>0.29343555793646386</v>
      </c>
      <c r="D135">
        <f ca="1">(Inputs!H12+(Inputs!J12-Inputs!H12)*BETAINV(RAND(),Model!L6,Model!M6))*Inputs!$C$6</f>
        <v>17637.430285194678</v>
      </c>
      <c r="E135">
        <f t="shared" ca="1" si="21"/>
        <v>0.8967862437386811</v>
      </c>
      <c r="F135">
        <f t="shared" ca="1" si="22"/>
        <v>7.7417878007452368E-2</v>
      </c>
      <c r="G135">
        <f t="shared" ca="1" si="23"/>
        <v>0</v>
      </c>
      <c r="H135" s="47">
        <f t="shared" ca="1" si="24"/>
        <v>0</v>
      </c>
      <c r="I135">
        <f ca="1">Inputs!B13+(Inputs!D13-Inputs!B13)*BETAINV(RAND(),Model!H7,Model!I7)</f>
        <v>1.7278051850620184</v>
      </c>
      <c r="J135">
        <f ca="1">Inputs!E13+(Inputs!G13-Inputs!E13)*BETAINV(RAND(),Model!J7,Model!K7)</f>
        <v>0.12685273677161324</v>
      </c>
      <c r="K135">
        <f ca="1">(Inputs!H13+(Inputs!J13-Inputs!H13)*BETAINV(RAND(),Model!L7,Model!M7))*Inputs!$C$6</f>
        <v>23088.466301587141</v>
      </c>
      <c r="L135">
        <f t="shared" ca="1" si="25"/>
        <v>0.21917681633330072</v>
      </c>
      <c r="M135">
        <f t="shared" ca="1" si="26"/>
        <v>0.64731891306130851</v>
      </c>
      <c r="N135">
        <f t="shared" ca="1" si="27"/>
        <v>0</v>
      </c>
      <c r="O135" s="47">
        <f t="shared" ca="1" si="28"/>
        <v>0</v>
      </c>
      <c r="P135">
        <f ca="1">Inputs!B14+(Inputs!D14-Inputs!B14)*BETAINV(RAND(),Model!H8,Model!I8)</f>
        <v>0.39508651642893877</v>
      </c>
      <c r="Q135">
        <f ca="1">Inputs!E14+(Inputs!G14-Inputs!E14)*BETAINV(RAND(),Model!J8,Model!K8)</f>
        <v>0.40810466016592095</v>
      </c>
      <c r="R135">
        <f ca="1">(Inputs!H14+(Inputs!J14-Inputs!H14)*BETAINV(RAND(),Model!L8,Model!M8))*Inputs!$C$6</f>
        <v>444060.57002770505</v>
      </c>
      <c r="S135">
        <f t="shared" ca="1" si="29"/>
        <v>0.16123664852336961</v>
      </c>
      <c r="T135">
        <f t="shared" ca="1" si="30"/>
        <v>0.42659894237799323</v>
      </c>
      <c r="U135">
        <f t="shared" ca="1" si="31"/>
        <v>0</v>
      </c>
      <c r="V135" s="47">
        <f t="shared" ca="1" si="32"/>
        <v>0</v>
      </c>
      <c r="W135">
        <f ca="1">Inputs!B15+(Inputs!D15-Inputs!B15)*BETAINV(RAND(),Model!H9,Model!I9)</f>
        <v>2.0519599610697914</v>
      </c>
      <c r="X135">
        <f ca="1">Inputs!E15+(Inputs!G15-Inputs!E15)*BETAINV(RAND(),Model!J9,Model!K9)</f>
        <v>0.33897691955661496</v>
      </c>
      <c r="Y135">
        <f ca="1">(Inputs!H15+(Inputs!J15-Inputs!H15)*BETAINV(RAND(),Model!L9,Model!M9))*Inputs!$C$6</f>
        <v>15433.490170281051</v>
      </c>
      <c r="Z135">
        <f t="shared" ca="1" si="33"/>
        <v>0.69556706665694945</v>
      </c>
      <c r="AA135">
        <f t="shared" ca="1" si="34"/>
        <v>0.98955217303504106</v>
      </c>
      <c r="AB135">
        <f t="shared" ca="1" si="35"/>
        <v>3</v>
      </c>
      <c r="AC135" s="47">
        <f t="shared" ca="1" si="36"/>
        <v>46300.470510843152</v>
      </c>
      <c r="AD135">
        <f ca="1">Inputs!B16+(Inputs!D16-Inputs!B16)*BETAINV(RAND(),Model!H10,Model!I10)</f>
        <v>0.38775509226586335</v>
      </c>
      <c r="AE135">
        <f ca="1">Inputs!E16+(Inputs!G16-Inputs!E16)*BETAINV(RAND(),Model!J10,Model!K10)</f>
        <v>0.6949683919591465</v>
      </c>
      <c r="AF135">
        <f ca="1">(Inputs!H16+(Inputs!J16-Inputs!H16)*BETAINV(RAND(),Model!L10,Model!M10))*Inputs!$C$6</f>
        <v>115122.18274065045</v>
      </c>
      <c r="AG135">
        <f t="shared" ca="1" si="37"/>
        <v>0.26947753294597754</v>
      </c>
      <c r="AH135">
        <f t="shared" ca="1" si="38"/>
        <v>1.9419778672945531E-3</v>
      </c>
      <c r="AI135">
        <f t="shared" ca="1" si="39"/>
        <v>0</v>
      </c>
      <c r="AJ135" s="47">
        <f t="shared" ca="1" si="40"/>
        <v>0</v>
      </c>
      <c r="AK135">
        <f t="shared" ca="1" si="41"/>
        <v>46300.470510843152</v>
      </c>
    </row>
    <row r="136" spans="2:37" x14ac:dyDescent="0.2">
      <c r="B136">
        <f ca="1">Inputs!B12+(Inputs!D12-Inputs!B12)*BETAINV(RAND(),Model!H6,Model!I6)</f>
        <v>2.8340891945702138</v>
      </c>
      <c r="C136">
        <f ca="1">Inputs!E12+(Inputs!G12-Inputs!E12)*BETAINV(RAND(),Model!J6,Model!K6)</f>
        <v>0.19032737855463935</v>
      </c>
      <c r="D136">
        <f ca="1">(Inputs!H12+(Inputs!J12-Inputs!H12)*BETAINV(RAND(),Model!L6,Model!M6))*Inputs!$C$6</f>
        <v>17087.018540245077</v>
      </c>
      <c r="E136">
        <f t="shared" ca="1" si="21"/>
        <v>0.539404766992578</v>
      </c>
      <c r="F136">
        <f t="shared" ca="1" si="22"/>
        <v>0.27824438999074597</v>
      </c>
      <c r="G136">
        <f t="shared" ca="1" si="23"/>
        <v>0</v>
      </c>
      <c r="H136" s="47">
        <f t="shared" ca="1" si="24"/>
        <v>0</v>
      </c>
      <c r="I136">
        <f ca="1">Inputs!B13+(Inputs!D13-Inputs!B13)*BETAINV(RAND(),Model!H7,Model!I7)</f>
        <v>1.6748710970634486</v>
      </c>
      <c r="J136">
        <f ca="1">Inputs!E13+(Inputs!G13-Inputs!E13)*BETAINV(RAND(),Model!J7,Model!K7)</f>
        <v>0.28663334175796523</v>
      </c>
      <c r="K136">
        <f ca="1">(Inputs!H13+(Inputs!J13-Inputs!H13)*BETAINV(RAND(),Model!L7,Model!M7))*Inputs!$C$6</f>
        <v>41440.077920108604</v>
      </c>
      <c r="L136">
        <f t="shared" ca="1" si="25"/>
        <v>0.48007389956512564</v>
      </c>
      <c r="M136">
        <f t="shared" ca="1" si="26"/>
        <v>0.94586116187445124</v>
      </c>
      <c r="N136">
        <f t="shared" ca="1" si="27"/>
        <v>2</v>
      </c>
      <c r="O136" s="47">
        <f t="shared" ca="1" si="28"/>
        <v>82880.155840217209</v>
      </c>
      <c r="P136">
        <f ca="1">Inputs!B14+(Inputs!D14-Inputs!B14)*BETAINV(RAND(),Model!H8,Model!I8)</f>
        <v>0.29506052440005615</v>
      </c>
      <c r="Q136">
        <f ca="1">Inputs!E14+(Inputs!G14-Inputs!E14)*BETAINV(RAND(),Model!J8,Model!K8)</f>
        <v>0.61996989257863078</v>
      </c>
      <c r="R136">
        <f ca="1">(Inputs!H14+(Inputs!J14-Inputs!H14)*BETAINV(RAND(),Model!L8,Model!M8))*Inputs!$C$6</f>
        <v>387450.85154210799</v>
      </c>
      <c r="S136">
        <f t="shared" ca="1" si="29"/>
        <v>0.18292864161649727</v>
      </c>
      <c r="T136">
        <f t="shared" ca="1" si="30"/>
        <v>0.15484655222119625</v>
      </c>
      <c r="U136">
        <f t="shared" ca="1" si="31"/>
        <v>0</v>
      </c>
      <c r="V136" s="47">
        <f t="shared" ca="1" si="32"/>
        <v>0</v>
      </c>
      <c r="W136">
        <f ca="1">Inputs!B15+(Inputs!D15-Inputs!B15)*BETAINV(RAND(),Model!H9,Model!I9)</f>
        <v>1.4090274281192459</v>
      </c>
      <c r="X136">
        <f ca="1">Inputs!E15+(Inputs!G15-Inputs!E15)*BETAINV(RAND(),Model!J9,Model!K9)</f>
        <v>0.40579984317458334</v>
      </c>
      <c r="Y136">
        <f ca="1">(Inputs!H15+(Inputs!J15-Inputs!H15)*BETAINV(RAND(),Model!L9,Model!M9))*Inputs!$C$6</f>
        <v>24142.119736245782</v>
      </c>
      <c r="Z136">
        <f t="shared" ca="1" si="33"/>
        <v>0.57178310935947652</v>
      </c>
      <c r="AA136">
        <f t="shared" ca="1" si="34"/>
        <v>0.74161789785542198</v>
      </c>
      <c r="AB136">
        <f t="shared" ca="1" si="35"/>
        <v>1</v>
      </c>
      <c r="AC136" s="47">
        <f t="shared" ca="1" si="36"/>
        <v>24142.119736245782</v>
      </c>
      <c r="AD136">
        <f ca="1">Inputs!B16+(Inputs!D16-Inputs!B16)*BETAINV(RAND(),Model!H10,Model!I10)</f>
        <v>0.73620804039287369</v>
      </c>
      <c r="AE136">
        <f ca="1">Inputs!E16+(Inputs!G16-Inputs!E16)*BETAINV(RAND(),Model!J10,Model!K10)</f>
        <v>0.60714280965434486</v>
      </c>
      <c r="AF136">
        <f ca="1">(Inputs!H16+(Inputs!J16-Inputs!H16)*BETAINV(RAND(),Model!L10,Model!M10))*Inputs!$C$6</f>
        <v>48839.227318919999</v>
      </c>
      <c r="AG136">
        <f t="shared" ca="1" si="37"/>
        <v>0.44698341813424874</v>
      </c>
      <c r="AH136">
        <f t="shared" ca="1" si="38"/>
        <v>0.79794635195998465</v>
      </c>
      <c r="AI136">
        <f t="shared" ca="1" si="39"/>
        <v>1</v>
      </c>
      <c r="AJ136" s="47">
        <f t="shared" ca="1" si="40"/>
        <v>48839.227318919999</v>
      </c>
      <c r="AK136">
        <f t="shared" ca="1" si="41"/>
        <v>155861.50289538299</v>
      </c>
    </row>
    <row r="137" spans="2:37" x14ac:dyDescent="0.2">
      <c r="B137">
        <f ca="1">Inputs!B12+(Inputs!D12-Inputs!B12)*BETAINV(RAND(),Model!H6,Model!I6)</f>
        <v>2.4546802947342972</v>
      </c>
      <c r="C137">
        <f ca="1">Inputs!E12+(Inputs!G12-Inputs!E12)*BETAINV(RAND(),Model!J6,Model!K6)</f>
        <v>0.35599121058578853</v>
      </c>
      <c r="D137">
        <f ca="1">(Inputs!H12+(Inputs!J12-Inputs!H12)*BETAINV(RAND(),Model!L6,Model!M6))*Inputs!$C$6</f>
        <v>16855.678648448054</v>
      </c>
      <c r="E137">
        <f t="shared" ca="1" si="21"/>
        <v>0.87384460972354261</v>
      </c>
      <c r="F137">
        <f t="shared" ca="1" si="22"/>
        <v>0.96337267058251463</v>
      </c>
      <c r="G137">
        <f t="shared" ca="1" si="23"/>
        <v>3</v>
      </c>
      <c r="H137" s="47">
        <f t="shared" ca="1" si="24"/>
        <v>50567.035945344163</v>
      </c>
      <c r="I137">
        <f ca="1">Inputs!B13+(Inputs!D13-Inputs!B13)*BETAINV(RAND(),Model!H7,Model!I7)</f>
        <v>1.4474973910980757</v>
      </c>
      <c r="J137">
        <f ca="1">Inputs!E13+(Inputs!G13-Inputs!E13)*BETAINV(RAND(),Model!J7,Model!K7)</f>
        <v>0.31197461647064939</v>
      </c>
      <c r="K137">
        <f ca="1">(Inputs!H13+(Inputs!J13-Inputs!H13)*BETAINV(RAND(),Model!L7,Model!M7))*Inputs!$C$6</f>
        <v>62443.434541738621</v>
      </c>
      <c r="L137">
        <f t="shared" ca="1" si="25"/>
        <v>0.45158244343008774</v>
      </c>
      <c r="M137">
        <f t="shared" ca="1" si="26"/>
        <v>0.47527486109760009</v>
      </c>
      <c r="N137">
        <f t="shared" ca="1" si="27"/>
        <v>0</v>
      </c>
      <c r="O137" s="47">
        <f t="shared" ca="1" si="28"/>
        <v>0</v>
      </c>
      <c r="P137">
        <f ca="1">Inputs!B14+(Inputs!D14-Inputs!B14)*BETAINV(RAND(),Model!H8,Model!I8)</f>
        <v>0.39356711474604977</v>
      </c>
      <c r="Q137">
        <f ca="1">Inputs!E14+(Inputs!G14-Inputs!E14)*BETAINV(RAND(),Model!J8,Model!K8)</f>
        <v>0.56257235732410482</v>
      </c>
      <c r="R137">
        <f ca="1">(Inputs!H14+(Inputs!J14-Inputs!H14)*BETAINV(RAND(),Model!L8,Model!M8))*Inputs!$C$6</f>
        <v>556508.35497263586</v>
      </c>
      <c r="S137">
        <f t="shared" ca="1" si="29"/>
        <v>0.22140997950793168</v>
      </c>
      <c r="T137">
        <f t="shared" ca="1" si="30"/>
        <v>0.29168386125081558</v>
      </c>
      <c r="U137">
        <f t="shared" ca="1" si="31"/>
        <v>0</v>
      </c>
      <c r="V137" s="47">
        <f t="shared" ca="1" si="32"/>
        <v>0</v>
      </c>
      <c r="W137">
        <f ca="1">Inputs!B15+(Inputs!D15-Inputs!B15)*BETAINV(RAND(),Model!H9,Model!I9)</f>
        <v>1.5226693639635231</v>
      </c>
      <c r="X137">
        <f ca="1">Inputs!E15+(Inputs!G15-Inputs!E15)*BETAINV(RAND(),Model!J9,Model!K9)</f>
        <v>0.42570232584989398</v>
      </c>
      <c r="Y137">
        <f ca="1">(Inputs!H15+(Inputs!J15-Inputs!H15)*BETAINV(RAND(),Model!L9,Model!M9))*Inputs!$C$6</f>
        <v>10537.804863342788</v>
      </c>
      <c r="Z137">
        <f t="shared" ca="1" si="33"/>
        <v>0.6482038897396506</v>
      </c>
      <c r="AA137">
        <f t="shared" ca="1" si="34"/>
        <v>0.29626371522736805</v>
      </c>
      <c r="AB137">
        <f t="shared" ca="1" si="35"/>
        <v>0</v>
      </c>
      <c r="AC137" s="47">
        <f t="shared" ca="1" si="36"/>
        <v>0</v>
      </c>
      <c r="AD137">
        <f ca="1">Inputs!B16+(Inputs!D16-Inputs!B16)*BETAINV(RAND(),Model!H10,Model!I10)</f>
        <v>0.73769630400264985</v>
      </c>
      <c r="AE137">
        <f ca="1">Inputs!E16+(Inputs!G16-Inputs!E16)*BETAINV(RAND(),Model!J10,Model!K10)</f>
        <v>0.54689272009107626</v>
      </c>
      <c r="AF137">
        <f ca="1">(Inputs!H16+(Inputs!J16-Inputs!H16)*BETAINV(RAND(),Model!L10,Model!M10))*Inputs!$C$6</f>
        <v>115456.90721487116</v>
      </c>
      <c r="AG137">
        <f t="shared" ca="1" si="37"/>
        <v>0.40344073829714266</v>
      </c>
      <c r="AH137">
        <f t="shared" ca="1" si="38"/>
        <v>5.4860048732077282E-2</v>
      </c>
      <c r="AI137">
        <f t="shared" ca="1" si="39"/>
        <v>0</v>
      </c>
      <c r="AJ137" s="47">
        <f t="shared" ca="1" si="40"/>
        <v>0</v>
      </c>
      <c r="AK137">
        <f t="shared" ca="1" si="41"/>
        <v>50567.035945344163</v>
      </c>
    </row>
    <row r="138" spans="2:37" x14ac:dyDescent="0.2">
      <c r="B138">
        <f ca="1">Inputs!B12+(Inputs!D12-Inputs!B12)*BETAINV(RAND(),Model!H6,Model!I6)</f>
        <v>3.4568325044330472</v>
      </c>
      <c r="C138">
        <f ca="1">Inputs!E12+(Inputs!G12-Inputs!E12)*BETAINV(RAND(),Model!J6,Model!K6)</f>
        <v>0.33285563832016374</v>
      </c>
      <c r="D138">
        <f ca="1">(Inputs!H12+(Inputs!J12-Inputs!H12)*BETAINV(RAND(),Model!L6,Model!M6))*Inputs!$C$6</f>
        <v>40972.153334123061</v>
      </c>
      <c r="E138">
        <f t="shared" ca="1" si="21"/>
        <v>1.1506261898289523</v>
      </c>
      <c r="F138">
        <f t="shared" ca="1" si="22"/>
        <v>0.23855315934042709</v>
      </c>
      <c r="G138">
        <f t="shared" ca="1" si="23"/>
        <v>0</v>
      </c>
      <c r="H138" s="47">
        <f t="shared" ca="1" si="24"/>
        <v>0</v>
      </c>
      <c r="I138">
        <f ca="1">Inputs!B13+(Inputs!D13-Inputs!B13)*BETAINV(RAND(),Model!H7,Model!I7)</f>
        <v>1.7492296964813649</v>
      </c>
      <c r="J138">
        <f ca="1">Inputs!E13+(Inputs!G13-Inputs!E13)*BETAINV(RAND(),Model!J7,Model!K7)</f>
        <v>0.30178076603400283</v>
      </c>
      <c r="K138">
        <f ca="1">(Inputs!H13+(Inputs!J13-Inputs!H13)*BETAINV(RAND(),Model!L7,Model!M7))*Inputs!$C$6</f>
        <v>65509.203305347459</v>
      </c>
      <c r="L138">
        <f t="shared" ca="1" si="25"/>
        <v>0.5278838777735726</v>
      </c>
      <c r="M138">
        <f t="shared" ca="1" si="26"/>
        <v>0.27440852081452927</v>
      </c>
      <c r="N138">
        <f t="shared" ca="1" si="27"/>
        <v>0</v>
      </c>
      <c r="O138" s="47">
        <f t="shared" ca="1" si="28"/>
        <v>0</v>
      </c>
      <c r="P138">
        <f ca="1">Inputs!B14+(Inputs!D14-Inputs!B14)*BETAINV(RAND(),Model!H8,Model!I8)</f>
        <v>0.38478306230303216</v>
      </c>
      <c r="Q138">
        <f ca="1">Inputs!E14+(Inputs!G14-Inputs!E14)*BETAINV(RAND(),Model!J8,Model!K8)</f>
        <v>0.49931921879901581</v>
      </c>
      <c r="R138">
        <f ca="1">(Inputs!H14+(Inputs!J14-Inputs!H14)*BETAINV(RAND(),Model!L8,Model!M8))*Inputs!$C$6</f>
        <v>447532.70308639196</v>
      </c>
      <c r="S138">
        <f t="shared" ca="1" si="29"/>
        <v>0.19212957807624303</v>
      </c>
      <c r="T138">
        <f t="shared" ca="1" si="30"/>
        <v>4.4403452930446008E-3</v>
      </c>
      <c r="U138">
        <f t="shared" ca="1" si="31"/>
        <v>0</v>
      </c>
      <c r="V138" s="47">
        <f t="shared" ca="1" si="32"/>
        <v>0</v>
      </c>
      <c r="W138">
        <f ca="1">Inputs!B15+(Inputs!D15-Inputs!B15)*BETAINV(RAND(),Model!H9,Model!I9)</f>
        <v>0.89911205431646768</v>
      </c>
      <c r="X138">
        <f ca="1">Inputs!E15+(Inputs!G15-Inputs!E15)*BETAINV(RAND(),Model!J9,Model!K9)</f>
        <v>0.45514607428285575</v>
      </c>
      <c r="Y138">
        <f ca="1">(Inputs!H15+(Inputs!J15-Inputs!H15)*BETAINV(RAND(),Model!L9,Model!M9))*Inputs!$C$6</f>
        <v>37665.870784180181</v>
      </c>
      <c r="Z138">
        <f t="shared" ca="1" si="33"/>
        <v>0.40922732186253402</v>
      </c>
      <c r="AA138">
        <f t="shared" ca="1" si="34"/>
        <v>0.97956279540101587</v>
      </c>
      <c r="AB138">
        <f t="shared" ca="1" si="35"/>
        <v>2</v>
      </c>
      <c r="AC138" s="47">
        <f t="shared" ca="1" si="36"/>
        <v>75331.741568360361</v>
      </c>
      <c r="AD138">
        <f ca="1">Inputs!B16+(Inputs!D16-Inputs!B16)*BETAINV(RAND(),Model!H10,Model!I10)</f>
        <v>0.81624912717491727</v>
      </c>
      <c r="AE138">
        <f ca="1">Inputs!E16+(Inputs!G16-Inputs!E16)*BETAINV(RAND(),Model!J10,Model!K10)</f>
        <v>0.60403805802277066</v>
      </c>
      <c r="AF138">
        <f ca="1">(Inputs!H16+(Inputs!J16-Inputs!H16)*BETAINV(RAND(),Model!L10,Model!M10))*Inputs!$C$6</f>
        <v>69099.027246589103</v>
      </c>
      <c r="AG138">
        <f t="shared" ca="1" si="37"/>
        <v>0.49304553764151859</v>
      </c>
      <c r="AH138">
        <f t="shared" ca="1" si="38"/>
        <v>0.48167565282203739</v>
      </c>
      <c r="AI138">
        <f t="shared" ca="1" si="39"/>
        <v>0</v>
      </c>
      <c r="AJ138" s="47">
        <f t="shared" ca="1" si="40"/>
        <v>0</v>
      </c>
      <c r="AK138">
        <f t="shared" ca="1" si="41"/>
        <v>75331.741568360361</v>
      </c>
    </row>
    <row r="139" spans="2:37" x14ac:dyDescent="0.2">
      <c r="B139">
        <f ca="1">Inputs!B12+(Inputs!D12-Inputs!B12)*BETAINV(RAND(),Model!H6,Model!I6)</f>
        <v>2.2397150543301025</v>
      </c>
      <c r="C139">
        <f ca="1">Inputs!E12+(Inputs!G12-Inputs!E12)*BETAINV(RAND(),Model!J6,Model!K6)</f>
        <v>0.36709312148754136</v>
      </c>
      <c r="D139">
        <f ca="1">(Inputs!H12+(Inputs!J12-Inputs!H12)*BETAINV(RAND(),Model!L6,Model!M6))*Inputs!$C$6</f>
        <v>40702.042818633112</v>
      </c>
      <c r="E139">
        <f t="shared" ca="1" si="21"/>
        <v>0.82218399053667568</v>
      </c>
      <c r="F139">
        <f t="shared" ca="1" si="22"/>
        <v>0.11418402832492602</v>
      </c>
      <c r="G139">
        <f t="shared" ca="1" si="23"/>
        <v>0</v>
      </c>
      <c r="H139" s="47">
        <f t="shared" ca="1" si="24"/>
        <v>0</v>
      </c>
      <c r="I139">
        <f ca="1">Inputs!B13+(Inputs!D13-Inputs!B13)*BETAINV(RAND(),Model!H7,Model!I7)</f>
        <v>1.999950287647333</v>
      </c>
      <c r="J139">
        <f ca="1">Inputs!E13+(Inputs!G13-Inputs!E13)*BETAINV(RAND(),Model!J7,Model!K7)</f>
        <v>0.20670948299981845</v>
      </c>
      <c r="K139">
        <f ca="1">(Inputs!H13+(Inputs!J13-Inputs!H13)*BETAINV(RAND(),Model!L7,Model!M7))*Inputs!$C$6</f>
        <v>30706.386156992408</v>
      </c>
      <c r="L139">
        <f t="shared" ca="1" si="25"/>
        <v>0.41340868998491836</v>
      </c>
      <c r="M139">
        <f t="shared" ca="1" si="26"/>
        <v>0.35244105175763596</v>
      </c>
      <c r="N139">
        <f t="shared" ca="1" si="27"/>
        <v>0</v>
      </c>
      <c r="O139" s="47">
        <f t="shared" ca="1" si="28"/>
        <v>0</v>
      </c>
      <c r="P139">
        <f ca="1">Inputs!B14+(Inputs!D14-Inputs!B14)*BETAINV(RAND(),Model!H8,Model!I8)</f>
        <v>0.5673639287576947</v>
      </c>
      <c r="Q139">
        <f ca="1">Inputs!E14+(Inputs!G14-Inputs!E14)*BETAINV(RAND(),Model!J8,Model!K8)</f>
        <v>0.67577407950561841</v>
      </c>
      <c r="R139">
        <f ca="1">(Inputs!H14+(Inputs!J14-Inputs!H14)*BETAINV(RAND(),Model!L8,Model!M8))*Inputs!$C$6</f>
        <v>212985.68679420717</v>
      </c>
      <c r="S139">
        <f t="shared" ca="1" si="29"/>
        <v>0.38340983670092238</v>
      </c>
      <c r="T139">
        <f t="shared" ca="1" si="30"/>
        <v>0.55885310316004999</v>
      </c>
      <c r="U139">
        <f t="shared" ca="1" si="31"/>
        <v>0</v>
      </c>
      <c r="V139" s="47">
        <f t="shared" ca="1" si="32"/>
        <v>0</v>
      </c>
      <c r="W139">
        <f ca="1">Inputs!B15+(Inputs!D15-Inputs!B15)*BETAINV(RAND(),Model!H9,Model!I9)</f>
        <v>0.96289519508321586</v>
      </c>
      <c r="X139">
        <f ca="1">Inputs!E15+(Inputs!G15-Inputs!E15)*BETAINV(RAND(),Model!J9,Model!K9)</f>
        <v>0.65664289409963827</v>
      </c>
      <c r="Y139">
        <f ca="1">(Inputs!H15+(Inputs!J15-Inputs!H15)*BETAINV(RAND(),Model!L9,Model!M9))*Inputs!$C$6</f>
        <v>21773.673221623507</v>
      </c>
      <c r="Z139">
        <f t="shared" ca="1" si="33"/>
        <v>0.63227828761407867</v>
      </c>
      <c r="AA139">
        <f t="shared" ca="1" si="34"/>
        <v>9.2154589562319145E-2</v>
      </c>
      <c r="AB139">
        <f t="shared" ca="1" si="35"/>
        <v>0</v>
      </c>
      <c r="AC139" s="47">
        <f t="shared" ca="1" si="36"/>
        <v>0</v>
      </c>
      <c r="AD139">
        <f ca="1">Inputs!B16+(Inputs!D16-Inputs!B16)*BETAINV(RAND(),Model!H10,Model!I10)</f>
        <v>0.66455334903742869</v>
      </c>
      <c r="AE139">
        <f ca="1">Inputs!E16+(Inputs!G16-Inputs!E16)*BETAINV(RAND(),Model!J10,Model!K10)</f>
        <v>0.57602141547475094</v>
      </c>
      <c r="AF139">
        <f ca="1">(Inputs!H16+(Inputs!J16-Inputs!H16)*BETAINV(RAND(),Model!L10,Model!M10))*Inputs!$C$6</f>
        <v>85663.129531722094</v>
      </c>
      <c r="AG139">
        <f t="shared" ca="1" si="37"/>
        <v>0.38279696077102587</v>
      </c>
      <c r="AH139">
        <f t="shared" ca="1" si="38"/>
        <v>0.92733705056165938</v>
      </c>
      <c r="AI139">
        <f t="shared" ca="1" si="39"/>
        <v>1</v>
      </c>
      <c r="AJ139" s="47">
        <f t="shared" ca="1" si="40"/>
        <v>85663.129531722094</v>
      </c>
      <c r="AK139">
        <f t="shared" ca="1" si="41"/>
        <v>85663.129531722094</v>
      </c>
    </row>
    <row r="140" spans="2:37" x14ac:dyDescent="0.2">
      <c r="B140">
        <f ca="1">Inputs!B12+(Inputs!D12-Inputs!B12)*BETAINV(RAND(),Model!H6,Model!I6)</f>
        <v>1.9114723781814444</v>
      </c>
      <c r="C140">
        <f ca="1">Inputs!E12+(Inputs!G12-Inputs!E12)*BETAINV(RAND(),Model!J6,Model!K6)</f>
        <v>0.19255847830486508</v>
      </c>
      <c r="D140">
        <f ca="1">(Inputs!H12+(Inputs!J12-Inputs!H12)*BETAINV(RAND(),Model!L6,Model!M6))*Inputs!$C$6</f>
        <v>14028.749087734153</v>
      </c>
      <c r="E140">
        <f t="shared" ref="E140:E203" ca="1" si="42">B140*C140</f>
        <v>0.36807021246440053</v>
      </c>
      <c r="F140">
        <f t="shared" ref="F140:F203" ca="1" si="43">RAND()</f>
        <v>0.34056057318375454</v>
      </c>
      <c r="G140">
        <f t="shared" ref="G140:G203" ca="1" si="44">IF(F140&lt;EXP(-E140),0,IF(F140&lt;EXP(-E140)*(1+E140),1,IF(F140&lt;EXP(-E140)*(1+E140+E140^2/2),2,IF(F140&lt;EXP(-E140)*(1+E140+E140^2/2+E140^3/6),3,4))))</f>
        <v>0</v>
      </c>
      <c r="H140" s="47">
        <f t="shared" ref="H140:H203" ca="1" si="45">G140*D140</f>
        <v>0</v>
      </c>
      <c r="I140">
        <f ca="1">Inputs!B13+(Inputs!D13-Inputs!B13)*BETAINV(RAND(),Model!H7,Model!I7)</f>
        <v>2.2671681276571958</v>
      </c>
      <c r="J140">
        <f ca="1">Inputs!E13+(Inputs!G13-Inputs!E13)*BETAINV(RAND(),Model!J7,Model!K7)</f>
        <v>0.25873052958892973</v>
      </c>
      <c r="K140">
        <f ca="1">(Inputs!H13+(Inputs!J13-Inputs!H13)*BETAINV(RAND(),Model!L7,Model!M7))*Inputs!$C$6</f>
        <v>18764.928489280599</v>
      </c>
      <c r="L140">
        <f t="shared" ref="L140:L203" ca="1" si="46">I140*J140</f>
        <v>0.58658561033588852</v>
      </c>
      <c r="M140">
        <f t="shared" ref="M140:M203" ca="1" si="47">RAND()</f>
        <v>0.71815883022819804</v>
      </c>
      <c r="N140">
        <f t="shared" ref="N140:N203" ca="1" si="48">IF(M140&lt;EXP(-L140),0,IF(M140&lt;EXP(-L140)*(1+L140),1,IF(M140&lt;EXP(-L140)*(1+L140+L140^2/2),2,IF(M140&lt;EXP(-L140)*(1+L140+L140^2/2+L140^3/6),3,4))))</f>
        <v>1</v>
      </c>
      <c r="O140" s="47">
        <f t="shared" ref="O140:O203" ca="1" si="49">N140*K140</f>
        <v>18764.928489280599</v>
      </c>
      <c r="P140">
        <f ca="1">Inputs!B14+(Inputs!D14-Inputs!B14)*BETAINV(RAND(),Model!H8,Model!I8)</f>
        <v>0.26344394363146972</v>
      </c>
      <c r="Q140">
        <f ca="1">Inputs!E14+(Inputs!G14-Inputs!E14)*BETAINV(RAND(),Model!J8,Model!K8)</f>
        <v>0.61564858582465143</v>
      </c>
      <c r="R140">
        <f ca="1">(Inputs!H14+(Inputs!J14-Inputs!H14)*BETAINV(RAND(),Model!L8,Model!M8))*Inputs!$C$6</f>
        <v>407675.4338418619</v>
      </c>
      <c r="S140">
        <f t="shared" ref="S140:S203" ca="1" si="50">P140*Q140</f>
        <v>0.16218889134078351</v>
      </c>
      <c r="T140">
        <f t="shared" ref="T140:T203" ca="1" si="51">RAND()</f>
        <v>0.42808967828723554</v>
      </c>
      <c r="U140">
        <f t="shared" ref="U140:U203" ca="1" si="52">IF(T140&lt;EXP(-S140),0,IF(T140&lt;EXP(-S140)*(1+S140),1,IF(T140&lt;EXP(-S140)*(1+S140+S140^2/2),2,IF(T140&lt;EXP(-S140)*(1+S140+S140^2/2+S140^3/6),3,4))))</f>
        <v>0</v>
      </c>
      <c r="V140" s="47">
        <f t="shared" ref="V140:V203" ca="1" si="53">U140*R140</f>
        <v>0</v>
      </c>
      <c r="W140">
        <f ca="1">Inputs!B15+(Inputs!D15-Inputs!B15)*BETAINV(RAND(),Model!H9,Model!I9)</f>
        <v>0.8028160675828111</v>
      </c>
      <c r="X140">
        <f ca="1">Inputs!E15+(Inputs!G15-Inputs!E15)*BETAINV(RAND(),Model!J9,Model!K9)</f>
        <v>0.48434647389164565</v>
      </c>
      <c r="Y140">
        <f ca="1">(Inputs!H15+(Inputs!J15-Inputs!H15)*BETAINV(RAND(),Model!L9,Model!M9))*Inputs!$C$6</f>
        <v>46761.60054098515</v>
      </c>
      <c r="Z140">
        <f t="shared" ref="Z140:Z203" ca="1" si="54">W140*X140</f>
        <v>0.38884113151729166</v>
      </c>
      <c r="AA140">
        <f t="shared" ref="AA140:AA203" ca="1" si="55">RAND()</f>
        <v>0.78236111867320535</v>
      </c>
      <c r="AB140">
        <f t="shared" ref="AB140:AB203" ca="1" si="56">IF(AA140&lt;EXP(-Z140),0,IF(AA140&lt;EXP(-Z140)*(1+Z140),1,IF(AA140&lt;EXP(-Z140)*(1+Z140+Z140^2/2),2,IF(AA140&lt;EXP(-Z140)*(1+Z140+Z140^2/2+Z140^3/6),3,4))))</f>
        <v>1</v>
      </c>
      <c r="AC140" s="47">
        <f t="shared" ref="AC140:AC203" ca="1" si="57">AB140*Y140</f>
        <v>46761.60054098515</v>
      </c>
      <c r="AD140">
        <f ca="1">Inputs!B16+(Inputs!D16-Inputs!B16)*BETAINV(RAND(),Model!H10,Model!I10)</f>
        <v>1.1253839887992556</v>
      </c>
      <c r="AE140">
        <f ca="1">Inputs!E16+(Inputs!G16-Inputs!E16)*BETAINV(RAND(),Model!J10,Model!K10)</f>
        <v>0.64232180166582986</v>
      </c>
      <c r="AF140">
        <f ca="1">(Inputs!H16+(Inputs!J16-Inputs!H16)*BETAINV(RAND(),Model!L10,Model!M10))*Inputs!$C$6</f>
        <v>101042.13246030838</v>
      </c>
      <c r="AG140">
        <f t="shared" ref="AG140:AG203" ca="1" si="58">AD140*AE140</f>
        <v>0.72285867125141601</v>
      </c>
      <c r="AH140">
        <f t="shared" ref="AH140:AH203" ca="1" si="59">RAND()</f>
        <v>0.48123040207268031</v>
      </c>
      <c r="AI140">
        <f t="shared" ref="AI140:AI203" ca="1" si="60">IF(AH140&lt;EXP(-AG140),0,IF(AH140&lt;EXP(-AG140)*(1+AG140),1,IF(AH140&lt;EXP(-AG140)*(1+AG140+AG140^2/2),2,IF(AH140&lt;EXP(-AG140)*(1+AG140+AG140^2/2+AG140^3/6),3,4))))</f>
        <v>0</v>
      </c>
      <c r="AJ140" s="47">
        <f t="shared" ref="AJ140:AJ203" ca="1" si="61">AI140*AF140</f>
        <v>0</v>
      </c>
      <c r="AK140">
        <f t="shared" ref="AK140:AK203" ca="1" si="62">H140+O140+V140+AC140+AJ140</f>
        <v>65526.529030265752</v>
      </c>
    </row>
    <row r="141" spans="2:37" x14ac:dyDescent="0.2">
      <c r="B141">
        <f ca="1">Inputs!B12+(Inputs!D12-Inputs!B12)*BETAINV(RAND(),Model!H6,Model!I6)</f>
        <v>2.6650058782622024</v>
      </c>
      <c r="C141">
        <f ca="1">Inputs!E12+(Inputs!G12-Inputs!E12)*BETAINV(RAND(),Model!J6,Model!K6)</f>
        <v>0.24762043915341186</v>
      </c>
      <c r="D141">
        <f ca="1">(Inputs!H12+(Inputs!J12-Inputs!H12)*BETAINV(RAND(),Model!L6,Model!M6))*Inputs!$C$6</f>
        <v>20581.041332971236</v>
      </c>
      <c r="E141">
        <f t="shared" ca="1" si="42"/>
        <v>0.65990992592171061</v>
      </c>
      <c r="F141">
        <f t="shared" ca="1" si="43"/>
        <v>0.85983175123141775</v>
      </c>
      <c r="G141">
        <f t="shared" ca="1" si="44"/>
        <v>2</v>
      </c>
      <c r="H141" s="47">
        <f t="shared" ca="1" si="45"/>
        <v>41162.082665942471</v>
      </c>
      <c r="I141">
        <f ca="1">Inputs!B13+(Inputs!D13-Inputs!B13)*BETAINV(RAND(),Model!H7,Model!I7)</f>
        <v>2.3902414942651751</v>
      </c>
      <c r="J141">
        <f ca="1">Inputs!E13+(Inputs!G13-Inputs!E13)*BETAINV(RAND(),Model!J7,Model!K7)</f>
        <v>0.41089084340868343</v>
      </c>
      <c r="K141">
        <f ca="1">(Inputs!H13+(Inputs!J13-Inputs!H13)*BETAINV(RAND(),Model!L7,Model!M7))*Inputs!$C$6</f>
        <v>77708.356822585352</v>
      </c>
      <c r="L141">
        <f t="shared" ca="1" si="46"/>
        <v>0.98212834352904954</v>
      </c>
      <c r="M141">
        <f t="shared" ca="1" si="47"/>
        <v>0.72222755274294559</v>
      </c>
      <c r="N141">
        <f t="shared" ca="1" si="48"/>
        <v>1</v>
      </c>
      <c r="O141" s="47">
        <f t="shared" ca="1" si="49"/>
        <v>77708.356822585352</v>
      </c>
      <c r="P141">
        <f ca="1">Inputs!B14+(Inputs!D14-Inputs!B14)*BETAINV(RAND(),Model!H8,Model!I8)</f>
        <v>0.23600644436603752</v>
      </c>
      <c r="Q141">
        <f ca="1">Inputs!E14+(Inputs!G14-Inputs!E14)*BETAINV(RAND(),Model!J8,Model!K8)</f>
        <v>0.66868737360927244</v>
      </c>
      <c r="R141">
        <f ca="1">(Inputs!H14+(Inputs!J14-Inputs!H14)*BETAINV(RAND(),Model!L8,Model!M8))*Inputs!$C$6</f>
        <v>320782.62837830425</v>
      </c>
      <c r="S141">
        <f t="shared" ca="1" si="50"/>
        <v>0.15781452943798849</v>
      </c>
      <c r="T141">
        <f t="shared" ca="1" si="51"/>
        <v>0.82280263057553826</v>
      </c>
      <c r="U141">
        <f t="shared" ca="1" si="52"/>
        <v>0</v>
      </c>
      <c r="V141" s="47">
        <f t="shared" ca="1" si="53"/>
        <v>0</v>
      </c>
      <c r="W141">
        <f ca="1">Inputs!B15+(Inputs!D15-Inputs!B15)*BETAINV(RAND(),Model!H9,Model!I9)</f>
        <v>1.0450184854197606</v>
      </c>
      <c r="X141">
        <f ca="1">Inputs!E15+(Inputs!G15-Inputs!E15)*BETAINV(RAND(),Model!J9,Model!K9)</f>
        <v>0.42386511819076345</v>
      </c>
      <c r="Y141">
        <f ca="1">(Inputs!H15+(Inputs!J15-Inputs!H15)*BETAINV(RAND(),Model!L9,Model!M9))*Inputs!$C$6</f>
        <v>13467.261569406646</v>
      </c>
      <c r="Z141">
        <f t="shared" ca="1" si="54"/>
        <v>0.44294688383397945</v>
      </c>
      <c r="AA141">
        <f t="shared" ca="1" si="55"/>
        <v>0.28017687466982122</v>
      </c>
      <c r="AB141">
        <f t="shared" ca="1" si="56"/>
        <v>0</v>
      </c>
      <c r="AC141" s="47">
        <f t="shared" ca="1" si="57"/>
        <v>0</v>
      </c>
      <c r="AD141">
        <f ca="1">Inputs!B16+(Inputs!D16-Inputs!B16)*BETAINV(RAND(),Model!H10,Model!I10)</f>
        <v>0.53213138256522208</v>
      </c>
      <c r="AE141">
        <f ca="1">Inputs!E16+(Inputs!G16-Inputs!E16)*BETAINV(RAND(),Model!J10,Model!K10)</f>
        <v>0.65087978931308177</v>
      </c>
      <c r="AF141">
        <f ca="1">(Inputs!H16+(Inputs!J16-Inputs!H16)*BETAINV(RAND(),Model!L10,Model!M10))*Inputs!$C$6</f>
        <v>58144.528288456248</v>
      </c>
      <c r="AG141">
        <f t="shared" ca="1" si="58"/>
        <v>0.34635356217093066</v>
      </c>
      <c r="AH141">
        <f t="shared" ca="1" si="59"/>
        <v>2.4417160703937402E-2</v>
      </c>
      <c r="AI141">
        <f t="shared" ca="1" si="60"/>
        <v>0</v>
      </c>
      <c r="AJ141" s="47">
        <f t="shared" ca="1" si="61"/>
        <v>0</v>
      </c>
      <c r="AK141">
        <f t="shared" ca="1" si="62"/>
        <v>118870.43948852783</v>
      </c>
    </row>
    <row r="142" spans="2:37" x14ac:dyDescent="0.2">
      <c r="B142">
        <f ca="1">Inputs!B12+(Inputs!D12-Inputs!B12)*BETAINV(RAND(),Model!H6,Model!I6)</f>
        <v>5.0664842925668667</v>
      </c>
      <c r="C142">
        <f ca="1">Inputs!E12+(Inputs!G12-Inputs!E12)*BETAINV(RAND(),Model!J6,Model!K6)</f>
        <v>0.27177266206656392</v>
      </c>
      <c r="D142">
        <f ca="1">(Inputs!H12+(Inputs!J12-Inputs!H12)*BETAINV(RAND(),Model!L6,Model!M6))*Inputs!$C$6</f>
        <v>34066.921605805437</v>
      </c>
      <c r="E142">
        <f t="shared" ca="1" si="42"/>
        <v>1.3769319235093291</v>
      </c>
      <c r="F142">
        <f t="shared" ca="1" si="43"/>
        <v>0.91146047458821244</v>
      </c>
      <c r="G142">
        <f t="shared" ca="1" si="44"/>
        <v>3</v>
      </c>
      <c r="H142" s="47">
        <f t="shared" ca="1" si="45"/>
        <v>102200.76481741632</v>
      </c>
      <c r="I142">
        <f ca="1">Inputs!B13+(Inputs!D13-Inputs!B13)*BETAINV(RAND(),Model!H7,Model!I7)</f>
        <v>1.0894086881946796</v>
      </c>
      <c r="J142">
        <f ca="1">Inputs!E13+(Inputs!G13-Inputs!E13)*BETAINV(RAND(),Model!J7,Model!K7)</f>
        <v>0.33080497017443433</v>
      </c>
      <c r="K142">
        <f ca="1">(Inputs!H13+(Inputs!J13-Inputs!H13)*BETAINV(RAND(),Model!L7,Model!M7))*Inputs!$C$6</f>
        <v>33037.166457188105</v>
      </c>
      <c r="L142">
        <f t="shared" ca="1" si="46"/>
        <v>0.3603818086060106</v>
      </c>
      <c r="M142">
        <f t="shared" ca="1" si="47"/>
        <v>0.27867116727610453</v>
      </c>
      <c r="N142">
        <f t="shared" ca="1" si="48"/>
        <v>0</v>
      </c>
      <c r="O142" s="47">
        <f t="shared" ca="1" si="49"/>
        <v>0</v>
      </c>
      <c r="P142">
        <f ca="1">Inputs!B14+(Inputs!D14-Inputs!B14)*BETAINV(RAND(),Model!H8,Model!I8)</f>
        <v>0.60746191103275837</v>
      </c>
      <c r="Q142">
        <f ca="1">Inputs!E14+(Inputs!G14-Inputs!E14)*BETAINV(RAND(),Model!J8,Model!K8)</f>
        <v>0.40685130426883498</v>
      </c>
      <c r="R142">
        <f ca="1">(Inputs!H14+(Inputs!J14-Inputs!H14)*BETAINV(RAND(),Model!L8,Model!M8))*Inputs!$C$6</f>
        <v>438524.91552618821</v>
      </c>
      <c r="S142">
        <f t="shared" ca="1" si="50"/>
        <v>0.24714667079731675</v>
      </c>
      <c r="T142">
        <f t="shared" ca="1" si="51"/>
        <v>0.41911228099246067</v>
      </c>
      <c r="U142">
        <f t="shared" ca="1" si="52"/>
        <v>0</v>
      </c>
      <c r="V142" s="47">
        <f t="shared" ca="1" si="53"/>
        <v>0</v>
      </c>
      <c r="W142">
        <f ca="1">Inputs!B15+(Inputs!D15-Inputs!B15)*BETAINV(RAND(),Model!H9,Model!I9)</f>
        <v>1.2734385623676117</v>
      </c>
      <c r="X142">
        <f ca="1">Inputs!E15+(Inputs!G15-Inputs!E15)*BETAINV(RAND(),Model!J9,Model!K9)</f>
        <v>0.38761624024727054</v>
      </c>
      <c r="Y142">
        <f ca="1">(Inputs!H15+(Inputs!J15-Inputs!H15)*BETAINV(RAND(),Model!L9,Model!M9))*Inputs!$C$6</f>
        <v>20179.713763783791</v>
      </c>
      <c r="Z142">
        <f t="shared" ca="1" si="54"/>
        <v>0.49360546773082298</v>
      </c>
      <c r="AA142">
        <f t="shared" ca="1" si="55"/>
        <v>0.24971449957003566</v>
      </c>
      <c r="AB142">
        <f t="shared" ca="1" si="56"/>
        <v>0</v>
      </c>
      <c r="AC142" s="47">
        <f t="shared" ca="1" si="57"/>
        <v>0</v>
      </c>
      <c r="AD142">
        <f ca="1">Inputs!B16+(Inputs!D16-Inputs!B16)*BETAINV(RAND(),Model!H10,Model!I10)</f>
        <v>0.41533431732319259</v>
      </c>
      <c r="AE142">
        <f ca="1">Inputs!E16+(Inputs!G16-Inputs!E16)*BETAINV(RAND(),Model!J10,Model!K10)</f>
        <v>0.56408510288385016</v>
      </c>
      <c r="AF142">
        <f ca="1">(Inputs!H16+(Inputs!J16-Inputs!H16)*BETAINV(RAND(),Model!L10,Model!M10))*Inputs!$C$6</f>
        <v>173803.98952490254</v>
      </c>
      <c r="AG142">
        <f t="shared" ca="1" si="58"/>
        <v>0.23428390111844677</v>
      </c>
      <c r="AH142">
        <f t="shared" ca="1" si="59"/>
        <v>0.90593340085310858</v>
      </c>
      <c r="AI142">
        <f t="shared" ca="1" si="60"/>
        <v>1</v>
      </c>
      <c r="AJ142" s="47">
        <f t="shared" ca="1" si="61"/>
        <v>173803.98952490254</v>
      </c>
      <c r="AK142">
        <f t="shared" ca="1" si="62"/>
        <v>276004.75434231886</v>
      </c>
    </row>
    <row r="143" spans="2:37" x14ac:dyDescent="0.2">
      <c r="B143">
        <f ca="1">Inputs!B12+(Inputs!D12-Inputs!B12)*BETAINV(RAND(),Model!H6,Model!I6)</f>
        <v>2.428682023005365</v>
      </c>
      <c r="C143">
        <f ca="1">Inputs!E12+(Inputs!G12-Inputs!E12)*BETAINV(RAND(),Model!J6,Model!K6)</f>
        <v>0.28170830678020259</v>
      </c>
      <c r="D143">
        <f ca="1">(Inputs!H12+(Inputs!J12-Inputs!H12)*BETAINV(RAND(),Model!L6,Model!M6))*Inputs!$C$6</f>
        <v>13118.21474936648</v>
      </c>
      <c r="E143">
        <f t="shared" ca="1" si="42"/>
        <v>0.68417990040835841</v>
      </c>
      <c r="F143">
        <f t="shared" ca="1" si="43"/>
        <v>0.17480464095798776</v>
      </c>
      <c r="G143">
        <f t="shared" ca="1" si="44"/>
        <v>0</v>
      </c>
      <c r="H143" s="47">
        <f t="shared" ca="1" si="45"/>
        <v>0</v>
      </c>
      <c r="I143">
        <f ca="1">Inputs!B13+(Inputs!D13-Inputs!B13)*BETAINV(RAND(),Model!H7,Model!I7)</f>
        <v>1.4387804460760354</v>
      </c>
      <c r="J143">
        <f ca="1">Inputs!E13+(Inputs!G13-Inputs!E13)*BETAINV(RAND(),Model!J7,Model!K7)</f>
        <v>0.31791171775217442</v>
      </c>
      <c r="K143">
        <f ca="1">(Inputs!H13+(Inputs!J13-Inputs!H13)*BETAINV(RAND(),Model!L7,Model!M7))*Inputs!$C$6</f>
        <v>39844.93410507607</v>
      </c>
      <c r="L143">
        <f t="shared" ca="1" si="46"/>
        <v>0.45740516308027218</v>
      </c>
      <c r="M143">
        <f t="shared" ca="1" si="47"/>
        <v>0.78565853144474573</v>
      </c>
      <c r="N143">
        <f t="shared" ca="1" si="48"/>
        <v>1</v>
      </c>
      <c r="O143" s="47">
        <f t="shared" ca="1" si="49"/>
        <v>39844.93410507607</v>
      </c>
      <c r="P143">
        <f ca="1">Inputs!B14+(Inputs!D14-Inputs!B14)*BETAINV(RAND(),Model!H8,Model!I8)</f>
        <v>0.29326772379112975</v>
      </c>
      <c r="Q143">
        <f ca="1">Inputs!E14+(Inputs!G14-Inputs!E14)*BETAINV(RAND(),Model!J8,Model!K8)</f>
        <v>0.43901110333039539</v>
      </c>
      <c r="R143">
        <f ca="1">(Inputs!H14+(Inputs!J14-Inputs!H14)*BETAINV(RAND(),Model!L8,Model!M8))*Inputs!$C$6</f>
        <v>327753.60640432214</v>
      </c>
      <c r="S143">
        <f t="shared" ca="1" si="50"/>
        <v>0.12874778699273751</v>
      </c>
      <c r="T143">
        <f t="shared" ca="1" si="51"/>
        <v>0.76435394654837785</v>
      </c>
      <c r="U143">
        <f t="shared" ca="1" si="52"/>
        <v>0</v>
      </c>
      <c r="V143" s="47">
        <f t="shared" ca="1" si="53"/>
        <v>0</v>
      </c>
      <c r="W143">
        <f ca="1">Inputs!B15+(Inputs!D15-Inputs!B15)*BETAINV(RAND(),Model!H9,Model!I9)</f>
        <v>0.96238549973323684</v>
      </c>
      <c r="X143">
        <f ca="1">Inputs!E15+(Inputs!G15-Inputs!E15)*BETAINV(RAND(),Model!J9,Model!K9)</f>
        <v>0.37849775072813052</v>
      </c>
      <c r="Y143">
        <f ca="1">(Inputs!H15+(Inputs!J15-Inputs!H15)*BETAINV(RAND(),Model!L9,Model!M9))*Inputs!$C$6</f>
        <v>27707.484588835934</v>
      </c>
      <c r="Z143">
        <f t="shared" ca="1" si="54"/>
        <v>0.36426074698239802</v>
      </c>
      <c r="AA143">
        <f t="shared" ca="1" si="55"/>
        <v>0.74058321434978591</v>
      </c>
      <c r="AB143">
        <f t="shared" ca="1" si="56"/>
        <v>1</v>
      </c>
      <c r="AC143" s="47">
        <f t="shared" ca="1" si="57"/>
        <v>27707.484588835934</v>
      </c>
      <c r="AD143">
        <f ca="1">Inputs!B16+(Inputs!D16-Inputs!B16)*BETAINV(RAND(),Model!H10,Model!I10)</f>
        <v>0.25062959262561946</v>
      </c>
      <c r="AE143">
        <f ca="1">Inputs!E16+(Inputs!G16-Inputs!E16)*BETAINV(RAND(),Model!J10,Model!K10)</f>
        <v>0.73317986221141429</v>
      </c>
      <c r="AF143">
        <f ca="1">(Inputs!H16+(Inputs!J16-Inputs!H16)*BETAINV(RAND(),Model!L10,Model!M10))*Inputs!$C$6</f>
        <v>85964.812785183763</v>
      </c>
      <c r="AG143">
        <f t="shared" ca="1" si="58"/>
        <v>0.18375657018735456</v>
      </c>
      <c r="AH143">
        <f t="shared" ca="1" si="59"/>
        <v>0.30769364080937245</v>
      </c>
      <c r="AI143">
        <f t="shared" ca="1" si="60"/>
        <v>0</v>
      </c>
      <c r="AJ143" s="47">
        <f t="shared" ca="1" si="61"/>
        <v>0</v>
      </c>
      <c r="AK143">
        <f t="shared" ca="1" si="62"/>
        <v>67552.418693912012</v>
      </c>
    </row>
    <row r="144" spans="2:37" x14ac:dyDescent="0.2">
      <c r="B144">
        <f ca="1">Inputs!B12+(Inputs!D12-Inputs!B12)*BETAINV(RAND(),Model!H6,Model!I6)</f>
        <v>4.5880634855318627</v>
      </c>
      <c r="C144">
        <f ca="1">Inputs!E12+(Inputs!G12-Inputs!E12)*BETAINV(RAND(),Model!J6,Model!K6)</f>
        <v>0.21792831688644282</v>
      </c>
      <c r="D144">
        <f ca="1">(Inputs!H12+(Inputs!J12-Inputs!H12)*BETAINV(RAND(),Model!L6,Model!M6))*Inputs!$C$6</f>
        <v>12491.085132779934</v>
      </c>
      <c r="E144">
        <f t="shared" ca="1" si="42"/>
        <v>0.99986895317010516</v>
      </c>
      <c r="F144">
        <f t="shared" ca="1" si="43"/>
        <v>0.85632037626033219</v>
      </c>
      <c r="G144">
        <f t="shared" ca="1" si="44"/>
        <v>2</v>
      </c>
      <c r="H144" s="47">
        <f t="shared" ca="1" si="45"/>
        <v>24982.170265559867</v>
      </c>
      <c r="I144">
        <f ca="1">Inputs!B13+(Inputs!D13-Inputs!B13)*BETAINV(RAND(),Model!H7,Model!I7)</f>
        <v>4.2905323674657438</v>
      </c>
      <c r="J144">
        <f ca="1">Inputs!E13+(Inputs!G13-Inputs!E13)*BETAINV(RAND(),Model!J7,Model!K7)</f>
        <v>0.35794833340234289</v>
      </c>
      <c r="K144">
        <f ca="1">(Inputs!H13+(Inputs!J13-Inputs!H13)*BETAINV(RAND(),Model!L7,Model!M7))*Inputs!$C$6</f>
        <v>56067.80077353926</v>
      </c>
      <c r="L144">
        <f t="shared" ca="1" si="46"/>
        <v>1.5357889103431717</v>
      </c>
      <c r="M144">
        <f t="shared" ca="1" si="47"/>
        <v>0.31283877263294602</v>
      </c>
      <c r="N144">
        <f t="shared" ca="1" si="48"/>
        <v>1</v>
      </c>
      <c r="O144" s="47">
        <f t="shared" ca="1" si="49"/>
        <v>56067.80077353926</v>
      </c>
      <c r="P144">
        <f ca="1">Inputs!B14+(Inputs!D14-Inputs!B14)*BETAINV(RAND(),Model!H8,Model!I8)</f>
        <v>0.28044579485741356</v>
      </c>
      <c r="Q144">
        <f ca="1">Inputs!E14+(Inputs!G14-Inputs!E14)*BETAINV(RAND(),Model!J8,Model!K8)</f>
        <v>0.69237339696791245</v>
      </c>
      <c r="R144">
        <f ca="1">(Inputs!H14+(Inputs!J14-Inputs!H14)*BETAINV(RAND(),Model!L8,Model!M8))*Inputs!$C$6</f>
        <v>409005.43318367127</v>
      </c>
      <c r="S144">
        <f t="shared" ca="1" si="50"/>
        <v>0.19417320765079374</v>
      </c>
      <c r="T144">
        <f t="shared" ca="1" si="51"/>
        <v>0.8010620152227832</v>
      </c>
      <c r="U144">
        <f t="shared" ca="1" si="52"/>
        <v>0</v>
      </c>
      <c r="V144" s="47">
        <f t="shared" ca="1" si="53"/>
        <v>0</v>
      </c>
      <c r="W144">
        <f ca="1">Inputs!B15+(Inputs!D15-Inputs!B15)*BETAINV(RAND(),Model!H9,Model!I9)</f>
        <v>0.61121085825478771</v>
      </c>
      <c r="X144">
        <f ca="1">Inputs!E15+(Inputs!G15-Inputs!E15)*BETAINV(RAND(),Model!J9,Model!K9)</f>
        <v>0.38462175826464551</v>
      </c>
      <c r="Y144">
        <f ca="1">(Inputs!H15+(Inputs!J15-Inputs!H15)*BETAINV(RAND(),Model!L9,Model!M9))*Inputs!$C$6</f>
        <v>38639.021504732496</v>
      </c>
      <c r="Z144">
        <f t="shared" ca="1" si="54"/>
        <v>0.23508499497239946</v>
      </c>
      <c r="AA144">
        <f t="shared" ca="1" si="55"/>
        <v>0.99812475844635185</v>
      </c>
      <c r="AB144">
        <f t="shared" ca="1" si="56"/>
        <v>2</v>
      </c>
      <c r="AC144" s="47">
        <f t="shared" ca="1" si="57"/>
        <v>77278.043009464993</v>
      </c>
      <c r="AD144">
        <f ca="1">Inputs!B16+(Inputs!D16-Inputs!B16)*BETAINV(RAND(),Model!H10,Model!I10)</f>
        <v>0.69248640655715854</v>
      </c>
      <c r="AE144">
        <f ca="1">Inputs!E16+(Inputs!G16-Inputs!E16)*BETAINV(RAND(),Model!J10,Model!K10)</f>
        <v>0.58851629424514873</v>
      </c>
      <c r="AF144">
        <f ca="1">(Inputs!H16+(Inputs!J16-Inputs!H16)*BETAINV(RAND(),Model!L10,Model!M10))*Inputs!$C$6</f>
        <v>123143.35848095788</v>
      </c>
      <c r="AG144">
        <f t="shared" ca="1" si="58"/>
        <v>0.4075395338021584</v>
      </c>
      <c r="AH144">
        <f t="shared" ca="1" si="59"/>
        <v>3.9903685191250871E-2</v>
      </c>
      <c r="AI144">
        <f t="shared" ca="1" si="60"/>
        <v>0</v>
      </c>
      <c r="AJ144" s="47">
        <f t="shared" ca="1" si="61"/>
        <v>0</v>
      </c>
      <c r="AK144">
        <f t="shared" ca="1" si="62"/>
        <v>158328.01404856413</v>
      </c>
    </row>
    <row r="145" spans="2:37" x14ac:dyDescent="0.2">
      <c r="B145">
        <f ca="1">Inputs!B12+(Inputs!D12-Inputs!B12)*BETAINV(RAND(),Model!H6,Model!I6)</f>
        <v>3.7568761360215439</v>
      </c>
      <c r="C145">
        <f ca="1">Inputs!E12+(Inputs!G12-Inputs!E12)*BETAINV(RAND(),Model!J6,Model!K6)</f>
        <v>0.47943525608216397</v>
      </c>
      <c r="D145">
        <f ca="1">(Inputs!H12+(Inputs!J12-Inputs!H12)*BETAINV(RAND(),Model!L6,Model!M6))*Inputs!$C$6</f>
        <v>33768.200688648125</v>
      </c>
      <c r="E145">
        <f t="shared" ca="1" si="42"/>
        <v>1.8011788723424595</v>
      </c>
      <c r="F145">
        <f t="shared" ca="1" si="43"/>
        <v>0.45559112497857523</v>
      </c>
      <c r="G145">
        <f t="shared" ca="1" si="44"/>
        <v>1</v>
      </c>
      <c r="H145" s="47">
        <f t="shared" ca="1" si="45"/>
        <v>33768.200688648125</v>
      </c>
      <c r="I145">
        <f ca="1">Inputs!B13+(Inputs!D13-Inputs!B13)*BETAINV(RAND(),Model!H7,Model!I7)</f>
        <v>2.4538190599713392</v>
      </c>
      <c r="J145">
        <f ca="1">Inputs!E13+(Inputs!G13-Inputs!E13)*BETAINV(RAND(),Model!J7,Model!K7)</f>
        <v>0.28527122098848989</v>
      </c>
      <c r="K145">
        <f ca="1">(Inputs!H13+(Inputs!J13-Inputs!H13)*BETAINV(RAND(),Model!L7,Model!M7))*Inputs!$C$6</f>
        <v>29122.360802887983</v>
      </c>
      <c r="L145">
        <f t="shared" ca="1" si="46"/>
        <v>0.70000395932285242</v>
      </c>
      <c r="M145">
        <f t="shared" ca="1" si="47"/>
        <v>4.1129392631292672E-2</v>
      </c>
      <c r="N145">
        <f t="shared" ca="1" si="48"/>
        <v>0</v>
      </c>
      <c r="O145" s="47">
        <f t="shared" ca="1" si="49"/>
        <v>0</v>
      </c>
      <c r="P145">
        <f ca="1">Inputs!B14+(Inputs!D14-Inputs!B14)*BETAINV(RAND(),Model!H8,Model!I8)</f>
        <v>0.30315317604228742</v>
      </c>
      <c r="Q145">
        <f ca="1">Inputs!E14+(Inputs!G14-Inputs!E14)*BETAINV(RAND(),Model!J8,Model!K8)</f>
        <v>0.60504668029170894</v>
      </c>
      <c r="R145">
        <f ca="1">(Inputs!H14+(Inputs!J14-Inputs!H14)*BETAINV(RAND(),Model!L8,Model!M8))*Inputs!$C$6</f>
        <v>242187.63617567249</v>
      </c>
      <c r="S145">
        <f t="shared" ca="1" si="50"/>
        <v>0.18342182278427405</v>
      </c>
      <c r="T145">
        <f t="shared" ca="1" si="51"/>
        <v>0.4191379432107134</v>
      </c>
      <c r="U145">
        <f t="shared" ca="1" si="52"/>
        <v>0</v>
      </c>
      <c r="V145" s="47">
        <f t="shared" ca="1" si="53"/>
        <v>0</v>
      </c>
      <c r="W145">
        <f ca="1">Inputs!B15+(Inputs!D15-Inputs!B15)*BETAINV(RAND(),Model!H9,Model!I9)</f>
        <v>1.7898290118252433</v>
      </c>
      <c r="X145">
        <f ca="1">Inputs!E15+(Inputs!G15-Inputs!E15)*BETAINV(RAND(),Model!J9,Model!K9)</f>
        <v>0.32383027616672272</v>
      </c>
      <c r="Y145">
        <f ca="1">(Inputs!H15+(Inputs!J15-Inputs!H15)*BETAINV(RAND(),Model!L9,Model!M9))*Inputs!$C$6</f>
        <v>42752.051953756578</v>
      </c>
      <c r="Z145">
        <f t="shared" ca="1" si="54"/>
        <v>0.57960082319058093</v>
      </c>
      <c r="AA145">
        <f t="shared" ca="1" si="55"/>
        <v>0.57305187861282891</v>
      </c>
      <c r="AB145">
        <f t="shared" ca="1" si="56"/>
        <v>1</v>
      </c>
      <c r="AC145" s="47">
        <f t="shared" ca="1" si="57"/>
        <v>42752.051953756578</v>
      </c>
      <c r="AD145">
        <f ca="1">Inputs!B16+(Inputs!D16-Inputs!B16)*BETAINV(RAND(),Model!H10,Model!I10)</f>
        <v>0.73018070323180084</v>
      </c>
      <c r="AE145">
        <f ca="1">Inputs!E16+(Inputs!G16-Inputs!E16)*BETAINV(RAND(),Model!J10,Model!K10)</f>
        <v>0.77945632030352519</v>
      </c>
      <c r="AF145">
        <f ca="1">(Inputs!H16+(Inputs!J16-Inputs!H16)*BETAINV(RAND(),Model!L10,Model!M10))*Inputs!$C$6</f>
        <v>67386.7900593222</v>
      </c>
      <c r="AG145">
        <f t="shared" ca="1" si="58"/>
        <v>0.56914396409769985</v>
      </c>
      <c r="AH145">
        <f t="shared" ca="1" si="59"/>
        <v>0.78606764735961032</v>
      </c>
      <c r="AI145">
        <f t="shared" ca="1" si="60"/>
        <v>1</v>
      </c>
      <c r="AJ145" s="47">
        <f t="shared" ca="1" si="61"/>
        <v>67386.7900593222</v>
      </c>
      <c r="AK145">
        <f t="shared" ca="1" si="62"/>
        <v>143907.0427017269</v>
      </c>
    </row>
    <row r="146" spans="2:37" x14ac:dyDescent="0.2">
      <c r="B146">
        <f ca="1">Inputs!B12+(Inputs!D12-Inputs!B12)*BETAINV(RAND(),Model!H6,Model!I6)</f>
        <v>5.4345935356873234</v>
      </c>
      <c r="C146">
        <f ca="1">Inputs!E12+(Inputs!G12-Inputs!E12)*BETAINV(RAND(),Model!J6,Model!K6)</f>
        <v>0.26826764166989397</v>
      </c>
      <c r="D146">
        <f ca="1">(Inputs!H12+(Inputs!J12-Inputs!H12)*BETAINV(RAND(),Model!L6,Model!M6))*Inputs!$C$6</f>
        <v>9122.7655825767797</v>
      </c>
      <c r="E146">
        <f t="shared" ca="1" si="42"/>
        <v>1.4579255912532891</v>
      </c>
      <c r="F146">
        <f t="shared" ca="1" si="43"/>
        <v>0.21725441558299718</v>
      </c>
      <c r="G146">
        <f t="shared" ca="1" si="44"/>
        <v>0</v>
      </c>
      <c r="H146" s="47">
        <f t="shared" ca="1" si="45"/>
        <v>0</v>
      </c>
      <c r="I146">
        <f ca="1">Inputs!B13+(Inputs!D13-Inputs!B13)*BETAINV(RAND(),Model!H7,Model!I7)</f>
        <v>1.8137331895745041</v>
      </c>
      <c r="J146">
        <f ca="1">Inputs!E13+(Inputs!G13-Inputs!E13)*BETAINV(RAND(),Model!J7,Model!K7)</f>
        <v>0.23287486820483752</v>
      </c>
      <c r="K146">
        <f ca="1">(Inputs!H13+(Inputs!J13-Inputs!H13)*BETAINV(RAND(),Model!L7,Model!M7))*Inputs!$C$6</f>
        <v>40007.984790758797</v>
      </c>
      <c r="L146">
        <f t="shared" ca="1" si="46"/>
        <v>0.42237287748090224</v>
      </c>
      <c r="M146">
        <f t="shared" ca="1" si="47"/>
        <v>0.24276473535178444</v>
      </c>
      <c r="N146">
        <f t="shared" ca="1" si="48"/>
        <v>0</v>
      </c>
      <c r="O146" s="47">
        <f t="shared" ca="1" si="49"/>
        <v>0</v>
      </c>
      <c r="P146">
        <f ca="1">Inputs!B14+(Inputs!D14-Inputs!B14)*BETAINV(RAND(),Model!H8,Model!I8)</f>
        <v>0.43596575785509106</v>
      </c>
      <c r="Q146">
        <f ca="1">Inputs!E14+(Inputs!G14-Inputs!E14)*BETAINV(RAND(),Model!J8,Model!K8)</f>
        <v>0.6602144764598753</v>
      </c>
      <c r="R146">
        <f ca="1">(Inputs!H14+(Inputs!J14-Inputs!H14)*BETAINV(RAND(),Model!L8,Model!M8))*Inputs!$C$6</f>
        <v>185429.52400140878</v>
      </c>
      <c r="S146">
        <f t="shared" ca="1" si="50"/>
        <v>0.28783090457673172</v>
      </c>
      <c r="T146">
        <f t="shared" ca="1" si="51"/>
        <v>0.44177113478600605</v>
      </c>
      <c r="U146">
        <f t="shared" ca="1" si="52"/>
        <v>0</v>
      </c>
      <c r="V146" s="47">
        <f t="shared" ca="1" si="53"/>
        <v>0</v>
      </c>
      <c r="W146">
        <f ca="1">Inputs!B15+(Inputs!D15-Inputs!B15)*BETAINV(RAND(),Model!H9,Model!I9)</f>
        <v>1.4316559764424204</v>
      </c>
      <c r="X146">
        <f ca="1">Inputs!E15+(Inputs!G15-Inputs!E15)*BETAINV(RAND(),Model!J9,Model!K9)</f>
        <v>0.44288441960923119</v>
      </c>
      <c r="Y146">
        <f ca="1">(Inputs!H15+(Inputs!J15-Inputs!H15)*BETAINV(RAND(),Model!L9,Model!M9))*Inputs!$C$6</f>
        <v>38769.203751167042</v>
      </c>
      <c r="Z146">
        <f t="shared" ca="1" si="54"/>
        <v>0.63405812620678847</v>
      </c>
      <c r="AA146">
        <f t="shared" ca="1" si="55"/>
        <v>0.80389725111418942</v>
      </c>
      <c r="AB146">
        <f t="shared" ca="1" si="56"/>
        <v>1</v>
      </c>
      <c r="AC146" s="47">
        <f t="shared" ca="1" si="57"/>
        <v>38769.203751167042</v>
      </c>
      <c r="AD146">
        <f ca="1">Inputs!B16+(Inputs!D16-Inputs!B16)*BETAINV(RAND(),Model!H10,Model!I10)</f>
        <v>1.2154991079296427</v>
      </c>
      <c r="AE146">
        <f ca="1">Inputs!E16+(Inputs!G16-Inputs!E16)*BETAINV(RAND(),Model!J10,Model!K10)</f>
        <v>0.58710838329809789</v>
      </c>
      <c r="AF146">
        <f ca="1">(Inputs!H16+(Inputs!J16-Inputs!H16)*BETAINV(RAND(),Model!L10,Model!M10))*Inputs!$C$6</f>
        <v>86974.898259662819</v>
      </c>
      <c r="AG146">
        <f t="shared" ca="1" si="58"/>
        <v>0.71362971615685267</v>
      </c>
      <c r="AH146">
        <f t="shared" ca="1" si="59"/>
        <v>0.49415276653153994</v>
      </c>
      <c r="AI146">
        <f t="shared" ca="1" si="60"/>
        <v>1</v>
      </c>
      <c r="AJ146" s="47">
        <f t="shared" ca="1" si="61"/>
        <v>86974.898259662819</v>
      </c>
      <c r="AK146">
        <f t="shared" ca="1" si="62"/>
        <v>125744.10201082987</v>
      </c>
    </row>
    <row r="147" spans="2:37" x14ac:dyDescent="0.2">
      <c r="B147">
        <f ca="1">Inputs!B12+(Inputs!D12-Inputs!B12)*BETAINV(RAND(),Model!H6,Model!I6)</f>
        <v>4.6026641978180773</v>
      </c>
      <c r="C147">
        <f ca="1">Inputs!E12+(Inputs!G12-Inputs!E12)*BETAINV(RAND(),Model!J6,Model!K6)</f>
        <v>0.41898246587184373</v>
      </c>
      <c r="D147">
        <f ca="1">(Inputs!H12+(Inputs!J12-Inputs!H12)*BETAINV(RAND(),Model!L6,Model!M6))*Inputs!$C$6</f>
        <v>29120.398347244634</v>
      </c>
      <c r="E147">
        <f t="shared" ca="1" si="42"/>
        <v>1.9284355951818697</v>
      </c>
      <c r="F147">
        <f t="shared" ca="1" si="43"/>
        <v>0.3646982491807661</v>
      </c>
      <c r="G147">
        <f t="shared" ca="1" si="44"/>
        <v>1</v>
      </c>
      <c r="H147" s="47">
        <f t="shared" ca="1" si="45"/>
        <v>29120.398347244634</v>
      </c>
      <c r="I147">
        <f ca="1">Inputs!B13+(Inputs!D13-Inputs!B13)*BETAINV(RAND(),Model!H7,Model!I7)</f>
        <v>3.1790412683347631</v>
      </c>
      <c r="J147">
        <f ca="1">Inputs!E13+(Inputs!G13-Inputs!E13)*BETAINV(RAND(),Model!J7,Model!K7)</f>
        <v>0.3695812700122717</v>
      </c>
      <c r="K147">
        <f ca="1">(Inputs!H13+(Inputs!J13-Inputs!H13)*BETAINV(RAND(),Model!L7,Model!M7))*Inputs!$C$6</f>
        <v>38559.195818881191</v>
      </c>
      <c r="L147">
        <f t="shared" ca="1" si="46"/>
        <v>1.1749141093725848</v>
      </c>
      <c r="M147">
        <f t="shared" ca="1" si="47"/>
        <v>0.48339804836957767</v>
      </c>
      <c r="N147">
        <f t="shared" ca="1" si="48"/>
        <v>1</v>
      </c>
      <c r="O147" s="47">
        <f t="shared" ca="1" si="49"/>
        <v>38559.195818881191</v>
      </c>
      <c r="P147">
        <f ca="1">Inputs!B14+(Inputs!D14-Inputs!B14)*BETAINV(RAND(),Model!H8,Model!I8)</f>
        <v>0.62003865856229778</v>
      </c>
      <c r="Q147">
        <f ca="1">Inputs!E14+(Inputs!G14-Inputs!E14)*BETAINV(RAND(),Model!J8,Model!K8)</f>
        <v>0.63324843616122062</v>
      </c>
      <c r="R147">
        <f ca="1">(Inputs!H14+(Inputs!J14-Inputs!H14)*BETAINV(RAND(),Model!L8,Model!M8))*Inputs!$C$6</f>
        <v>412698.55431807536</v>
      </c>
      <c r="S147">
        <f t="shared" ca="1" si="50"/>
        <v>0.39263851089407609</v>
      </c>
      <c r="T147">
        <f t="shared" ca="1" si="51"/>
        <v>0.70268181079925773</v>
      </c>
      <c r="U147">
        <f t="shared" ca="1" si="52"/>
        <v>1</v>
      </c>
      <c r="V147" s="47">
        <f t="shared" ca="1" si="53"/>
        <v>412698.55431807536</v>
      </c>
      <c r="W147">
        <f ca="1">Inputs!B15+(Inputs!D15-Inputs!B15)*BETAINV(RAND(),Model!H9,Model!I9)</f>
        <v>0.98872966071600454</v>
      </c>
      <c r="X147">
        <f ca="1">Inputs!E15+(Inputs!G15-Inputs!E15)*BETAINV(RAND(),Model!J9,Model!K9)</f>
        <v>0.29795038281199082</v>
      </c>
      <c r="Y147">
        <f ca="1">(Inputs!H15+(Inputs!J15-Inputs!H15)*BETAINV(RAND(),Model!L9,Model!M9))*Inputs!$C$6</f>
        <v>62715.436925040201</v>
      </c>
      <c r="Z147">
        <f t="shared" ca="1" si="54"/>
        <v>0.29459238090790335</v>
      </c>
      <c r="AA147">
        <f t="shared" ca="1" si="55"/>
        <v>0.59029922609925334</v>
      </c>
      <c r="AB147">
        <f t="shared" ca="1" si="56"/>
        <v>0</v>
      </c>
      <c r="AC147" s="47">
        <f t="shared" ca="1" si="57"/>
        <v>0</v>
      </c>
      <c r="AD147">
        <f ca="1">Inputs!B16+(Inputs!D16-Inputs!B16)*BETAINV(RAND(),Model!H10,Model!I10)</f>
        <v>0.93523116764478398</v>
      </c>
      <c r="AE147">
        <f ca="1">Inputs!E16+(Inputs!G16-Inputs!E16)*BETAINV(RAND(),Model!J10,Model!K10)</f>
        <v>0.61294201286289685</v>
      </c>
      <c r="AF147">
        <f ca="1">(Inputs!H16+(Inputs!J16-Inputs!H16)*BETAINV(RAND(),Model!L10,Model!M10))*Inputs!$C$6</f>
        <v>53401.157149854269</v>
      </c>
      <c r="AG147">
        <f t="shared" ca="1" si="58"/>
        <v>0.57324247438831122</v>
      </c>
      <c r="AH147">
        <f t="shared" ca="1" si="59"/>
        <v>0.11289002630379219</v>
      </c>
      <c r="AI147">
        <f t="shared" ca="1" si="60"/>
        <v>0</v>
      </c>
      <c r="AJ147" s="47">
        <f t="shared" ca="1" si="61"/>
        <v>0</v>
      </c>
      <c r="AK147">
        <f t="shared" ca="1" si="62"/>
        <v>480378.14848420117</v>
      </c>
    </row>
    <row r="148" spans="2:37" x14ac:dyDescent="0.2">
      <c r="B148">
        <f ca="1">Inputs!B12+(Inputs!D12-Inputs!B12)*BETAINV(RAND(),Model!H6,Model!I6)</f>
        <v>6.2156842719746086</v>
      </c>
      <c r="C148">
        <f ca="1">Inputs!E12+(Inputs!G12-Inputs!E12)*BETAINV(RAND(),Model!J6,Model!K6)</f>
        <v>0.15984225573920499</v>
      </c>
      <c r="D148">
        <f ca="1">(Inputs!H12+(Inputs!J12-Inputs!H12)*BETAINV(RAND(),Model!L6,Model!M6))*Inputs!$C$6</f>
        <v>10773.38761881987</v>
      </c>
      <c r="E148">
        <f t="shared" ca="1" si="42"/>
        <v>0.9935289949951196</v>
      </c>
      <c r="F148">
        <f t="shared" ca="1" si="43"/>
        <v>0.43960738087221407</v>
      </c>
      <c r="G148">
        <f t="shared" ca="1" si="44"/>
        <v>1</v>
      </c>
      <c r="H148" s="47">
        <f t="shared" ca="1" si="45"/>
        <v>10773.38761881987</v>
      </c>
      <c r="I148">
        <f ca="1">Inputs!B13+(Inputs!D13-Inputs!B13)*BETAINV(RAND(),Model!H7,Model!I7)</f>
        <v>2.6311336903322413</v>
      </c>
      <c r="J148">
        <f ca="1">Inputs!E13+(Inputs!G13-Inputs!E13)*BETAINV(RAND(),Model!J7,Model!K7)</f>
        <v>0.33463462556865342</v>
      </c>
      <c r="K148">
        <f ca="1">(Inputs!H13+(Inputs!J13-Inputs!H13)*BETAINV(RAND(),Model!L7,Model!M7))*Inputs!$C$6</f>
        <v>8460.1656472848372</v>
      </c>
      <c r="L148">
        <f t="shared" ca="1" si="46"/>
        <v>0.88046843728539892</v>
      </c>
      <c r="M148">
        <f t="shared" ca="1" si="47"/>
        <v>0.82322215256217179</v>
      </c>
      <c r="N148">
        <f t="shared" ca="1" si="48"/>
        <v>2</v>
      </c>
      <c r="O148" s="47">
        <f t="shared" ca="1" si="49"/>
        <v>16920.331294569674</v>
      </c>
      <c r="P148">
        <f ca="1">Inputs!B14+(Inputs!D14-Inputs!B14)*BETAINV(RAND(),Model!H8,Model!I8)</f>
        <v>0.11423388863238641</v>
      </c>
      <c r="Q148">
        <f ca="1">Inputs!E14+(Inputs!G14-Inputs!E14)*BETAINV(RAND(),Model!J8,Model!K8)</f>
        <v>0.63291307968833754</v>
      </c>
      <c r="R148">
        <f ca="1">(Inputs!H14+(Inputs!J14-Inputs!H14)*BETAINV(RAND(),Model!L8,Model!M8))*Inputs!$C$6</f>
        <v>380088.04539880727</v>
      </c>
      <c r="S148">
        <f t="shared" ca="1" si="50"/>
        <v>7.2300122259098251E-2</v>
      </c>
      <c r="T148">
        <f t="shared" ca="1" si="51"/>
        <v>0.76679390553526505</v>
      </c>
      <c r="U148">
        <f t="shared" ca="1" si="52"/>
        <v>0</v>
      </c>
      <c r="V148" s="47">
        <f t="shared" ca="1" si="53"/>
        <v>0</v>
      </c>
      <c r="W148">
        <f ca="1">Inputs!B15+(Inputs!D15-Inputs!B15)*BETAINV(RAND(),Model!H9,Model!I9)</f>
        <v>1.3373184246061212</v>
      </c>
      <c r="X148">
        <f ca="1">Inputs!E15+(Inputs!G15-Inputs!E15)*BETAINV(RAND(),Model!J9,Model!K9)</f>
        <v>0.26870387313902</v>
      </c>
      <c r="Y148">
        <f ca="1">(Inputs!H15+(Inputs!J15-Inputs!H15)*BETAINV(RAND(),Model!L9,Model!M9))*Inputs!$C$6</f>
        <v>40397.811718809418</v>
      </c>
      <c r="Z148">
        <f t="shared" ca="1" si="54"/>
        <v>0.35934264031183727</v>
      </c>
      <c r="AA148">
        <f t="shared" ca="1" si="55"/>
        <v>6.4037938241417125E-2</v>
      </c>
      <c r="AB148">
        <f t="shared" ca="1" si="56"/>
        <v>0</v>
      </c>
      <c r="AC148" s="47">
        <f t="shared" ca="1" si="57"/>
        <v>0</v>
      </c>
      <c r="AD148">
        <f ca="1">Inputs!B16+(Inputs!D16-Inputs!B16)*BETAINV(RAND(),Model!H10,Model!I10)</f>
        <v>0.53728724836184893</v>
      </c>
      <c r="AE148">
        <f ca="1">Inputs!E16+(Inputs!G16-Inputs!E16)*BETAINV(RAND(),Model!J10,Model!K10)</f>
        <v>0.49801540180062132</v>
      </c>
      <c r="AF148">
        <f ca="1">(Inputs!H16+(Inputs!J16-Inputs!H16)*BETAINV(RAND(),Model!L10,Model!M10))*Inputs!$C$6</f>
        <v>113981.95265075269</v>
      </c>
      <c r="AG148">
        <f t="shared" ca="1" si="58"/>
        <v>0.26757732487527641</v>
      </c>
      <c r="AH148">
        <f t="shared" ca="1" si="59"/>
        <v>0.79386138077609514</v>
      </c>
      <c r="AI148">
        <f t="shared" ca="1" si="60"/>
        <v>1</v>
      </c>
      <c r="AJ148" s="47">
        <f t="shared" ca="1" si="61"/>
        <v>113981.95265075269</v>
      </c>
      <c r="AK148">
        <f t="shared" ca="1" si="62"/>
        <v>141675.67156414222</v>
      </c>
    </row>
    <row r="149" spans="2:37" x14ac:dyDescent="0.2">
      <c r="B149">
        <f ca="1">Inputs!B12+(Inputs!D12-Inputs!B12)*BETAINV(RAND(),Model!H6,Model!I6)</f>
        <v>3.2765918081143788</v>
      </c>
      <c r="C149">
        <f ca="1">Inputs!E12+(Inputs!G12-Inputs!E12)*BETAINV(RAND(),Model!J6,Model!K6)</f>
        <v>0.27116721368836716</v>
      </c>
      <c r="D149">
        <f ca="1">(Inputs!H12+(Inputs!J12-Inputs!H12)*BETAINV(RAND(),Model!L6,Model!M6))*Inputs!$C$6</f>
        <v>12910.896984829562</v>
      </c>
      <c r="E149">
        <f t="shared" ca="1" si="42"/>
        <v>0.88850427100050511</v>
      </c>
      <c r="F149">
        <f t="shared" ca="1" si="43"/>
        <v>0.65202445940178511</v>
      </c>
      <c r="G149">
        <f t="shared" ca="1" si="44"/>
        <v>1</v>
      </c>
      <c r="H149" s="47">
        <f t="shared" ca="1" si="45"/>
        <v>12910.896984829562</v>
      </c>
      <c r="I149">
        <f ca="1">Inputs!B13+(Inputs!D13-Inputs!B13)*BETAINV(RAND(),Model!H7,Model!I7)</f>
        <v>1.039954321403092</v>
      </c>
      <c r="J149">
        <f ca="1">Inputs!E13+(Inputs!G13-Inputs!E13)*BETAINV(RAND(),Model!J7,Model!K7)</f>
        <v>0.29614300956819367</v>
      </c>
      <c r="K149">
        <f ca="1">(Inputs!H13+(Inputs!J13-Inputs!H13)*BETAINV(RAND(),Model!L7,Model!M7))*Inputs!$C$6</f>
        <v>57951.62481999139</v>
      </c>
      <c r="L149">
        <f t="shared" ca="1" si="46"/>
        <v>0.30797520255376021</v>
      </c>
      <c r="M149">
        <f t="shared" ca="1" si="47"/>
        <v>0.21660026296800494</v>
      </c>
      <c r="N149">
        <f t="shared" ca="1" si="48"/>
        <v>0</v>
      </c>
      <c r="O149" s="47">
        <f t="shared" ca="1" si="49"/>
        <v>0</v>
      </c>
      <c r="P149">
        <f ca="1">Inputs!B14+(Inputs!D14-Inputs!B14)*BETAINV(RAND(),Model!H8,Model!I8)</f>
        <v>0.38710713318882695</v>
      </c>
      <c r="Q149">
        <f ca="1">Inputs!E14+(Inputs!G14-Inputs!E14)*BETAINV(RAND(),Model!J8,Model!K8)</f>
        <v>0.69132196117214129</v>
      </c>
      <c r="R149">
        <f ca="1">(Inputs!H14+(Inputs!J14-Inputs!H14)*BETAINV(RAND(),Model!L8,Model!M8))*Inputs!$C$6</f>
        <v>413524.4429075091</v>
      </c>
      <c r="S149">
        <f t="shared" ca="1" si="50"/>
        <v>0.26761566249982516</v>
      </c>
      <c r="T149">
        <f t="shared" ca="1" si="51"/>
        <v>0.82988548397153283</v>
      </c>
      <c r="U149">
        <f t="shared" ca="1" si="52"/>
        <v>1</v>
      </c>
      <c r="V149" s="47">
        <f t="shared" ca="1" si="53"/>
        <v>413524.4429075091</v>
      </c>
      <c r="W149">
        <f ca="1">Inputs!B15+(Inputs!D15-Inputs!B15)*BETAINV(RAND(),Model!H9,Model!I9)</f>
        <v>0.60074318929428627</v>
      </c>
      <c r="X149">
        <f ca="1">Inputs!E15+(Inputs!G15-Inputs!E15)*BETAINV(RAND(),Model!J9,Model!K9)</f>
        <v>0.43063144456226621</v>
      </c>
      <c r="Y149">
        <f ca="1">(Inputs!H15+(Inputs!J15-Inputs!H15)*BETAINV(RAND(),Model!L9,Model!M9))*Inputs!$C$6</f>
        <v>30268.441903707389</v>
      </c>
      <c r="Z149">
        <f t="shared" ca="1" si="54"/>
        <v>0.25869890741674145</v>
      </c>
      <c r="AA149">
        <f t="shared" ca="1" si="55"/>
        <v>0.37907761770160286</v>
      </c>
      <c r="AB149">
        <f t="shared" ca="1" si="56"/>
        <v>0</v>
      </c>
      <c r="AC149" s="47">
        <f t="shared" ca="1" si="57"/>
        <v>0</v>
      </c>
      <c r="AD149">
        <f ca="1">Inputs!B16+(Inputs!D16-Inputs!B16)*BETAINV(RAND(),Model!H10,Model!I10)</f>
        <v>0.51652954646314586</v>
      </c>
      <c r="AE149">
        <f ca="1">Inputs!E16+(Inputs!G16-Inputs!E16)*BETAINV(RAND(),Model!J10,Model!K10)</f>
        <v>0.75566100583501705</v>
      </c>
      <c r="AF149">
        <f ca="1">(Inputs!H16+(Inputs!J16-Inputs!H16)*BETAINV(RAND(),Model!L10,Model!M10))*Inputs!$C$6</f>
        <v>140214.68343084102</v>
      </c>
      <c r="AG149">
        <f t="shared" ca="1" si="58"/>
        <v>0.39032123662384599</v>
      </c>
      <c r="AH149">
        <f t="shared" ca="1" si="59"/>
        <v>0.688995414194992</v>
      </c>
      <c r="AI149">
        <f t="shared" ca="1" si="60"/>
        <v>1</v>
      </c>
      <c r="AJ149" s="47">
        <f t="shared" ca="1" si="61"/>
        <v>140214.68343084102</v>
      </c>
      <c r="AK149">
        <f t="shared" ca="1" si="62"/>
        <v>566650.02332317969</v>
      </c>
    </row>
    <row r="150" spans="2:37" x14ac:dyDescent="0.2">
      <c r="B150">
        <f ca="1">Inputs!B12+(Inputs!D12-Inputs!B12)*BETAINV(RAND(),Model!H6,Model!I6)</f>
        <v>4.9435814493184527</v>
      </c>
      <c r="C150">
        <f ca="1">Inputs!E12+(Inputs!G12-Inputs!E12)*BETAINV(RAND(),Model!J6,Model!K6)</f>
        <v>0.45993692399665265</v>
      </c>
      <c r="D150">
        <f ca="1">(Inputs!H12+(Inputs!J12-Inputs!H12)*BETAINV(RAND(),Model!L6,Model!M6))*Inputs!$C$6</f>
        <v>20519.638185975815</v>
      </c>
      <c r="E150">
        <f t="shared" ca="1" si="42"/>
        <v>2.2737356453264432</v>
      </c>
      <c r="F150">
        <f t="shared" ca="1" si="43"/>
        <v>0.94975118802793468</v>
      </c>
      <c r="G150">
        <f t="shared" ca="1" si="44"/>
        <v>4</v>
      </c>
      <c r="H150" s="47">
        <f t="shared" ca="1" si="45"/>
        <v>82078.552743903259</v>
      </c>
      <c r="I150">
        <f ca="1">Inputs!B13+(Inputs!D13-Inputs!B13)*BETAINV(RAND(),Model!H7,Model!I7)</f>
        <v>2.318890518027569</v>
      </c>
      <c r="J150">
        <f ca="1">Inputs!E13+(Inputs!G13-Inputs!E13)*BETAINV(RAND(),Model!J7,Model!K7)</f>
        <v>0.29196949681615625</v>
      </c>
      <c r="K150">
        <f ca="1">(Inputs!H13+(Inputs!J13-Inputs!H13)*BETAINV(RAND(),Model!L7,Model!M7))*Inputs!$C$6</f>
        <v>25253.087283506364</v>
      </c>
      <c r="L150">
        <f t="shared" ca="1" si="46"/>
        <v>0.67704529772026523</v>
      </c>
      <c r="M150">
        <f t="shared" ca="1" si="47"/>
        <v>0.77245835506965299</v>
      </c>
      <c r="N150">
        <f t="shared" ca="1" si="48"/>
        <v>1</v>
      </c>
      <c r="O150" s="47">
        <f t="shared" ca="1" si="49"/>
        <v>25253.087283506364</v>
      </c>
      <c r="P150">
        <f ca="1">Inputs!B14+(Inputs!D14-Inputs!B14)*BETAINV(RAND(),Model!H8,Model!I8)</f>
        <v>0.44822265315953369</v>
      </c>
      <c r="Q150">
        <f ca="1">Inputs!E14+(Inputs!G14-Inputs!E14)*BETAINV(RAND(),Model!J8,Model!K8)</f>
        <v>0.68609124301347324</v>
      </c>
      <c r="R150">
        <f ca="1">(Inputs!H14+(Inputs!J14-Inputs!H14)*BETAINV(RAND(),Model!L8,Model!M8))*Inputs!$C$6</f>
        <v>537616.56085972243</v>
      </c>
      <c r="S150">
        <f t="shared" ca="1" si="50"/>
        <v>0.30752163725302134</v>
      </c>
      <c r="T150">
        <f t="shared" ca="1" si="51"/>
        <v>0.28494907914117218</v>
      </c>
      <c r="U150">
        <f t="shared" ca="1" si="52"/>
        <v>0</v>
      </c>
      <c r="V150" s="47">
        <f t="shared" ca="1" si="53"/>
        <v>0</v>
      </c>
      <c r="W150">
        <f ca="1">Inputs!B15+(Inputs!D15-Inputs!B15)*BETAINV(RAND(),Model!H9,Model!I9)</f>
        <v>1.0874036050126346</v>
      </c>
      <c r="X150">
        <f ca="1">Inputs!E15+(Inputs!G15-Inputs!E15)*BETAINV(RAND(),Model!J9,Model!K9)</f>
        <v>0.49128697361581897</v>
      </c>
      <c r="Y150">
        <f ca="1">(Inputs!H15+(Inputs!J15-Inputs!H15)*BETAINV(RAND(),Model!L9,Model!M9))*Inputs!$C$6</f>
        <v>66986.599923772432</v>
      </c>
      <c r="Z150">
        <f t="shared" ca="1" si="54"/>
        <v>0.5342272262055886</v>
      </c>
      <c r="AA150">
        <f t="shared" ca="1" si="55"/>
        <v>0.85188645221684145</v>
      </c>
      <c r="AB150">
        <f t="shared" ca="1" si="56"/>
        <v>1</v>
      </c>
      <c r="AC150" s="47">
        <f t="shared" ca="1" si="57"/>
        <v>66986.599923772432</v>
      </c>
      <c r="AD150">
        <f ca="1">Inputs!B16+(Inputs!D16-Inputs!B16)*BETAINV(RAND(),Model!H10,Model!I10)</f>
        <v>0.32491952489777759</v>
      </c>
      <c r="AE150">
        <f ca="1">Inputs!E16+(Inputs!G16-Inputs!E16)*BETAINV(RAND(),Model!J10,Model!K10)</f>
        <v>0.67464182671603079</v>
      </c>
      <c r="AF150">
        <f ca="1">(Inputs!H16+(Inputs!J16-Inputs!H16)*BETAINV(RAND(),Model!L10,Model!M10))*Inputs!$C$6</f>
        <v>54467.762184080813</v>
      </c>
      <c r="AG150">
        <f t="shared" ca="1" si="58"/>
        <v>0.21920430181274153</v>
      </c>
      <c r="AH150">
        <f t="shared" ca="1" si="59"/>
        <v>0.65350250729060355</v>
      </c>
      <c r="AI150">
        <f t="shared" ca="1" si="60"/>
        <v>0</v>
      </c>
      <c r="AJ150" s="47">
        <f t="shared" ca="1" si="61"/>
        <v>0</v>
      </c>
      <c r="AK150">
        <f t="shared" ca="1" si="62"/>
        <v>174318.23995118204</v>
      </c>
    </row>
    <row r="151" spans="2:37" x14ac:dyDescent="0.2">
      <c r="B151">
        <f ca="1">Inputs!B12+(Inputs!D12-Inputs!B12)*BETAINV(RAND(),Model!H6,Model!I6)</f>
        <v>2.699676398674649</v>
      </c>
      <c r="C151">
        <f ca="1">Inputs!E12+(Inputs!G12-Inputs!E12)*BETAINV(RAND(),Model!J6,Model!K6)</f>
        <v>0.37062875668149575</v>
      </c>
      <c r="D151">
        <f ca="1">(Inputs!H12+(Inputs!J12-Inputs!H12)*BETAINV(RAND(),Model!L6,Model!M6))*Inputs!$C$6</f>
        <v>35599.566401930955</v>
      </c>
      <c r="E151">
        <f t="shared" ca="1" si="42"/>
        <v>1.0005777070831632</v>
      </c>
      <c r="F151">
        <f t="shared" ca="1" si="43"/>
        <v>0.60180672514084432</v>
      </c>
      <c r="G151">
        <f t="shared" ca="1" si="44"/>
        <v>1</v>
      </c>
      <c r="H151" s="47">
        <f t="shared" ca="1" si="45"/>
        <v>35599.566401930955</v>
      </c>
      <c r="I151">
        <f ca="1">Inputs!B13+(Inputs!D13-Inputs!B13)*BETAINV(RAND(),Model!H7,Model!I7)</f>
        <v>2.8520041121932502</v>
      </c>
      <c r="J151">
        <f ca="1">Inputs!E13+(Inputs!G13-Inputs!E13)*BETAINV(RAND(),Model!J7,Model!K7)</f>
        <v>0.26558947728031368</v>
      </c>
      <c r="K151">
        <f ca="1">(Inputs!H13+(Inputs!J13-Inputs!H13)*BETAINV(RAND(),Model!L7,Model!M7))*Inputs!$C$6</f>
        <v>59267.457172497598</v>
      </c>
      <c r="L151">
        <f t="shared" ca="1" si="46"/>
        <v>0.75746228135871041</v>
      </c>
      <c r="M151">
        <f t="shared" ca="1" si="47"/>
        <v>4.7762232755197198E-2</v>
      </c>
      <c r="N151">
        <f t="shared" ca="1" si="48"/>
        <v>0</v>
      </c>
      <c r="O151" s="47">
        <f t="shared" ca="1" si="49"/>
        <v>0</v>
      </c>
      <c r="P151">
        <f ca="1">Inputs!B14+(Inputs!D14-Inputs!B14)*BETAINV(RAND(),Model!H8,Model!I8)</f>
        <v>0.30219291459279796</v>
      </c>
      <c r="Q151">
        <f ca="1">Inputs!E14+(Inputs!G14-Inputs!E14)*BETAINV(RAND(),Model!J8,Model!K8)</f>
        <v>0.67589687790281761</v>
      </c>
      <c r="R151">
        <f ca="1">(Inputs!H14+(Inputs!J14-Inputs!H14)*BETAINV(RAND(),Model!L8,Model!M8))*Inputs!$C$6</f>
        <v>384092.80867215409</v>
      </c>
      <c r="S151">
        <f t="shared" ca="1" si="50"/>
        <v>0.20425124749762494</v>
      </c>
      <c r="T151">
        <f t="shared" ca="1" si="51"/>
        <v>0.46877351609203799</v>
      </c>
      <c r="U151">
        <f t="shared" ca="1" si="52"/>
        <v>0</v>
      </c>
      <c r="V151" s="47">
        <f t="shared" ca="1" si="53"/>
        <v>0</v>
      </c>
      <c r="W151">
        <f ca="1">Inputs!B15+(Inputs!D15-Inputs!B15)*BETAINV(RAND(),Model!H9,Model!I9)</f>
        <v>1.504805359576868</v>
      </c>
      <c r="X151">
        <f ca="1">Inputs!E15+(Inputs!G15-Inputs!E15)*BETAINV(RAND(),Model!J9,Model!K9)</f>
        <v>0.41644303139041461</v>
      </c>
      <c r="Y151">
        <f ca="1">(Inputs!H15+(Inputs!J15-Inputs!H15)*BETAINV(RAND(),Model!L9,Model!M9))*Inputs!$C$6</f>
        <v>47345.288987048101</v>
      </c>
      <c r="Z151">
        <f t="shared" ca="1" si="54"/>
        <v>0.62666570559473378</v>
      </c>
      <c r="AA151">
        <f t="shared" ca="1" si="55"/>
        <v>0.28148085032954773</v>
      </c>
      <c r="AB151">
        <f t="shared" ca="1" si="56"/>
        <v>0</v>
      </c>
      <c r="AC151" s="47">
        <f t="shared" ca="1" si="57"/>
        <v>0</v>
      </c>
      <c r="AD151">
        <f ca="1">Inputs!B16+(Inputs!D16-Inputs!B16)*BETAINV(RAND(),Model!H10,Model!I10)</f>
        <v>0.55337113003073091</v>
      </c>
      <c r="AE151">
        <f ca="1">Inputs!E16+(Inputs!G16-Inputs!E16)*BETAINV(RAND(),Model!J10,Model!K10)</f>
        <v>0.69922132082456545</v>
      </c>
      <c r="AF151">
        <f ca="1">(Inputs!H16+(Inputs!J16-Inputs!H16)*BETAINV(RAND(),Model!L10,Model!M10))*Inputs!$C$6</f>
        <v>133082.54954094</v>
      </c>
      <c r="AG151">
        <f t="shared" ca="1" si="58"/>
        <v>0.38692889244627005</v>
      </c>
      <c r="AH151">
        <f t="shared" ca="1" si="59"/>
        <v>0.72561012538516134</v>
      </c>
      <c r="AI151">
        <f t="shared" ca="1" si="60"/>
        <v>1</v>
      </c>
      <c r="AJ151" s="47">
        <f t="shared" ca="1" si="61"/>
        <v>133082.54954094</v>
      </c>
      <c r="AK151">
        <f t="shared" ca="1" si="62"/>
        <v>168682.11594287097</v>
      </c>
    </row>
    <row r="152" spans="2:37" x14ac:dyDescent="0.2">
      <c r="B152">
        <f ca="1">Inputs!B12+(Inputs!D12-Inputs!B12)*BETAINV(RAND(),Model!H6,Model!I6)</f>
        <v>4.2239916631304331</v>
      </c>
      <c r="C152">
        <f ca="1">Inputs!E12+(Inputs!G12-Inputs!E12)*BETAINV(RAND(),Model!J6,Model!K6)</f>
        <v>0.28948483675281972</v>
      </c>
      <c r="D152">
        <f ca="1">(Inputs!H12+(Inputs!J12-Inputs!H12)*BETAINV(RAND(),Model!L6,Model!M6))*Inputs!$C$6</f>
        <v>43878.179944995063</v>
      </c>
      <c r="E152">
        <f t="shared" ca="1" si="42"/>
        <v>1.2227815370465849</v>
      </c>
      <c r="F152">
        <f t="shared" ca="1" si="43"/>
        <v>0.367788968050347</v>
      </c>
      <c r="G152">
        <f t="shared" ca="1" si="44"/>
        <v>1</v>
      </c>
      <c r="H152" s="47">
        <f t="shared" ca="1" si="45"/>
        <v>43878.179944995063</v>
      </c>
      <c r="I152">
        <f ca="1">Inputs!B13+(Inputs!D13-Inputs!B13)*BETAINV(RAND(),Model!H7,Model!I7)</f>
        <v>2.2271299989378237</v>
      </c>
      <c r="J152">
        <f ca="1">Inputs!E13+(Inputs!G13-Inputs!E13)*BETAINV(RAND(),Model!J7,Model!K7)</f>
        <v>0.16867702661865344</v>
      </c>
      <c r="K152">
        <f ca="1">(Inputs!H13+(Inputs!J13-Inputs!H13)*BETAINV(RAND(),Model!L7,Model!M7))*Inputs!$C$6</f>
        <v>40515.153013002448</v>
      </c>
      <c r="L152">
        <f t="shared" ca="1" si="46"/>
        <v>0.3756656661140369</v>
      </c>
      <c r="M152">
        <f t="shared" ca="1" si="47"/>
        <v>0.71502238560116582</v>
      </c>
      <c r="N152">
        <f t="shared" ca="1" si="48"/>
        <v>1</v>
      </c>
      <c r="O152" s="47">
        <f t="shared" ca="1" si="49"/>
        <v>40515.153013002448</v>
      </c>
      <c r="P152">
        <f ca="1">Inputs!B14+(Inputs!D14-Inputs!B14)*BETAINV(RAND(),Model!H8,Model!I8)</f>
        <v>0.30802465545953894</v>
      </c>
      <c r="Q152">
        <f ca="1">Inputs!E14+(Inputs!G14-Inputs!E14)*BETAINV(RAND(),Model!J8,Model!K8)</f>
        <v>0.4974870796698514</v>
      </c>
      <c r="R152">
        <f ca="1">(Inputs!H14+(Inputs!J14-Inputs!H14)*BETAINV(RAND(),Model!L8,Model!M8))*Inputs!$C$6</f>
        <v>324211.55511756754</v>
      </c>
      <c r="S152">
        <f t="shared" ca="1" si="50"/>
        <v>0.15323828631087819</v>
      </c>
      <c r="T152">
        <f t="shared" ca="1" si="51"/>
        <v>0.5374271024510785</v>
      </c>
      <c r="U152">
        <f t="shared" ca="1" si="52"/>
        <v>0</v>
      </c>
      <c r="V152" s="47">
        <f t="shared" ca="1" si="53"/>
        <v>0</v>
      </c>
      <c r="W152">
        <f ca="1">Inputs!B15+(Inputs!D15-Inputs!B15)*BETAINV(RAND(),Model!H9,Model!I9)</f>
        <v>1.5843307486108105</v>
      </c>
      <c r="X152">
        <f ca="1">Inputs!E15+(Inputs!G15-Inputs!E15)*BETAINV(RAND(),Model!J9,Model!K9)</f>
        <v>0.41592739434048376</v>
      </c>
      <c r="Y152">
        <f ca="1">(Inputs!H15+(Inputs!J15-Inputs!H15)*BETAINV(RAND(),Model!L9,Model!M9))*Inputs!$C$6</f>
        <v>53013.564182757938</v>
      </c>
      <c r="Z152">
        <f t="shared" ca="1" si="54"/>
        <v>0.65896656004320242</v>
      </c>
      <c r="AA152">
        <f t="shared" ca="1" si="55"/>
        <v>0.31778754030613443</v>
      </c>
      <c r="AB152">
        <f t="shared" ca="1" si="56"/>
        <v>0</v>
      </c>
      <c r="AC152" s="47">
        <f t="shared" ca="1" si="57"/>
        <v>0</v>
      </c>
      <c r="AD152">
        <f ca="1">Inputs!B16+(Inputs!D16-Inputs!B16)*BETAINV(RAND(),Model!H10,Model!I10)</f>
        <v>0.7434241002155797</v>
      </c>
      <c r="AE152">
        <f ca="1">Inputs!E16+(Inputs!G16-Inputs!E16)*BETAINV(RAND(),Model!J10,Model!K10)</f>
        <v>0.51278330696599794</v>
      </c>
      <c r="AF152">
        <f ca="1">(Inputs!H16+(Inputs!J16-Inputs!H16)*BETAINV(RAND(),Model!L10,Model!M10))*Inputs!$C$6</f>
        <v>120562.40977453807</v>
      </c>
      <c r="AG152">
        <f t="shared" ca="1" si="58"/>
        <v>0.38121546858676642</v>
      </c>
      <c r="AH152">
        <f t="shared" ca="1" si="59"/>
        <v>0.26465034736068815</v>
      </c>
      <c r="AI152">
        <f t="shared" ca="1" si="60"/>
        <v>0</v>
      </c>
      <c r="AJ152" s="47">
        <f t="shared" ca="1" si="61"/>
        <v>0</v>
      </c>
      <c r="AK152">
        <f t="shared" ca="1" si="62"/>
        <v>84393.332957997511</v>
      </c>
    </row>
    <row r="153" spans="2:37" x14ac:dyDescent="0.2">
      <c r="B153">
        <f ca="1">Inputs!B12+(Inputs!D12-Inputs!B12)*BETAINV(RAND(),Model!H6,Model!I6)</f>
        <v>4.2597683945494218</v>
      </c>
      <c r="C153">
        <f ca="1">Inputs!E12+(Inputs!G12-Inputs!E12)*BETAINV(RAND(),Model!J6,Model!K6)</f>
        <v>0.21513646659408381</v>
      </c>
      <c r="D153">
        <f ca="1">(Inputs!H12+(Inputs!J12-Inputs!H12)*BETAINV(RAND(),Model!L6,Model!M6))*Inputs!$C$6</f>
        <v>34219.136247535025</v>
      </c>
      <c r="E153">
        <f t="shared" ca="1" si="42"/>
        <v>0.91643152091251567</v>
      </c>
      <c r="F153">
        <f t="shared" ca="1" si="43"/>
        <v>0.26304606141605613</v>
      </c>
      <c r="G153">
        <f t="shared" ca="1" si="44"/>
        <v>0</v>
      </c>
      <c r="H153" s="47">
        <f t="shared" ca="1" si="45"/>
        <v>0</v>
      </c>
      <c r="I153">
        <f ca="1">Inputs!B13+(Inputs!D13-Inputs!B13)*BETAINV(RAND(),Model!H7,Model!I7)</f>
        <v>0.90581271044673839</v>
      </c>
      <c r="J153">
        <f ca="1">Inputs!E13+(Inputs!G13-Inputs!E13)*BETAINV(RAND(),Model!J7,Model!K7)</f>
        <v>0.22526261125147393</v>
      </c>
      <c r="K153">
        <f ca="1">(Inputs!H13+(Inputs!J13-Inputs!H13)*BETAINV(RAND(),Model!L7,Model!M7))*Inputs!$C$6</f>
        <v>26119.277039901688</v>
      </c>
      <c r="L153">
        <f t="shared" ca="1" si="46"/>
        <v>0.20404573646000754</v>
      </c>
      <c r="M153">
        <f t="shared" ca="1" si="47"/>
        <v>0.74169666838669857</v>
      </c>
      <c r="N153">
        <f t="shared" ca="1" si="48"/>
        <v>0</v>
      </c>
      <c r="O153" s="47">
        <f t="shared" ca="1" si="49"/>
        <v>0</v>
      </c>
      <c r="P153">
        <f ca="1">Inputs!B14+(Inputs!D14-Inputs!B14)*BETAINV(RAND(),Model!H8,Model!I8)</f>
        <v>0.13406928966171058</v>
      </c>
      <c r="Q153">
        <f ca="1">Inputs!E14+(Inputs!G14-Inputs!E14)*BETAINV(RAND(),Model!J8,Model!K8)</f>
        <v>0.53073338453210184</v>
      </c>
      <c r="R153">
        <f ca="1">(Inputs!H14+(Inputs!J14-Inputs!H14)*BETAINV(RAND(),Model!L8,Model!M8))*Inputs!$C$6</f>
        <v>462500.26849009976</v>
      </c>
      <c r="S153">
        <f t="shared" ca="1" si="50"/>
        <v>7.1155047863974391E-2</v>
      </c>
      <c r="T153">
        <f t="shared" ca="1" si="51"/>
        <v>0.92266034647536099</v>
      </c>
      <c r="U153">
        <f t="shared" ca="1" si="52"/>
        <v>0</v>
      </c>
      <c r="V153" s="47">
        <f t="shared" ca="1" si="53"/>
        <v>0</v>
      </c>
      <c r="W153">
        <f ca="1">Inputs!B15+(Inputs!D15-Inputs!B15)*BETAINV(RAND(),Model!H9,Model!I9)</f>
        <v>1.3493657667251961</v>
      </c>
      <c r="X153">
        <f ca="1">Inputs!E15+(Inputs!G15-Inputs!E15)*BETAINV(RAND(),Model!J9,Model!K9)</f>
        <v>0.61318853164930387</v>
      </c>
      <c r="Y153">
        <f ca="1">(Inputs!H15+(Inputs!J15-Inputs!H15)*BETAINV(RAND(),Model!L9,Model!M9))*Inputs!$C$6</f>
        <v>30255.481522485854</v>
      </c>
      <c r="Z153">
        <f t="shared" ca="1" si="54"/>
        <v>0.82741561315606016</v>
      </c>
      <c r="AA153">
        <f t="shared" ca="1" si="55"/>
        <v>0.86979623939779327</v>
      </c>
      <c r="AB153">
        <f t="shared" ca="1" si="56"/>
        <v>2</v>
      </c>
      <c r="AC153" s="47">
        <f t="shared" ca="1" si="57"/>
        <v>60510.963044971708</v>
      </c>
      <c r="AD153">
        <f ca="1">Inputs!B16+(Inputs!D16-Inputs!B16)*BETAINV(RAND(),Model!H10,Model!I10)</f>
        <v>0.40154784437086355</v>
      </c>
      <c r="AE153">
        <f ca="1">Inputs!E16+(Inputs!G16-Inputs!E16)*BETAINV(RAND(),Model!J10,Model!K10)</f>
        <v>0.53266401689165643</v>
      </c>
      <c r="AF153">
        <f ca="1">(Inputs!H16+(Inputs!J16-Inputs!H16)*BETAINV(RAND(),Model!L10,Model!M10))*Inputs!$C$6</f>
        <v>81392.845113595671</v>
      </c>
      <c r="AG153">
        <f t="shared" ca="1" si="58"/>
        <v>0.2138900877567699</v>
      </c>
      <c r="AH153">
        <f t="shared" ca="1" si="59"/>
        <v>0.30537487094838678</v>
      </c>
      <c r="AI153">
        <f t="shared" ca="1" si="60"/>
        <v>0</v>
      </c>
      <c r="AJ153" s="47">
        <f t="shared" ca="1" si="61"/>
        <v>0</v>
      </c>
      <c r="AK153">
        <f t="shared" ca="1" si="62"/>
        <v>60510.963044971708</v>
      </c>
    </row>
    <row r="154" spans="2:37" x14ac:dyDescent="0.2">
      <c r="B154">
        <f ca="1">Inputs!B12+(Inputs!D12-Inputs!B12)*BETAINV(RAND(),Model!H6,Model!I6)</f>
        <v>3.1554873171385038</v>
      </c>
      <c r="C154">
        <f ca="1">Inputs!E12+(Inputs!G12-Inputs!E12)*BETAINV(RAND(),Model!J6,Model!K6)</f>
        <v>0.2056584307407528</v>
      </c>
      <c r="D154">
        <f ca="1">(Inputs!H12+(Inputs!J12-Inputs!H12)*BETAINV(RAND(),Model!L6,Model!M6))*Inputs!$C$6</f>
        <v>56117.573650579165</v>
      </c>
      <c r="E154">
        <f t="shared" ca="1" si="42"/>
        <v>0.6489525698650529</v>
      </c>
      <c r="F154">
        <f t="shared" ca="1" si="43"/>
        <v>0.75204063489394579</v>
      </c>
      <c r="G154">
        <f t="shared" ca="1" si="44"/>
        <v>1</v>
      </c>
      <c r="H154" s="47">
        <f t="shared" ca="1" si="45"/>
        <v>56117.573650579165</v>
      </c>
      <c r="I154">
        <f ca="1">Inputs!B13+(Inputs!D13-Inputs!B13)*BETAINV(RAND(),Model!H7,Model!I7)</f>
        <v>3.1673101423408321</v>
      </c>
      <c r="J154">
        <f ca="1">Inputs!E13+(Inputs!G13-Inputs!E13)*BETAINV(RAND(),Model!J7,Model!K7)</f>
        <v>0.24063337663232773</v>
      </c>
      <c r="K154">
        <f ca="1">(Inputs!H13+(Inputs!J13-Inputs!H13)*BETAINV(RAND(),Model!L7,Model!M7))*Inputs!$C$6</f>
        <v>39490.275695415257</v>
      </c>
      <c r="L154">
        <f t="shared" ca="1" si="46"/>
        <v>0.76216053439329301</v>
      </c>
      <c r="M154">
        <f t="shared" ca="1" si="47"/>
        <v>0.25581836038021621</v>
      </c>
      <c r="N154">
        <f t="shared" ca="1" si="48"/>
        <v>0</v>
      </c>
      <c r="O154" s="47">
        <f t="shared" ca="1" si="49"/>
        <v>0</v>
      </c>
      <c r="P154">
        <f ca="1">Inputs!B14+(Inputs!D14-Inputs!B14)*BETAINV(RAND(),Model!H8,Model!I8)</f>
        <v>0.40599728055684547</v>
      </c>
      <c r="Q154">
        <f ca="1">Inputs!E14+(Inputs!G14-Inputs!E14)*BETAINV(RAND(),Model!J8,Model!K8)</f>
        <v>0.47657593492797379</v>
      </c>
      <c r="R154">
        <f ca="1">(Inputs!H14+(Inputs!J14-Inputs!H14)*BETAINV(RAND(),Model!L8,Model!M8))*Inputs!$C$6</f>
        <v>276123.54086008423</v>
      </c>
      <c r="S154">
        <f t="shared" ca="1" si="50"/>
        <v>0.1934885335595935</v>
      </c>
      <c r="T154">
        <f t="shared" ca="1" si="51"/>
        <v>0.99501534696959781</v>
      </c>
      <c r="U154">
        <f t="shared" ca="1" si="52"/>
        <v>2</v>
      </c>
      <c r="V154" s="47">
        <f t="shared" ca="1" si="53"/>
        <v>552247.08172016847</v>
      </c>
      <c r="W154">
        <f ca="1">Inputs!B15+(Inputs!D15-Inputs!B15)*BETAINV(RAND(),Model!H9,Model!I9)</f>
        <v>1.8674966342016526</v>
      </c>
      <c r="X154">
        <f ca="1">Inputs!E15+(Inputs!G15-Inputs!E15)*BETAINV(RAND(),Model!J9,Model!K9)</f>
        <v>0.4971211142925942</v>
      </c>
      <c r="Y154">
        <f ca="1">(Inputs!H15+(Inputs!J15-Inputs!H15)*BETAINV(RAND(),Model!L9,Model!M9))*Inputs!$C$6</f>
        <v>10679.027191256399</v>
      </c>
      <c r="Z154">
        <f t="shared" ca="1" si="54"/>
        <v>0.92837200773199469</v>
      </c>
      <c r="AA154">
        <f t="shared" ca="1" si="55"/>
        <v>0.97147795067598042</v>
      </c>
      <c r="AB154">
        <f t="shared" ca="1" si="56"/>
        <v>3</v>
      </c>
      <c r="AC154" s="47">
        <f t="shared" ca="1" si="57"/>
        <v>32037.081573769196</v>
      </c>
      <c r="AD154">
        <f ca="1">Inputs!B16+(Inputs!D16-Inputs!B16)*BETAINV(RAND(),Model!H10,Model!I10)</f>
        <v>0.46107845458891156</v>
      </c>
      <c r="AE154">
        <f ca="1">Inputs!E16+(Inputs!G16-Inputs!E16)*BETAINV(RAND(),Model!J10,Model!K10)</f>
        <v>0.54592913902553908</v>
      </c>
      <c r="AF154">
        <f ca="1">(Inputs!H16+(Inputs!J16-Inputs!H16)*BETAINV(RAND(),Model!L10,Model!M10))*Inputs!$C$6</f>
        <v>56436.359804811029</v>
      </c>
      <c r="AG154">
        <f t="shared" ca="1" si="58"/>
        <v>0.2517161637369506</v>
      </c>
      <c r="AH154">
        <f t="shared" ca="1" si="59"/>
        <v>0.38403045876382536</v>
      </c>
      <c r="AI154">
        <f t="shared" ca="1" si="60"/>
        <v>0</v>
      </c>
      <c r="AJ154" s="47">
        <f t="shared" ca="1" si="61"/>
        <v>0</v>
      </c>
      <c r="AK154">
        <f t="shared" ca="1" si="62"/>
        <v>640401.73694451689</v>
      </c>
    </row>
    <row r="155" spans="2:37" x14ac:dyDescent="0.2">
      <c r="B155">
        <f ca="1">Inputs!B12+(Inputs!D12-Inputs!B12)*BETAINV(RAND(),Model!H6,Model!I6)</f>
        <v>3.0867443403228716</v>
      </c>
      <c r="C155">
        <f ca="1">Inputs!E12+(Inputs!G12-Inputs!E12)*BETAINV(RAND(),Model!J6,Model!K6)</f>
        <v>0.29293795608270462</v>
      </c>
      <c r="D155">
        <f ca="1">(Inputs!H12+(Inputs!J12-Inputs!H12)*BETAINV(RAND(),Model!L6,Model!M6))*Inputs!$C$6</f>
        <v>27281.175273318113</v>
      </c>
      <c r="E155">
        <f t="shared" ca="1" si="42"/>
        <v>0.90422457800403844</v>
      </c>
      <c r="F155">
        <f t="shared" ca="1" si="43"/>
        <v>0.11620169777352163</v>
      </c>
      <c r="G155">
        <f t="shared" ca="1" si="44"/>
        <v>0</v>
      </c>
      <c r="H155" s="47">
        <f t="shared" ca="1" si="45"/>
        <v>0</v>
      </c>
      <c r="I155">
        <f ca="1">Inputs!B13+(Inputs!D13-Inputs!B13)*BETAINV(RAND(),Model!H7,Model!I7)</f>
        <v>2.4989601408215685</v>
      </c>
      <c r="J155">
        <f ca="1">Inputs!E13+(Inputs!G13-Inputs!E13)*BETAINV(RAND(),Model!J7,Model!K7)</f>
        <v>0.32625475239368257</v>
      </c>
      <c r="K155">
        <f ca="1">(Inputs!H13+(Inputs!J13-Inputs!H13)*BETAINV(RAND(),Model!L7,Model!M7))*Inputs!$C$6</f>
        <v>46704.544908182361</v>
      </c>
      <c r="L155">
        <f t="shared" ca="1" si="46"/>
        <v>0.81529762198542299</v>
      </c>
      <c r="M155">
        <f t="shared" ca="1" si="47"/>
        <v>0.57812438499957497</v>
      </c>
      <c r="N155">
        <f t="shared" ca="1" si="48"/>
        <v>1</v>
      </c>
      <c r="O155" s="47">
        <f t="shared" ca="1" si="49"/>
        <v>46704.544908182361</v>
      </c>
      <c r="P155">
        <f ca="1">Inputs!B14+(Inputs!D14-Inputs!B14)*BETAINV(RAND(),Model!H8,Model!I8)</f>
        <v>0.52891312057596473</v>
      </c>
      <c r="Q155">
        <f ca="1">Inputs!E14+(Inputs!G14-Inputs!E14)*BETAINV(RAND(),Model!J8,Model!K8)</f>
        <v>0.60139996786896044</v>
      </c>
      <c r="R155">
        <f ca="1">(Inputs!H14+(Inputs!J14-Inputs!H14)*BETAINV(RAND(),Model!L8,Model!M8))*Inputs!$C$6</f>
        <v>334594.46256882977</v>
      </c>
      <c r="S155">
        <f t="shared" ca="1" si="50"/>
        <v>0.31808833371985679</v>
      </c>
      <c r="T155">
        <f t="shared" ca="1" si="51"/>
        <v>0.46487293711584232</v>
      </c>
      <c r="U155">
        <f t="shared" ca="1" si="52"/>
        <v>0</v>
      </c>
      <c r="V155" s="47">
        <f t="shared" ca="1" si="53"/>
        <v>0</v>
      </c>
      <c r="W155">
        <f ca="1">Inputs!B15+(Inputs!D15-Inputs!B15)*BETAINV(RAND(),Model!H9,Model!I9)</f>
        <v>0.45406896042188682</v>
      </c>
      <c r="X155">
        <f ca="1">Inputs!E15+(Inputs!G15-Inputs!E15)*BETAINV(RAND(),Model!J9,Model!K9)</f>
        <v>0.48711624029478068</v>
      </c>
      <c r="Y155">
        <f ca="1">(Inputs!H15+(Inputs!J15-Inputs!H15)*BETAINV(RAND(),Model!L9,Model!M9))*Inputs!$C$6</f>
        <v>28991.781657259522</v>
      </c>
      <c r="Z155">
        <f t="shared" ca="1" si="54"/>
        <v>0.22118436483526907</v>
      </c>
      <c r="AA155">
        <f t="shared" ca="1" si="55"/>
        <v>0.50770847326961999</v>
      </c>
      <c r="AB155">
        <f t="shared" ca="1" si="56"/>
        <v>0</v>
      </c>
      <c r="AC155" s="47">
        <f t="shared" ca="1" si="57"/>
        <v>0</v>
      </c>
      <c r="AD155">
        <f ca="1">Inputs!B16+(Inputs!D16-Inputs!B16)*BETAINV(RAND(),Model!H10,Model!I10)</f>
        <v>0.40195413021242987</v>
      </c>
      <c r="AE155">
        <f ca="1">Inputs!E16+(Inputs!G16-Inputs!E16)*BETAINV(RAND(),Model!J10,Model!K10)</f>
        <v>0.56634861607286258</v>
      </c>
      <c r="AF155">
        <f ca="1">(Inputs!H16+(Inputs!J16-Inputs!H16)*BETAINV(RAND(),Model!L10,Model!M10))*Inputs!$C$6</f>
        <v>66617.477535439495</v>
      </c>
      <c r="AG155">
        <f t="shared" ca="1" si="58"/>
        <v>0.22764616537058086</v>
      </c>
      <c r="AH155">
        <f t="shared" ca="1" si="59"/>
        <v>0.63107108616987251</v>
      </c>
      <c r="AI155">
        <f t="shared" ca="1" si="60"/>
        <v>0</v>
      </c>
      <c r="AJ155" s="47">
        <f t="shared" ca="1" si="61"/>
        <v>0</v>
      </c>
      <c r="AK155">
        <f t="shared" ca="1" si="62"/>
        <v>46704.544908182361</v>
      </c>
    </row>
    <row r="156" spans="2:37" x14ac:dyDescent="0.2">
      <c r="B156">
        <f ca="1">Inputs!B12+(Inputs!D12-Inputs!B12)*BETAINV(RAND(),Model!H6,Model!I6)</f>
        <v>1.7731076325264996</v>
      </c>
      <c r="C156">
        <f ca="1">Inputs!E12+(Inputs!G12-Inputs!E12)*BETAINV(RAND(),Model!J6,Model!K6)</f>
        <v>0.2454999349364852</v>
      </c>
      <c r="D156">
        <f ca="1">(Inputs!H12+(Inputs!J12-Inputs!H12)*BETAINV(RAND(),Model!L6,Model!M6))*Inputs!$C$6</f>
        <v>28601.207392738819</v>
      </c>
      <c r="E156">
        <f t="shared" ca="1" si="42"/>
        <v>0.43529780842064097</v>
      </c>
      <c r="F156">
        <f t="shared" ca="1" si="43"/>
        <v>0.21354171395509458</v>
      </c>
      <c r="G156">
        <f t="shared" ca="1" si="44"/>
        <v>0</v>
      </c>
      <c r="H156" s="47">
        <f t="shared" ca="1" si="45"/>
        <v>0</v>
      </c>
      <c r="I156">
        <f ca="1">Inputs!B13+(Inputs!D13-Inputs!B13)*BETAINV(RAND(),Model!H7,Model!I7)</f>
        <v>1.5255897212347116</v>
      </c>
      <c r="J156">
        <f ca="1">Inputs!E13+(Inputs!G13-Inputs!E13)*BETAINV(RAND(),Model!J7,Model!K7)</f>
        <v>0.41116911679447654</v>
      </c>
      <c r="K156">
        <f ca="1">(Inputs!H13+(Inputs!J13-Inputs!H13)*BETAINV(RAND(),Model!L7,Model!M7))*Inputs!$C$6</f>
        <v>31300.901270158367</v>
      </c>
      <c r="L156">
        <f t="shared" ca="1" si="46"/>
        <v>0.62727537827080804</v>
      </c>
      <c r="M156">
        <f t="shared" ca="1" si="47"/>
        <v>9.4614818453958582E-3</v>
      </c>
      <c r="N156">
        <f t="shared" ca="1" si="48"/>
        <v>0</v>
      </c>
      <c r="O156" s="47">
        <f t="shared" ca="1" si="49"/>
        <v>0</v>
      </c>
      <c r="P156">
        <f ca="1">Inputs!B14+(Inputs!D14-Inputs!B14)*BETAINV(RAND(),Model!H8,Model!I8)</f>
        <v>0.1228552039659951</v>
      </c>
      <c r="Q156">
        <f ca="1">Inputs!E14+(Inputs!G14-Inputs!E14)*BETAINV(RAND(),Model!J8,Model!K8)</f>
        <v>0.59658166793048495</v>
      </c>
      <c r="R156">
        <f ca="1">(Inputs!H14+(Inputs!J14-Inputs!H14)*BETAINV(RAND(),Model!L8,Model!M8))*Inputs!$C$6</f>
        <v>361152.2284132127</v>
      </c>
      <c r="S156">
        <f t="shared" ca="1" si="50"/>
        <v>7.3293162495973285E-2</v>
      </c>
      <c r="T156">
        <f t="shared" ca="1" si="51"/>
        <v>0.60458539510445841</v>
      </c>
      <c r="U156">
        <f t="shared" ca="1" si="52"/>
        <v>0</v>
      </c>
      <c r="V156" s="47">
        <f t="shared" ca="1" si="53"/>
        <v>0</v>
      </c>
      <c r="W156">
        <f ca="1">Inputs!B15+(Inputs!D15-Inputs!B15)*BETAINV(RAND(),Model!H9,Model!I9)</f>
        <v>1.16935207420851</v>
      </c>
      <c r="X156">
        <f ca="1">Inputs!E15+(Inputs!G15-Inputs!E15)*BETAINV(RAND(),Model!J9,Model!K9)</f>
        <v>0.51937356955036107</v>
      </c>
      <c r="Y156">
        <f ca="1">(Inputs!H15+(Inputs!J15-Inputs!H15)*BETAINV(RAND(),Model!L9,Model!M9))*Inputs!$C$6</f>
        <v>10067.86450513298</v>
      </c>
      <c r="Z156">
        <f t="shared" ca="1" si="54"/>
        <v>0.60733056084279247</v>
      </c>
      <c r="AA156">
        <f t="shared" ca="1" si="55"/>
        <v>0.95103178721085058</v>
      </c>
      <c r="AB156">
        <f t="shared" ca="1" si="56"/>
        <v>2</v>
      </c>
      <c r="AC156" s="47">
        <f t="shared" ca="1" si="57"/>
        <v>20135.729010265961</v>
      </c>
      <c r="AD156">
        <f ca="1">Inputs!B16+(Inputs!D16-Inputs!B16)*BETAINV(RAND(),Model!H10,Model!I10)</f>
        <v>0.34828456636727312</v>
      </c>
      <c r="AE156">
        <f ca="1">Inputs!E16+(Inputs!G16-Inputs!E16)*BETAINV(RAND(),Model!J10,Model!K10)</f>
        <v>0.50461124624978215</v>
      </c>
      <c r="AF156">
        <f ca="1">(Inputs!H16+(Inputs!J16-Inputs!H16)*BETAINV(RAND(),Model!L10,Model!M10))*Inputs!$C$6</f>
        <v>71984.020110836951</v>
      </c>
      <c r="AG156">
        <f t="shared" ca="1" si="58"/>
        <v>0.17574830908415465</v>
      </c>
      <c r="AH156">
        <f t="shared" ca="1" si="59"/>
        <v>0.41811487156042548</v>
      </c>
      <c r="AI156">
        <f t="shared" ca="1" si="60"/>
        <v>0</v>
      </c>
      <c r="AJ156" s="47">
        <f t="shared" ca="1" si="61"/>
        <v>0</v>
      </c>
      <c r="AK156">
        <f t="shared" ca="1" si="62"/>
        <v>20135.729010265961</v>
      </c>
    </row>
    <row r="157" spans="2:37" x14ac:dyDescent="0.2">
      <c r="B157">
        <f ca="1">Inputs!B12+(Inputs!D12-Inputs!B12)*BETAINV(RAND(),Model!H6,Model!I6)</f>
        <v>4.2798674831535708</v>
      </c>
      <c r="C157">
        <f ca="1">Inputs!E12+(Inputs!G12-Inputs!E12)*BETAINV(RAND(),Model!J6,Model!K6)</f>
        <v>0.3501225723676491</v>
      </c>
      <c r="D157">
        <f ca="1">(Inputs!H12+(Inputs!J12-Inputs!H12)*BETAINV(RAND(),Model!L6,Model!M6))*Inputs!$C$6</f>
        <v>38752.192981358203</v>
      </c>
      <c r="E157">
        <f t="shared" ca="1" si="42"/>
        <v>1.4984782125943843</v>
      </c>
      <c r="F157">
        <f t="shared" ca="1" si="43"/>
        <v>0.57330969315944913</v>
      </c>
      <c r="G157">
        <f t="shared" ca="1" si="44"/>
        <v>2</v>
      </c>
      <c r="H157" s="47">
        <f t="shared" ca="1" si="45"/>
        <v>77504.385962716406</v>
      </c>
      <c r="I157">
        <f ca="1">Inputs!B13+(Inputs!D13-Inputs!B13)*BETAINV(RAND(),Model!H7,Model!I7)</f>
        <v>4.0728975181251519</v>
      </c>
      <c r="J157">
        <f ca="1">Inputs!E13+(Inputs!G13-Inputs!E13)*BETAINV(RAND(),Model!J7,Model!K7)</f>
        <v>0.25038095380225228</v>
      </c>
      <c r="K157">
        <f ca="1">(Inputs!H13+(Inputs!J13-Inputs!H13)*BETAINV(RAND(),Model!L7,Model!M7))*Inputs!$C$6</f>
        <v>58203.666397462766</v>
      </c>
      <c r="L157">
        <f t="shared" ca="1" si="46"/>
        <v>1.0197759653270015</v>
      </c>
      <c r="M157">
        <f t="shared" ca="1" si="47"/>
        <v>0.62320194667820994</v>
      </c>
      <c r="N157">
        <f t="shared" ca="1" si="48"/>
        <v>1</v>
      </c>
      <c r="O157" s="47">
        <f t="shared" ca="1" si="49"/>
        <v>58203.666397462766</v>
      </c>
      <c r="P157">
        <f ca="1">Inputs!B14+(Inputs!D14-Inputs!B14)*BETAINV(RAND(),Model!H8,Model!I8)</f>
        <v>0.29353490972701762</v>
      </c>
      <c r="Q157">
        <f ca="1">Inputs!E14+(Inputs!G14-Inputs!E14)*BETAINV(RAND(),Model!J8,Model!K8)</f>
        <v>0.73125082847042677</v>
      </c>
      <c r="R157">
        <f ca="1">(Inputs!H14+(Inputs!J14-Inputs!H14)*BETAINV(RAND(),Model!L8,Model!M8))*Inputs!$C$6</f>
        <v>316282.14406018023</v>
      </c>
      <c r="S157">
        <f t="shared" ca="1" si="50"/>
        <v>0.21464764592287358</v>
      </c>
      <c r="T157">
        <f t="shared" ca="1" si="51"/>
        <v>0.42065824427017096</v>
      </c>
      <c r="U157">
        <f t="shared" ca="1" si="52"/>
        <v>0</v>
      </c>
      <c r="V157" s="47">
        <f t="shared" ca="1" si="53"/>
        <v>0</v>
      </c>
      <c r="W157">
        <f ca="1">Inputs!B15+(Inputs!D15-Inputs!B15)*BETAINV(RAND(),Model!H9,Model!I9)</f>
        <v>1.5135984110275631</v>
      </c>
      <c r="X157">
        <f ca="1">Inputs!E15+(Inputs!G15-Inputs!E15)*BETAINV(RAND(),Model!J9,Model!K9)</f>
        <v>0.37522531408384924</v>
      </c>
      <c r="Y157">
        <f ca="1">(Inputs!H15+(Inputs!J15-Inputs!H15)*BETAINV(RAND(),Model!L9,Model!M9))*Inputs!$C$6</f>
        <v>26606.747665589159</v>
      </c>
      <c r="Z157">
        <f t="shared" ca="1" si="54"/>
        <v>0.56794043917463255</v>
      </c>
      <c r="AA157">
        <f t="shared" ca="1" si="55"/>
        <v>0.80717334244767491</v>
      </c>
      <c r="AB157">
        <f t="shared" ca="1" si="56"/>
        <v>1</v>
      </c>
      <c r="AC157" s="47">
        <f t="shared" ca="1" si="57"/>
        <v>26606.747665589159</v>
      </c>
      <c r="AD157">
        <f ca="1">Inputs!B16+(Inputs!D16-Inputs!B16)*BETAINV(RAND(),Model!H10,Model!I10)</f>
        <v>0.73995807741844977</v>
      </c>
      <c r="AE157">
        <f ca="1">Inputs!E16+(Inputs!G16-Inputs!E16)*BETAINV(RAND(),Model!J10,Model!K10)</f>
        <v>0.65018637075397445</v>
      </c>
      <c r="AF157">
        <f ca="1">(Inputs!H16+(Inputs!J16-Inputs!H16)*BETAINV(RAND(),Model!L10,Model!M10))*Inputs!$C$6</f>
        <v>57017.738497764425</v>
      </c>
      <c r="AG157">
        <f t="shared" ca="1" si="58"/>
        <v>0.48111065686679033</v>
      </c>
      <c r="AH157">
        <f t="shared" ca="1" si="59"/>
        <v>0.28733671117135762</v>
      </c>
      <c r="AI157">
        <f t="shared" ca="1" si="60"/>
        <v>0</v>
      </c>
      <c r="AJ157" s="47">
        <f t="shared" ca="1" si="61"/>
        <v>0</v>
      </c>
      <c r="AK157">
        <f t="shared" ca="1" si="62"/>
        <v>162314.80002576832</v>
      </c>
    </row>
    <row r="158" spans="2:37" x14ac:dyDescent="0.2">
      <c r="B158">
        <f ca="1">Inputs!B12+(Inputs!D12-Inputs!B12)*BETAINV(RAND(),Model!H6,Model!I6)</f>
        <v>2.0413853545272707</v>
      </c>
      <c r="C158">
        <f ca="1">Inputs!E12+(Inputs!G12-Inputs!E12)*BETAINV(RAND(),Model!J6,Model!K6)</f>
        <v>0.24975487957846057</v>
      </c>
      <c r="D158">
        <f ca="1">(Inputs!H12+(Inputs!J12-Inputs!H12)*BETAINV(RAND(),Model!L6,Model!M6))*Inputs!$C$6</f>
        <v>20922.56735843296</v>
      </c>
      <c r="E158">
        <f t="shared" ca="1" si="42"/>
        <v>0.5098459533931915</v>
      </c>
      <c r="F158">
        <f t="shared" ca="1" si="43"/>
        <v>7.9548624650352395E-2</v>
      </c>
      <c r="G158">
        <f t="shared" ca="1" si="44"/>
        <v>0</v>
      </c>
      <c r="H158" s="47">
        <f t="shared" ca="1" si="45"/>
        <v>0</v>
      </c>
      <c r="I158">
        <f ca="1">Inputs!B13+(Inputs!D13-Inputs!B13)*BETAINV(RAND(),Model!H7,Model!I7)</f>
        <v>1.7905393733363217</v>
      </c>
      <c r="J158">
        <f ca="1">Inputs!E13+(Inputs!G13-Inputs!E13)*BETAINV(RAND(),Model!J7,Model!K7)</f>
        <v>0.26378304041688488</v>
      </c>
      <c r="K158">
        <f ca="1">(Inputs!H13+(Inputs!J13-Inputs!H13)*BETAINV(RAND(),Model!L7,Model!M7))*Inputs!$C$6</f>
        <v>11830.421639474172</v>
      </c>
      <c r="L158">
        <f t="shared" ca="1" si="46"/>
        <v>0.47231391988479871</v>
      </c>
      <c r="M158">
        <f t="shared" ca="1" si="47"/>
        <v>0.53784700824609488</v>
      </c>
      <c r="N158">
        <f t="shared" ca="1" si="48"/>
        <v>0</v>
      </c>
      <c r="O158" s="47">
        <f t="shared" ca="1" si="49"/>
        <v>0</v>
      </c>
      <c r="P158">
        <f ca="1">Inputs!B14+(Inputs!D14-Inputs!B14)*BETAINV(RAND(),Model!H8,Model!I8)</f>
        <v>0.39158213079598481</v>
      </c>
      <c r="Q158">
        <f ca="1">Inputs!E14+(Inputs!G14-Inputs!E14)*BETAINV(RAND(),Model!J8,Model!K8)</f>
        <v>0.56263598675429438</v>
      </c>
      <c r="R158">
        <f ca="1">(Inputs!H14+(Inputs!J14-Inputs!H14)*BETAINV(RAND(),Model!L8,Model!M8))*Inputs!$C$6</f>
        <v>554245.51720827469</v>
      </c>
      <c r="S158">
        <f t="shared" ca="1" si="50"/>
        <v>0.22031819855574808</v>
      </c>
      <c r="T158">
        <f t="shared" ca="1" si="51"/>
        <v>0.69759069834276688</v>
      </c>
      <c r="U158">
        <f t="shared" ca="1" si="52"/>
        <v>0</v>
      </c>
      <c r="V158" s="47">
        <f t="shared" ca="1" si="53"/>
        <v>0</v>
      </c>
      <c r="W158">
        <f ca="1">Inputs!B15+(Inputs!D15-Inputs!B15)*BETAINV(RAND(),Model!H9,Model!I9)</f>
        <v>1.8154556116282554</v>
      </c>
      <c r="X158">
        <f ca="1">Inputs!E15+(Inputs!G15-Inputs!E15)*BETAINV(RAND(),Model!J9,Model!K9)</f>
        <v>0.49674847528884347</v>
      </c>
      <c r="Y158">
        <f ca="1">(Inputs!H15+(Inputs!J15-Inputs!H15)*BETAINV(RAND(),Model!L9,Model!M9))*Inputs!$C$6</f>
        <v>39476.346328850028</v>
      </c>
      <c r="Z158">
        <f t="shared" ca="1" si="54"/>
        <v>0.90182480703091061</v>
      </c>
      <c r="AA158">
        <f t="shared" ca="1" si="55"/>
        <v>0.79717126551916373</v>
      </c>
      <c r="AB158">
        <f t="shared" ca="1" si="56"/>
        <v>2</v>
      </c>
      <c r="AC158" s="47">
        <f t="shared" ca="1" si="57"/>
        <v>78952.692657700056</v>
      </c>
      <c r="AD158">
        <f ca="1">Inputs!B16+(Inputs!D16-Inputs!B16)*BETAINV(RAND(),Model!H10,Model!I10)</f>
        <v>0.60009302893919525</v>
      </c>
      <c r="AE158">
        <f ca="1">Inputs!E16+(Inputs!G16-Inputs!E16)*BETAINV(RAND(),Model!J10,Model!K10)</f>
        <v>0.54856526721125909</v>
      </c>
      <c r="AF158">
        <f ca="1">(Inputs!H16+(Inputs!J16-Inputs!H16)*BETAINV(RAND(),Model!L10,Model!M10))*Inputs!$C$6</f>
        <v>135309.67645007736</v>
      </c>
      <c r="AG158">
        <f t="shared" ca="1" si="58"/>
        <v>0.32919019277164346</v>
      </c>
      <c r="AH158">
        <f t="shared" ca="1" si="59"/>
        <v>0.53680891833594524</v>
      </c>
      <c r="AI158">
        <f t="shared" ca="1" si="60"/>
        <v>0</v>
      </c>
      <c r="AJ158" s="47">
        <f t="shared" ca="1" si="61"/>
        <v>0</v>
      </c>
      <c r="AK158">
        <f t="shared" ca="1" si="62"/>
        <v>78952.692657700056</v>
      </c>
    </row>
    <row r="159" spans="2:37" x14ac:dyDescent="0.2">
      <c r="B159">
        <f ca="1">Inputs!B12+(Inputs!D12-Inputs!B12)*BETAINV(RAND(),Model!H6,Model!I6)</f>
        <v>2.4289751134423447</v>
      </c>
      <c r="C159">
        <f ca="1">Inputs!E12+(Inputs!G12-Inputs!E12)*BETAINV(RAND(),Model!J6,Model!K6)</f>
        <v>0.20489551435060721</v>
      </c>
      <c r="D159">
        <f ca="1">(Inputs!H12+(Inputs!J12-Inputs!H12)*BETAINV(RAND(),Model!L6,Model!M6))*Inputs!$C$6</f>
        <v>41459.467198979364</v>
      </c>
      <c r="E159">
        <f t="shared" ca="1" si="42"/>
        <v>0.49768610521359374</v>
      </c>
      <c r="F159">
        <f t="shared" ca="1" si="43"/>
        <v>0.39922429065955167</v>
      </c>
      <c r="G159">
        <f t="shared" ca="1" si="44"/>
        <v>0</v>
      </c>
      <c r="H159" s="47">
        <f t="shared" ca="1" si="45"/>
        <v>0</v>
      </c>
      <c r="I159">
        <f ca="1">Inputs!B13+(Inputs!D13-Inputs!B13)*BETAINV(RAND(),Model!H7,Model!I7)</f>
        <v>3.4612763809706046</v>
      </c>
      <c r="J159">
        <f ca="1">Inputs!E13+(Inputs!G13-Inputs!E13)*BETAINV(RAND(),Model!J7,Model!K7)</f>
        <v>0.15956948030375109</v>
      </c>
      <c r="K159">
        <f ca="1">(Inputs!H13+(Inputs!J13-Inputs!H13)*BETAINV(RAND(),Model!L7,Model!M7))*Inputs!$C$6</f>
        <v>29511.086438094946</v>
      </c>
      <c r="L159">
        <f t="shared" ca="1" si="46"/>
        <v>0.55231407329912774</v>
      </c>
      <c r="M159">
        <f t="shared" ca="1" si="47"/>
        <v>7.5818019884849819E-2</v>
      </c>
      <c r="N159">
        <f t="shared" ca="1" si="48"/>
        <v>0</v>
      </c>
      <c r="O159" s="47">
        <f t="shared" ca="1" si="49"/>
        <v>0</v>
      </c>
      <c r="P159">
        <f ca="1">Inputs!B14+(Inputs!D14-Inputs!B14)*BETAINV(RAND(),Model!H8,Model!I8)</f>
        <v>0.3869679938459043</v>
      </c>
      <c r="Q159">
        <f ca="1">Inputs!E14+(Inputs!G14-Inputs!E14)*BETAINV(RAND(),Model!J8,Model!K8)</f>
        <v>0.58902474426535933</v>
      </c>
      <c r="R159">
        <f ca="1">(Inputs!H14+(Inputs!J14-Inputs!H14)*BETAINV(RAND(),Model!L8,Model!M8))*Inputs!$C$6</f>
        <v>496941.24866514449</v>
      </c>
      <c r="S159">
        <f t="shared" ca="1" si="50"/>
        <v>0.22793372361396291</v>
      </c>
      <c r="T159">
        <f t="shared" ca="1" si="51"/>
        <v>0.94319152145782981</v>
      </c>
      <c r="U159">
        <f t="shared" ca="1" si="52"/>
        <v>1</v>
      </c>
      <c r="V159" s="47">
        <f t="shared" ca="1" si="53"/>
        <v>496941.24866514449</v>
      </c>
      <c r="W159">
        <f ca="1">Inputs!B15+(Inputs!D15-Inputs!B15)*BETAINV(RAND(),Model!H9,Model!I9)</f>
        <v>1.933693737262278</v>
      </c>
      <c r="X159">
        <f ca="1">Inputs!E15+(Inputs!G15-Inputs!E15)*BETAINV(RAND(),Model!J9,Model!K9)</f>
        <v>0.25474901092197899</v>
      </c>
      <c r="Y159">
        <f ca="1">(Inputs!H15+(Inputs!J15-Inputs!H15)*BETAINV(RAND(),Model!L9,Model!M9))*Inputs!$C$6</f>
        <v>25171.693647282194</v>
      </c>
      <c r="Z159">
        <f t="shared" ca="1" si="54"/>
        <v>0.49260656699359046</v>
      </c>
      <c r="AA159">
        <f t="shared" ca="1" si="55"/>
        <v>0.96217560519177581</v>
      </c>
      <c r="AB159">
        <f t="shared" ca="1" si="56"/>
        <v>2</v>
      </c>
      <c r="AC159" s="47">
        <f t="shared" ca="1" si="57"/>
        <v>50343.387294564389</v>
      </c>
      <c r="AD159">
        <f ca="1">Inputs!B16+(Inputs!D16-Inputs!B16)*BETAINV(RAND(),Model!H10,Model!I10)</f>
        <v>0.94230745927928217</v>
      </c>
      <c r="AE159">
        <f ca="1">Inputs!E16+(Inputs!G16-Inputs!E16)*BETAINV(RAND(),Model!J10,Model!K10)</f>
        <v>0.59144301648997588</v>
      </c>
      <c r="AF159">
        <f ca="1">(Inputs!H16+(Inputs!J16-Inputs!H16)*BETAINV(RAND(),Model!L10,Model!M10))*Inputs!$C$6</f>
        <v>73665.732375623062</v>
      </c>
      <c r="AG159">
        <f t="shared" ca="1" si="58"/>
        <v>0.55732116617714378</v>
      </c>
      <c r="AH159">
        <f t="shared" ca="1" si="59"/>
        <v>0.73206784008724535</v>
      </c>
      <c r="AI159">
        <f t="shared" ca="1" si="60"/>
        <v>1</v>
      </c>
      <c r="AJ159" s="47">
        <f t="shared" ca="1" si="61"/>
        <v>73665.732375623062</v>
      </c>
      <c r="AK159">
        <f t="shared" ca="1" si="62"/>
        <v>620950.36833533191</v>
      </c>
    </row>
    <row r="160" spans="2:37" x14ac:dyDescent="0.2">
      <c r="B160">
        <f ca="1">Inputs!B12+(Inputs!D12-Inputs!B12)*BETAINV(RAND(),Model!H6,Model!I6)</f>
        <v>3.5035865464100491</v>
      </c>
      <c r="C160">
        <f ca="1">Inputs!E12+(Inputs!G12-Inputs!E12)*BETAINV(RAND(),Model!J6,Model!K6)</f>
        <v>0.317147298631974</v>
      </c>
      <c r="D160">
        <f ca="1">(Inputs!H12+(Inputs!J12-Inputs!H12)*BETAINV(RAND(),Model!L6,Model!M6))*Inputs!$C$6</f>
        <v>32141.76690404777</v>
      </c>
      <c r="E160">
        <f t="shared" ca="1" si="42"/>
        <v>1.1111530087172743</v>
      </c>
      <c r="F160">
        <f t="shared" ca="1" si="43"/>
        <v>0.91535470904371341</v>
      </c>
      <c r="G160">
        <f t="shared" ca="1" si="44"/>
        <v>3</v>
      </c>
      <c r="H160" s="47">
        <f t="shared" ca="1" si="45"/>
        <v>96425.300712143304</v>
      </c>
      <c r="I160">
        <f ca="1">Inputs!B13+(Inputs!D13-Inputs!B13)*BETAINV(RAND(),Model!H7,Model!I7)</f>
        <v>3.3743640087259332</v>
      </c>
      <c r="J160">
        <f ca="1">Inputs!E13+(Inputs!G13-Inputs!E13)*BETAINV(RAND(),Model!J7,Model!K7)</f>
        <v>0.19421333174454442</v>
      </c>
      <c r="K160">
        <f ca="1">(Inputs!H13+(Inputs!J13-Inputs!H13)*BETAINV(RAND(),Model!L7,Model!M7))*Inputs!$C$6</f>
        <v>55138.919294023486</v>
      </c>
      <c r="L160">
        <f t="shared" ca="1" si="46"/>
        <v>0.6553464766535404</v>
      </c>
      <c r="M160">
        <f t="shared" ca="1" si="47"/>
        <v>0.13747202857250485</v>
      </c>
      <c r="N160">
        <f t="shared" ca="1" si="48"/>
        <v>0</v>
      </c>
      <c r="O160" s="47">
        <f t="shared" ca="1" si="49"/>
        <v>0</v>
      </c>
      <c r="P160">
        <f ca="1">Inputs!B14+(Inputs!D14-Inputs!B14)*BETAINV(RAND(),Model!H8,Model!I8)</f>
        <v>0.37768008190586577</v>
      </c>
      <c r="Q160">
        <f ca="1">Inputs!E14+(Inputs!G14-Inputs!E14)*BETAINV(RAND(),Model!J8,Model!K8)</f>
        <v>0.65941703242525396</v>
      </c>
      <c r="R160">
        <f ca="1">(Inputs!H14+(Inputs!J14-Inputs!H14)*BETAINV(RAND(),Model!L8,Model!M8))*Inputs!$C$6</f>
        <v>499864.69173300528</v>
      </c>
      <c r="S160">
        <f t="shared" ca="1" si="50"/>
        <v>0.24904867881649287</v>
      </c>
      <c r="T160">
        <f t="shared" ca="1" si="51"/>
        <v>0.84940797265783163</v>
      </c>
      <c r="U160">
        <f t="shared" ca="1" si="52"/>
        <v>1</v>
      </c>
      <c r="V160" s="47">
        <f t="shared" ca="1" si="53"/>
        <v>499864.69173300528</v>
      </c>
      <c r="W160">
        <f ca="1">Inputs!B15+(Inputs!D15-Inputs!B15)*BETAINV(RAND(),Model!H9,Model!I9)</f>
        <v>1.2731105363641455</v>
      </c>
      <c r="X160">
        <f ca="1">Inputs!E15+(Inputs!G15-Inputs!E15)*BETAINV(RAND(),Model!J9,Model!K9)</f>
        <v>0.34712386815022711</v>
      </c>
      <c r="Y160">
        <f ca="1">(Inputs!H15+(Inputs!J15-Inputs!H15)*BETAINV(RAND(),Model!L9,Model!M9))*Inputs!$C$6</f>
        <v>29643.080949488169</v>
      </c>
      <c r="Z160">
        <f t="shared" ca="1" si="54"/>
        <v>0.44192705396553256</v>
      </c>
      <c r="AA160">
        <f t="shared" ca="1" si="55"/>
        <v>0.59460160928674322</v>
      </c>
      <c r="AB160">
        <f t="shared" ca="1" si="56"/>
        <v>0</v>
      </c>
      <c r="AC160" s="47">
        <f t="shared" ca="1" si="57"/>
        <v>0</v>
      </c>
      <c r="AD160">
        <f ca="1">Inputs!B16+(Inputs!D16-Inputs!B16)*BETAINV(RAND(),Model!H10,Model!I10)</f>
        <v>0.53357732887196607</v>
      </c>
      <c r="AE160">
        <f ca="1">Inputs!E16+(Inputs!G16-Inputs!E16)*BETAINV(RAND(),Model!J10,Model!K10)</f>
        <v>0.61108926679813735</v>
      </c>
      <c r="AF160">
        <f ca="1">(Inputs!H16+(Inputs!J16-Inputs!H16)*BETAINV(RAND(),Model!L10,Model!M10))*Inputs!$C$6</f>
        <v>126949.9357510978</v>
      </c>
      <c r="AG160">
        <f t="shared" ca="1" si="58"/>
        <v>0.32606337868047836</v>
      </c>
      <c r="AH160">
        <f t="shared" ca="1" si="59"/>
        <v>0.23139240038263487</v>
      </c>
      <c r="AI160">
        <f t="shared" ca="1" si="60"/>
        <v>0</v>
      </c>
      <c r="AJ160" s="47">
        <f t="shared" ca="1" si="61"/>
        <v>0</v>
      </c>
      <c r="AK160">
        <f t="shared" ca="1" si="62"/>
        <v>596289.99244514853</v>
      </c>
    </row>
    <row r="161" spans="2:37" x14ac:dyDescent="0.2">
      <c r="B161">
        <f ca="1">Inputs!B12+(Inputs!D12-Inputs!B12)*BETAINV(RAND(),Model!H6,Model!I6)</f>
        <v>2.9142357825922676</v>
      </c>
      <c r="C161">
        <f ca="1">Inputs!E12+(Inputs!G12-Inputs!E12)*BETAINV(RAND(),Model!J6,Model!K6)</f>
        <v>0.2773668767458351</v>
      </c>
      <c r="D161">
        <f ca="1">(Inputs!H12+(Inputs!J12-Inputs!H12)*BETAINV(RAND(),Model!L6,Model!M6))*Inputs!$C$6</f>
        <v>17487.84904502903</v>
      </c>
      <c r="E161">
        <f t="shared" ca="1" si="42"/>
        <v>0.80831247711857179</v>
      </c>
      <c r="F161">
        <f t="shared" ca="1" si="43"/>
        <v>0.92526984203216045</v>
      </c>
      <c r="G161">
        <f t="shared" ca="1" si="44"/>
        <v>2</v>
      </c>
      <c r="H161" s="47">
        <f t="shared" ca="1" si="45"/>
        <v>34975.69809005806</v>
      </c>
      <c r="I161">
        <f ca="1">Inputs!B13+(Inputs!D13-Inputs!B13)*BETAINV(RAND(),Model!H7,Model!I7)</f>
        <v>2.1047612773176576</v>
      </c>
      <c r="J161">
        <f ca="1">Inputs!E13+(Inputs!G13-Inputs!E13)*BETAINV(RAND(),Model!J7,Model!K7)</f>
        <v>0.36845838178470769</v>
      </c>
      <c r="K161">
        <f ca="1">(Inputs!H13+(Inputs!J13-Inputs!H13)*BETAINV(RAND(),Model!L7,Model!M7))*Inputs!$C$6</f>
        <v>31344.801688193023</v>
      </c>
      <c r="L161">
        <f t="shared" ca="1" si="46"/>
        <v>0.77551693428357849</v>
      </c>
      <c r="M161">
        <f t="shared" ca="1" si="47"/>
        <v>0.57357420508682788</v>
      </c>
      <c r="N161">
        <f t="shared" ca="1" si="48"/>
        <v>1</v>
      </c>
      <c r="O161" s="47">
        <f t="shared" ca="1" si="49"/>
        <v>31344.801688193023</v>
      </c>
      <c r="P161">
        <f ca="1">Inputs!B14+(Inputs!D14-Inputs!B14)*BETAINV(RAND(),Model!H8,Model!I8)</f>
        <v>0.39938108650437132</v>
      </c>
      <c r="Q161">
        <f ca="1">Inputs!E14+(Inputs!G14-Inputs!E14)*BETAINV(RAND(),Model!J8,Model!K8)</f>
        <v>0.63566193710078656</v>
      </c>
      <c r="R161">
        <f ca="1">(Inputs!H14+(Inputs!J14-Inputs!H14)*BETAINV(RAND(),Model!L8,Model!M8))*Inputs!$C$6</f>
        <v>230520.18900281825</v>
      </c>
      <c r="S161">
        <f t="shared" ca="1" si="50"/>
        <v>0.2538713550887855</v>
      </c>
      <c r="T161">
        <f t="shared" ca="1" si="51"/>
        <v>0.70797129653209279</v>
      </c>
      <c r="U161">
        <f t="shared" ca="1" si="52"/>
        <v>0</v>
      </c>
      <c r="V161" s="47">
        <f t="shared" ca="1" si="53"/>
        <v>0</v>
      </c>
      <c r="W161">
        <f ca="1">Inputs!B15+(Inputs!D15-Inputs!B15)*BETAINV(RAND(),Model!H9,Model!I9)</f>
        <v>0.52924997172155375</v>
      </c>
      <c r="X161">
        <f ca="1">Inputs!E15+(Inputs!G15-Inputs!E15)*BETAINV(RAND(),Model!J9,Model!K9)</f>
        <v>0.38950433764425885</v>
      </c>
      <c r="Y161">
        <f ca="1">(Inputs!H15+(Inputs!J15-Inputs!H15)*BETAINV(RAND(),Model!L9,Model!M9))*Inputs!$C$6</f>
        <v>32472.943699049862</v>
      </c>
      <c r="Z161">
        <f t="shared" ca="1" si="54"/>
        <v>0.20614515968364652</v>
      </c>
      <c r="AA161">
        <f t="shared" ca="1" si="55"/>
        <v>0.69300045661249488</v>
      </c>
      <c r="AB161">
        <f t="shared" ca="1" si="56"/>
        <v>0</v>
      </c>
      <c r="AC161" s="47">
        <f t="shared" ca="1" si="57"/>
        <v>0</v>
      </c>
      <c r="AD161">
        <f ca="1">Inputs!B16+(Inputs!D16-Inputs!B16)*BETAINV(RAND(),Model!H10,Model!I10)</f>
        <v>0.67324606613425553</v>
      </c>
      <c r="AE161">
        <f ca="1">Inputs!E16+(Inputs!G16-Inputs!E16)*BETAINV(RAND(),Model!J10,Model!K10)</f>
        <v>0.46806846351328429</v>
      </c>
      <c r="AF161">
        <f ca="1">(Inputs!H16+(Inputs!J16-Inputs!H16)*BETAINV(RAND(),Model!L10,Model!M10))*Inputs!$C$6</f>
        <v>70053.724968005161</v>
      </c>
      <c r="AG161">
        <f t="shared" ca="1" si="58"/>
        <v>0.31512525174182399</v>
      </c>
      <c r="AH161">
        <f t="shared" ca="1" si="59"/>
        <v>7.7338307849341703E-2</v>
      </c>
      <c r="AI161">
        <f t="shared" ca="1" si="60"/>
        <v>0</v>
      </c>
      <c r="AJ161" s="47">
        <f t="shared" ca="1" si="61"/>
        <v>0</v>
      </c>
      <c r="AK161">
        <f t="shared" ca="1" si="62"/>
        <v>66320.499778251076</v>
      </c>
    </row>
    <row r="162" spans="2:37" x14ac:dyDescent="0.2">
      <c r="B162">
        <f ca="1">Inputs!B12+(Inputs!D12-Inputs!B12)*BETAINV(RAND(),Model!H6,Model!I6)</f>
        <v>4.3177147372473428</v>
      </c>
      <c r="C162">
        <f ca="1">Inputs!E12+(Inputs!G12-Inputs!E12)*BETAINV(RAND(),Model!J6,Model!K6)</f>
        <v>0.28553326278329033</v>
      </c>
      <c r="D162">
        <f ca="1">(Inputs!H12+(Inputs!J12-Inputs!H12)*BETAINV(RAND(),Model!L6,Model!M6))*Inputs!$C$6</f>
        <v>25860.653331555211</v>
      </c>
      <c r="E162">
        <f t="shared" ca="1" si="42"/>
        <v>1.2328511766937309</v>
      </c>
      <c r="F162">
        <f t="shared" ca="1" si="43"/>
        <v>0.15945715579899833</v>
      </c>
      <c r="G162">
        <f t="shared" ca="1" si="44"/>
        <v>0</v>
      </c>
      <c r="H162" s="47">
        <f t="shared" ca="1" si="45"/>
        <v>0</v>
      </c>
      <c r="I162">
        <f ca="1">Inputs!B13+(Inputs!D13-Inputs!B13)*BETAINV(RAND(),Model!H7,Model!I7)</f>
        <v>2.6166167032928032</v>
      </c>
      <c r="J162">
        <f ca="1">Inputs!E13+(Inputs!G13-Inputs!E13)*BETAINV(RAND(),Model!J7,Model!K7)</f>
        <v>0.31703473513012836</v>
      </c>
      <c r="K162">
        <f ca="1">(Inputs!H13+(Inputs!J13-Inputs!H13)*BETAINV(RAND(),Model!L7,Model!M7))*Inputs!$C$6</f>
        <v>20556.03281795992</v>
      </c>
      <c r="L162">
        <f t="shared" ca="1" si="46"/>
        <v>0.82955838346550348</v>
      </c>
      <c r="M162">
        <f t="shared" ca="1" si="47"/>
        <v>0.33537235959058875</v>
      </c>
      <c r="N162">
        <f t="shared" ca="1" si="48"/>
        <v>0</v>
      </c>
      <c r="O162" s="47">
        <f t="shared" ca="1" si="49"/>
        <v>0</v>
      </c>
      <c r="P162">
        <f ca="1">Inputs!B14+(Inputs!D14-Inputs!B14)*BETAINV(RAND(),Model!H8,Model!I8)</f>
        <v>0.33798132599167363</v>
      </c>
      <c r="Q162">
        <f ca="1">Inputs!E14+(Inputs!G14-Inputs!E14)*BETAINV(RAND(),Model!J8,Model!K8)</f>
        <v>0.69361381784187848</v>
      </c>
      <c r="R162">
        <f ca="1">(Inputs!H14+(Inputs!J14-Inputs!H14)*BETAINV(RAND(),Model!L8,Model!M8))*Inputs!$C$6</f>
        <v>328349.76101876894</v>
      </c>
      <c r="S162">
        <f t="shared" ca="1" si="50"/>
        <v>0.23442851788034527</v>
      </c>
      <c r="T162">
        <f t="shared" ca="1" si="51"/>
        <v>0.80274662793624163</v>
      </c>
      <c r="U162">
        <f t="shared" ca="1" si="52"/>
        <v>1</v>
      </c>
      <c r="V162" s="47">
        <f t="shared" ca="1" si="53"/>
        <v>328349.76101876894</v>
      </c>
      <c r="W162">
        <f ca="1">Inputs!B15+(Inputs!D15-Inputs!B15)*BETAINV(RAND(),Model!H9,Model!I9)</f>
        <v>1.2427129119954348</v>
      </c>
      <c r="X162">
        <f ca="1">Inputs!E15+(Inputs!G15-Inputs!E15)*BETAINV(RAND(),Model!J9,Model!K9)</f>
        <v>0.2771692363827043</v>
      </c>
      <c r="Y162">
        <f ca="1">(Inputs!H15+(Inputs!J15-Inputs!H15)*BETAINV(RAND(),Model!L9,Model!M9))*Inputs!$C$6</f>
        <v>27792.100813600642</v>
      </c>
      <c r="Z162">
        <f t="shared" ca="1" si="54"/>
        <v>0.34444178886070148</v>
      </c>
      <c r="AA162">
        <f t="shared" ca="1" si="55"/>
        <v>0.6420230816128859</v>
      </c>
      <c r="AB162">
        <f t="shared" ca="1" si="56"/>
        <v>0</v>
      </c>
      <c r="AC162" s="47">
        <f t="shared" ca="1" si="57"/>
        <v>0</v>
      </c>
      <c r="AD162">
        <f ca="1">Inputs!B16+(Inputs!D16-Inputs!B16)*BETAINV(RAND(),Model!H10,Model!I10)</f>
        <v>0.3581928025398522</v>
      </c>
      <c r="AE162">
        <f ca="1">Inputs!E16+(Inputs!G16-Inputs!E16)*BETAINV(RAND(),Model!J10,Model!K10)</f>
        <v>0.63482971919904208</v>
      </c>
      <c r="AF162">
        <f ca="1">(Inputs!H16+(Inputs!J16-Inputs!H16)*BETAINV(RAND(),Model!L10,Model!M10))*Inputs!$C$6</f>
        <v>83402.111072212836</v>
      </c>
      <c r="AG162">
        <f t="shared" ca="1" si="58"/>
        <v>0.2273914362554923</v>
      </c>
      <c r="AH162">
        <f t="shared" ca="1" si="59"/>
        <v>0.58387576462585278</v>
      </c>
      <c r="AI162">
        <f t="shared" ca="1" si="60"/>
        <v>0</v>
      </c>
      <c r="AJ162" s="47">
        <f t="shared" ca="1" si="61"/>
        <v>0</v>
      </c>
      <c r="AK162">
        <f t="shared" ca="1" si="62"/>
        <v>328349.76101876894</v>
      </c>
    </row>
    <row r="163" spans="2:37" x14ac:dyDescent="0.2">
      <c r="B163">
        <f ca="1">Inputs!B12+(Inputs!D12-Inputs!B12)*BETAINV(RAND(),Model!H6,Model!I6)</f>
        <v>3.2083919217661472</v>
      </c>
      <c r="C163">
        <f ca="1">Inputs!E12+(Inputs!G12-Inputs!E12)*BETAINV(RAND(),Model!J6,Model!K6)</f>
        <v>0.30760698068794667</v>
      </c>
      <c r="D163">
        <f ca="1">(Inputs!H12+(Inputs!J12-Inputs!H12)*BETAINV(RAND(),Model!L6,Model!M6))*Inputs!$C$6</f>
        <v>34300.118577321628</v>
      </c>
      <c r="E163">
        <f t="shared" ca="1" si="42"/>
        <v>0.98692375191808335</v>
      </c>
      <c r="F163">
        <f t="shared" ca="1" si="43"/>
        <v>0.96400562430074843</v>
      </c>
      <c r="G163">
        <f t="shared" ca="1" si="44"/>
        <v>3</v>
      </c>
      <c r="H163" s="47">
        <f t="shared" ca="1" si="45"/>
        <v>102900.35573196488</v>
      </c>
      <c r="I163">
        <f ca="1">Inputs!B13+(Inputs!D13-Inputs!B13)*BETAINV(RAND(),Model!H7,Model!I7)</f>
        <v>1.3240098529398856</v>
      </c>
      <c r="J163">
        <f ca="1">Inputs!E13+(Inputs!G13-Inputs!E13)*BETAINV(RAND(),Model!J7,Model!K7)</f>
        <v>0.31014784053707217</v>
      </c>
      <c r="K163">
        <f ca="1">(Inputs!H13+(Inputs!J13-Inputs!H13)*BETAINV(RAND(),Model!L7,Model!M7))*Inputs!$C$6</f>
        <v>36060.801209321173</v>
      </c>
      <c r="L163">
        <f t="shared" ca="1" si="46"/>
        <v>0.41063879673911202</v>
      </c>
      <c r="M163">
        <f t="shared" ca="1" si="47"/>
        <v>2.6273685713387951E-2</v>
      </c>
      <c r="N163">
        <f t="shared" ca="1" si="48"/>
        <v>0</v>
      </c>
      <c r="O163" s="47">
        <f t="shared" ca="1" si="49"/>
        <v>0</v>
      </c>
      <c r="P163">
        <f ca="1">Inputs!B14+(Inputs!D14-Inputs!B14)*BETAINV(RAND(),Model!H8,Model!I8)</f>
        <v>0.41975478810065781</v>
      </c>
      <c r="Q163">
        <f ca="1">Inputs!E14+(Inputs!G14-Inputs!E14)*BETAINV(RAND(),Model!J8,Model!K8)</f>
        <v>0.60986546215830173</v>
      </c>
      <c r="R163">
        <f ca="1">(Inputs!H14+(Inputs!J14-Inputs!H14)*BETAINV(RAND(),Model!L8,Model!M8))*Inputs!$C$6</f>
        <v>363298.45438474877</v>
      </c>
      <c r="S163">
        <f t="shared" ca="1" si="50"/>
        <v>0.2559939478381677</v>
      </c>
      <c r="T163">
        <f t="shared" ca="1" si="51"/>
        <v>0.18141194410250561</v>
      </c>
      <c r="U163">
        <f t="shared" ca="1" si="52"/>
        <v>0</v>
      </c>
      <c r="V163" s="47">
        <f t="shared" ca="1" si="53"/>
        <v>0</v>
      </c>
      <c r="W163">
        <f ca="1">Inputs!B15+(Inputs!D15-Inputs!B15)*BETAINV(RAND(),Model!H9,Model!I9)</f>
        <v>1.923176065582</v>
      </c>
      <c r="X163">
        <f ca="1">Inputs!E15+(Inputs!G15-Inputs!E15)*BETAINV(RAND(),Model!J9,Model!K9)</f>
        <v>0.28817823225242606</v>
      </c>
      <c r="Y163">
        <f ca="1">(Inputs!H15+(Inputs!J15-Inputs!H15)*BETAINV(RAND(),Model!L9,Model!M9))*Inputs!$C$6</f>
        <v>43927.900480201381</v>
      </c>
      <c r="Z163">
        <f t="shared" ca="1" si="54"/>
        <v>0.5542174788895966</v>
      </c>
      <c r="AA163">
        <f t="shared" ca="1" si="55"/>
        <v>0.41050844210519599</v>
      </c>
      <c r="AB163">
        <f t="shared" ca="1" si="56"/>
        <v>0</v>
      </c>
      <c r="AC163" s="47">
        <f t="shared" ca="1" si="57"/>
        <v>0</v>
      </c>
      <c r="AD163">
        <f ca="1">Inputs!B16+(Inputs!D16-Inputs!B16)*BETAINV(RAND(),Model!H10,Model!I10)</f>
        <v>0.36253689243505444</v>
      </c>
      <c r="AE163">
        <f ca="1">Inputs!E16+(Inputs!G16-Inputs!E16)*BETAINV(RAND(),Model!J10,Model!K10)</f>
        <v>0.62085440248430723</v>
      </c>
      <c r="AF163">
        <f ca="1">(Inputs!H16+(Inputs!J16-Inputs!H16)*BETAINV(RAND(),Model!L10,Model!M10))*Inputs!$C$6</f>
        <v>62734.034037631347</v>
      </c>
      <c r="AG163">
        <f t="shared" ca="1" si="58"/>
        <v>0.22508262573128329</v>
      </c>
      <c r="AH163">
        <f t="shared" ca="1" si="59"/>
        <v>2.5349544607257357E-2</v>
      </c>
      <c r="AI163">
        <f t="shared" ca="1" si="60"/>
        <v>0</v>
      </c>
      <c r="AJ163" s="47">
        <f t="shared" ca="1" si="61"/>
        <v>0</v>
      </c>
      <c r="AK163">
        <f t="shared" ca="1" si="62"/>
        <v>102900.35573196488</v>
      </c>
    </row>
    <row r="164" spans="2:37" x14ac:dyDescent="0.2">
      <c r="B164">
        <f ca="1">Inputs!B12+(Inputs!D12-Inputs!B12)*BETAINV(RAND(),Model!H6,Model!I6)</f>
        <v>4.6023719348701935</v>
      </c>
      <c r="C164">
        <f ca="1">Inputs!E12+(Inputs!G12-Inputs!E12)*BETAINV(RAND(),Model!J6,Model!K6)</f>
        <v>0.44569191729022928</v>
      </c>
      <c r="D164">
        <f ca="1">(Inputs!H12+(Inputs!J12-Inputs!H12)*BETAINV(RAND(),Model!L6,Model!M6))*Inputs!$C$6</f>
        <v>30292.182232057308</v>
      </c>
      <c r="E164">
        <f t="shared" ca="1" si="42"/>
        <v>2.0512399717350389</v>
      </c>
      <c r="F164">
        <f t="shared" ca="1" si="43"/>
        <v>0.95611334928357972</v>
      </c>
      <c r="G164">
        <f t="shared" ca="1" si="44"/>
        <v>4</v>
      </c>
      <c r="H164" s="47">
        <f t="shared" ca="1" si="45"/>
        <v>121168.72892822923</v>
      </c>
      <c r="I164">
        <f ca="1">Inputs!B13+(Inputs!D13-Inputs!B13)*BETAINV(RAND(),Model!H7,Model!I7)</f>
        <v>1.1116570683067992</v>
      </c>
      <c r="J164">
        <f ca="1">Inputs!E13+(Inputs!G13-Inputs!E13)*BETAINV(RAND(),Model!J7,Model!K7)</f>
        <v>0.29942328173660787</v>
      </c>
      <c r="K164">
        <f ca="1">(Inputs!H13+(Inputs!J13-Inputs!H13)*BETAINV(RAND(),Model!L7,Model!M7))*Inputs!$C$6</f>
        <v>48169.494925874838</v>
      </c>
      <c r="L164">
        <f t="shared" ca="1" si="46"/>
        <v>0.33285600755811828</v>
      </c>
      <c r="M164">
        <f t="shared" ca="1" si="47"/>
        <v>0.5519917276864621</v>
      </c>
      <c r="N164">
        <f t="shared" ca="1" si="48"/>
        <v>0</v>
      </c>
      <c r="O164" s="47">
        <f t="shared" ca="1" si="49"/>
        <v>0</v>
      </c>
      <c r="P164">
        <f ca="1">Inputs!B14+(Inputs!D14-Inputs!B14)*BETAINV(RAND(),Model!H8,Model!I8)</f>
        <v>0.3111881014299413</v>
      </c>
      <c r="Q164">
        <f ca="1">Inputs!E14+(Inputs!G14-Inputs!E14)*BETAINV(RAND(),Model!J8,Model!K8)</f>
        <v>0.67600428020844494</v>
      </c>
      <c r="R164">
        <f ca="1">(Inputs!H14+(Inputs!J14-Inputs!H14)*BETAINV(RAND(),Model!L8,Model!M8))*Inputs!$C$6</f>
        <v>371222.64194850897</v>
      </c>
      <c r="S164">
        <f t="shared" ca="1" si="50"/>
        <v>0.21036448851658002</v>
      </c>
      <c r="T164">
        <f t="shared" ca="1" si="51"/>
        <v>0.95015562301262935</v>
      </c>
      <c r="U164">
        <f t="shared" ca="1" si="52"/>
        <v>1</v>
      </c>
      <c r="V164" s="47">
        <f t="shared" ca="1" si="53"/>
        <v>371222.64194850897</v>
      </c>
      <c r="W164">
        <f ca="1">Inputs!B15+(Inputs!D15-Inputs!B15)*BETAINV(RAND(),Model!H9,Model!I9)</f>
        <v>0.91918360765845164</v>
      </c>
      <c r="X164">
        <f ca="1">Inputs!E15+(Inputs!G15-Inputs!E15)*BETAINV(RAND(),Model!J9,Model!K9)</f>
        <v>0.47390302881166146</v>
      </c>
      <c r="Y164">
        <f ca="1">(Inputs!H15+(Inputs!J15-Inputs!H15)*BETAINV(RAND(),Model!L9,Model!M9))*Inputs!$C$6</f>
        <v>30160.639369354089</v>
      </c>
      <c r="Z164">
        <f t="shared" ca="1" si="54"/>
        <v>0.43560389570337016</v>
      </c>
      <c r="AA164">
        <f t="shared" ca="1" si="55"/>
        <v>0.83446767499170516</v>
      </c>
      <c r="AB164">
        <f t="shared" ca="1" si="56"/>
        <v>1</v>
      </c>
      <c r="AC164" s="47">
        <f t="shared" ca="1" si="57"/>
        <v>30160.639369354089</v>
      </c>
      <c r="AD164">
        <f ca="1">Inputs!B16+(Inputs!D16-Inputs!B16)*BETAINV(RAND(),Model!H10,Model!I10)</f>
        <v>0.93836287528466733</v>
      </c>
      <c r="AE164">
        <f ca="1">Inputs!E16+(Inputs!G16-Inputs!E16)*BETAINV(RAND(),Model!J10,Model!K10)</f>
        <v>0.68354142019533415</v>
      </c>
      <c r="AF164">
        <f ca="1">(Inputs!H16+(Inputs!J16-Inputs!H16)*BETAINV(RAND(),Model!L10,Model!M10))*Inputs!$C$6</f>
        <v>72436.709454013398</v>
      </c>
      <c r="AG164">
        <f t="shared" ca="1" si="58"/>
        <v>0.64140989243065871</v>
      </c>
      <c r="AH164">
        <f t="shared" ca="1" si="59"/>
        <v>0.22038184426823726</v>
      </c>
      <c r="AI164">
        <f t="shared" ca="1" si="60"/>
        <v>0</v>
      </c>
      <c r="AJ164" s="47">
        <f t="shared" ca="1" si="61"/>
        <v>0</v>
      </c>
      <c r="AK164">
        <f t="shared" ca="1" si="62"/>
        <v>522552.01024609234</v>
      </c>
    </row>
    <row r="165" spans="2:37" x14ac:dyDescent="0.2">
      <c r="B165">
        <f ca="1">Inputs!B12+(Inputs!D12-Inputs!B12)*BETAINV(RAND(),Model!H6,Model!I6)</f>
        <v>6.3514173431575589</v>
      </c>
      <c r="C165">
        <f ca="1">Inputs!E12+(Inputs!G12-Inputs!E12)*BETAINV(RAND(),Model!J6,Model!K6)</f>
        <v>0.29954518363370708</v>
      </c>
      <c r="D165">
        <f ca="1">(Inputs!H12+(Inputs!J12-Inputs!H12)*BETAINV(RAND(),Model!L6,Model!M6))*Inputs!$C$6</f>
        <v>45697.36211435141</v>
      </c>
      <c r="E165">
        <f t="shared" ca="1" si="42"/>
        <v>1.9025364743904429</v>
      </c>
      <c r="F165">
        <f t="shared" ca="1" si="43"/>
        <v>0.30101254269298805</v>
      </c>
      <c r="G165">
        <f t="shared" ca="1" si="44"/>
        <v>1</v>
      </c>
      <c r="H165" s="47">
        <f t="shared" ca="1" si="45"/>
        <v>45697.36211435141</v>
      </c>
      <c r="I165">
        <f ca="1">Inputs!B13+(Inputs!D13-Inputs!B13)*BETAINV(RAND(),Model!H7,Model!I7)</f>
        <v>0.86713785155123446</v>
      </c>
      <c r="J165">
        <f ca="1">Inputs!E13+(Inputs!G13-Inputs!E13)*BETAINV(RAND(),Model!J7,Model!K7)</f>
        <v>0.23252422962822691</v>
      </c>
      <c r="K165">
        <f ca="1">(Inputs!H13+(Inputs!J13-Inputs!H13)*BETAINV(RAND(),Model!L7,Model!M7))*Inputs!$C$6</f>
        <v>36046.656447487912</v>
      </c>
      <c r="L165">
        <f t="shared" ca="1" si="46"/>
        <v>0.20163056091342657</v>
      </c>
      <c r="M165">
        <f t="shared" ca="1" si="47"/>
        <v>0.12784429625109195</v>
      </c>
      <c r="N165">
        <f t="shared" ca="1" si="48"/>
        <v>0</v>
      </c>
      <c r="O165" s="47">
        <f t="shared" ca="1" si="49"/>
        <v>0</v>
      </c>
      <c r="P165">
        <f ca="1">Inputs!B14+(Inputs!D14-Inputs!B14)*BETAINV(RAND(),Model!H8,Model!I8)</f>
        <v>0.21472849299982549</v>
      </c>
      <c r="Q165">
        <f ca="1">Inputs!E14+(Inputs!G14-Inputs!E14)*BETAINV(RAND(),Model!J8,Model!K8)</f>
        <v>0.7244520699076219</v>
      </c>
      <c r="R165">
        <f ca="1">(Inputs!H14+(Inputs!J14-Inputs!H14)*BETAINV(RAND(),Model!L8,Model!M8))*Inputs!$C$6</f>
        <v>268743.6587951656</v>
      </c>
      <c r="S165">
        <f t="shared" ca="1" si="50"/>
        <v>0.15556050122186788</v>
      </c>
      <c r="T165">
        <f t="shared" ca="1" si="51"/>
        <v>0.56660762839831869</v>
      </c>
      <c r="U165">
        <f t="shared" ca="1" si="52"/>
        <v>0</v>
      </c>
      <c r="V165" s="47">
        <f t="shared" ca="1" si="53"/>
        <v>0</v>
      </c>
      <c r="W165">
        <f ca="1">Inputs!B15+(Inputs!D15-Inputs!B15)*BETAINV(RAND(),Model!H9,Model!I9)</f>
        <v>0.92692139963268927</v>
      </c>
      <c r="X165">
        <f ca="1">Inputs!E15+(Inputs!G15-Inputs!E15)*BETAINV(RAND(),Model!J9,Model!K9)</f>
        <v>0.44866230673163998</v>
      </c>
      <c r="Y165">
        <f ca="1">(Inputs!H15+(Inputs!J15-Inputs!H15)*BETAINV(RAND(),Model!L9,Model!M9))*Inputs!$C$6</f>
        <v>10380.076750848792</v>
      </c>
      <c r="Z165">
        <f t="shared" ca="1" si="54"/>
        <v>0.41587469331812266</v>
      </c>
      <c r="AA165">
        <f t="shared" ca="1" si="55"/>
        <v>0.6226694994186982</v>
      </c>
      <c r="AB165">
        <f t="shared" ca="1" si="56"/>
        <v>0</v>
      </c>
      <c r="AC165" s="47">
        <f t="shared" ca="1" si="57"/>
        <v>0</v>
      </c>
      <c r="AD165">
        <f ca="1">Inputs!B16+(Inputs!D16-Inputs!B16)*BETAINV(RAND(),Model!H10,Model!I10)</f>
        <v>0.50426302477226226</v>
      </c>
      <c r="AE165">
        <f ca="1">Inputs!E16+(Inputs!G16-Inputs!E16)*BETAINV(RAND(),Model!J10,Model!K10)</f>
        <v>0.45497308942798942</v>
      </c>
      <c r="AF165">
        <f ca="1">(Inputs!H16+(Inputs!J16-Inputs!H16)*BETAINV(RAND(),Model!L10,Model!M10))*Inputs!$C$6</f>
        <v>59626.782902088475</v>
      </c>
      <c r="AG165">
        <f t="shared" ca="1" si="58"/>
        <v>0.22942610626493892</v>
      </c>
      <c r="AH165">
        <f t="shared" ca="1" si="59"/>
        <v>0.61421789780731306</v>
      </c>
      <c r="AI165">
        <f t="shared" ca="1" si="60"/>
        <v>0</v>
      </c>
      <c r="AJ165" s="47">
        <f t="shared" ca="1" si="61"/>
        <v>0</v>
      </c>
      <c r="AK165">
        <f t="shared" ca="1" si="62"/>
        <v>45697.36211435141</v>
      </c>
    </row>
    <row r="166" spans="2:37" x14ac:dyDescent="0.2">
      <c r="B166">
        <f ca="1">Inputs!B12+(Inputs!D12-Inputs!B12)*BETAINV(RAND(),Model!H6,Model!I6)</f>
        <v>1.4234580739901352</v>
      </c>
      <c r="C166">
        <f ca="1">Inputs!E12+(Inputs!G12-Inputs!E12)*BETAINV(RAND(),Model!J6,Model!K6)</f>
        <v>0.35489497731167674</v>
      </c>
      <c r="D166">
        <f ca="1">(Inputs!H12+(Inputs!J12-Inputs!H12)*BETAINV(RAND(),Model!L6,Model!M6))*Inputs!$C$6</f>
        <v>46977.679855279646</v>
      </c>
      <c r="E166">
        <f t="shared" ca="1" si="42"/>
        <v>0.50517812087285208</v>
      </c>
      <c r="F166">
        <f t="shared" ca="1" si="43"/>
        <v>3.2332508154685469E-3</v>
      </c>
      <c r="G166">
        <f t="shared" ca="1" si="44"/>
        <v>0</v>
      </c>
      <c r="H166" s="47">
        <f t="shared" ca="1" si="45"/>
        <v>0</v>
      </c>
      <c r="I166">
        <f ca="1">Inputs!B13+(Inputs!D13-Inputs!B13)*BETAINV(RAND(),Model!H7,Model!I7)</f>
        <v>1.5316720180324301</v>
      </c>
      <c r="J166">
        <f ca="1">Inputs!E13+(Inputs!G13-Inputs!E13)*BETAINV(RAND(),Model!J7,Model!K7)</f>
        <v>0.14549604993984586</v>
      </c>
      <c r="K166">
        <f ca="1">(Inputs!H13+(Inputs!J13-Inputs!H13)*BETAINV(RAND(),Model!L7,Model!M7))*Inputs!$C$6</f>
        <v>21168.039795257195</v>
      </c>
      <c r="L166">
        <f t="shared" ca="1" si="46"/>
        <v>0.22285222842711094</v>
      </c>
      <c r="M166">
        <f t="shared" ca="1" si="47"/>
        <v>0.63432623956558631</v>
      </c>
      <c r="N166">
        <f t="shared" ca="1" si="48"/>
        <v>0</v>
      </c>
      <c r="O166" s="47">
        <f t="shared" ca="1" si="49"/>
        <v>0</v>
      </c>
      <c r="P166">
        <f ca="1">Inputs!B14+(Inputs!D14-Inputs!B14)*BETAINV(RAND(),Model!H8,Model!I8)</f>
        <v>0.2656649611349069</v>
      </c>
      <c r="Q166">
        <f ca="1">Inputs!E14+(Inputs!G14-Inputs!E14)*BETAINV(RAND(),Model!J8,Model!K8)</f>
        <v>0.55246618052378371</v>
      </c>
      <c r="R166">
        <f ca="1">(Inputs!H14+(Inputs!J14-Inputs!H14)*BETAINV(RAND(),Model!L8,Model!M8))*Inputs!$C$6</f>
        <v>328230.71769244934</v>
      </c>
      <c r="S166">
        <f t="shared" ca="1" si="50"/>
        <v>0.14677090637720144</v>
      </c>
      <c r="T166">
        <f t="shared" ca="1" si="51"/>
        <v>0.61079543056287711</v>
      </c>
      <c r="U166">
        <f t="shared" ca="1" si="52"/>
        <v>0</v>
      </c>
      <c r="V166" s="47">
        <f t="shared" ca="1" si="53"/>
        <v>0</v>
      </c>
      <c r="W166">
        <f ca="1">Inputs!B15+(Inputs!D15-Inputs!B15)*BETAINV(RAND(),Model!H9,Model!I9)</f>
        <v>1.4653918489424149</v>
      </c>
      <c r="X166">
        <f ca="1">Inputs!E15+(Inputs!G15-Inputs!E15)*BETAINV(RAND(),Model!J9,Model!K9)</f>
        <v>0.27063654811900734</v>
      </c>
      <c r="Y166">
        <f ca="1">(Inputs!H15+(Inputs!J15-Inputs!H15)*BETAINV(RAND(),Model!L9,Model!M9))*Inputs!$C$6</f>
        <v>31703.606219978457</v>
      </c>
      <c r="Z166">
        <f t="shared" ca="1" si="54"/>
        <v>0.39658859163950499</v>
      </c>
      <c r="AA166">
        <f t="shared" ca="1" si="55"/>
        <v>8.2847571896861316E-3</v>
      </c>
      <c r="AB166">
        <f t="shared" ca="1" si="56"/>
        <v>0</v>
      </c>
      <c r="AC166" s="47">
        <f t="shared" ca="1" si="57"/>
        <v>0</v>
      </c>
      <c r="AD166">
        <f ca="1">Inputs!B16+(Inputs!D16-Inputs!B16)*BETAINV(RAND(),Model!H10,Model!I10)</f>
        <v>0.45676137933607874</v>
      </c>
      <c r="AE166">
        <f ca="1">Inputs!E16+(Inputs!G16-Inputs!E16)*BETAINV(RAND(),Model!J10,Model!K10)</f>
        <v>0.65562661352850604</v>
      </c>
      <c r="AF166">
        <f ca="1">(Inputs!H16+(Inputs!J16-Inputs!H16)*BETAINV(RAND(),Model!L10,Model!M10))*Inputs!$C$6</f>
        <v>41788.166993676881</v>
      </c>
      <c r="AG166">
        <f t="shared" ca="1" si="58"/>
        <v>0.29946491632472266</v>
      </c>
      <c r="AH166">
        <f t="shared" ca="1" si="59"/>
        <v>0.32600009846541544</v>
      </c>
      <c r="AI166">
        <f t="shared" ca="1" si="60"/>
        <v>0</v>
      </c>
      <c r="AJ166" s="47">
        <f t="shared" ca="1" si="61"/>
        <v>0</v>
      </c>
      <c r="AK166">
        <f t="shared" ca="1" si="62"/>
        <v>0</v>
      </c>
    </row>
    <row r="167" spans="2:37" x14ac:dyDescent="0.2">
      <c r="B167">
        <f ca="1">Inputs!B12+(Inputs!D12-Inputs!B12)*BETAINV(RAND(),Model!H6,Model!I6)</f>
        <v>5.1870056144526098</v>
      </c>
      <c r="C167">
        <f ca="1">Inputs!E12+(Inputs!G12-Inputs!E12)*BETAINV(RAND(),Model!J6,Model!K6)</f>
        <v>0.20753215607621261</v>
      </c>
      <c r="D167">
        <f ca="1">(Inputs!H12+(Inputs!J12-Inputs!H12)*BETAINV(RAND(),Model!L6,Model!M6))*Inputs!$C$6</f>
        <v>16582.132781045289</v>
      </c>
      <c r="E167">
        <f t="shared" ca="1" si="42"/>
        <v>1.0764704587467702</v>
      </c>
      <c r="F167">
        <f t="shared" ca="1" si="43"/>
        <v>0.79285924897171722</v>
      </c>
      <c r="G167">
        <f t="shared" ca="1" si="44"/>
        <v>2</v>
      </c>
      <c r="H167" s="47">
        <f t="shared" ca="1" si="45"/>
        <v>33164.265562090579</v>
      </c>
      <c r="I167">
        <f ca="1">Inputs!B13+(Inputs!D13-Inputs!B13)*BETAINV(RAND(),Model!H7,Model!I7)</f>
        <v>2.0304570165846823</v>
      </c>
      <c r="J167">
        <f ca="1">Inputs!E13+(Inputs!G13-Inputs!E13)*BETAINV(RAND(),Model!J7,Model!K7)</f>
        <v>0.35900734666627299</v>
      </c>
      <c r="K167">
        <f ca="1">(Inputs!H13+(Inputs!J13-Inputs!H13)*BETAINV(RAND(),Model!L7,Model!M7))*Inputs!$C$6</f>
        <v>22212.950229964365</v>
      </c>
      <c r="L167">
        <f t="shared" ca="1" si="46"/>
        <v>0.72894898604398339</v>
      </c>
      <c r="M167">
        <f t="shared" ca="1" si="47"/>
        <v>0.95788889296945623</v>
      </c>
      <c r="N167">
        <f t="shared" ca="1" si="48"/>
        <v>2</v>
      </c>
      <c r="O167" s="47">
        <f t="shared" ca="1" si="49"/>
        <v>44425.900459928729</v>
      </c>
      <c r="P167">
        <f ca="1">Inputs!B14+(Inputs!D14-Inputs!B14)*BETAINV(RAND(),Model!H8,Model!I8)</f>
        <v>0.38542655647671953</v>
      </c>
      <c r="Q167">
        <f ca="1">Inputs!E14+(Inputs!G14-Inputs!E14)*BETAINV(RAND(),Model!J8,Model!K8)</f>
        <v>0.48087134168389334</v>
      </c>
      <c r="R167">
        <f ca="1">(Inputs!H14+(Inputs!J14-Inputs!H14)*BETAINV(RAND(),Model!L8,Model!M8))*Inputs!$C$6</f>
        <v>258336.20513577963</v>
      </c>
      <c r="S167">
        <f t="shared" ca="1" si="50"/>
        <v>0.18534058533356301</v>
      </c>
      <c r="T167">
        <f t="shared" ca="1" si="51"/>
        <v>0.48433585936097123</v>
      </c>
      <c r="U167">
        <f t="shared" ca="1" si="52"/>
        <v>0</v>
      </c>
      <c r="V167" s="47">
        <f t="shared" ca="1" si="53"/>
        <v>0</v>
      </c>
      <c r="W167">
        <f ca="1">Inputs!B15+(Inputs!D15-Inputs!B15)*BETAINV(RAND(),Model!H9,Model!I9)</f>
        <v>1.6609359172304365</v>
      </c>
      <c r="X167">
        <f ca="1">Inputs!E15+(Inputs!G15-Inputs!E15)*BETAINV(RAND(),Model!J9,Model!K9)</f>
        <v>0.43199301073109098</v>
      </c>
      <c r="Y167">
        <f ca="1">(Inputs!H15+(Inputs!J15-Inputs!H15)*BETAINV(RAND(),Model!L9,Model!M9))*Inputs!$C$6</f>
        <v>33646.376529273686</v>
      </c>
      <c r="Z167">
        <f t="shared" ca="1" si="54"/>
        <v>0.71751270751578244</v>
      </c>
      <c r="AA167">
        <f t="shared" ca="1" si="55"/>
        <v>0.7812622210091511</v>
      </c>
      <c r="AB167">
        <f t="shared" ca="1" si="56"/>
        <v>1</v>
      </c>
      <c r="AC167" s="47">
        <f t="shared" ca="1" si="57"/>
        <v>33646.376529273686</v>
      </c>
      <c r="AD167">
        <f ca="1">Inputs!B16+(Inputs!D16-Inputs!B16)*BETAINV(RAND(),Model!H10,Model!I10)</f>
        <v>0.9078386063813122</v>
      </c>
      <c r="AE167">
        <f ca="1">Inputs!E16+(Inputs!G16-Inputs!E16)*BETAINV(RAND(),Model!J10,Model!K10)</f>
        <v>0.71728285915136603</v>
      </c>
      <c r="AF167">
        <f ca="1">(Inputs!H16+(Inputs!J16-Inputs!H16)*BETAINV(RAND(),Model!L10,Model!M10))*Inputs!$C$6</f>
        <v>93175.779003045667</v>
      </c>
      <c r="AG167">
        <f t="shared" ca="1" si="58"/>
        <v>0.65117707123317914</v>
      </c>
      <c r="AH167">
        <f t="shared" ca="1" si="59"/>
        <v>0.32829604937690382</v>
      </c>
      <c r="AI167">
        <f t="shared" ca="1" si="60"/>
        <v>0</v>
      </c>
      <c r="AJ167" s="47">
        <f t="shared" ca="1" si="61"/>
        <v>0</v>
      </c>
      <c r="AK167">
        <f t="shared" ca="1" si="62"/>
        <v>111236.54255129301</v>
      </c>
    </row>
    <row r="168" spans="2:37" x14ac:dyDescent="0.2">
      <c r="B168">
        <f ca="1">Inputs!B12+(Inputs!D12-Inputs!B12)*BETAINV(RAND(),Model!H6,Model!I6)</f>
        <v>3.86556641110481</v>
      </c>
      <c r="C168">
        <f ca="1">Inputs!E12+(Inputs!G12-Inputs!E12)*BETAINV(RAND(),Model!J6,Model!K6)</f>
        <v>0.38960884817021602</v>
      </c>
      <c r="D168">
        <f ca="1">(Inputs!H12+(Inputs!J12-Inputs!H12)*BETAINV(RAND(),Model!L6,Model!M6))*Inputs!$C$6</f>
        <v>15591.551242117765</v>
      </c>
      <c r="E168">
        <f t="shared" ca="1" si="42"/>
        <v>1.5060588769560208</v>
      </c>
      <c r="F168">
        <f t="shared" ca="1" si="43"/>
        <v>0.89588345018354454</v>
      </c>
      <c r="G168">
        <f t="shared" ca="1" si="44"/>
        <v>3</v>
      </c>
      <c r="H168" s="47">
        <f t="shared" ca="1" si="45"/>
        <v>46774.653726353295</v>
      </c>
      <c r="I168">
        <f ca="1">Inputs!B13+(Inputs!D13-Inputs!B13)*BETAINV(RAND(),Model!H7,Model!I7)</f>
        <v>1.6200405529786381</v>
      </c>
      <c r="J168">
        <f ca="1">Inputs!E13+(Inputs!G13-Inputs!E13)*BETAINV(RAND(),Model!J7,Model!K7)</f>
        <v>0.30423423792846238</v>
      </c>
      <c r="K168">
        <f ca="1">(Inputs!H13+(Inputs!J13-Inputs!H13)*BETAINV(RAND(),Model!L7,Model!M7))*Inputs!$C$6</f>
        <v>33072.890588020055</v>
      </c>
      <c r="L168">
        <f t="shared" ca="1" si="46"/>
        <v>0.49287180304866074</v>
      </c>
      <c r="M168">
        <f t="shared" ca="1" si="47"/>
        <v>0.29548403153853009</v>
      </c>
      <c r="N168">
        <f t="shared" ca="1" si="48"/>
        <v>0</v>
      </c>
      <c r="O168" s="47">
        <f t="shared" ca="1" si="49"/>
        <v>0</v>
      </c>
      <c r="P168">
        <f ca="1">Inputs!B14+(Inputs!D14-Inputs!B14)*BETAINV(RAND(),Model!H8,Model!I8)</f>
        <v>0.32523017844581004</v>
      </c>
      <c r="Q168">
        <f ca="1">Inputs!E14+(Inputs!G14-Inputs!E14)*BETAINV(RAND(),Model!J8,Model!K8)</f>
        <v>0.68992444830728328</v>
      </c>
      <c r="R168">
        <f ca="1">(Inputs!H14+(Inputs!J14-Inputs!H14)*BETAINV(RAND(),Model!L8,Model!M8))*Inputs!$C$6</f>
        <v>417413.26026696502</v>
      </c>
      <c r="S168">
        <f t="shared" ca="1" si="50"/>
        <v>0.22438425143710478</v>
      </c>
      <c r="T168">
        <f t="shared" ca="1" si="51"/>
        <v>0.91506845449739249</v>
      </c>
      <c r="U168">
        <f t="shared" ca="1" si="52"/>
        <v>1</v>
      </c>
      <c r="V168" s="47">
        <f t="shared" ca="1" si="53"/>
        <v>417413.26026696502</v>
      </c>
      <c r="W168">
        <f ca="1">Inputs!B15+(Inputs!D15-Inputs!B15)*BETAINV(RAND(),Model!H9,Model!I9)</f>
        <v>1.7783749396694783</v>
      </c>
      <c r="X168">
        <f ca="1">Inputs!E15+(Inputs!G15-Inputs!E15)*BETAINV(RAND(),Model!J9,Model!K9)</f>
        <v>0.61911004790759516</v>
      </c>
      <c r="Y168">
        <f ca="1">(Inputs!H15+(Inputs!J15-Inputs!H15)*BETAINV(RAND(),Model!L9,Model!M9))*Inputs!$C$6</f>
        <v>51568.296193629918</v>
      </c>
      <c r="Z168">
        <f t="shared" ca="1" si="54"/>
        <v>1.1010097940964374</v>
      </c>
      <c r="AA168">
        <f t="shared" ca="1" si="55"/>
        <v>0.46183240823205574</v>
      </c>
      <c r="AB168">
        <f t="shared" ca="1" si="56"/>
        <v>1</v>
      </c>
      <c r="AC168" s="47">
        <f t="shared" ca="1" si="57"/>
        <v>51568.296193629918</v>
      </c>
      <c r="AD168">
        <f ca="1">Inputs!B16+(Inputs!D16-Inputs!B16)*BETAINV(RAND(),Model!H10,Model!I10)</f>
        <v>0.74936047883196166</v>
      </c>
      <c r="AE168">
        <f ca="1">Inputs!E16+(Inputs!G16-Inputs!E16)*BETAINV(RAND(),Model!J10,Model!K10)</f>
        <v>0.54631721436121028</v>
      </c>
      <c r="AF168">
        <f ca="1">(Inputs!H16+(Inputs!J16-Inputs!H16)*BETAINV(RAND(),Model!L10,Model!M10))*Inputs!$C$6</f>
        <v>88833.681581675351</v>
      </c>
      <c r="AG168">
        <f t="shared" ca="1" si="58"/>
        <v>0.40938852934785996</v>
      </c>
      <c r="AH168">
        <f t="shared" ca="1" si="59"/>
        <v>3.5053429861726659E-2</v>
      </c>
      <c r="AI168">
        <f t="shared" ca="1" si="60"/>
        <v>0</v>
      </c>
      <c r="AJ168" s="47">
        <f t="shared" ca="1" si="61"/>
        <v>0</v>
      </c>
      <c r="AK168">
        <f t="shared" ca="1" si="62"/>
        <v>515756.21018694824</v>
      </c>
    </row>
    <row r="169" spans="2:37" x14ac:dyDescent="0.2">
      <c r="B169">
        <f ca="1">Inputs!B12+(Inputs!D12-Inputs!B12)*BETAINV(RAND(),Model!H6,Model!I6)</f>
        <v>1.1940505767065526</v>
      </c>
      <c r="C169">
        <f ca="1">Inputs!E12+(Inputs!G12-Inputs!E12)*BETAINV(RAND(),Model!J6,Model!K6)</f>
        <v>0.26419444593618058</v>
      </c>
      <c r="D169">
        <f ca="1">(Inputs!H12+(Inputs!J12-Inputs!H12)*BETAINV(RAND(),Model!L6,Model!M6))*Inputs!$C$6</f>
        <v>17251.114575182048</v>
      </c>
      <c r="E169">
        <f t="shared" ca="1" si="42"/>
        <v>0.31546153053276454</v>
      </c>
      <c r="F169">
        <f t="shared" ca="1" si="43"/>
        <v>0.98564726221314192</v>
      </c>
      <c r="G169">
        <f t="shared" ca="1" si="44"/>
        <v>2</v>
      </c>
      <c r="H169" s="47">
        <f t="shared" ca="1" si="45"/>
        <v>34502.229150364095</v>
      </c>
      <c r="I169">
        <f ca="1">Inputs!B13+(Inputs!D13-Inputs!B13)*BETAINV(RAND(),Model!H7,Model!I7)</f>
        <v>1.6641588434090793</v>
      </c>
      <c r="J169">
        <f ca="1">Inputs!E13+(Inputs!G13-Inputs!E13)*BETAINV(RAND(),Model!J7,Model!K7)</f>
        <v>0.38097101644819265</v>
      </c>
      <c r="K169">
        <f ca="1">(Inputs!H13+(Inputs!J13-Inputs!H13)*BETAINV(RAND(),Model!L7,Model!M7))*Inputs!$C$6</f>
        <v>23876.058970039288</v>
      </c>
      <c r="L169">
        <f t="shared" ca="1" si="46"/>
        <v>0.63399628610480563</v>
      </c>
      <c r="M169">
        <f t="shared" ca="1" si="47"/>
        <v>0.46063035702484267</v>
      </c>
      <c r="N169">
        <f t="shared" ca="1" si="48"/>
        <v>0</v>
      </c>
      <c r="O169" s="47">
        <f t="shared" ca="1" si="49"/>
        <v>0</v>
      </c>
      <c r="P169">
        <f ca="1">Inputs!B14+(Inputs!D14-Inputs!B14)*BETAINV(RAND(),Model!H8,Model!I8)</f>
        <v>0.1503342518782213</v>
      </c>
      <c r="Q169">
        <f ca="1">Inputs!E14+(Inputs!G14-Inputs!E14)*BETAINV(RAND(),Model!J8,Model!K8)</f>
        <v>0.36076124296454043</v>
      </c>
      <c r="R169">
        <f ca="1">(Inputs!H14+(Inputs!J14-Inputs!H14)*BETAINV(RAND(),Model!L8,Model!M8))*Inputs!$C$6</f>
        <v>543912.42251357262</v>
      </c>
      <c r="S169">
        <f t="shared" ca="1" si="50"/>
        <v>5.4234771567731412E-2</v>
      </c>
      <c r="T169">
        <f t="shared" ca="1" si="51"/>
        <v>8.4926751828885094E-2</v>
      </c>
      <c r="U169">
        <f t="shared" ca="1" si="52"/>
        <v>0</v>
      </c>
      <c r="V169" s="47">
        <f t="shared" ca="1" si="53"/>
        <v>0</v>
      </c>
      <c r="W169">
        <f ca="1">Inputs!B15+(Inputs!D15-Inputs!B15)*BETAINV(RAND(),Model!H9,Model!I9)</f>
        <v>1.0098888670965236</v>
      </c>
      <c r="X169">
        <f ca="1">Inputs!E15+(Inputs!G15-Inputs!E15)*BETAINV(RAND(),Model!J9,Model!K9)</f>
        <v>0.29126723820107747</v>
      </c>
      <c r="Y169">
        <f ca="1">(Inputs!H15+(Inputs!J15-Inputs!H15)*BETAINV(RAND(),Model!L9,Model!M9))*Inputs!$C$6</f>
        <v>9160.72522837006</v>
      </c>
      <c r="Z169">
        <f t="shared" ca="1" si="54"/>
        <v>0.29414754120921943</v>
      </c>
      <c r="AA169">
        <f t="shared" ca="1" si="55"/>
        <v>0.1491531622451715</v>
      </c>
      <c r="AB169">
        <f t="shared" ca="1" si="56"/>
        <v>0</v>
      </c>
      <c r="AC169" s="47">
        <f t="shared" ca="1" si="57"/>
        <v>0</v>
      </c>
      <c r="AD169">
        <f ca="1">Inputs!B16+(Inputs!D16-Inputs!B16)*BETAINV(RAND(),Model!H10,Model!I10)</f>
        <v>0.89213367237780394</v>
      </c>
      <c r="AE169">
        <f ca="1">Inputs!E16+(Inputs!G16-Inputs!E16)*BETAINV(RAND(),Model!J10,Model!K10)</f>
        <v>0.53071447741259814</v>
      </c>
      <c r="AF169">
        <f ca="1">(Inputs!H16+(Inputs!J16-Inputs!H16)*BETAINV(RAND(),Model!L10,Model!M10))*Inputs!$C$6</f>
        <v>122152.20233026835</v>
      </c>
      <c r="AG169">
        <f t="shared" ca="1" si="58"/>
        <v>0.47346825571816825</v>
      </c>
      <c r="AH169">
        <f t="shared" ca="1" si="59"/>
        <v>0.11672795787185541</v>
      </c>
      <c r="AI169">
        <f t="shared" ca="1" si="60"/>
        <v>0</v>
      </c>
      <c r="AJ169" s="47">
        <f t="shared" ca="1" si="61"/>
        <v>0</v>
      </c>
      <c r="AK169">
        <f t="shared" ca="1" si="62"/>
        <v>34502.229150364095</v>
      </c>
    </row>
    <row r="170" spans="2:37" x14ac:dyDescent="0.2">
      <c r="B170">
        <f ca="1">Inputs!B12+(Inputs!D12-Inputs!B12)*BETAINV(RAND(),Model!H6,Model!I6)</f>
        <v>2.4666253174050778</v>
      </c>
      <c r="C170">
        <f ca="1">Inputs!E12+(Inputs!G12-Inputs!E12)*BETAINV(RAND(),Model!J6,Model!K6)</f>
        <v>0.27279902374429305</v>
      </c>
      <c r="D170">
        <f ca="1">(Inputs!H12+(Inputs!J12-Inputs!H12)*BETAINV(RAND(),Model!L6,Model!M6))*Inputs!$C$6</f>
        <v>24899.872064794406</v>
      </c>
      <c r="E170">
        <f t="shared" ca="1" si="42"/>
        <v>0.67289297853106222</v>
      </c>
      <c r="F170">
        <f t="shared" ca="1" si="43"/>
        <v>0.23788817212721114</v>
      </c>
      <c r="G170">
        <f t="shared" ca="1" si="44"/>
        <v>0</v>
      </c>
      <c r="H170" s="47">
        <f t="shared" ca="1" si="45"/>
        <v>0</v>
      </c>
      <c r="I170">
        <f ca="1">Inputs!B13+(Inputs!D13-Inputs!B13)*BETAINV(RAND(),Model!H7,Model!I7)</f>
        <v>0.69639607851176755</v>
      </c>
      <c r="J170">
        <f ca="1">Inputs!E13+(Inputs!G13-Inputs!E13)*BETAINV(RAND(),Model!J7,Model!K7)</f>
        <v>0.14869568188274526</v>
      </c>
      <c r="K170">
        <f ca="1">(Inputs!H13+(Inputs!J13-Inputs!H13)*BETAINV(RAND(),Model!L7,Model!M7))*Inputs!$C$6</f>
        <v>34549.821437425373</v>
      </c>
      <c r="L170">
        <f t="shared" ca="1" si="46"/>
        <v>0.10355108975477709</v>
      </c>
      <c r="M170">
        <f t="shared" ca="1" si="47"/>
        <v>0.18163503931311897</v>
      </c>
      <c r="N170">
        <f t="shared" ca="1" si="48"/>
        <v>0</v>
      </c>
      <c r="O170" s="47">
        <f t="shared" ca="1" si="49"/>
        <v>0</v>
      </c>
      <c r="P170">
        <f ca="1">Inputs!B14+(Inputs!D14-Inputs!B14)*BETAINV(RAND(),Model!H8,Model!I8)</f>
        <v>0.54436595163480928</v>
      </c>
      <c r="Q170">
        <f ca="1">Inputs!E14+(Inputs!G14-Inputs!E14)*BETAINV(RAND(),Model!J8,Model!K8)</f>
        <v>0.49571353042768118</v>
      </c>
      <c r="R170">
        <f ca="1">(Inputs!H14+(Inputs!J14-Inputs!H14)*BETAINV(RAND(),Model!L8,Model!M8))*Inputs!$C$6</f>
        <v>281784.80825249199</v>
      </c>
      <c r="S170">
        <f t="shared" ca="1" si="50"/>
        <v>0.26984956772951563</v>
      </c>
      <c r="T170">
        <f t="shared" ca="1" si="51"/>
        <v>0.4121467416654907</v>
      </c>
      <c r="U170">
        <f t="shared" ca="1" si="52"/>
        <v>0</v>
      </c>
      <c r="V170" s="47">
        <f t="shared" ca="1" si="53"/>
        <v>0</v>
      </c>
      <c r="W170">
        <f ca="1">Inputs!B15+(Inputs!D15-Inputs!B15)*BETAINV(RAND(),Model!H9,Model!I9)</f>
        <v>1.1272208594198865</v>
      </c>
      <c r="X170">
        <f ca="1">Inputs!E15+(Inputs!G15-Inputs!E15)*BETAINV(RAND(),Model!J9,Model!K9)</f>
        <v>0.49248028305086067</v>
      </c>
      <c r="Y170">
        <f ca="1">(Inputs!H15+(Inputs!J15-Inputs!H15)*BETAINV(RAND(),Model!L9,Model!M9))*Inputs!$C$6</f>
        <v>28231.046143283333</v>
      </c>
      <c r="Z170">
        <f t="shared" ca="1" si="54"/>
        <v>0.55513404790794008</v>
      </c>
      <c r="AA170">
        <f t="shared" ca="1" si="55"/>
        <v>0.36822646050239793</v>
      </c>
      <c r="AB170">
        <f t="shared" ca="1" si="56"/>
        <v>0</v>
      </c>
      <c r="AC170" s="47">
        <f t="shared" ca="1" si="57"/>
        <v>0</v>
      </c>
      <c r="AD170">
        <f ca="1">Inputs!B16+(Inputs!D16-Inputs!B16)*BETAINV(RAND(),Model!H10,Model!I10)</f>
        <v>0.43925054078942316</v>
      </c>
      <c r="AE170">
        <f ca="1">Inputs!E16+(Inputs!G16-Inputs!E16)*BETAINV(RAND(),Model!J10,Model!K10)</f>
        <v>0.69476104958421625</v>
      </c>
      <c r="AF170">
        <f ca="1">(Inputs!H16+(Inputs!J16-Inputs!H16)*BETAINV(RAND(),Model!L10,Model!M10))*Inputs!$C$6</f>
        <v>77049.156150420808</v>
      </c>
      <c r="AG170">
        <f t="shared" ca="1" si="58"/>
        <v>0.30517416674929421</v>
      </c>
      <c r="AH170">
        <f t="shared" ca="1" si="59"/>
        <v>0.44569654830928529</v>
      </c>
      <c r="AI170">
        <f t="shared" ca="1" si="60"/>
        <v>0</v>
      </c>
      <c r="AJ170" s="47">
        <f t="shared" ca="1" si="61"/>
        <v>0</v>
      </c>
      <c r="AK170">
        <f t="shared" ca="1" si="62"/>
        <v>0</v>
      </c>
    </row>
    <row r="171" spans="2:37" x14ac:dyDescent="0.2">
      <c r="B171">
        <f ca="1">Inputs!B12+(Inputs!D12-Inputs!B12)*BETAINV(RAND(),Model!H6,Model!I6)</f>
        <v>2.3850710433335918</v>
      </c>
      <c r="C171">
        <f ca="1">Inputs!E12+(Inputs!G12-Inputs!E12)*BETAINV(RAND(),Model!J6,Model!K6)</f>
        <v>0.27786467225044409</v>
      </c>
      <c r="D171">
        <f ca="1">(Inputs!H12+(Inputs!J12-Inputs!H12)*BETAINV(RAND(),Model!L6,Model!M6))*Inputs!$C$6</f>
        <v>17028.97320536105</v>
      </c>
      <c r="E171">
        <f t="shared" ca="1" si="42"/>
        <v>0.66272698374991323</v>
      </c>
      <c r="F171">
        <f t="shared" ca="1" si="43"/>
        <v>0.56920457816284897</v>
      </c>
      <c r="G171">
        <f t="shared" ca="1" si="44"/>
        <v>1</v>
      </c>
      <c r="H171" s="47">
        <f t="shared" ca="1" si="45"/>
        <v>17028.97320536105</v>
      </c>
      <c r="I171">
        <f ca="1">Inputs!B13+(Inputs!D13-Inputs!B13)*BETAINV(RAND(),Model!H7,Model!I7)</f>
        <v>3.1283579767841774</v>
      </c>
      <c r="J171">
        <f ca="1">Inputs!E13+(Inputs!G13-Inputs!E13)*BETAINV(RAND(),Model!J7,Model!K7)</f>
        <v>0.1969867236817357</v>
      </c>
      <c r="K171">
        <f ca="1">(Inputs!H13+(Inputs!J13-Inputs!H13)*BETAINV(RAND(),Model!L7,Model!M7))*Inputs!$C$6</f>
        <v>17389.64986598388</v>
      </c>
      <c r="L171">
        <f t="shared" ca="1" si="46"/>
        <v>0.61624498835033847</v>
      </c>
      <c r="M171">
        <f t="shared" ca="1" si="47"/>
        <v>0.38896327582321388</v>
      </c>
      <c r="N171">
        <f t="shared" ca="1" si="48"/>
        <v>0</v>
      </c>
      <c r="O171" s="47">
        <f t="shared" ca="1" si="49"/>
        <v>0</v>
      </c>
      <c r="P171">
        <f ca="1">Inputs!B14+(Inputs!D14-Inputs!B14)*BETAINV(RAND(),Model!H8,Model!I8)</f>
        <v>0.44354635926694985</v>
      </c>
      <c r="Q171">
        <f ca="1">Inputs!E14+(Inputs!G14-Inputs!E14)*BETAINV(RAND(),Model!J8,Model!K8)</f>
        <v>0.54618661448946815</v>
      </c>
      <c r="R171">
        <f ca="1">(Inputs!H14+(Inputs!J14-Inputs!H14)*BETAINV(RAND(),Model!L8,Model!M8))*Inputs!$C$6</f>
        <v>358461.11700229434</v>
      </c>
      <c r="S171">
        <f t="shared" ca="1" si="50"/>
        <v>0.24225908433714469</v>
      </c>
      <c r="T171">
        <f t="shared" ca="1" si="51"/>
        <v>0.72013162382206319</v>
      </c>
      <c r="U171">
        <f t="shared" ca="1" si="52"/>
        <v>0</v>
      </c>
      <c r="V171" s="47">
        <f t="shared" ca="1" si="53"/>
        <v>0</v>
      </c>
      <c r="W171">
        <f ca="1">Inputs!B15+(Inputs!D15-Inputs!B15)*BETAINV(RAND(),Model!H9,Model!I9)</f>
        <v>0.75800631694281595</v>
      </c>
      <c r="X171">
        <f ca="1">Inputs!E15+(Inputs!G15-Inputs!E15)*BETAINV(RAND(),Model!J9,Model!K9)</f>
        <v>0.33424067597718965</v>
      </c>
      <c r="Y171">
        <f ca="1">(Inputs!H15+(Inputs!J15-Inputs!H15)*BETAINV(RAND(),Model!L9,Model!M9))*Inputs!$C$6</f>
        <v>20677.480405406564</v>
      </c>
      <c r="Z171">
        <f t="shared" ca="1" si="54"/>
        <v>0.25335654376994665</v>
      </c>
      <c r="AA171">
        <f t="shared" ca="1" si="55"/>
        <v>0.33744686911641952</v>
      </c>
      <c r="AB171">
        <f t="shared" ca="1" si="56"/>
        <v>0</v>
      </c>
      <c r="AC171" s="47">
        <f t="shared" ca="1" si="57"/>
        <v>0</v>
      </c>
      <c r="AD171">
        <f ca="1">Inputs!B16+(Inputs!D16-Inputs!B16)*BETAINV(RAND(),Model!H10,Model!I10)</f>
        <v>0.9897073321979335</v>
      </c>
      <c r="AE171">
        <f ca="1">Inputs!E16+(Inputs!G16-Inputs!E16)*BETAINV(RAND(),Model!J10,Model!K10)</f>
        <v>0.67589891340039077</v>
      </c>
      <c r="AF171">
        <f ca="1">(Inputs!H16+(Inputs!J16-Inputs!H16)*BETAINV(RAND(),Model!L10,Model!M10))*Inputs!$C$6</f>
        <v>111463.01236968217</v>
      </c>
      <c r="AG171">
        <f t="shared" ca="1" si="58"/>
        <v>0.66894211041698282</v>
      </c>
      <c r="AH171">
        <f t="shared" ca="1" si="59"/>
        <v>0.37055496587078818</v>
      </c>
      <c r="AI171">
        <f t="shared" ca="1" si="60"/>
        <v>0</v>
      </c>
      <c r="AJ171" s="47">
        <f t="shared" ca="1" si="61"/>
        <v>0</v>
      </c>
      <c r="AK171">
        <f t="shared" ca="1" si="62"/>
        <v>17028.97320536105</v>
      </c>
    </row>
    <row r="172" spans="2:37" x14ac:dyDescent="0.2">
      <c r="B172">
        <f ca="1">Inputs!B12+(Inputs!D12-Inputs!B12)*BETAINV(RAND(),Model!H6,Model!I6)</f>
        <v>3.2652287597868836</v>
      </c>
      <c r="C172">
        <f ca="1">Inputs!E12+(Inputs!G12-Inputs!E12)*BETAINV(RAND(),Model!J6,Model!K6)</f>
        <v>0.42577407157020319</v>
      </c>
      <c r="D172">
        <f ca="1">(Inputs!H12+(Inputs!J12-Inputs!H12)*BETAINV(RAND(),Model!L6,Model!M6))*Inputs!$C$6</f>
        <v>12131.615560918237</v>
      </c>
      <c r="E172">
        <f t="shared" ca="1" si="42"/>
        <v>1.3902497436625865</v>
      </c>
      <c r="F172">
        <f t="shared" ca="1" si="43"/>
        <v>0.11938026718753991</v>
      </c>
      <c r="G172">
        <f t="shared" ca="1" si="44"/>
        <v>0</v>
      </c>
      <c r="H172" s="47">
        <f t="shared" ca="1" si="45"/>
        <v>0</v>
      </c>
      <c r="I172">
        <f ca="1">Inputs!B13+(Inputs!D13-Inputs!B13)*BETAINV(RAND(),Model!H7,Model!I7)</f>
        <v>1.7920015096043977</v>
      </c>
      <c r="J172">
        <f ca="1">Inputs!E13+(Inputs!G13-Inputs!E13)*BETAINV(RAND(),Model!J7,Model!K7)</f>
        <v>0.29888887589714641</v>
      </c>
      <c r="K172">
        <f ca="1">(Inputs!H13+(Inputs!J13-Inputs!H13)*BETAINV(RAND(),Model!L7,Model!M7))*Inputs!$C$6</f>
        <v>46811.854478356181</v>
      </c>
      <c r="L172">
        <f t="shared" ca="1" si="46"/>
        <v>0.53560931681164781</v>
      </c>
      <c r="M172">
        <f t="shared" ca="1" si="47"/>
        <v>0.30247056600916833</v>
      </c>
      <c r="N172">
        <f t="shared" ca="1" si="48"/>
        <v>0</v>
      </c>
      <c r="O172" s="47">
        <f t="shared" ca="1" si="49"/>
        <v>0</v>
      </c>
      <c r="P172">
        <f ca="1">Inputs!B14+(Inputs!D14-Inputs!B14)*BETAINV(RAND(),Model!H8,Model!I8)</f>
        <v>0.45590466651254624</v>
      </c>
      <c r="Q172">
        <f ca="1">Inputs!E14+(Inputs!G14-Inputs!E14)*BETAINV(RAND(),Model!J8,Model!K8)</f>
        <v>0.60473450418363406</v>
      </c>
      <c r="R172">
        <f ca="1">(Inputs!H14+(Inputs!J14-Inputs!H14)*BETAINV(RAND(),Model!L8,Model!M8))*Inputs!$C$6</f>
        <v>316548.08885423379</v>
      </c>
      <c r="S172">
        <f t="shared" ca="1" si="50"/>
        <v>0.2757012824584697</v>
      </c>
      <c r="T172">
        <f t="shared" ca="1" si="51"/>
        <v>0.64534655601396229</v>
      </c>
      <c r="U172">
        <f t="shared" ca="1" si="52"/>
        <v>0</v>
      </c>
      <c r="V172" s="47">
        <f t="shared" ca="1" si="53"/>
        <v>0</v>
      </c>
      <c r="W172">
        <f ca="1">Inputs!B15+(Inputs!D15-Inputs!B15)*BETAINV(RAND(),Model!H9,Model!I9)</f>
        <v>1.4246944024149391</v>
      </c>
      <c r="X172">
        <f ca="1">Inputs!E15+(Inputs!G15-Inputs!E15)*BETAINV(RAND(),Model!J9,Model!K9)</f>
        <v>0.48490604688915684</v>
      </c>
      <c r="Y172">
        <f ca="1">(Inputs!H15+(Inputs!J15-Inputs!H15)*BETAINV(RAND(),Model!L9,Model!M9))*Inputs!$C$6</f>
        <v>30295.404527015726</v>
      </c>
      <c r="Z172">
        <f t="shared" ca="1" si="54"/>
        <v>0.69084293070013769</v>
      </c>
      <c r="AA172">
        <f t="shared" ca="1" si="55"/>
        <v>0.92934840446386557</v>
      </c>
      <c r="AB172">
        <f t="shared" ca="1" si="56"/>
        <v>2</v>
      </c>
      <c r="AC172" s="47">
        <f t="shared" ca="1" si="57"/>
        <v>60590.809054031452</v>
      </c>
      <c r="AD172">
        <f ca="1">Inputs!B16+(Inputs!D16-Inputs!B16)*BETAINV(RAND(),Model!H10,Model!I10)</f>
        <v>0.72096411948206551</v>
      </c>
      <c r="AE172">
        <f ca="1">Inputs!E16+(Inputs!G16-Inputs!E16)*BETAINV(RAND(),Model!J10,Model!K10)</f>
        <v>0.57086456779270689</v>
      </c>
      <c r="AF172">
        <f ca="1">(Inputs!H16+(Inputs!J16-Inputs!H16)*BETAINV(RAND(),Model!L10,Model!M10))*Inputs!$C$6</f>
        <v>49927.505893849964</v>
      </c>
      <c r="AG172">
        <f t="shared" ca="1" si="58"/>
        <v>0.41157287046217883</v>
      </c>
      <c r="AH172">
        <f t="shared" ca="1" si="59"/>
        <v>0.69841253794340785</v>
      </c>
      <c r="AI172">
        <f t="shared" ca="1" si="60"/>
        <v>1</v>
      </c>
      <c r="AJ172" s="47">
        <f t="shared" ca="1" si="61"/>
        <v>49927.505893849964</v>
      </c>
      <c r="AK172">
        <f t="shared" ca="1" si="62"/>
        <v>110518.31494788142</v>
      </c>
    </row>
    <row r="173" spans="2:37" x14ac:dyDescent="0.2">
      <c r="B173">
        <f ca="1">Inputs!B12+(Inputs!D12-Inputs!B12)*BETAINV(RAND(),Model!H6,Model!I6)</f>
        <v>2.6910101675570157</v>
      </c>
      <c r="C173">
        <f ca="1">Inputs!E12+(Inputs!G12-Inputs!E12)*BETAINV(RAND(),Model!J6,Model!K6)</f>
        <v>0.22206375796711017</v>
      </c>
      <c r="D173">
        <f ca="1">(Inputs!H12+(Inputs!J12-Inputs!H12)*BETAINV(RAND(),Model!L6,Model!M6))*Inputs!$C$6</f>
        <v>15686.196246240363</v>
      </c>
      <c r="E173">
        <f t="shared" ca="1" si="42"/>
        <v>0.59757583053541374</v>
      </c>
      <c r="F173">
        <f t="shared" ca="1" si="43"/>
        <v>0.70376148987153964</v>
      </c>
      <c r="G173">
        <f t="shared" ca="1" si="44"/>
        <v>1</v>
      </c>
      <c r="H173" s="47">
        <f t="shared" ca="1" si="45"/>
        <v>15686.196246240363</v>
      </c>
      <c r="I173">
        <f ca="1">Inputs!B13+(Inputs!D13-Inputs!B13)*BETAINV(RAND(),Model!H7,Model!I7)</f>
        <v>3.0610561283682571</v>
      </c>
      <c r="J173">
        <f ca="1">Inputs!E13+(Inputs!G13-Inputs!E13)*BETAINV(RAND(),Model!J7,Model!K7)</f>
        <v>0.29428208292137992</v>
      </c>
      <c r="K173">
        <f ca="1">(Inputs!H13+(Inputs!J13-Inputs!H13)*BETAINV(RAND(),Model!L7,Model!M7))*Inputs!$C$6</f>
        <v>34890.449745451486</v>
      </c>
      <c r="L173">
        <f t="shared" ca="1" si="46"/>
        <v>0.90081397339546565</v>
      </c>
      <c r="M173">
        <f t="shared" ca="1" si="47"/>
        <v>0.94721553599925867</v>
      </c>
      <c r="N173">
        <f t="shared" ca="1" si="48"/>
        <v>3</v>
      </c>
      <c r="O173" s="47">
        <f t="shared" ca="1" si="49"/>
        <v>104671.34923635446</v>
      </c>
      <c r="P173">
        <f ca="1">Inputs!B14+(Inputs!D14-Inputs!B14)*BETAINV(RAND(),Model!H8,Model!I8)</f>
        <v>0.40655668766057618</v>
      </c>
      <c r="Q173">
        <f ca="1">Inputs!E14+(Inputs!G14-Inputs!E14)*BETAINV(RAND(),Model!J8,Model!K8)</f>
        <v>0.75947540208322295</v>
      </c>
      <c r="R173">
        <f ca="1">(Inputs!H14+(Inputs!J14-Inputs!H14)*BETAINV(RAND(),Model!L8,Model!M8))*Inputs!$C$6</f>
        <v>450250.54731921607</v>
      </c>
      <c r="S173">
        <f t="shared" ca="1" si="50"/>
        <v>0.3087698038306394</v>
      </c>
      <c r="T173">
        <f t="shared" ca="1" si="51"/>
        <v>0.55950194195364344</v>
      </c>
      <c r="U173">
        <f t="shared" ca="1" si="52"/>
        <v>0</v>
      </c>
      <c r="V173" s="47">
        <f t="shared" ca="1" si="53"/>
        <v>0</v>
      </c>
      <c r="W173">
        <f ca="1">Inputs!B15+(Inputs!D15-Inputs!B15)*BETAINV(RAND(),Model!H9,Model!I9)</f>
        <v>0.96354166224574489</v>
      </c>
      <c r="X173">
        <f ca="1">Inputs!E15+(Inputs!G15-Inputs!E15)*BETAINV(RAND(),Model!J9,Model!K9)</f>
        <v>0.64027672257664014</v>
      </c>
      <c r="Y173">
        <f ca="1">(Inputs!H15+(Inputs!J15-Inputs!H15)*BETAINV(RAND(),Model!L9,Model!M9))*Inputs!$C$6</f>
        <v>14892.124545718276</v>
      </c>
      <c r="Z173">
        <f t="shared" ca="1" si="54"/>
        <v>0.61693329756875348</v>
      </c>
      <c r="AA173">
        <f t="shared" ca="1" si="55"/>
        <v>0.15534556173328751</v>
      </c>
      <c r="AB173">
        <f t="shared" ca="1" si="56"/>
        <v>0</v>
      </c>
      <c r="AC173" s="47">
        <f t="shared" ca="1" si="57"/>
        <v>0</v>
      </c>
      <c r="AD173">
        <f ca="1">Inputs!B16+(Inputs!D16-Inputs!B16)*BETAINV(RAND(),Model!H10,Model!I10)</f>
        <v>0.43703999677149752</v>
      </c>
      <c r="AE173">
        <f ca="1">Inputs!E16+(Inputs!G16-Inputs!E16)*BETAINV(RAND(),Model!J10,Model!K10)</f>
        <v>0.6443680286073209</v>
      </c>
      <c r="AF173">
        <f ca="1">(Inputs!H16+(Inputs!J16-Inputs!H16)*BETAINV(RAND(),Model!L10,Model!M10))*Inputs!$C$6</f>
        <v>99678.902186962834</v>
      </c>
      <c r="AG173">
        <f t="shared" ca="1" si="58"/>
        <v>0.28161460114219977</v>
      </c>
      <c r="AH173">
        <f t="shared" ca="1" si="59"/>
        <v>0.51926169601620487</v>
      </c>
      <c r="AI173">
        <f t="shared" ca="1" si="60"/>
        <v>0</v>
      </c>
      <c r="AJ173" s="47">
        <f t="shared" ca="1" si="61"/>
        <v>0</v>
      </c>
      <c r="AK173">
        <f t="shared" ca="1" si="62"/>
        <v>120357.54548259483</v>
      </c>
    </row>
    <row r="174" spans="2:37" x14ac:dyDescent="0.2">
      <c r="B174">
        <f ca="1">Inputs!B12+(Inputs!D12-Inputs!B12)*BETAINV(RAND(),Model!H6,Model!I6)</f>
        <v>2.7123595375974943</v>
      </c>
      <c r="C174">
        <f ca="1">Inputs!E12+(Inputs!G12-Inputs!E12)*BETAINV(RAND(),Model!J6,Model!K6)</f>
        <v>0.38674902850926307</v>
      </c>
      <c r="D174">
        <f ca="1">(Inputs!H12+(Inputs!J12-Inputs!H12)*BETAINV(RAND(),Model!L6,Model!M6))*Inputs!$C$6</f>
        <v>28393.218554301264</v>
      </c>
      <c r="E174">
        <f t="shared" ca="1" si="42"/>
        <v>1.0490024161336649</v>
      </c>
      <c r="F174">
        <f t="shared" ca="1" si="43"/>
        <v>0.85495553253792134</v>
      </c>
      <c r="G174">
        <f t="shared" ca="1" si="44"/>
        <v>2</v>
      </c>
      <c r="H174" s="47">
        <f t="shared" ca="1" si="45"/>
        <v>56786.437108602528</v>
      </c>
      <c r="I174">
        <f ca="1">Inputs!B13+(Inputs!D13-Inputs!B13)*BETAINV(RAND(),Model!H7,Model!I7)</f>
        <v>4.2481956662535527</v>
      </c>
      <c r="J174">
        <f ca="1">Inputs!E13+(Inputs!G13-Inputs!E13)*BETAINV(RAND(),Model!J7,Model!K7)</f>
        <v>0.39052986766496656</v>
      </c>
      <c r="K174">
        <f ca="1">(Inputs!H13+(Inputs!J13-Inputs!H13)*BETAINV(RAND(),Model!L7,Model!M7))*Inputs!$C$6</f>
        <v>61128.326380921593</v>
      </c>
      <c r="L174">
        <f t="shared" ca="1" si="46"/>
        <v>1.6590472913568843</v>
      </c>
      <c r="M174">
        <f t="shared" ca="1" si="47"/>
        <v>0.89906688664398704</v>
      </c>
      <c r="N174">
        <f t="shared" ca="1" si="48"/>
        <v>3</v>
      </c>
      <c r="O174" s="47">
        <f t="shared" ca="1" si="49"/>
        <v>183384.97914276479</v>
      </c>
      <c r="P174">
        <f ca="1">Inputs!B14+(Inputs!D14-Inputs!B14)*BETAINV(RAND(),Model!H8,Model!I8)</f>
        <v>0.22877831685305131</v>
      </c>
      <c r="Q174">
        <f ca="1">Inputs!E14+(Inputs!G14-Inputs!E14)*BETAINV(RAND(),Model!J8,Model!K8)</f>
        <v>0.44203997725384614</v>
      </c>
      <c r="R174">
        <f ca="1">(Inputs!H14+(Inputs!J14-Inputs!H14)*BETAINV(RAND(),Model!L8,Model!M8))*Inputs!$C$6</f>
        <v>247851.12987119672</v>
      </c>
      <c r="S174">
        <f t="shared" ca="1" si="50"/>
        <v>0.10112916197789601</v>
      </c>
      <c r="T174">
        <f t="shared" ca="1" si="51"/>
        <v>0.88973858707638265</v>
      </c>
      <c r="U174">
        <f t="shared" ca="1" si="52"/>
        <v>0</v>
      </c>
      <c r="V174" s="47">
        <f t="shared" ca="1" si="53"/>
        <v>0</v>
      </c>
      <c r="W174">
        <f ca="1">Inputs!B15+(Inputs!D15-Inputs!B15)*BETAINV(RAND(),Model!H9,Model!I9)</f>
        <v>2.3020768008966734</v>
      </c>
      <c r="X174">
        <f ca="1">Inputs!E15+(Inputs!G15-Inputs!E15)*BETAINV(RAND(),Model!J9,Model!K9)</f>
        <v>0.57981858225914329</v>
      </c>
      <c r="Y174">
        <f ca="1">(Inputs!H15+(Inputs!J15-Inputs!H15)*BETAINV(RAND(),Model!L9,Model!M9))*Inputs!$C$6</f>
        <v>19089.991268643473</v>
      </c>
      <c r="Z174">
        <f t="shared" ca="1" si="54"/>
        <v>1.3347869069475733</v>
      </c>
      <c r="AA174">
        <f t="shared" ca="1" si="55"/>
        <v>0.1681449381768878</v>
      </c>
      <c r="AB174">
        <f t="shared" ca="1" si="56"/>
        <v>0</v>
      </c>
      <c r="AC174" s="47">
        <f t="shared" ca="1" si="57"/>
        <v>0</v>
      </c>
      <c r="AD174">
        <f ca="1">Inputs!B16+(Inputs!D16-Inputs!B16)*BETAINV(RAND(),Model!H10,Model!I10)</f>
        <v>0.93207640049914597</v>
      </c>
      <c r="AE174">
        <f ca="1">Inputs!E16+(Inputs!G16-Inputs!E16)*BETAINV(RAND(),Model!J10,Model!K10)</f>
        <v>0.55198295301103417</v>
      </c>
      <c r="AF174">
        <f ca="1">(Inputs!H16+(Inputs!J16-Inputs!H16)*BETAINV(RAND(),Model!L10,Model!M10))*Inputs!$C$6</f>
        <v>86076.95359436977</v>
      </c>
      <c r="AG174">
        <f t="shared" ca="1" si="58"/>
        <v>0.51449028397941399</v>
      </c>
      <c r="AH174">
        <f t="shared" ca="1" si="59"/>
        <v>0.87546686769243964</v>
      </c>
      <c r="AI174">
        <f t="shared" ca="1" si="60"/>
        <v>1</v>
      </c>
      <c r="AJ174" s="47">
        <f t="shared" ca="1" si="61"/>
        <v>86076.95359436977</v>
      </c>
      <c r="AK174">
        <f t="shared" ca="1" si="62"/>
        <v>326248.36984573706</v>
      </c>
    </row>
    <row r="175" spans="2:37" x14ac:dyDescent="0.2">
      <c r="B175">
        <f ca="1">Inputs!B12+(Inputs!D12-Inputs!B12)*BETAINV(RAND(),Model!H6,Model!I6)</f>
        <v>2.8562905579524465</v>
      </c>
      <c r="C175">
        <f ca="1">Inputs!E12+(Inputs!G12-Inputs!E12)*BETAINV(RAND(),Model!J6,Model!K6)</f>
        <v>0.4410014424801002</v>
      </c>
      <c r="D175">
        <f ca="1">(Inputs!H12+(Inputs!J12-Inputs!H12)*BETAINV(RAND(),Model!L6,Model!M6))*Inputs!$C$6</f>
        <v>45037.516516654061</v>
      </c>
      <c r="E175">
        <f t="shared" ca="1" si="42"/>
        <v>1.2596282561993191</v>
      </c>
      <c r="F175">
        <f t="shared" ca="1" si="43"/>
        <v>0.32252186577360342</v>
      </c>
      <c r="G175">
        <f t="shared" ca="1" si="44"/>
        <v>1</v>
      </c>
      <c r="H175" s="47">
        <f t="shared" ca="1" si="45"/>
        <v>45037.516516654061</v>
      </c>
      <c r="I175">
        <f ca="1">Inputs!B13+(Inputs!D13-Inputs!B13)*BETAINV(RAND(),Model!H7,Model!I7)</f>
        <v>2.6266627353917302</v>
      </c>
      <c r="J175">
        <f ca="1">Inputs!E13+(Inputs!G13-Inputs!E13)*BETAINV(RAND(),Model!J7,Model!K7)</f>
        <v>0.21196913918446947</v>
      </c>
      <c r="K175">
        <f ca="1">(Inputs!H13+(Inputs!J13-Inputs!H13)*BETAINV(RAND(),Model!L7,Model!M7))*Inputs!$C$6</f>
        <v>42093.758736795578</v>
      </c>
      <c r="L175">
        <f t="shared" ca="1" si="46"/>
        <v>0.55677143894890901</v>
      </c>
      <c r="M175">
        <f t="shared" ca="1" si="47"/>
        <v>0.75362726729135376</v>
      </c>
      <c r="N175">
        <f t="shared" ca="1" si="48"/>
        <v>1</v>
      </c>
      <c r="O175" s="47">
        <f t="shared" ca="1" si="49"/>
        <v>42093.758736795578</v>
      </c>
      <c r="P175">
        <f ca="1">Inputs!B14+(Inputs!D14-Inputs!B14)*BETAINV(RAND(),Model!H8,Model!I8)</f>
        <v>0.40644245696934578</v>
      </c>
      <c r="Q175">
        <f ca="1">Inputs!E14+(Inputs!G14-Inputs!E14)*BETAINV(RAND(),Model!J8,Model!K8)</f>
        <v>0.69848223127168085</v>
      </c>
      <c r="R175">
        <f ca="1">(Inputs!H14+(Inputs!J14-Inputs!H14)*BETAINV(RAND(),Model!L8,Model!M8))*Inputs!$C$6</f>
        <v>397503.90988721268</v>
      </c>
      <c r="S175">
        <f t="shared" ca="1" si="50"/>
        <v>0.28389283422749279</v>
      </c>
      <c r="T175">
        <f t="shared" ca="1" si="51"/>
        <v>0.91679148868978833</v>
      </c>
      <c r="U175">
        <f t="shared" ca="1" si="52"/>
        <v>1</v>
      </c>
      <c r="V175" s="47">
        <f t="shared" ca="1" si="53"/>
        <v>397503.90988721268</v>
      </c>
      <c r="W175">
        <f ca="1">Inputs!B15+(Inputs!D15-Inputs!B15)*BETAINV(RAND(),Model!H9,Model!I9)</f>
        <v>1.6329928413909236</v>
      </c>
      <c r="X175">
        <f ca="1">Inputs!E15+(Inputs!G15-Inputs!E15)*BETAINV(RAND(),Model!J9,Model!K9)</f>
        <v>0.4963818723382053</v>
      </c>
      <c r="Y175">
        <f ca="1">(Inputs!H15+(Inputs!J15-Inputs!H15)*BETAINV(RAND(),Model!L9,Model!M9))*Inputs!$C$6</f>
        <v>33073.450714154926</v>
      </c>
      <c r="Z175">
        <f t="shared" ca="1" si="54"/>
        <v>0.81058804412451257</v>
      </c>
      <c r="AA175">
        <f t="shared" ca="1" si="55"/>
        <v>0.67546368232968412</v>
      </c>
      <c r="AB175">
        <f t="shared" ca="1" si="56"/>
        <v>1</v>
      </c>
      <c r="AC175" s="47">
        <f t="shared" ca="1" si="57"/>
        <v>33073.450714154926</v>
      </c>
      <c r="AD175">
        <f ca="1">Inputs!B16+(Inputs!D16-Inputs!B16)*BETAINV(RAND(),Model!H10,Model!I10)</f>
        <v>0.70703723912109018</v>
      </c>
      <c r="AE175">
        <f ca="1">Inputs!E16+(Inputs!G16-Inputs!E16)*BETAINV(RAND(),Model!J10,Model!K10)</f>
        <v>0.57350665482922325</v>
      </c>
      <c r="AF175">
        <f ca="1">(Inputs!H16+(Inputs!J16-Inputs!H16)*BETAINV(RAND(),Model!L10,Model!M10))*Inputs!$C$6</f>
        <v>80017.265557255654</v>
      </c>
      <c r="AG175">
        <f t="shared" ca="1" si="58"/>
        <v>0.40549056184802607</v>
      </c>
      <c r="AH175">
        <f t="shared" ca="1" si="59"/>
        <v>0.66729739958155831</v>
      </c>
      <c r="AI175">
        <f t="shared" ca="1" si="60"/>
        <v>1</v>
      </c>
      <c r="AJ175" s="47">
        <f t="shared" ca="1" si="61"/>
        <v>80017.265557255654</v>
      </c>
      <c r="AK175">
        <f t="shared" ca="1" si="62"/>
        <v>597725.90141207282</v>
      </c>
    </row>
    <row r="176" spans="2:37" x14ac:dyDescent="0.2">
      <c r="B176">
        <f ca="1">Inputs!B12+(Inputs!D12-Inputs!B12)*BETAINV(RAND(),Model!H6,Model!I6)</f>
        <v>1.6234194628079157</v>
      </c>
      <c r="C176">
        <f ca="1">Inputs!E12+(Inputs!G12-Inputs!E12)*BETAINV(RAND(),Model!J6,Model!K6)</f>
        <v>0.35238788269822507</v>
      </c>
      <c r="D176">
        <f ca="1">(Inputs!H12+(Inputs!J12-Inputs!H12)*BETAINV(RAND(),Model!L6,Model!M6))*Inputs!$C$6</f>
        <v>34612.903925867446</v>
      </c>
      <c r="E176">
        <f t="shared" ca="1" si="42"/>
        <v>0.57207334722997139</v>
      </c>
      <c r="F176">
        <f t="shared" ca="1" si="43"/>
        <v>0.52736220304230785</v>
      </c>
      <c r="G176">
        <f t="shared" ca="1" si="44"/>
        <v>0</v>
      </c>
      <c r="H176" s="47">
        <f t="shared" ca="1" si="45"/>
        <v>0</v>
      </c>
      <c r="I176">
        <f ca="1">Inputs!B13+(Inputs!D13-Inputs!B13)*BETAINV(RAND(),Model!H7,Model!I7)</f>
        <v>2.7588582822412357</v>
      </c>
      <c r="J176">
        <f ca="1">Inputs!E13+(Inputs!G13-Inputs!E13)*BETAINV(RAND(),Model!J7,Model!K7)</f>
        <v>0.25106815296728635</v>
      </c>
      <c r="K176">
        <f ca="1">(Inputs!H13+(Inputs!J13-Inputs!H13)*BETAINV(RAND(),Model!L7,Model!M7))*Inputs!$C$6</f>
        <v>60983.527314068167</v>
      </c>
      <c r="L176">
        <f t="shared" ca="1" si="46"/>
        <v>0.69266145322080741</v>
      </c>
      <c r="M176">
        <f t="shared" ca="1" si="47"/>
        <v>0.52880611886240503</v>
      </c>
      <c r="N176">
        <f t="shared" ca="1" si="48"/>
        <v>1</v>
      </c>
      <c r="O176" s="47">
        <f t="shared" ca="1" si="49"/>
        <v>60983.527314068167</v>
      </c>
      <c r="P176">
        <f ca="1">Inputs!B14+(Inputs!D14-Inputs!B14)*BETAINV(RAND(),Model!H8,Model!I8)</f>
        <v>0.28087696478187346</v>
      </c>
      <c r="Q176">
        <f ca="1">Inputs!E14+(Inputs!G14-Inputs!E14)*BETAINV(RAND(),Model!J8,Model!K8)</f>
        <v>0.65291971482797251</v>
      </c>
      <c r="R176">
        <f ca="1">(Inputs!H14+(Inputs!J14-Inputs!H14)*BETAINV(RAND(),Model!L8,Model!M8))*Inputs!$C$6</f>
        <v>270252.41695225216</v>
      </c>
      <c r="S176">
        <f t="shared" ca="1" si="50"/>
        <v>0.1833901077471273</v>
      </c>
      <c r="T176">
        <f t="shared" ca="1" si="51"/>
        <v>0.54647174158212697</v>
      </c>
      <c r="U176">
        <f t="shared" ca="1" si="52"/>
        <v>0</v>
      </c>
      <c r="V176" s="47">
        <f t="shared" ca="1" si="53"/>
        <v>0</v>
      </c>
      <c r="W176">
        <f ca="1">Inputs!B15+(Inputs!D15-Inputs!B15)*BETAINV(RAND(),Model!H9,Model!I9)</f>
        <v>0.41494578322868791</v>
      </c>
      <c r="X176">
        <f ca="1">Inputs!E15+(Inputs!G15-Inputs!E15)*BETAINV(RAND(),Model!J9,Model!K9)</f>
        <v>0.33575519090203709</v>
      </c>
      <c r="Y176">
        <f ca="1">(Inputs!H15+(Inputs!J15-Inputs!H15)*BETAINV(RAND(),Model!L9,Model!M9))*Inputs!$C$6</f>
        <v>15410.218183240084</v>
      </c>
      <c r="Z176">
        <f t="shared" ca="1" si="54"/>
        <v>0.13932020066194342</v>
      </c>
      <c r="AA176">
        <f t="shared" ca="1" si="55"/>
        <v>0.78688454529605689</v>
      </c>
      <c r="AB176">
        <f t="shared" ca="1" si="56"/>
        <v>0</v>
      </c>
      <c r="AC176" s="47">
        <f t="shared" ca="1" si="57"/>
        <v>0</v>
      </c>
      <c r="AD176">
        <f ca="1">Inputs!B16+(Inputs!D16-Inputs!B16)*BETAINV(RAND(),Model!H10,Model!I10)</f>
        <v>0.61598458249296861</v>
      </c>
      <c r="AE176">
        <f ca="1">Inputs!E16+(Inputs!G16-Inputs!E16)*BETAINV(RAND(),Model!J10,Model!K10)</f>
        <v>0.50472276121530935</v>
      </c>
      <c r="AF176">
        <f ca="1">(Inputs!H16+(Inputs!J16-Inputs!H16)*BETAINV(RAND(),Model!L10,Model!M10))*Inputs!$C$6</f>
        <v>57389.934039529617</v>
      </c>
      <c r="AG176">
        <f t="shared" ca="1" si="58"/>
        <v>0.31090143934191061</v>
      </c>
      <c r="AH176">
        <f t="shared" ca="1" si="59"/>
        <v>0.1892479723240198</v>
      </c>
      <c r="AI176">
        <f t="shared" ca="1" si="60"/>
        <v>0</v>
      </c>
      <c r="AJ176" s="47">
        <f t="shared" ca="1" si="61"/>
        <v>0</v>
      </c>
      <c r="AK176">
        <f t="shared" ca="1" si="62"/>
        <v>60983.527314068167</v>
      </c>
    </row>
    <row r="177" spans="2:37" x14ac:dyDescent="0.2">
      <c r="B177">
        <f ca="1">Inputs!B12+(Inputs!D12-Inputs!B12)*BETAINV(RAND(),Model!H6,Model!I6)</f>
        <v>1.8161396898181843</v>
      </c>
      <c r="C177">
        <f ca="1">Inputs!E12+(Inputs!G12-Inputs!E12)*BETAINV(RAND(),Model!J6,Model!K6)</f>
        <v>0.19550112442861009</v>
      </c>
      <c r="D177">
        <f ca="1">(Inputs!H12+(Inputs!J12-Inputs!H12)*BETAINV(RAND(),Model!L6,Model!M6))*Inputs!$C$6</f>
        <v>32994.097778566749</v>
      </c>
      <c r="E177">
        <f t="shared" ca="1" si="42"/>
        <v>0.35505735147888218</v>
      </c>
      <c r="F177">
        <f t="shared" ca="1" si="43"/>
        <v>0.87031115992652153</v>
      </c>
      <c r="G177">
        <f t="shared" ca="1" si="44"/>
        <v>1</v>
      </c>
      <c r="H177" s="47">
        <f t="shared" ca="1" si="45"/>
        <v>32994.097778566749</v>
      </c>
      <c r="I177">
        <f ca="1">Inputs!B13+(Inputs!D13-Inputs!B13)*BETAINV(RAND(),Model!H7,Model!I7)</f>
        <v>3.2118423395163336</v>
      </c>
      <c r="J177">
        <f ca="1">Inputs!E13+(Inputs!G13-Inputs!E13)*BETAINV(RAND(),Model!J7,Model!K7)</f>
        <v>0.21914978671276891</v>
      </c>
      <c r="K177">
        <f ca="1">(Inputs!H13+(Inputs!J13-Inputs!H13)*BETAINV(RAND(),Model!L7,Model!M7))*Inputs!$C$6</f>
        <v>13550.094338434212</v>
      </c>
      <c r="L177">
        <f t="shared" ca="1" si="46"/>
        <v>0.70387456366004519</v>
      </c>
      <c r="M177">
        <f t="shared" ca="1" si="47"/>
        <v>0.81250304013640107</v>
      </c>
      <c r="N177">
        <f t="shared" ca="1" si="48"/>
        <v>1</v>
      </c>
      <c r="O177" s="47">
        <f t="shared" ca="1" si="49"/>
        <v>13550.094338434212</v>
      </c>
      <c r="P177">
        <f ca="1">Inputs!B14+(Inputs!D14-Inputs!B14)*BETAINV(RAND(),Model!H8,Model!I8)</f>
        <v>0.14034739196459647</v>
      </c>
      <c r="Q177">
        <f ca="1">Inputs!E14+(Inputs!G14-Inputs!E14)*BETAINV(RAND(),Model!J8,Model!K8)</f>
        <v>0.77823904906810837</v>
      </c>
      <c r="R177">
        <f ca="1">(Inputs!H14+(Inputs!J14-Inputs!H14)*BETAINV(RAND(),Model!L8,Model!M8))*Inputs!$C$6</f>
        <v>278693.35166051326</v>
      </c>
      <c r="S177">
        <f t="shared" ca="1" si="50"/>
        <v>0.10922382086171663</v>
      </c>
      <c r="T177">
        <f t="shared" ca="1" si="51"/>
        <v>0.41161173585342692</v>
      </c>
      <c r="U177">
        <f t="shared" ca="1" si="52"/>
        <v>0</v>
      </c>
      <c r="V177" s="47">
        <f t="shared" ca="1" si="53"/>
        <v>0</v>
      </c>
      <c r="W177">
        <f ca="1">Inputs!B15+(Inputs!D15-Inputs!B15)*BETAINV(RAND(),Model!H9,Model!I9)</f>
        <v>0.69780053215582116</v>
      </c>
      <c r="X177">
        <f ca="1">Inputs!E15+(Inputs!G15-Inputs!E15)*BETAINV(RAND(),Model!J9,Model!K9)</f>
        <v>0.29547327449242811</v>
      </c>
      <c r="Y177">
        <f ca="1">(Inputs!H15+(Inputs!J15-Inputs!H15)*BETAINV(RAND(),Model!L9,Model!M9))*Inputs!$C$6</f>
        <v>38981.107992207668</v>
      </c>
      <c r="Z177">
        <f t="shared" ca="1" si="54"/>
        <v>0.20618140817863936</v>
      </c>
      <c r="AA177">
        <f t="shared" ca="1" si="55"/>
        <v>0.16337820068182696</v>
      </c>
      <c r="AB177">
        <f t="shared" ca="1" si="56"/>
        <v>0</v>
      </c>
      <c r="AC177" s="47">
        <f t="shared" ca="1" si="57"/>
        <v>0</v>
      </c>
      <c r="AD177">
        <f ca="1">Inputs!B16+(Inputs!D16-Inputs!B16)*BETAINV(RAND(),Model!H10,Model!I10)</f>
        <v>0.38175853273082927</v>
      </c>
      <c r="AE177">
        <f ca="1">Inputs!E16+(Inputs!G16-Inputs!E16)*BETAINV(RAND(),Model!J10,Model!K10)</f>
        <v>0.69579915690753369</v>
      </c>
      <c r="AF177">
        <f ca="1">(Inputs!H16+(Inputs!J16-Inputs!H16)*BETAINV(RAND(),Model!L10,Model!M10))*Inputs!$C$6</f>
        <v>104116.49809674769</v>
      </c>
      <c r="AG177">
        <f t="shared" ca="1" si="58"/>
        <v>0.26562726521636809</v>
      </c>
      <c r="AH177">
        <f t="shared" ca="1" si="59"/>
        <v>0.15051521220202557</v>
      </c>
      <c r="AI177">
        <f t="shared" ca="1" si="60"/>
        <v>0</v>
      </c>
      <c r="AJ177" s="47">
        <f t="shared" ca="1" si="61"/>
        <v>0</v>
      </c>
      <c r="AK177">
        <f t="shared" ca="1" si="62"/>
        <v>46544.192117000959</v>
      </c>
    </row>
    <row r="178" spans="2:37" x14ac:dyDescent="0.2">
      <c r="B178">
        <f ca="1">Inputs!B12+(Inputs!D12-Inputs!B12)*BETAINV(RAND(),Model!H6,Model!I6)</f>
        <v>1.9463970394454135</v>
      </c>
      <c r="C178">
        <f ca="1">Inputs!E12+(Inputs!G12-Inputs!E12)*BETAINV(RAND(),Model!J6,Model!K6)</f>
        <v>0.34777014263369288</v>
      </c>
      <c r="D178">
        <f ca="1">(Inputs!H12+(Inputs!J12-Inputs!H12)*BETAINV(RAND(),Model!L6,Model!M6))*Inputs!$C$6</f>
        <v>27068.421629138767</v>
      </c>
      <c r="E178">
        <f t="shared" ca="1" si="42"/>
        <v>0.67689877602972903</v>
      </c>
      <c r="F178">
        <f t="shared" ca="1" si="43"/>
        <v>0.1960368672316698</v>
      </c>
      <c r="G178">
        <f t="shared" ca="1" si="44"/>
        <v>0</v>
      </c>
      <c r="H178" s="47">
        <f t="shared" ca="1" si="45"/>
        <v>0</v>
      </c>
      <c r="I178">
        <f ca="1">Inputs!B13+(Inputs!D13-Inputs!B13)*BETAINV(RAND(),Model!H7,Model!I7)</f>
        <v>1.6893691827618222</v>
      </c>
      <c r="J178">
        <f ca="1">Inputs!E13+(Inputs!G13-Inputs!E13)*BETAINV(RAND(),Model!J7,Model!K7)</f>
        <v>0.31673065086045865</v>
      </c>
      <c r="K178">
        <f ca="1">(Inputs!H13+(Inputs!J13-Inputs!H13)*BETAINV(RAND(),Model!L7,Model!M7))*Inputs!$C$6</f>
        <v>67934.870890112026</v>
      </c>
      <c r="L178">
        <f t="shared" ca="1" si="46"/>
        <v>0.53507500079975312</v>
      </c>
      <c r="M178">
        <f t="shared" ca="1" si="47"/>
        <v>0.72551652546746304</v>
      </c>
      <c r="N178">
        <f t="shared" ca="1" si="48"/>
        <v>1</v>
      </c>
      <c r="O178" s="47">
        <f t="shared" ca="1" si="49"/>
        <v>67934.870890112026</v>
      </c>
      <c r="P178">
        <f ca="1">Inputs!B14+(Inputs!D14-Inputs!B14)*BETAINV(RAND(),Model!H8,Model!I8)</f>
        <v>0.22286276922243481</v>
      </c>
      <c r="Q178">
        <f ca="1">Inputs!E14+(Inputs!G14-Inputs!E14)*BETAINV(RAND(),Model!J8,Model!K8)</f>
        <v>0.75345244469136374</v>
      </c>
      <c r="R178">
        <f ca="1">(Inputs!H14+(Inputs!J14-Inputs!H14)*BETAINV(RAND(),Model!L8,Model!M8))*Inputs!$C$6</f>
        <v>541799.11169829208</v>
      </c>
      <c r="S178">
        <f t="shared" ca="1" si="50"/>
        <v>0.16791649830133074</v>
      </c>
      <c r="T178">
        <f t="shared" ca="1" si="51"/>
        <v>9.1478076487880755E-2</v>
      </c>
      <c r="U178">
        <f t="shared" ca="1" si="52"/>
        <v>0</v>
      </c>
      <c r="V178" s="47">
        <f t="shared" ca="1" si="53"/>
        <v>0</v>
      </c>
      <c r="W178">
        <f ca="1">Inputs!B15+(Inputs!D15-Inputs!B15)*BETAINV(RAND(),Model!H9,Model!I9)</f>
        <v>0.83534189546362869</v>
      </c>
      <c r="X178">
        <f ca="1">Inputs!E15+(Inputs!G15-Inputs!E15)*BETAINV(RAND(),Model!J9,Model!K9)</f>
        <v>0.36871807309820337</v>
      </c>
      <c r="Y178">
        <f ca="1">(Inputs!H15+(Inputs!J15-Inputs!H15)*BETAINV(RAND(),Model!L9,Model!M9))*Inputs!$C$6</f>
        <v>21741.966233433643</v>
      </c>
      <c r="Z178">
        <f t="shared" ca="1" si="54"/>
        <v>0.30800565407355002</v>
      </c>
      <c r="AA178">
        <f t="shared" ca="1" si="55"/>
        <v>0.67620225578677595</v>
      </c>
      <c r="AB178">
        <f t="shared" ca="1" si="56"/>
        <v>0</v>
      </c>
      <c r="AC178" s="47">
        <f t="shared" ca="1" si="57"/>
        <v>0</v>
      </c>
      <c r="AD178">
        <f ca="1">Inputs!B16+(Inputs!D16-Inputs!B16)*BETAINV(RAND(),Model!H10,Model!I10)</f>
        <v>0.60222605374439597</v>
      </c>
      <c r="AE178">
        <f ca="1">Inputs!E16+(Inputs!G16-Inputs!E16)*BETAINV(RAND(),Model!J10,Model!K10)</f>
        <v>0.64574865973384132</v>
      </c>
      <c r="AF178">
        <f ca="1">(Inputs!H16+(Inputs!J16-Inputs!H16)*BETAINV(RAND(),Model!L10,Model!M10))*Inputs!$C$6</f>
        <v>140907.22382197197</v>
      </c>
      <c r="AG178">
        <f t="shared" ca="1" si="58"/>
        <v>0.38888666706224401</v>
      </c>
      <c r="AH178">
        <f t="shared" ca="1" si="59"/>
        <v>0.23943067368005189</v>
      </c>
      <c r="AI178">
        <f t="shared" ca="1" si="60"/>
        <v>0</v>
      </c>
      <c r="AJ178" s="47">
        <f t="shared" ca="1" si="61"/>
        <v>0</v>
      </c>
      <c r="AK178">
        <f t="shared" ca="1" si="62"/>
        <v>67934.870890112026</v>
      </c>
    </row>
    <row r="179" spans="2:37" x14ac:dyDescent="0.2">
      <c r="B179">
        <f ca="1">Inputs!B12+(Inputs!D12-Inputs!B12)*BETAINV(RAND(),Model!H6,Model!I6)</f>
        <v>4.9646296284200977</v>
      </c>
      <c r="C179">
        <f ca="1">Inputs!E12+(Inputs!G12-Inputs!E12)*BETAINV(RAND(),Model!J6,Model!K6)</f>
        <v>0.31657282874916925</v>
      </c>
      <c r="D179">
        <f ca="1">(Inputs!H12+(Inputs!J12-Inputs!H12)*BETAINV(RAND(),Model!L6,Model!M6))*Inputs!$C$6</f>
        <v>40340.95281185559</v>
      </c>
      <c r="E179">
        <f t="shared" ca="1" si="42"/>
        <v>1.5716668451608873</v>
      </c>
      <c r="F179">
        <f t="shared" ca="1" si="43"/>
        <v>0.55326457103081317</v>
      </c>
      <c r="G179">
        <f t="shared" ca="1" si="44"/>
        <v>2</v>
      </c>
      <c r="H179" s="47">
        <f t="shared" ca="1" si="45"/>
        <v>80681.90562371118</v>
      </c>
      <c r="I179">
        <f ca="1">Inputs!B13+(Inputs!D13-Inputs!B13)*BETAINV(RAND(),Model!H7,Model!I7)</f>
        <v>2.1701536015249157</v>
      </c>
      <c r="J179">
        <f ca="1">Inputs!E13+(Inputs!G13-Inputs!E13)*BETAINV(RAND(),Model!J7,Model!K7)</f>
        <v>0.21991521450031193</v>
      </c>
      <c r="K179">
        <f ca="1">(Inputs!H13+(Inputs!J13-Inputs!H13)*BETAINV(RAND(),Model!L7,Model!M7))*Inputs!$C$6</f>
        <v>36428.448014390342</v>
      </c>
      <c r="L179">
        <f t="shared" ca="1" si="46"/>
        <v>0.4772497947779763</v>
      </c>
      <c r="M179">
        <f t="shared" ca="1" si="47"/>
        <v>5.0929825779518767E-3</v>
      </c>
      <c r="N179">
        <f t="shared" ca="1" si="48"/>
        <v>0</v>
      </c>
      <c r="O179" s="47">
        <f t="shared" ca="1" si="49"/>
        <v>0</v>
      </c>
      <c r="P179">
        <f ca="1">Inputs!B14+(Inputs!D14-Inputs!B14)*BETAINV(RAND(),Model!H8,Model!I8)</f>
        <v>0.5652994220299572</v>
      </c>
      <c r="Q179">
        <f ca="1">Inputs!E14+(Inputs!G14-Inputs!E14)*BETAINV(RAND(),Model!J8,Model!K8)</f>
        <v>0.65336377741200147</v>
      </c>
      <c r="R179">
        <f ca="1">(Inputs!H14+(Inputs!J14-Inputs!H14)*BETAINV(RAND(),Model!L8,Model!M8))*Inputs!$C$6</f>
        <v>380719.23530502804</v>
      </c>
      <c r="S179">
        <f t="shared" ca="1" si="50"/>
        <v>0.36934616574631401</v>
      </c>
      <c r="T179">
        <f t="shared" ca="1" si="51"/>
        <v>0.56190425722598025</v>
      </c>
      <c r="U179">
        <f t="shared" ca="1" si="52"/>
        <v>0</v>
      </c>
      <c r="V179" s="47">
        <f t="shared" ca="1" si="53"/>
        <v>0</v>
      </c>
      <c r="W179">
        <f ca="1">Inputs!B15+(Inputs!D15-Inputs!B15)*BETAINV(RAND(),Model!H9,Model!I9)</f>
        <v>1.5566554630893192</v>
      </c>
      <c r="X179">
        <f ca="1">Inputs!E15+(Inputs!G15-Inputs!E15)*BETAINV(RAND(),Model!J9,Model!K9)</f>
        <v>0.62773875601971385</v>
      </c>
      <c r="Y179">
        <f ca="1">(Inputs!H15+(Inputs!J15-Inputs!H15)*BETAINV(RAND(),Model!L9,Model!M9))*Inputs!$C$6</f>
        <v>49551.289794186261</v>
      </c>
      <c r="Z179">
        <f t="shared" ca="1" si="54"/>
        <v>0.97717296395098086</v>
      </c>
      <c r="AA179">
        <f t="shared" ca="1" si="55"/>
        <v>0.16172344440610653</v>
      </c>
      <c r="AB179">
        <f t="shared" ca="1" si="56"/>
        <v>0</v>
      </c>
      <c r="AC179" s="47">
        <f t="shared" ca="1" si="57"/>
        <v>0</v>
      </c>
      <c r="AD179">
        <f ca="1">Inputs!B16+(Inputs!D16-Inputs!B16)*BETAINV(RAND(),Model!H10,Model!I10)</f>
        <v>0.69533072253618666</v>
      </c>
      <c r="AE179">
        <f ca="1">Inputs!E16+(Inputs!G16-Inputs!E16)*BETAINV(RAND(),Model!J10,Model!K10)</f>
        <v>0.54842515041806683</v>
      </c>
      <c r="AF179">
        <f ca="1">(Inputs!H16+(Inputs!J16-Inputs!H16)*BETAINV(RAND(),Model!L10,Model!M10))*Inputs!$C$6</f>
        <v>53888.408935497042</v>
      </c>
      <c r="AG179">
        <f t="shared" ca="1" si="58"/>
        <v>0.38133685609721124</v>
      </c>
      <c r="AH179">
        <f t="shared" ca="1" si="59"/>
        <v>0.2296759245176907</v>
      </c>
      <c r="AI179">
        <f t="shared" ca="1" si="60"/>
        <v>0</v>
      </c>
      <c r="AJ179" s="47">
        <f t="shared" ca="1" si="61"/>
        <v>0</v>
      </c>
      <c r="AK179">
        <f t="shared" ca="1" si="62"/>
        <v>80681.90562371118</v>
      </c>
    </row>
    <row r="180" spans="2:37" x14ac:dyDescent="0.2">
      <c r="B180">
        <f ca="1">Inputs!B12+(Inputs!D12-Inputs!B12)*BETAINV(RAND(),Model!H6,Model!I6)</f>
        <v>4.4822434061012277</v>
      </c>
      <c r="C180">
        <f ca="1">Inputs!E12+(Inputs!G12-Inputs!E12)*BETAINV(RAND(),Model!J6,Model!K6)</f>
        <v>0.18669415201342826</v>
      </c>
      <c r="D180">
        <f ca="1">(Inputs!H12+(Inputs!J12-Inputs!H12)*BETAINV(RAND(),Model!L6,Model!M6))*Inputs!$C$6</f>
        <v>17353.551813517326</v>
      </c>
      <c r="E180">
        <f t="shared" ca="1" si="42"/>
        <v>0.8368086318198491</v>
      </c>
      <c r="F180">
        <f t="shared" ca="1" si="43"/>
        <v>0.43027070528807165</v>
      </c>
      <c r="G180">
        <f t="shared" ca="1" si="44"/>
        <v>0</v>
      </c>
      <c r="H180" s="47">
        <f t="shared" ca="1" si="45"/>
        <v>0</v>
      </c>
      <c r="I180">
        <f ca="1">Inputs!B13+(Inputs!D13-Inputs!B13)*BETAINV(RAND(),Model!H7,Model!I7)</f>
        <v>2.3877337202532525</v>
      </c>
      <c r="J180">
        <f ca="1">Inputs!E13+(Inputs!G13-Inputs!E13)*BETAINV(RAND(),Model!J7,Model!K7)</f>
        <v>0.44985224665585888</v>
      </c>
      <c r="K180">
        <f ca="1">(Inputs!H13+(Inputs!J13-Inputs!H13)*BETAINV(RAND(),Model!L7,Model!M7))*Inputs!$C$6</f>
        <v>75195.12896772247</v>
      </c>
      <c r="L180">
        <f t="shared" ca="1" si="46"/>
        <v>1.0741273784718777</v>
      </c>
      <c r="M180">
        <f t="shared" ca="1" si="47"/>
        <v>0.11186235948633949</v>
      </c>
      <c r="N180">
        <f t="shared" ca="1" si="48"/>
        <v>0</v>
      </c>
      <c r="O180" s="47">
        <f t="shared" ca="1" si="49"/>
        <v>0</v>
      </c>
      <c r="P180">
        <f ca="1">Inputs!B14+(Inputs!D14-Inputs!B14)*BETAINV(RAND(),Model!H8,Model!I8)</f>
        <v>0.33236673983711662</v>
      </c>
      <c r="Q180">
        <f ca="1">Inputs!E14+(Inputs!G14-Inputs!E14)*BETAINV(RAND(),Model!J8,Model!K8)</f>
        <v>0.75584886771617854</v>
      </c>
      <c r="R180">
        <f ca="1">(Inputs!H14+(Inputs!J14-Inputs!H14)*BETAINV(RAND(),Model!L8,Model!M8))*Inputs!$C$6</f>
        <v>448951.43228559865</v>
      </c>
      <c r="S180">
        <f t="shared" ca="1" si="50"/>
        <v>0.25121902397240231</v>
      </c>
      <c r="T180">
        <f t="shared" ca="1" si="51"/>
        <v>0.44385562543564927</v>
      </c>
      <c r="U180">
        <f t="shared" ca="1" si="52"/>
        <v>0</v>
      </c>
      <c r="V180" s="47">
        <f t="shared" ca="1" si="53"/>
        <v>0</v>
      </c>
      <c r="W180">
        <f ca="1">Inputs!B15+(Inputs!D15-Inputs!B15)*BETAINV(RAND(),Model!H9,Model!I9)</f>
        <v>2.1020977562038654</v>
      </c>
      <c r="X180">
        <f ca="1">Inputs!E15+(Inputs!G15-Inputs!E15)*BETAINV(RAND(),Model!J9,Model!K9)</f>
        <v>0.56652837251393917</v>
      </c>
      <c r="Y180">
        <f ca="1">(Inputs!H15+(Inputs!J15-Inputs!H15)*BETAINV(RAND(),Model!L9,Model!M9))*Inputs!$C$6</f>
        <v>18348.284210787038</v>
      </c>
      <c r="Z180">
        <f t="shared" ca="1" si="54"/>
        <v>1.1908980206873792</v>
      </c>
      <c r="AA180">
        <f t="shared" ca="1" si="55"/>
        <v>0.47378785344787777</v>
      </c>
      <c r="AB180">
        <f t="shared" ca="1" si="56"/>
        <v>1</v>
      </c>
      <c r="AC180" s="47">
        <f t="shared" ca="1" si="57"/>
        <v>18348.284210787038</v>
      </c>
      <c r="AD180">
        <f ca="1">Inputs!B16+(Inputs!D16-Inputs!B16)*BETAINV(RAND(),Model!H10,Model!I10)</f>
        <v>0.81293726442150649</v>
      </c>
      <c r="AE180">
        <f ca="1">Inputs!E16+(Inputs!G16-Inputs!E16)*BETAINV(RAND(),Model!J10,Model!K10)</f>
        <v>0.64036059160762215</v>
      </c>
      <c r="AF180">
        <f ca="1">(Inputs!H16+(Inputs!J16-Inputs!H16)*BETAINV(RAND(),Model!L10,Model!M10))*Inputs!$C$6</f>
        <v>90679.291734272978</v>
      </c>
      <c r="AG180">
        <f t="shared" ca="1" si="58"/>
        <v>0.52057298758483783</v>
      </c>
      <c r="AH180">
        <f t="shared" ca="1" si="59"/>
        <v>0.42248761512077015</v>
      </c>
      <c r="AI180">
        <f t="shared" ca="1" si="60"/>
        <v>0</v>
      </c>
      <c r="AJ180" s="47">
        <f t="shared" ca="1" si="61"/>
        <v>0</v>
      </c>
      <c r="AK180">
        <f t="shared" ca="1" si="62"/>
        <v>18348.284210787038</v>
      </c>
    </row>
    <row r="181" spans="2:37" x14ac:dyDescent="0.2">
      <c r="B181">
        <f ca="1">Inputs!B12+(Inputs!D12-Inputs!B12)*BETAINV(RAND(),Model!H6,Model!I6)</f>
        <v>3.7124342380846094</v>
      </c>
      <c r="C181">
        <f ca="1">Inputs!E12+(Inputs!G12-Inputs!E12)*BETAINV(RAND(),Model!J6,Model!K6)</f>
        <v>0.37159195442586479</v>
      </c>
      <c r="D181">
        <f ca="1">(Inputs!H12+(Inputs!J12-Inputs!H12)*BETAINV(RAND(),Model!L6,Model!M6))*Inputs!$C$6</f>
        <v>19922.34105449979</v>
      </c>
      <c r="E181">
        <f t="shared" ca="1" si="42"/>
        <v>1.3795106942073563</v>
      </c>
      <c r="F181">
        <f t="shared" ca="1" si="43"/>
        <v>0.10800111123610201</v>
      </c>
      <c r="G181">
        <f t="shared" ca="1" si="44"/>
        <v>0</v>
      </c>
      <c r="H181" s="47">
        <f t="shared" ca="1" si="45"/>
        <v>0</v>
      </c>
      <c r="I181">
        <f ca="1">Inputs!B13+(Inputs!D13-Inputs!B13)*BETAINV(RAND(),Model!H7,Model!I7)</f>
        <v>0.92491962974002873</v>
      </c>
      <c r="J181">
        <f ca="1">Inputs!E13+(Inputs!G13-Inputs!E13)*BETAINV(RAND(),Model!J7,Model!K7)</f>
        <v>0.26325338694190659</v>
      </c>
      <c r="K181">
        <f ca="1">(Inputs!H13+(Inputs!J13-Inputs!H13)*BETAINV(RAND(),Model!L7,Model!M7))*Inputs!$C$6</f>
        <v>20850.696519762809</v>
      </c>
      <c r="L181">
        <f t="shared" ca="1" si="46"/>
        <v>0.24348822517811675</v>
      </c>
      <c r="M181">
        <f t="shared" ca="1" si="47"/>
        <v>0.25423157421696851</v>
      </c>
      <c r="N181">
        <f t="shared" ca="1" si="48"/>
        <v>0</v>
      </c>
      <c r="O181" s="47">
        <f t="shared" ca="1" si="49"/>
        <v>0</v>
      </c>
      <c r="P181">
        <f ca="1">Inputs!B14+(Inputs!D14-Inputs!B14)*BETAINV(RAND(),Model!H8,Model!I8)</f>
        <v>0.27544119072026929</v>
      </c>
      <c r="Q181">
        <f ca="1">Inputs!E14+(Inputs!G14-Inputs!E14)*BETAINV(RAND(),Model!J8,Model!K8)</f>
        <v>0.49822418991236567</v>
      </c>
      <c r="R181">
        <f ca="1">(Inputs!H14+(Inputs!J14-Inputs!H14)*BETAINV(RAND(),Model!L8,Model!M8))*Inputs!$C$6</f>
        <v>469529.28408033494</v>
      </c>
      <c r="S181">
        <f t="shared" ca="1" si="50"/>
        <v>0.13723146411510359</v>
      </c>
      <c r="T181">
        <f t="shared" ca="1" si="51"/>
        <v>0.1147749359948752</v>
      </c>
      <c r="U181">
        <f t="shared" ca="1" si="52"/>
        <v>0</v>
      </c>
      <c r="V181" s="47">
        <f t="shared" ca="1" si="53"/>
        <v>0</v>
      </c>
      <c r="W181">
        <f ca="1">Inputs!B15+(Inputs!D15-Inputs!B15)*BETAINV(RAND(),Model!H9,Model!I9)</f>
        <v>0.98671252071929061</v>
      </c>
      <c r="X181">
        <f ca="1">Inputs!E15+(Inputs!G15-Inputs!E15)*BETAINV(RAND(),Model!J9,Model!K9)</f>
        <v>0.44268549569134641</v>
      </c>
      <c r="Y181">
        <f ca="1">(Inputs!H15+(Inputs!J15-Inputs!H15)*BETAINV(RAND(),Model!L9,Model!M9))*Inputs!$C$6</f>
        <v>26065.382721796446</v>
      </c>
      <c r="Z181">
        <f t="shared" ca="1" si="54"/>
        <v>0.43680332133947708</v>
      </c>
      <c r="AA181">
        <f t="shared" ca="1" si="55"/>
        <v>0.89950184818157775</v>
      </c>
      <c r="AB181">
        <f t="shared" ca="1" si="56"/>
        <v>1</v>
      </c>
      <c r="AC181" s="47">
        <f t="shared" ca="1" si="57"/>
        <v>26065.382721796446</v>
      </c>
      <c r="AD181">
        <f ca="1">Inputs!B16+(Inputs!D16-Inputs!B16)*BETAINV(RAND(),Model!H10,Model!I10)</f>
        <v>1.2738910952098381</v>
      </c>
      <c r="AE181">
        <f ca="1">Inputs!E16+(Inputs!G16-Inputs!E16)*BETAINV(RAND(),Model!J10,Model!K10)</f>
        <v>0.67612816708122503</v>
      </c>
      <c r="AF181">
        <f ca="1">(Inputs!H16+(Inputs!J16-Inputs!H16)*BETAINV(RAND(),Model!L10,Model!M10))*Inputs!$C$6</f>
        <v>135235.32638528952</v>
      </c>
      <c r="AG181">
        <f t="shared" ca="1" si="58"/>
        <v>0.86131365126532222</v>
      </c>
      <c r="AH181">
        <f t="shared" ca="1" si="59"/>
        <v>0.8814326628390069</v>
      </c>
      <c r="AI181">
        <f t="shared" ca="1" si="60"/>
        <v>2</v>
      </c>
      <c r="AJ181" s="47">
        <f t="shared" ca="1" si="61"/>
        <v>270470.65277057904</v>
      </c>
      <c r="AK181">
        <f t="shared" ca="1" si="62"/>
        <v>296536.03549237549</v>
      </c>
    </row>
    <row r="182" spans="2:37" x14ac:dyDescent="0.2">
      <c r="B182">
        <f ca="1">Inputs!B12+(Inputs!D12-Inputs!B12)*BETAINV(RAND(),Model!H6,Model!I6)</f>
        <v>6.1014145579061161</v>
      </c>
      <c r="C182">
        <f ca="1">Inputs!E12+(Inputs!G12-Inputs!E12)*BETAINV(RAND(),Model!J6,Model!K6)</f>
        <v>0.28289057111876592</v>
      </c>
      <c r="D182">
        <f ca="1">(Inputs!H12+(Inputs!J12-Inputs!H12)*BETAINV(RAND(),Model!L6,Model!M6))*Inputs!$C$6</f>
        <v>29610.159044355802</v>
      </c>
      <c r="E182">
        <f t="shared" ca="1" si="42"/>
        <v>1.7260326489184139</v>
      </c>
      <c r="F182">
        <f t="shared" ca="1" si="43"/>
        <v>3.2154891485219883E-3</v>
      </c>
      <c r="G182">
        <f t="shared" ca="1" si="44"/>
        <v>0</v>
      </c>
      <c r="H182" s="47">
        <f t="shared" ca="1" si="45"/>
        <v>0</v>
      </c>
      <c r="I182">
        <f ca="1">Inputs!B13+(Inputs!D13-Inputs!B13)*BETAINV(RAND(),Model!H7,Model!I7)</f>
        <v>2.4890102219689152</v>
      </c>
      <c r="J182">
        <f ca="1">Inputs!E13+(Inputs!G13-Inputs!E13)*BETAINV(RAND(),Model!J7,Model!K7)</f>
        <v>0.18989297727077165</v>
      </c>
      <c r="K182">
        <f ca="1">(Inputs!H13+(Inputs!J13-Inputs!H13)*BETAINV(RAND(),Model!L7,Model!M7))*Inputs!$C$6</f>
        <v>16265.999397835198</v>
      </c>
      <c r="L182">
        <f t="shared" ca="1" si="46"/>
        <v>0.4726455615070615</v>
      </c>
      <c r="M182">
        <f t="shared" ca="1" si="47"/>
        <v>0.95148581521873865</v>
      </c>
      <c r="N182">
        <f t="shared" ca="1" si="48"/>
        <v>2</v>
      </c>
      <c r="O182" s="47">
        <f t="shared" ca="1" si="49"/>
        <v>32531.998795670395</v>
      </c>
      <c r="P182">
        <f ca="1">Inputs!B14+(Inputs!D14-Inputs!B14)*BETAINV(RAND(),Model!H8,Model!I8)</f>
        <v>0.12747661879511679</v>
      </c>
      <c r="Q182">
        <f ca="1">Inputs!E14+(Inputs!G14-Inputs!E14)*BETAINV(RAND(),Model!J8,Model!K8)</f>
        <v>0.67012648287735488</v>
      </c>
      <c r="R182">
        <f ca="1">(Inputs!H14+(Inputs!J14-Inputs!H14)*BETAINV(RAND(),Model!L8,Model!M8))*Inputs!$C$6</f>
        <v>240029.49018192824</v>
      </c>
      <c r="S182">
        <f t="shared" ca="1" si="50"/>
        <v>8.5425458202268933E-2</v>
      </c>
      <c r="T182">
        <f t="shared" ca="1" si="51"/>
        <v>0.43746110325039333</v>
      </c>
      <c r="U182">
        <f t="shared" ca="1" si="52"/>
        <v>0</v>
      </c>
      <c r="V182" s="47">
        <f t="shared" ca="1" si="53"/>
        <v>0</v>
      </c>
      <c r="W182">
        <f ca="1">Inputs!B15+(Inputs!D15-Inputs!B15)*BETAINV(RAND(),Model!H9,Model!I9)</f>
        <v>1.1693190826911624</v>
      </c>
      <c r="X182">
        <f ca="1">Inputs!E15+(Inputs!G15-Inputs!E15)*BETAINV(RAND(),Model!J9,Model!K9)</f>
        <v>0.56120489587255562</v>
      </c>
      <c r="Y182">
        <f ca="1">(Inputs!H15+(Inputs!J15-Inputs!H15)*BETAINV(RAND(),Model!L9,Model!M9))*Inputs!$C$6</f>
        <v>14558.725513285101</v>
      </c>
      <c r="Z182">
        <f t="shared" ca="1" si="54"/>
        <v>0.65622759404348607</v>
      </c>
      <c r="AA182">
        <f t="shared" ca="1" si="55"/>
        <v>0.10151012996839448</v>
      </c>
      <c r="AB182">
        <f t="shared" ca="1" si="56"/>
        <v>0</v>
      </c>
      <c r="AC182" s="47">
        <f t="shared" ca="1" si="57"/>
        <v>0</v>
      </c>
      <c r="AD182">
        <f ca="1">Inputs!B16+(Inputs!D16-Inputs!B16)*BETAINV(RAND(),Model!H10,Model!I10)</f>
        <v>0.35239670428106368</v>
      </c>
      <c r="AE182">
        <f ca="1">Inputs!E16+(Inputs!G16-Inputs!E16)*BETAINV(RAND(),Model!J10,Model!K10)</f>
        <v>0.59248715689589304</v>
      </c>
      <c r="AF182">
        <f ca="1">(Inputs!H16+(Inputs!J16-Inputs!H16)*BETAINV(RAND(),Model!L10,Model!M10))*Inputs!$C$6</f>
        <v>85082.371978837225</v>
      </c>
      <c r="AG182">
        <f t="shared" ca="1" si="58"/>
        <v>0.2087905214189702</v>
      </c>
      <c r="AH182">
        <f t="shared" ca="1" si="59"/>
        <v>0.41047252540323742</v>
      </c>
      <c r="AI182">
        <f t="shared" ca="1" si="60"/>
        <v>0</v>
      </c>
      <c r="AJ182" s="47">
        <f t="shared" ca="1" si="61"/>
        <v>0</v>
      </c>
      <c r="AK182">
        <f t="shared" ca="1" si="62"/>
        <v>32531.998795670395</v>
      </c>
    </row>
    <row r="183" spans="2:37" x14ac:dyDescent="0.2">
      <c r="B183">
        <f ca="1">Inputs!B12+(Inputs!D12-Inputs!B12)*BETAINV(RAND(),Model!H6,Model!I6)</f>
        <v>3.6167515318761838</v>
      </c>
      <c r="C183">
        <f ca="1">Inputs!E12+(Inputs!G12-Inputs!E12)*BETAINV(RAND(),Model!J6,Model!K6)</f>
        <v>0.34717633427985473</v>
      </c>
      <c r="D183">
        <f ca="1">(Inputs!H12+(Inputs!J12-Inputs!H12)*BETAINV(RAND(),Model!L6,Model!M6))*Inputs!$C$6</f>
        <v>17623.37957661671</v>
      </c>
      <c r="E183">
        <f t="shared" ca="1" si="42"/>
        <v>1.2556505388378227</v>
      </c>
      <c r="F183">
        <f t="shared" ca="1" si="43"/>
        <v>0.18928277174726715</v>
      </c>
      <c r="G183">
        <f t="shared" ca="1" si="44"/>
        <v>0</v>
      </c>
      <c r="H183" s="47">
        <f t="shared" ca="1" si="45"/>
        <v>0</v>
      </c>
      <c r="I183">
        <f ca="1">Inputs!B13+(Inputs!D13-Inputs!B13)*BETAINV(RAND(),Model!H7,Model!I7)</f>
        <v>2.9095823860641836</v>
      </c>
      <c r="J183">
        <f ca="1">Inputs!E13+(Inputs!G13-Inputs!E13)*BETAINV(RAND(),Model!J7,Model!K7)</f>
        <v>0.20141201094260042</v>
      </c>
      <c r="K183">
        <f ca="1">(Inputs!H13+(Inputs!J13-Inputs!H13)*BETAINV(RAND(),Model!L7,Model!M7))*Inputs!$C$6</f>
        <v>22851.86755570825</v>
      </c>
      <c r="L183">
        <f t="shared" ca="1" si="46"/>
        <v>0.58602483938035677</v>
      </c>
      <c r="M183">
        <f t="shared" ca="1" si="47"/>
        <v>0.23062806010521075</v>
      </c>
      <c r="N183">
        <f t="shared" ca="1" si="48"/>
        <v>0</v>
      </c>
      <c r="O183" s="47">
        <f t="shared" ca="1" si="49"/>
        <v>0</v>
      </c>
      <c r="P183">
        <f ca="1">Inputs!B14+(Inputs!D14-Inputs!B14)*BETAINV(RAND(),Model!H8,Model!I8)</f>
        <v>0.16728326073639299</v>
      </c>
      <c r="Q183">
        <f ca="1">Inputs!E14+(Inputs!G14-Inputs!E14)*BETAINV(RAND(),Model!J8,Model!K8)</f>
        <v>0.45463298022555226</v>
      </c>
      <c r="R183">
        <f ca="1">(Inputs!H14+(Inputs!J14-Inputs!H14)*BETAINV(RAND(),Model!L8,Model!M8))*Inputs!$C$6</f>
        <v>450476.39843503124</v>
      </c>
      <c r="S183">
        <f t="shared" ca="1" si="50"/>
        <v>7.6052487370434463E-2</v>
      </c>
      <c r="T183">
        <f t="shared" ca="1" si="51"/>
        <v>0.6096074433450891</v>
      </c>
      <c r="U183">
        <f t="shared" ca="1" si="52"/>
        <v>0</v>
      </c>
      <c r="V183" s="47">
        <f t="shared" ca="1" si="53"/>
        <v>0</v>
      </c>
      <c r="W183">
        <f ca="1">Inputs!B15+(Inputs!D15-Inputs!B15)*BETAINV(RAND(),Model!H9,Model!I9)</f>
        <v>0.52378909789970296</v>
      </c>
      <c r="X183">
        <f ca="1">Inputs!E15+(Inputs!G15-Inputs!E15)*BETAINV(RAND(),Model!J9,Model!K9)</f>
        <v>0.59225313095076426</v>
      </c>
      <c r="Y183">
        <f ca="1">(Inputs!H15+(Inputs!J15-Inputs!H15)*BETAINV(RAND(),Model!L9,Model!M9))*Inputs!$C$6</f>
        <v>52904.835332032926</v>
      </c>
      <c r="Z183">
        <f t="shared" ca="1" si="54"/>
        <v>0.31021573318897544</v>
      </c>
      <c r="AA183">
        <f t="shared" ca="1" si="55"/>
        <v>0.20467420546217763</v>
      </c>
      <c r="AB183">
        <f t="shared" ca="1" si="56"/>
        <v>0</v>
      </c>
      <c r="AC183" s="47">
        <f t="shared" ca="1" si="57"/>
        <v>0</v>
      </c>
      <c r="AD183">
        <f ca="1">Inputs!B16+(Inputs!D16-Inputs!B16)*BETAINV(RAND(),Model!H10,Model!I10)</f>
        <v>0.73040490586922169</v>
      </c>
      <c r="AE183">
        <f ca="1">Inputs!E16+(Inputs!G16-Inputs!E16)*BETAINV(RAND(),Model!J10,Model!K10)</f>
        <v>0.52932536754303627</v>
      </c>
      <c r="AF183">
        <f ca="1">(Inputs!H16+(Inputs!J16-Inputs!H16)*BETAINV(RAND(),Model!L10,Model!M10))*Inputs!$C$6</f>
        <v>97922.839290675111</v>
      </c>
      <c r="AG183">
        <f t="shared" ca="1" si="58"/>
        <v>0.38662184525446258</v>
      </c>
      <c r="AH183">
        <f t="shared" ca="1" si="59"/>
        <v>0.10573930023079026</v>
      </c>
      <c r="AI183">
        <f t="shared" ca="1" si="60"/>
        <v>0</v>
      </c>
      <c r="AJ183" s="47">
        <f t="shared" ca="1" si="61"/>
        <v>0</v>
      </c>
      <c r="AK183">
        <f t="shared" ca="1" si="62"/>
        <v>0</v>
      </c>
    </row>
    <row r="184" spans="2:37" x14ac:dyDescent="0.2">
      <c r="B184">
        <f ca="1">Inputs!B12+(Inputs!D12-Inputs!B12)*BETAINV(RAND(),Model!H6,Model!I6)</f>
        <v>3.5886676113727072</v>
      </c>
      <c r="C184">
        <f ca="1">Inputs!E12+(Inputs!G12-Inputs!E12)*BETAINV(RAND(),Model!J6,Model!K6)</f>
        <v>0.28008829519605222</v>
      </c>
      <c r="D184">
        <f ca="1">(Inputs!H12+(Inputs!J12-Inputs!H12)*BETAINV(RAND(),Model!L6,Model!M6))*Inputs!$C$6</f>
        <v>18881.009527146958</v>
      </c>
      <c r="E184">
        <f t="shared" ca="1" si="42"/>
        <v>1.0051437932946703</v>
      </c>
      <c r="F184">
        <f t="shared" ca="1" si="43"/>
        <v>4.3221639436339609E-2</v>
      </c>
      <c r="G184">
        <f t="shared" ca="1" si="44"/>
        <v>0</v>
      </c>
      <c r="H184" s="47">
        <f t="shared" ca="1" si="45"/>
        <v>0</v>
      </c>
      <c r="I184">
        <f ca="1">Inputs!B13+(Inputs!D13-Inputs!B13)*BETAINV(RAND(),Model!H7,Model!I7)</f>
        <v>1.940417859348482</v>
      </c>
      <c r="J184">
        <f ca="1">Inputs!E13+(Inputs!G13-Inputs!E13)*BETAINV(RAND(),Model!J7,Model!K7)</f>
        <v>0.24488201566066528</v>
      </c>
      <c r="K184">
        <f ca="1">(Inputs!H13+(Inputs!J13-Inputs!H13)*BETAINV(RAND(),Model!L7,Model!M7))*Inputs!$C$6</f>
        <v>42775.318118714815</v>
      </c>
      <c r="L184">
        <f t="shared" ca="1" si="46"/>
        <v>0.47517343662120959</v>
      </c>
      <c r="M184">
        <f t="shared" ca="1" si="47"/>
        <v>2.2148180198413248E-2</v>
      </c>
      <c r="N184">
        <f t="shared" ca="1" si="48"/>
        <v>0</v>
      </c>
      <c r="O184" s="47">
        <f t="shared" ca="1" si="49"/>
        <v>0</v>
      </c>
      <c r="P184">
        <f ca="1">Inputs!B14+(Inputs!D14-Inputs!B14)*BETAINV(RAND(),Model!H8,Model!I8)</f>
        <v>0.31676994738365155</v>
      </c>
      <c r="Q184">
        <f ca="1">Inputs!E14+(Inputs!G14-Inputs!E14)*BETAINV(RAND(),Model!J8,Model!K8)</f>
        <v>0.67026278090985403</v>
      </c>
      <c r="R184">
        <f ca="1">(Inputs!H14+(Inputs!J14-Inputs!H14)*BETAINV(RAND(),Model!L8,Model!M8))*Inputs!$C$6</f>
        <v>353880.62803680165</v>
      </c>
      <c r="S184">
        <f t="shared" ca="1" si="50"/>
        <v>0.21231910584203442</v>
      </c>
      <c r="T184">
        <f t="shared" ca="1" si="51"/>
        <v>0.30402787172694268</v>
      </c>
      <c r="U184">
        <f t="shared" ca="1" si="52"/>
        <v>0</v>
      </c>
      <c r="V184" s="47">
        <f t="shared" ca="1" si="53"/>
        <v>0</v>
      </c>
      <c r="W184">
        <f ca="1">Inputs!B15+(Inputs!D15-Inputs!B15)*BETAINV(RAND(),Model!H9,Model!I9)</f>
        <v>1.0647277871856391</v>
      </c>
      <c r="X184">
        <f ca="1">Inputs!E15+(Inputs!G15-Inputs!E15)*BETAINV(RAND(),Model!J9,Model!K9)</f>
        <v>0.54861647949507231</v>
      </c>
      <c r="Y184">
        <f ca="1">(Inputs!H15+(Inputs!J15-Inputs!H15)*BETAINV(RAND(),Model!L9,Model!M9))*Inputs!$C$6</f>
        <v>16465.624347878795</v>
      </c>
      <c r="Z184">
        <f t="shared" ca="1" si="54"/>
        <v>0.58412721022636394</v>
      </c>
      <c r="AA184">
        <f t="shared" ca="1" si="55"/>
        <v>0.32422808490690247</v>
      </c>
      <c r="AB184">
        <f t="shared" ca="1" si="56"/>
        <v>0</v>
      </c>
      <c r="AC184" s="47">
        <f t="shared" ca="1" si="57"/>
        <v>0</v>
      </c>
      <c r="AD184">
        <f ca="1">Inputs!B16+(Inputs!D16-Inputs!B16)*BETAINV(RAND(),Model!H10,Model!I10)</f>
        <v>1.0861197918243719</v>
      </c>
      <c r="AE184">
        <f ca="1">Inputs!E16+(Inputs!G16-Inputs!E16)*BETAINV(RAND(),Model!J10,Model!K10)</f>
        <v>0.81880116953342696</v>
      </c>
      <c r="AF184">
        <f ca="1">(Inputs!H16+(Inputs!J16-Inputs!H16)*BETAINV(RAND(),Model!L10,Model!M10))*Inputs!$C$6</f>
        <v>54054.033567891667</v>
      </c>
      <c r="AG184">
        <f t="shared" ca="1" si="58"/>
        <v>0.88931615579919798</v>
      </c>
      <c r="AH184">
        <f t="shared" ca="1" si="59"/>
        <v>0.90979535853516125</v>
      </c>
      <c r="AI184">
        <f t="shared" ca="1" si="60"/>
        <v>2</v>
      </c>
      <c r="AJ184" s="47">
        <f t="shared" ca="1" si="61"/>
        <v>108108.06713578333</v>
      </c>
      <c r="AK184">
        <f t="shared" ca="1" si="62"/>
        <v>108108.06713578333</v>
      </c>
    </row>
    <row r="185" spans="2:37" x14ac:dyDescent="0.2">
      <c r="B185">
        <f ca="1">Inputs!B12+(Inputs!D12-Inputs!B12)*BETAINV(RAND(),Model!H6,Model!I6)</f>
        <v>5.3325264168270792</v>
      </c>
      <c r="C185">
        <f ca="1">Inputs!E12+(Inputs!G12-Inputs!E12)*BETAINV(RAND(),Model!J6,Model!K6)</f>
        <v>0.30791760220076114</v>
      </c>
      <c r="D185">
        <f ca="1">(Inputs!H12+(Inputs!J12-Inputs!H12)*BETAINV(RAND(),Model!L6,Model!M6))*Inputs!$C$6</f>
        <v>18352.382475416198</v>
      </c>
      <c r="E185">
        <f t="shared" ca="1" si="42"/>
        <v>1.6419787479416108</v>
      </c>
      <c r="F185">
        <f t="shared" ca="1" si="43"/>
        <v>0.54238150065551283</v>
      </c>
      <c r="G185">
        <f t="shared" ca="1" si="44"/>
        <v>2</v>
      </c>
      <c r="H185" s="47">
        <f t="shared" ca="1" si="45"/>
        <v>36704.764950832396</v>
      </c>
      <c r="I185">
        <f ca="1">Inputs!B13+(Inputs!D13-Inputs!B13)*BETAINV(RAND(),Model!H7,Model!I7)</f>
        <v>2.0114642086765828</v>
      </c>
      <c r="J185">
        <f ca="1">Inputs!E13+(Inputs!G13-Inputs!E13)*BETAINV(RAND(),Model!J7,Model!K7)</f>
        <v>0.20782998222583829</v>
      </c>
      <c r="K185">
        <f ca="1">(Inputs!H13+(Inputs!J13-Inputs!H13)*BETAINV(RAND(),Model!L7,Model!M7))*Inputs!$C$6</f>
        <v>71546.502241039998</v>
      </c>
      <c r="L185">
        <f t="shared" ca="1" si="46"/>
        <v>0.41804257073716411</v>
      </c>
      <c r="M185">
        <f t="shared" ca="1" si="47"/>
        <v>0.79752054251725946</v>
      </c>
      <c r="N185">
        <f t="shared" ca="1" si="48"/>
        <v>1</v>
      </c>
      <c r="O185" s="47">
        <f t="shared" ca="1" si="49"/>
        <v>71546.502241039998</v>
      </c>
      <c r="P185">
        <f ca="1">Inputs!B14+(Inputs!D14-Inputs!B14)*BETAINV(RAND(),Model!H8,Model!I8)</f>
        <v>0.39374195597537542</v>
      </c>
      <c r="Q185">
        <f ca="1">Inputs!E14+(Inputs!G14-Inputs!E14)*BETAINV(RAND(),Model!J8,Model!K8)</f>
        <v>0.65552729059017267</v>
      </c>
      <c r="R185">
        <f ca="1">(Inputs!H14+(Inputs!J14-Inputs!H14)*BETAINV(RAND(),Model!L8,Model!M8))*Inputs!$C$6</f>
        <v>336996.88297342521</v>
      </c>
      <c r="S185">
        <f t="shared" ca="1" si="50"/>
        <v>0.25810859759221289</v>
      </c>
      <c r="T185">
        <f t="shared" ca="1" si="51"/>
        <v>0.74067146990736976</v>
      </c>
      <c r="U185">
        <f t="shared" ca="1" si="52"/>
        <v>0</v>
      </c>
      <c r="V185" s="47">
        <f t="shared" ca="1" si="53"/>
        <v>0</v>
      </c>
      <c r="W185">
        <f ca="1">Inputs!B15+(Inputs!D15-Inputs!B15)*BETAINV(RAND(),Model!H9,Model!I9)</f>
        <v>0.66812235925358143</v>
      </c>
      <c r="X185">
        <f ca="1">Inputs!E15+(Inputs!G15-Inputs!E15)*BETAINV(RAND(),Model!J9,Model!K9)</f>
        <v>0.47772764374352916</v>
      </c>
      <c r="Y185">
        <f ca="1">(Inputs!H15+(Inputs!J15-Inputs!H15)*BETAINV(RAND(),Model!L9,Model!M9))*Inputs!$C$6</f>
        <v>22644.676661785732</v>
      </c>
      <c r="Z185">
        <f t="shared" ca="1" si="54"/>
        <v>0.31918052041858114</v>
      </c>
      <c r="AA185">
        <f t="shared" ca="1" si="55"/>
        <v>0.65048258109210266</v>
      </c>
      <c r="AB185">
        <f t="shared" ca="1" si="56"/>
        <v>0</v>
      </c>
      <c r="AC185" s="47">
        <f t="shared" ca="1" si="57"/>
        <v>0</v>
      </c>
      <c r="AD185">
        <f ca="1">Inputs!B16+(Inputs!D16-Inputs!B16)*BETAINV(RAND(),Model!H10,Model!I10)</f>
        <v>0.57159823937256471</v>
      </c>
      <c r="AE185">
        <f ca="1">Inputs!E16+(Inputs!G16-Inputs!E16)*BETAINV(RAND(),Model!J10,Model!K10)</f>
        <v>0.59421681763775558</v>
      </c>
      <c r="AF185">
        <f ca="1">(Inputs!H16+(Inputs!J16-Inputs!H16)*BETAINV(RAND(),Model!L10,Model!M10))*Inputs!$C$6</f>
        <v>54427.268406963762</v>
      </c>
      <c r="AG185">
        <f t="shared" ca="1" si="58"/>
        <v>0.33965328676730944</v>
      </c>
      <c r="AH185">
        <f t="shared" ca="1" si="59"/>
        <v>0.36530187823803961</v>
      </c>
      <c r="AI185">
        <f t="shared" ca="1" si="60"/>
        <v>0</v>
      </c>
      <c r="AJ185" s="47">
        <f t="shared" ca="1" si="61"/>
        <v>0</v>
      </c>
      <c r="AK185">
        <f t="shared" ca="1" si="62"/>
        <v>108251.26719187239</v>
      </c>
    </row>
    <row r="186" spans="2:37" x14ac:dyDescent="0.2">
      <c r="B186">
        <f ca="1">Inputs!B12+(Inputs!D12-Inputs!B12)*BETAINV(RAND(),Model!H6,Model!I6)</f>
        <v>3.6858539738853766</v>
      </c>
      <c r="C186">
        <f ca="1">Inputs!E12+(Inputs!G12-Inputs!E12)*BETAINV(RAND(),Model!J6,Model!K6)</f>
        <v>0.37099346223844798</v>
      </c>
      <c r="D186">
        <f ca="1">(Inputs!H12+(Inputs!J12-Inputs!H12)*BETAINV(RAND(),Model!L6,Model!M6))*Inputs!$C$6</f>
        <v>24465.726651543449</v>
      </c>
      <c r="E186">
        <f t="shared" ca="1" si="42"/>
        <v>1.3674277270770778</v>
      </c>
      <c r="F186">
        <f t="shared" ca="1" si="43"/>
        <v>0.95285567174514096</v>
      </c>
      <c r="G186">
        <f t="shared" ca="1" si="44"/>
        <v>4</v>
      </c>
      <c r="H186" s="47">
        <f t="shared" ca="1" si="45"/>
        <v>97862.906606173798</v>
      </c>
      <c r="I186">
        <f ca="1">Inputs!B13+(Inputs!D13-Inputs!B13)*BETAINV(RAND(),Model!H7,Model!I7)</f>
        <v>1.5383483118767531</v>
      </c>
      <c r="J186">
        <f ca="1">Inputs!E13+(Inputs!G13-Inputs!E13)*BETAINV(RAND(),Model!J7,Model!K7)</f>
        <v>0.25589396356144656</v>
      </c>
      <c r="K186">
        <f ca="1">(Inputs!H13+(Inputs!J13-Inputs!H13)*BETAINV(RAND(),Model!L7,Model!M7))*Inputs!$C$6</f>
        <v>59318.871528827323</v>
      </c>
      <c r="L186">
        <f t="shared" ca="1" si="46"/>
        <v>0.39365404686420269</v>
      </c>
      <c r="M186">
        <f t="shared" ca="1" si="47"/>
        <v>0.24060019633971541</v>
      </c>
      <c r="N186">
        <f t="shared" ca="1" si="48"/>
        <v>0</v>
      </c>
      <c r="O186" s="47">
        <f t="shared" ca="1" si="49"/>
        <v>0</v>
      </c>
      <c r="P186">
        <f ca="1">Inputs!B14+(Inputs!D14-Inputs!B14)*BETAINV(RAND(),Model!H8,Model!I8)</f>
        <v>0.17170677558777936</v>
      </c>
      <c r="Q186">
        <f ca="1">Inputs!E14+(Inputs!G14-Inputs!E14)*BETAINV(RAND(),Model!J8,Model!K8)</f>
        <v>0.62921402975369456</v>
      </c>
      <c r="R186">
        <f ca="1">(Inputs!H14+(Inputs!J14-Inputs!H14)*BETAINV(RAND(),Model!L8,Model!M8))*Inputs!$C$6</f>
        <v>186736.46778455286</v>
      </c>
      <c r="S186">
        <f t="shared" ca="1" si="50"/>
        <v>0.10804031220359996</v>
      </c>
      <c r="T186">
        <f t="shared" ca="1" si="51"/>
        <v>3.1976373291482174E-2</v>
      </c>
      <c r="U186">
        <f t="shared" ca="1" si="52"/>
        <v>0</v>
      </c>
      <c r="V186" s="47">
        <f t="shared" ca="1" si="53"/>
        <v>0</v>
      </c>
      <c r="W186">
        <f ca="1">Inputs!B15+(Inputs!D15-Inputs!B15)*BETAINV(RAND(),Model!H9,Model!I9)</f>
        <v>1.8712444236010704</v>
      </c>
      <c r="X186">
        <f ca="1">Inputs!E15+(Inputs!G15-Inputs!E15)*BETAINV(RAND(),Model!J9,Model!K9)</f>
        <v>0.41375719840343939</v>
      </c>
      <c r="Y186">
        <f ca="1">(Inputs!H15+(Inputs!J15-Inputs!H15)*BETAINV(RAND(),Model!L9,Model!M9))*Inputs!$C$6</f>
        <v>13732.751856154258</v>
      </c>
      <c r="Z186">
        <f t="shared" ca="1" si="54"/>
        <v>0.77424085023723765</v>
      </c>
      <c r="AA186">
        <f t="shared" ca="1" si="55"/>
        <v>0.38066290796526336</v>
      </c>
      <c r="AB186">
        <f t="shared" ca="1" si="56"/>
        <v>0</v>
      </c>
      <c r="AC186" s="47">
        <f t="shared" ca="1" si="57"/>
        <v>0</v>
      </c>
      <c r="AD186">
        <f ca="1">Inputs!B16+(Inputs!D16-Inputs!B16)*BETAINV(RAND(),Model!H10,Model!I10)</f>
        <v>0.72211308601748803</v>
      </c>
      <c r="AE186">
        <f ca="1">Inputs!E16+(Inputs!G16-Inputs!E16)*BETAINV(RAND(),Model!J10,Model!K10)</f>
        <v>0.54481594113494225</v>
      </c>
      <c r="AF186">
        <f ca="1">(Inputs!H16+(Inputs!J16-Inputs!H16)*BETAINV(RAND(),Model!L10,Model!M10))*Inputs!$C$6</f>
        <v>60443.574975683769</v>
      </c>
      <c r="AG186">
        <f t="shared" ca="1" si="58"/>
        <v>0.39341872056447524</v>
      </c>
      <c r="AH186">
        <f t="shared" ca="1" si="59"/>
        <v>0.90161536921119245</v>
      </c>
      <c r="AI186">
        <f t="shared" ca="1" si="60"/>
        <v>1</v>
      </c>
      <c r="AJ186" s="47">
        <f t="shared" ca="1" si="61"/>
        <v>60443.574975683769</v>
      </c>
      <c r="AK186">
        <f t="shared" ca="1" si="62"/>
        <v>158306.48158185757</v>
      </c>
    </row>
    <row r="187" spans="2:37" x14ac:dyDescent="0.2">
      <c r="B187">
        <f ca="1">Inputs!B12+(Inputs!D12-Inputs!B12)*BETAINV(RAND(),Model!H6,Model!I6)</f>
        <v>1.7386619806147228</v>
      </c>
      <c r="C187">
        <f ca="1">Inputs!E12+(Inputs!G12-Inputs!E12)*BETAINV(RAND(),Model!J6,Model!K6)</f>
        <v>0.27760258865259446</v>
      </c>
      <c r="D187">
        <f ca="1">(Inputs!H12+(Inputs!J12-Inputs!H12)*BETAINV(RAND(),Model!L6,Model!M6))*Inputs!$C$6</f>
        <v>23418.511502193658</v>
      </c>
      <c r="E187">
        <f t="shared" ca="1" si="42"/>
        <v>0.48265706661049407</v>
      </c>
      <c r="F187">
        <f t="shared" ca="1" si="43"/>
        <v>0.32440124151528182</v>
      </c>
      <c r="G187">
        <f t="shared" ca="1" si="44"/>
        <v>0</v>
      </c>
      <c r="H187" s="47">
        <f t="shared" ca="1" si="45"/>
        <v>0</v>
      </c>
      <c r="I187">
        <f ca="1">Inputs!B13+(Inputs!D13-Inputs!B13)*BETAINV(RAND(),Model!H7,Model!I7)</f>
        <v>1.8614224822729337</v>
      </c>
      <c r="J187">
        <f ca="1">Inputs!E13+(Inputs!G13-Inputs!E13)*BETAINV(RAND(),Model!J7,Model!K7)</f>
        <v>0.20209524544197008</v>
      </c>
      <c r="K187">
        <f ca="1">(Inputs!H13+(Inputs!J13-Inputs!H13)*BETAINV(RAND(),Model!L7,Model!M7))*Inputs!$C$6</f>
        <v>28092.608083804458</v>
      </c>
      <c r="L187">
        <f t="shared" ca="1" si="46"/>
        <v>0.37618463342614972</v>
      </c>
      <c r="M187">
        <f t="shared" ca="1" si="47"/>
        <v>0.25910376233599797</v>
      </c>
      <c r="N187">
        <f t="shared" ca="1" si="48"/>
        <v>0</v>
      </c>
      <c r="O187" s="47">
        <f t="shared" ca="1" si="49"/>
        <v>0</v>
      </c>
      <c r="P187">
        <f ca="1">Inputs!B14+(Inputs!D14-Inputs!B14)*BETAINV(RAND(),Model!H8,Model!I8)</f>
        <v>0.23238527283555288</v>
      </c>
      <c r="Q187">
        <f ca="1">Inputs!E14+(Inputs!G14-Inputs!E14)*BETAINV(RAND(),Model!J8,Model!K8)</f>
        <v>0.65999498962656589</v>
      </c>
      <c r="R187">
        <f ca="1">(Inputs!H14+(Inputs!J14-Inputs!H14)*BETAINV(RAND(),Model!L8,Model!M8))*Inputs!$C$6</f>
        <v>479619.12688611983</v>
      </c>
      <c r="S187">
        <f t="shared" ca="1" si="50"/>
        <v>0.15337311573446741</v>
      </c>
      <c r="T187">
        <f t="shared" ca="1" si="51"/>
        <v>0.89042323030746817</v>
      </c>
      <c r="U187">
        <f t="shared" ca="1" si="52"/>
        <v>1</v>
      </c>
      <c r="V187" s="47">
        <f t="shared" ca="1" si="53"/>
        <v>479619.12688611983</v>
      </c>
      <c r="W187">
        <f ca="1">Inputs!B15+(Inputs!D15-Inputs!B15)*BETAINV(RAND(),Model!H9,Model!I9)</f>
        <v>1.9071189727043172</v>
      </c>
      <c r="X187">
        <f ca="1">Inputs!E15+(Inputs!G15-Inputs!E15)*BETAINV(RAND(),Model!J9,Model!K9)</f>
        <v>0.41048587662354763</v>
      </c>
      <c r="Y187">
        <f ca="1">(Inputs!H15+(Inputs!J15-Inputs!H15)*BETAINV(RAND(),Model!L9,Model!M9))*Inputs!$C$6</f>
        <v>38599.322220013244</v>
      </c>
      <c r="Z187">
        <f t="shared" ca="1" si="54"/>
        <v>0.78284540333593122</v>
      </c>
      <c r="AA187">
        <f t="shared" ca="1" si="55"/>
        <v>0.53638659737535654</v>
      </c>
      <c r="AB187">
        <f t="shared" ca="1" si="56"/>
        <v>1</v>
      </c>
      <c r="AC187" s="47">
        <f t="shared" ca="1" si="57"/>
        <v>38599.322220013244</v>
      </c>
      <c r="AD187">
        <f ca="1">Inputs!B16+(Inputs!D16-Inputs!B16)*BETAINV(RAND(),Model!H10,Model!I10)</f>
        <v>0.56688082386406002</v>
      </c>
      <c r="AE187">
        <f ca="1">Inputs!E16+(Inputs!G16-Inputs!E16)*BETAINV(RAND(),Model!J10,Model!K10)</f>
        <v>0.49620736743985921</v>
      </c>
      <c r="AF187">
        <f ca="1">(Inputs!H16+(Inputs!J16-Inputs!H16)*BETAINV(RAND(),Model!L10,Model!M10))*Inputs!$C$6</f>
        <v>81414.397537021592</v>
      </c>
      <c r="AG187">
        <f t="shared" ca="1" si="58"/>
        <v>0.28129044126172376</v>
      </c>
      <c r="AH187">
        <f t="shared" ca="1" si="59"/>
        <v>0.55363852097770805</v>
      </c>
      <c r="AI187">
        <f t="shared" ca="1" si="60"/>
        <v>0</v>
      </c>
      <c r="AJ187" s="47">
        <f t="shared" ca="1" si="61"/>
        <v>0</v>
      </c>
      <c r="AK187">
        <f t="shared" ca="1" si="62"/>
        <v>518218.44910613308</v>
      </c>
    </row>
    <row r="188" spans="2:37" x14ac:dyDescent="0.2">
      <c r="B188">
        <f ca="1">Inputs!B12+(Inputs!D12-Inputs!B12)*BETAINV(RAND(),Model!H6,Model!I6)</f>
        <v>5.7673746703150091</v>
      </c>
      <c r="C188">
        <f ca="1">Inputs!E12+(Inputs!G12-Inputs!E12)*BETAINV(RAND(),Model!J6,Model!K6)</f>
        <v>0.24827005450807438</v>
      </c>
      <c r="D188">
        <f ca="1">(Inputs!H12+(Inputs!J12-Inputs!H12)*BETAINV(RAND(),Model!L6,Model!M6))*Inputs!$C$6</f>
        <v>20907.909660755504</v>
      </c>
      <c r="E188">
        <f t="shared" ca="1" si="42"/>
        <v>1.4318664237675949</v>
      </c>
      <c r="F188">
        <f t="shared" ca="1" si="43"/>
        <v>0.78684101564688125</v>
      </c>
      <c r="G188">
        <f t="shared" ca="1" si="44"/>
        <v>2</v>
      </c>
      <c r="H188" s="47">
        <f t="shared" ca="1" si="45"/>
        <v>41815.819321511008</v>
      </c>
      <c r="I188">
        <f ca="1">Inputs!B13+(Inputs!D13-Inputs!B13)*BETAINV(RAND(),Model!H7,Model!I7)</f>
        <v>1.8361271548649767</v>
      </c>
      <c r="J188">
        <f ca="1">Inputs!E13+(Inputs!G13-Inputs!E13)*BETAINV(RAND(),Model!J7,Model!K7)</f>
        <v>0.16585815958920036</v>
      </c>
      <c r="K188">
        <f ca="1">(Inputs!H13+(Inputs!J13-Inputs!H13)*BETAINV(RAND(),Model!L7,Model!M7))*Inputs!$C$6</f>
        <v>11446.036105701398</v>
      </c>
      <c r="L188">
        <f t="shared" ca="1" si="46"/>
        <v>0.30453667067765972</v>
      </c>
      <c r="M188">
        <f t="shared" ca="1" si="47"/>
        <v>0.12677651679961155</v>
      </c>
      <c r="N188">
        <f t="shared" ca="1" si="48"/>
        <v>0</v>
      </c>
      <c r="O188" s="47">
        <f t="shared" ca="1" si="49"/>
        <v>0</v>
      </c>
      <c r="P188">
        <f ca="1">Inputs!B14+(Inputs!D14-Inputs!B14)*BETAINV(RAND(),Model!H8,Model!I8)</f>
        <v>0.11380005245752819</v>
      </c>
      <c r="Q188">
        <f ca="1">Inputs!E14+(Inputs!G14-Inputs!E14)*BETAINV(RAND(),Model!J8,Model!K8)</f>
        <v>0.5062383097833143</v>
      </c>
      <c r="R188">
        <f ca="1">(Inputs!H14+(Inputs!J14-Inputs!H14)*BETAINV(RAND(),Model!L8,Model!M8))*Inputs!$C$6</f>
        <v>397447.00291057792</v>
      </c>
      <c r="S188">
        <f t="shared" ca="1" si="50"/>
        <v>5.7609946209351573E-2</v>
      </c>
      <c r="T188">
        <f t="shared" ca="1" si="51"/>
        <v>0.46572649706270475</v>
      </c>
      <c r="U188">
        <f t="shared" ca="1" si="52"/>
        <v>0</v>
      </c>
      <c r="V188" s="47">
        <f t="shared" ca="1" si="53"/>
        <v>0</v>
      </c>
      <c r="W188">
        <f ca="1">Inputs!B15+(Inputs!D15-Inputs!B15)*BETAINV(RAND(),Model!H9,Model!I9)</f>
        <v>0.88309435383069634</v>
      </c>
      <c r="X188">
        <f ca="1">Inputs!E15+(Inputs!G15-Inputs!E15)*BETAINV(RAND(),Model!J9,Model!K9)</f>
        <v>0.65386470484599268</v>
      </c>
      <c r="Y188">
        <f ca="1">(Inputs!H15+(Inputs!J15-Inputs!H15)*BETAINV(RAND(),Model!L9,Model!M9))*Inputs!$C$6</f>
        <v>33138.038123896564</v>
      </c>
      <c r="Z188">
        <f t="shared" ca="1" si="54"/>
        <v>0.57742422901867085</v>
      </c>
      <c r="AA188">
        <f t="shared" ca="1" si="55"/>
        <v>0.59980803422661455</v>
      </c>
      <c r="AB188">
        <f t="shared" ca="1" si="56"/>
        <v>1</v>
      </c>
      <c r="AC188" s="47">
        <f t="shared" ca="1" si="57"/>
        <v>33138.038123896564</v>
      </c>
      <c r="AD188">
        <f ca="1">Inputs!B16+(Inputs!D16-Inputs!B16)*BETAINV(RAND(),Model!H10,Model!I10)</f>
        <v>0.66403896804584561</v>
      </c>
      <c r="AE188">
        <f ca="1">Inputs!E16+(Inputs!G16-Inputs!E16)*BETAINV(RAND(),Model!J10,Model!K10)</f>
        <v>0.7373393620258778</v>
      </c>
      <c r="AF188">
        <f ca="1">(Inputs!H16+(Inputs!J16-Inputs!H16)*BETAINV(RAND(),Model!L10,Model!M10))*Inputs!$C$6</f>
        <v>105043.83271572263</v>
      </c>
      <c r="AG188">
        <f t="shared" ca="1" si="58"/>
        <v>0.48962206905924605</v>
      </c>
      <c r="AH188">
        <f t="shared" ca="1" si="59"/>
        <v>0.23529790324595856</v>
      </c>
      <c r="AI188">
        <f t="shared" ca="1" si="60"/>
        <v>0</v>
      </c>
      <c r="AJ188" s="47">
        <f t="shared" ca="1" si="61"/>
        <v>0</v>
      </c>
      <c r="AK188">
        <f t="shared" ca="1" si="62"/>
        <v>74953.857445407572</v>
      </c>
    </row>
    <row r="189" spans="2:37" x14ac:dyDescent="0.2">
      <c r="B189">
        <f ca="1">Inputs!B12+(Inputs!D12-Inputs!B12)*BETAINV(RAND(),Model!H6,Model!I6)</f>
        <v>3.5278518392441187</v>
      </c>
      <c r="C189">
        <f ca="1">Inputs!E12+(Inputs!G12-Inputs!E12)*BETAINV(RAND(),Model!J6,Model!K6)</f>
        <v>0.31460507398411958</v>
      </c>
      <c r="D189">
        <f ca="1">(Inputs!H12+(Inputs!J12-Inputs!H12)*BETAINV(RAND(),Model!L6,Model!M6))*Inputs!$C$6</f>
        <v>31147.352237692001</v>
      </c>
      <c r="E189">
        <f t="shared" ca="1" si="42"/>
        <v>1.1098800888904083</v>
      </c>
      <c r="F189">
        <f t="shared" ca="1" si="43"/>
        <v>0.76324791839636286</v>
      </c>
      <c r="G189">
        <f t="shared" ca="1" si="44"/>
        <v>2</v>
      </c>
      <c r="H189" s="47">
        <f t="shared" ca="1" si="45"/>
        <v>62294.704475384002</v>
      </c>
      <c r="I189">
        <f ca="1">Inputs!B13+(Inputs!D13-Inputs!B13)*BETAINV(RAND(),Model!H7,Model!I7)</f>
        <v>1.3012333256482185</v>
      </c>
      <c r="J189">
        <f ca="1">Inputs!E13+(Inputs!G13-Inputs!E13)*BETAINV(RAND(),Model!J7,Model!K7)</f>
        <v>0.2466305718380738</v>
      </c>
      <c r="K189">
        <f ca="1">(Inputs!H13+(Inputs!J13-Inputs!H13)*BETAINV(RAND(),Model!L7,Model!M7))*Inputs!$C$6</f>
        <v>51065.368637929045</v>
      </c>
      <c r="L189">
        <f t="shared" ca="1" si="46"/>
        <v>0.32092391919937863</v>
      </c>
      <c r="M189">
        <f t="shared" ca="1" si="47"/>
        <v>0.28672082995958703</v>
      </c>
      <c r="N189">
        <f t="shared" ca="1" si="48"/>
        <v>0</v>
      </c>
      <c r="O189" s="47">
        <f t="shared" ca="1" si="49"/>
        <v>0</v>
      </c>
      <c r="P189">
        <f ca="1">Inputs!B14+(Inputs!D14-Inputs!B14)*BETAINV(RAND(),Model!H8,Model!I8)</f>
        <v>0.17224443981635998</v>
      </c>
      <c r="Q189">
        <f ca="1">Inputs!E14+(Inputs!G14-Inputs!E14)*BETAINV(RAND(),Model!J8,Model!K8)</f>
        <v>0.50315243021744194</v>
      </c>
      <c r="R189">
        <f ca="1">(Inputs!H14+(Inputs!J14-Inputs!H14)*BETAINV(RAND(),Model!L8,Model!M8))*Inputs!$C$6</f>
        <v>463300.83504558203</v>
      </c>
      <c r="S189">
        <f t="shared" ca="1" si="50"/>
        <v>8.6665208485043443E-2</v>
      </c>
      <c r="T189">
        <f t="shared" ca="1" si="51"/>
        <v>7.6618529715639205E-2</v>
      </c>
      <c r="U189">
        <f t="shared" ca="1" si="52"/>
        <v>0</v>
      </c>
      <c r="V189" s="47">
        <f t="shared" ca="1" si="53"/>
        <v>0</v>
      </c>
      <c r="W189">
        <f ca="1">Inputs!B15+(Inputs!D15-Inputs!B15)*BETAINV(RAND(),Model!H9,Model!I9)</f>
        <v>0.67522691709039095</v>
      </c>
      <c r="X189">
        <f ca="1">Inputs!E15+(Inputs!G15-Inputs!E15)*BETAINV(RAND(),Model!J9,Model!K9)</f>
        <v>0.36130514960086946</v>
      </c>
      <c r="Y189">
        <f ca="1">(Inputs!H15+(Inputs!J15-Inputs!H15)*BETAINV(RAND(),Model!L9,Model!M9))*Inputs!$C$6</f>
        <v>12945.268392481725</v>
      </c>
      <c r="Z189">
        <f t="shared" ca="1" si="54"/>
        <v>0.24396296229387759</v>
      </c>
      <c r="AA189">
        <f t="shared" ca="1" si="55"/>
        <v>0.90588126379267908</v>
      </c>
      <c r="AB189">
        <f t="shared" ca="1" si="56"/>
        <v>1</v>
      </c>
      <c r="AC189" s="47">
        <f t="shared" ca="1" si="57"/>
        <v>12945.268392481725</v>
      </c>
      <c r="AD189">
        <f ca="1">Inputs!B16+(Inputs!D16-Inputs!B16)*BETAINV(RAND(),Model!H10,Model!I10)</f>
        <v>0.39792157954891905</v>
      </c>
      <c r="AE189">
        <f ca="1">Inputs!E16+(Inputs!G16-Inputs!E16)*BETAINV(RAND(),Model!J10,Model!K10)</f>
        <v>0.59920988984089696</v>
      </c>
      <c r="AF189">
        <f ca="1">(Inputs!H16+(Inputs!J16-Inputs!H16)*BETAINV(RAND(),Model!L10,Model!M10))*Inputs!$C$6</f>
        <v>91841.26132119351</v>
      </c>
      <c r="AG189">
        <f t="shared" ca="1" si="58"/>
        <v>0.2384385458468235</v>
      </c>
      <c r="AH189">
        <f t="shared" ca="1" si="59"/>
        <v>0.45283527521379907</v>
      </c>
      <c r="AI189">
        <f t="shared" ca="1" si="60"/>
        <v>0</v>
      </c>
      <c r="AJ189" s="47">
        <f t="shared" ca="1" si="61"/>
        <v>0</v>
      </c>
      <c r="AK189">
        <f t="shared" ca="1" si="62"/>
        <v>75239.972867865727</v>
      </c>
    </row>
    <row r="190" spans="2:37" x14ac:dyDescent="0.2">
      <c r="B190">
        <f ca="1">Inputs!B12+(Inputs!D12-Inputs!B12)*BETAINV(RAND(),Model!H6,Model!I6)</f>
        <v>1.7066552114013889</v>
      </c>
      <c r="C190">
        <f ca="1">Inputs!E12+(Inputs!G12-Inputs!E12)*BETAINV(RAND(),Model!J6,Model!K6)</f>
        <v>0.28043772702132075</v>
      </c>
      <c r="D190">
        <f ca="1">(Inputs!H12+(Inputs!J12-Inputs!H12)*BETAINV(RAND(),Model!L6,Model!M6))*Inputs!$C$6</f>
        <v>13171.009379394376</v>
      </c>
      <c r="E190">
        <f t="shared" ca="1" si="42"/>
        <v>0.47861050829449714</v>
      </c>
      <c r="F190">
        <f t="shared" ca="1" si="43"/>
        <v>0.61784194197814646</v>
      </c>
      <c r="G190">
        <f t="shared" ca="1" si="44"/>
        <v>0</v>
      </c>
      <c r="H190" s="47">
        <f t="shared" ca="1" si="45"/>
        <v>0</v>
      </c>
      <c r="I190">
        <f ca="1">Inputs!B13+(Inputs!D13-Inputs!B13)*BETAINV(RAND(),Model!H7,Model!I7)</f>
        <v>2.0242178465942815</v>
      </c>
      <c r="J190">
        <f ca="1">Inputs!E13+(Inputs!G13-Inputs!E13)*BETAINV(RAND(),Model!J7,Model!K7)</f>
        <v>0.30917732224880246</v>
      </c>
      <c r="K190">
        <f ca="1">(Inputs!H13+(Inputs!J13-Inputs!H13)*BETAINV(RAND(),Model!L7,Model!M7))*Inputs!$C$6</f>
        <v>21728.55250255562</v>
      </c>
      <c r="L190">
        <f t="shared" ca="1" si="46"/>
        <v>0.62584225345825717</v>
      </c>
      <c r="M190">
        <f t="shared" ca="1" si="47"/>
        <v>0.33032731802999049</v>
      </c>
      <c r="N190">
        <f t="shared" ca="1" si="48"/>
        <v>0</v>
      </c>
      <c r="O190" s="47">
        <f t="shared" ca="1" si="49"/>
        <v>0</v>
      </c>
      <c r="P190">
        <f ca="1">Inputs!B14+(Inputs!D14-Inputs!B14)*BETAINV(RAND(),Model!H8,Model!I8)</f>
        <v>0.27607479234361465</v>
      </c>
      <c r="Q190">
        <f ca="1">Inputs!E14+(Inputs!G14-Inputs!E14)*BETAINV(RAND(),Model!J8,Model!K8)</f>
        <v>0.59947521811467075</v>
      </c>
      <c r="R190">
        <f ca="1">(Inputs!H14+(Inputs!J14-Inputs!H14)*BETAINV(RAND(),Model!L8,Model!M8))*Inputs!$C$6</f>
        <v>426815.7498957038</v>
      </c>
      <c r="S190">
        <f t="shared" ca="1" si="50"/>
        <v>0.16549999635615081</v>
      </c>
      <c r="T190">
        <f t="shared" ca="1" si="51"/>
        <v>0.18820236006572</v>
      </c>
      <c r="U190">
        <f t="shared" ca="1" si="52"/>
        <v>0</v>
      </c>
      <c r="V190" s="47">
        <f t="shared" ca="1" si="53"/>
        <v>0</v>
      </c>
      <c r="W190">
        <f ca="1">Inputs!B15+(Inputs!D15-Inputs!B15)*BETAINV(RAND(),Model!H9,Model!I9)</f>
        <v>1.2759660737970915</v>
      </c>
      <c r="X190">
        <f ca="1">Inputs!E15+(Inputs!G15-Inputs!E15)*BETAINV(RAND(),Model!J9,Model!K9)</f>
        <v>0.60705790964911421</v>
      </c>
      <c r="Y190">
        <f ca="1">(Inputs!H15+(Inputs!J15-Inputs!H15)*BETAINV(RAND(),Model!L9,Model!M9))*Inputs!$C$6</f>
        <v>32394.348256267225</v>
      </c>
      <c r="Z190">
        <f t="shared" ca="1" si="54"/>
        <v>0.77458529754244976</v>
      </c>
      <c r="AA190">
        <f t="shared" ca="1" si="55"/>
        <v>9.6164273764762553E-2</v>
      </c>
      <c r="AB190">
        <f t="shared" ca="1" si="56"/>
        <v>0</v>
      </c>
      <c r="AC190" s="47">
        <f t="shared" ca="1" si="57"/>
        <v>0</v>
      </c>
      <c r="AD190">
        <f ca="1">Inputs!B16+(Inputs!D16-Inputs!B16)*BETAINV(RAND(),Model!H10,Model!I10)</f>
        <v>0.91500726958894885</v>
      </c>
      <c r="AE190">
        <f ca="1">Inputs!E16+(Inputs!G16-Inputs!E16)*BETAINV(RAND(),Model!J10,Model!K10)</f>
        <v>0.70424710177624417</v>
      </c>
      <c r="AF190">
        <f ca="1">(Inputs!H16+(Inputs!J16-Inputs!H16)*BETAINV(RAND(),Model!L10,Model!M10))*Inputs!$C$6</f>
        <v>111123.92912486769</v>
      </c>
      <c r="AG190">
        <f t="shared" ca="1" si="58"/>
        <v>0.64439121771221175</v>
      </c>
      <c r="AH190">
        <f t="shared" ca="1" si="59"/>
        <v>0.6067660403259898</v>
      </c>
      <c r="AI190">
        <f t="shared" ca="1" si="60"/>
        <v>1</v>
      </c>
      <c r="AJ190" s="47">
        <f t="shared" ca="1" si="61"/>
        <v>111123.92912486769</v>
      </c>
      <c r="AK190">
        <f t="shared" ca="1" si="62"/>
        <v>111123.92912486769</v>
      </c>
    </row>
    <row r="191" spans="2:37" x14ac:dyDescent="0.2">
      <c r="B191">
        <f ca="1">Inputs!B12+(Inputs!D12-Inputs!B12)*BETAINV(RAND(),Model!H6,Model!I6)</f>
        <v>4.4702628382322676</v>
      </c>
      <c r="C191">
        <f ca="1">Inputs!E12+(Inputs!G12-Inputs!E12)*BETAINV(RAND(),Model!J6,Model!K6)</f>
        <v>0.3046400641038125</v>
      </c>
      <c r="D191">
        <f ca="1">(Inputs!H12+(Inputs!J12-Inputs!H12)*BETAINV(RAND(),Model!L6,Model!M6))*Inputs!$C$6</f>
        <v>39790.689156328423</v>
      </c>
      <c r="E191">
        <f t="shared" ca="1" si="42"/>
        <v>1.3618211575999688</v>
      </c>
      <c r="F191">
        <f t="shared" ca="1" si="43"/>
        <v>0.18381861813722611</v>
      </c>
      <c r="G191">
        <f t="shared" ca="1" si="44"/>
        <v>0</v>
      </c>
      <c r="H191" s="47">
        <f t="shared" ca="1" si="45"/>
        <v>0</v>
      </c>
      <c r="I191">
        <f ca="1">Inputs!B13+(Inputs!D13-Inputs!B13)*BETAINV(RAND(),Model!H7,Model!I7)</f>
        <v>1.9092788859414378</v>
      </c>
      <c r="J191">
        <f ca="1">Inputs!E13+(Inputs!G13-Inputs!E13)*BETAINV(RAND(),Model!J7,Model!K7)</f>
        <v>0.1633682747003436</v>
      </c>
      <c r="K191">
        <f ca="1">(Inputs!H13+(Inputs!J13-Inputs!H13)*BETAINV(RAND(),Model!L7,Model!M7))*Inputs!$C$6</f>
        <v>43872.637670902812</v>
      </c>
      <c r="L191">
        <f t="shared" ca="1" si="46"/>
        <v>0.31191559751804682</v>
      </c>
      <c r="M191">
        <f t="shared" ca="1" si="47"/>
        <v>0.82918908430805371</v>
      </c>
      <c r="N191">
        <f t="shared" ca="1" si="48"/>
        <v>1</v>
      </c>
      <c r="O191" s="47">
        <f t="shared" ca="1" si="49"/>
        <v>43872.637670902812</v>
      </c>
      <c r="P191">
        <f ca="1">Inputs!B14+(Inputs!D14-Inputs!B14)*BETAINV(RAND(),Model!H8,Model!I8)</f>
        <v>0.11452922941573751</v>
      </c>
      <c r="Q191">
        <f ca="1">Inputs!E14+(Inputs!G14-Inputs!E14)*BETAINV(RAND(),Model!J8,Model!K8)</f>
        <v>0.66467207104109605</v>
      </c>
      <c r="R191">
        <f ca="1">(Inputs!H14+(Inputs!J14-Inputs!H14)*BETAINV(RAND(),Model!L8,Model!M8))*Inputs!$C$6</f>
        <v>461263.37986687495</v>
      </c>
      <c r="S191">
        <f t="shared" ca="1" si="50"/>
        <v>7.6124380110499074E-2</v>
      </c>
      <c r="T191">
        <f t="shared" ca="1" si="51"/>
        <v>0.31234163958654615</v>
      </c>
      <c r="U191">
        <f t="shared" ca="1" si="52"/>
        <v>0</v>
      </c>
      <c r="V191" s="47">
        <f t="shared" ca="1" si="53"/>
        <v>0</v>
      </c>
      <c r="W191">
        <f ca="1">Inputs!B15+(Inputs!D15-Inputs!B15)*BETAINV(RAND(),Model!H9,Model!I9)</f>
        <v>1.0531681179850596</v>
      </c>
      <c r="X191">
        <f ca="1">Inputs!E15+(Inputs!G15-Inputs!E15)*BETAINV(RAND(),Model!J9,Model!K9)</f>
        <v>0.40986796183907193</v>
      </c>
      <c r="Y191">
        <f ca="1">(Inputs!H15+(Inputs!J15-Inputs!H15)*BETAINV(RAND(),Model!L9,Model!M9))*Inputs!$C$6</f>
        <v>16852.042289360576</v>
      </c>
      <c r="Z191">
        <f t="shared" ca="1" si="54"/>
        <v>0.43165986999242761</v>
      </c>
      <c r="AA191">
        <f t="shared" ca="1" si="55"/>
        <v>0.4526431717016316</v>
      </c>
      <c r="AB191">
        <f t="shared" ca="1" si="56"/>
        <v>0</v>
      </c>
      <c r="AC191" s="47">
        <f t="shared" ca="1" si="57"/>
        <v>0</v>
      </c>
      <c r="AD191">
        <f ca="1">Inputs!B16+(Inputs!D16-Inputs!B16)*BETAINV(RAND(),Model!H10,Model!I10)</f>
        <v>0.935078702521418</v>
      </c>
      <c r="AE191">
        <f ca="1">Inputs!E16+(Inputs!G16-Inputs!E16)*BETAINV(RAND(),Model!J10,Model!K10)</f>
        <v>0.75701419025624217</v>
      </c>
      <c r="AF191">
        <f ca="1">(Inputs!H16+(Inputs!J16-Inputs!H16)*BETAINV(RAND(),Model!L10,Model!M10))*Inputs!$C$6</f>
        <v>63162.614517711409</v>
      </c>
      <c r="AG191">
        <f t="shared" ca="1" si="58"/>
        <v>0.70786784681510884</v>
      </c>
      <c r="AH191">
        <f t="shared" ca="1" si="59"/>
        <v>0.93736411476859238</v>
      </c>
      <c r="AI191">
        <f t="shared" ca="1" si="60"/>
        <v>2</v>
      </c>
      <c r="AJ191" s="47">
        <f t="shared" ca="1" si="61"/>
        <v>126325.22903542282</v>
      </c>
      <c r="AK191">
        <f t="shared" ca="1" si="62"/>
        <v>170197.86670632561</v>
      </c>
    </row>
    <row r="192" spans="2:37" x14ac:dyDescent="0.2">
      <c r="B192">
        <f ca="1">Inputs!B12+(Inputs!D12-Inputs!B12)*BETAINV(RAND(),Model!H6,Model!I6)</f>
        <v>2.7553433405293388</v>
      </c>
      <c r="C192">
        <f ca="1">Inputs!E12+(Inputs!G12-Inputs!E12)*BETAINV(RAND(),Model!J6,Model!K6)</f>
        <v>0.31522663307544524</v>
      </c>
      <c r="D192">
        <f ca="1">(Inputs!H12+(Inputs!J12-Inputs!H12)*BETAINV(RAND(),Model!L6,Model!M6))*Inputs!$C$6</f>
        <v>34061.489080290921</v>
      </c>
      <c r="E192">
        <f t="shared" ca="1" si="42"/>
        <v>0.86855760420191341</v>
      </c>
      <c r="F192">
        <f t="shared" ca="1" si="43"/>
        <v>0.38942305923102982</v>
      </c>
      <c r="G192">
        <f t="shared" ca="1" si="44"/>
        <v>0</v>
      </c>
      <c r="H192" s="47">
        <f t="shared" ca="1" si="45"/>
        <v>0</v>
      </c>
      <c r="I192">
        <f ca="1">Inputs!B13+(Inputs!D13-Inputs!B13)*BETAINV(RAND(),Model!H7,Model!I7)</f>
        <v>2.1278741443941596</v>
      </c>
      <c r="J192">
        <f ca="1">Inputs!E13+(Inputs!G13-Inputs!E13)*BETAINV(RAND(),Model!J7,Model!K7)</f>
        <v>0.21286910206668785</v>
      </c>
      <c r="K192">
        <f ca="1">(Inputs!H13+(Inputs!J13-Inputs!H13)*BETAINV(RAND(),Model!L7,Model!M7))*Inputs!$C$6</f>
        <v>22277.606230001889</v>
      </c>
      <c r="L192">
        <f t="shared" ca="1" si="46"/>
        <v>0.45295865842810645</v>
      </c>
      <c r="M192">
        <f t="shared" ca="1" si="47"/>
        <v>0.93714778780703956</v>
      </c>
      <c r="N192">
        <f t="shared" ca="1" si="48"/>
        <v>2</v>
      </c>
      <c r="O192" s="47">
        <f t="shared" ca="1" si="49"/>
        <v>44555.212460003779</v>
      </c>
      <c r="P192">
        <f ca="1">Inputs!B14+(Inputs!D14-Inputs!B14)*BETAINV(RAND(),Model!H8,Model!I8)</f>
        <v>0.23788153945021281</v>
      </c>
      <c r="Q192">
        <f ca="1">Inputs!E14+(Inputs!G14-Inputs!E14)*BETAINV(RAND(),Model!J8,Model!K8)</f>
        <v>0.72268308934953995</v>
      </c>
      <c r="R192">
        <f ca="1">(Inputs!H14+(Inputs!J14-Inputs!H14)*BETAINV(RAND(),Model!L8,Model!M8))*Inputs!$C$6</f>
        <v>541589.09664548398</v>
      </c>
      <c r="S192">
        <f t="shared" ca="1" si="50"/>
        <v>0.17191296582910426</v>
      </c>
      <c r="T192">
        <f t="shared" ca="1" si="51"/>
        <v>0.46682184224182521</v>
      </c>
      <c r="U192">
        <f t="shared" ca="1" si="52"/>
        <v>0</v>
      </c>
      <c r="V192" s="47">
        <f t="shared" ca="1" si="53"/>
        <v>0</v>
      </c>
      <c r="W192">
        <f ca="1">Inputs!B15+(Inputs!D15-Inputs!B15)*BETAINV(RAND(),Model!H9,Model!I9)</f>
        <v>1.1538023539871518</v>
      </c>
      <c r="X192">
        <f ca="1">Inputs!E15+(Inputs!G15-Inputs!E15)*BETAINV(RAND(),Model!J9,Model!K9)</f>
        <v>0.39311631589631113</v>
      </c>
      <c r="Y192">
        <f ca="1">(Inputs!H15+(Inputs!J15-Inputs!H15)*BETAINV(RAND(),Model!L9,Model!M9))*Inputs!$C$6</f>
        <v>48124.804533727067</v>
      </c>
      <c r="Z192">
        <f t="shared" ca="1" si="54"/>
        <v>0.45357853067192055</v>
      </c>
      <c r="AA192">
        <f t="shared" ca="1" si="55"/>
        <v>0.26865666783492148</v>
      </c>
      <c r="AB192">
        <f t="shared" ca="1" si="56"/>
        <v>0</v>
      </c>
      <c r="AC192" s="47">
        <f t="shared" ca="1" si="57"/>
        <v>0</v>
      </c>
      <c r="AD192">
        <f ca="1">Inputs!B16+(Inputs!D16-Inputs!B16)*BETAINV(RAND(),Model!H10,Model!I10)</f>
        <v>0.5380752017876298</v>
      </c>
      <c r="AE192">
        <f ca="1">Inputs!E16+(Inputs!G16-Inputs!E16)*BETAINV(RAND(),Model!J10,Model!K10)</f>
        <v>0.49580460816897137</v>
      </c>
      <c r="AF192">
        <f ca="1">(Inputs!H16+(Inputs!J16-Inputs!H16)*BETAINV(RAND(),Model!L10,Model!M10))*Inputs!$C$6</f>
        <v>71726.472993294636</v>
      </c>
      <c r="AG192">
        <f t="shared" ca="1" si="58"/>
        <v>0.266780164587756</v>
      </c>
      <c r="AH192">
        <f t="shared" ca="1" si="59"/>
        <v>0.91769599528171741</v>
      </c>
      <c r="AI192">
        <f t="shared" ca="1" si="60"/>
        <v>1</v>
      </c>
      <c r="AJ192" s="47">
        <f t="shared" ca="1" si="61"/>
        <v>71726.472993294636</v>
      </c>
      <c r="AK192">
        <f t="shared" ca="1" si="62"/>
        <v>116281.68545329841</v>
      </c>
    </row>
    <row r="193" spans="2:37" x14ac:dyDescent="0.2">
      <c r="B193">
        <f ca="1">Inputs!B12+(Inputs!D12-Inputs!B12)*BETAINV(RAND(),Model!H6,Model!I6)</f>
        <v>3.3005480916400507</v>
      </c>
      <c r="C193">
        <f ca="1">Inputs!E12+(Inputs!G12-Inputs!E12)*BETAINV(RAND(),Model!J6,Model!K6)</f>
        <v>0.37387515425705764</v>
      </c>
      <c r="D193">
        <f ca="1">(Inputs!H12+(Inputs!J12-Inputs!H12)*BETAINV(RAND(),Model!L6,Model!M6))*Inputs!$C$6</f>
        <v>28111.418266738809</v>
      </c>
      <c r="E193">
        <f t="shared" ca="1" si="42"/>
        <v>1.2339929268947611</v>
      </c>
      <c r="F193">
        <f t="shared" ca="1" si="43"/>
        <v>4.980050448793738E-2</v>
      </c>
      <c r="G193">
        <f t="shared" ca="1" si="44"/>
        <v>0</v>
      </c>
      <c r="H193" s="47">
        <f t="shared" ca="1" si="45"/>
        <v>0</v>
      </c>
      <c r="I193">
        <f ca="1">Inputs!B13+(Inputs!D13-Inputs!B13)*BETAINV(RAND(),Model!H7,Model!I7)</f>
        <v>2.5271639676411466</v>
      </c>
      <c r="J193">
        <f ca="1">Inputs!E13+(Inputs!G13-Inputs!E13)*BETAINV(RAND(),Model!J7,Model!K7)</f>
        <v>0.40999463755411203</v>
      </c>
      <c r="K193">
        <f ca="1">(Inputs!H13+(Inputs!J13-Inputs!H13)*BETAINV(RAND(),Model!L7,Model!M7))*Inputs!$C$6</f>
        <v>23769.511642995712</v>
      </c>
      <c r="L193">
        <f t="shared" ca="1" si="46"/>
        <v>1.0361236749528435</v>
      </c>
      <c r="M193">
        <f t="shared" ca="1" si="47"/>
        <v>0.22501351364561195</v>
      </c>
      <c r="N193">
        <f t="shared" ca="1" si="48"/>
        <v>0</v>
      </c>
      <c r="O193" s="47">
        <f t="shared" ca="1" si="49"/>
        <v>0</v>
      </c>
      <c r="P193">
        <f ca="1">Inputs!B14+(Inputs!D14-Inputs!B14)*BETAINV(RAND(),Model!H8,Model!I8)</f>
        <v>0.50604455333258425</v>
      </c>
      <c r="Q193">
        <f ca="1">Inputs!E14+(Inputs!G14-Inputs!E14)*BETAINV(RAND(),Model!J8,Model!K8)</f>
        <v>0.81742480628742009</v>
      </c>
      <c r="R193">
        <f ca="1">(Inputs!H14+(Inputs!J14-Inputs!H14)*BETAINV(RAND(),Model!L8,Model!M8))*Inputs!$C$6</f>
        <v>284343.15407279239</v>
      </c>
      <c r="S193">
        <f t="shared" ca="1" si="50"/>
        <v>0.41365337098069171</v>
      </c>
      <c r="T193">
        <f t="shared" ca="1" si="51"/>
        <v>0.48346715711800969</v>
      </c>
      <c r="U193">
        <f t="shared" ca="1" si="52"/>
        <v>0</v>
      </c>
      <c r="V193" s="47">
        <f t="shared" ca="1" si="53"/>
        <v>0</v>
      </c>
      <c r="W193">
        <f ca="1">Inputs!B15+(Inputs!D15-Inputs!B15)*BETAINV(RAND(),Model!H9,Model!I9)</f>
        <v>1.4314889551960441</v>
      </c>
      <c r="X193">
        <f ca="1">Inputs!E15+(Inputs!G15-Inputs!E15)*BETAINV(RAND(),Model!J9,Model!K9)</f>
        <v>0.42798225216421915</v>
      </c>
      <c r="Y193">
        <f ca="1">(Inputs!H15+(Inputs!J15-Inputs!H15)*BETAINV(RAND(),Model!L9,Model!M9))*Inputs!$C$6</f>
        <v>24901.075184671579</v>
      </c>
      <c r="Z193">
        <f t="shared" ca="1" si="54"/>
        <v>0.612651866993008</v>
      </c>
      <c r="AA193">
        <f t="shared" ca="1" si="55"/>
        <v>0.66478477934227476</v>
      </c>
      <c r="AB193">
        <f t="shared" ca="1" si="56"/>
        <v>1</v>
      </c>
      <c r="AC193" s="47">
        <f t="shared" ca="1" si="57"/>
        <v>24901.075184671579</v>
      </c>
      <c r="AD193">
        <f ca="1">Inputs!B16+(Inputs!D16-Inputs!B16)*BETAINV(RAND(),Model!H10,Model!I10)</f>
        <v>0.46998447191823506</v>
      </c>
      <c r="AE193">
        <f ca="1">Inputs!E16+(Inputs!G16-Inputs!E16)*BETAINV(RAND(),Model!J10,Model!K10)</f>
        <v>0.63352914350289968</v>
      </c>
      <c r="AF193">
        <f ca="1">(Inputs!H16+(Inputs!J16-Inputs!H16)*BETAINV(RAND(),Model!L10,Model!M10))*Inputs!$C$6</f>
        <v>104833.32030652842</v>
      </c>
      <c r="AG193">
        <f t="shared" ca="1" si="58"/>
        <v>0.29774885995402206</v>
      </c>
      <c r="AH193">
        <f t="shared" ca="1" si="59"/>
        <v>0.67036696108675231</v>
      </c>
      <c r="AI193">
        <f t="shared" ca="1" si="60"/>
        <v>0</v>
      </c>
      <c r="AJ193" s="47">
        <f t="shared" ca="1" si="61"/>
        <v>0</v>
      </c>
      <c r="AK193">
        <f t="shared" ca="1" si="62"/>
        <v>24901.075184671579</v>
      </c>
    </row>
    <row r="194" spans="2:37" x14ac:dyDescent="0.2">
      <c r="B194">
        <f ca="1">Inputs!B12+(Inputs!D12-Inputs!B12)*BETAINV(RAND(),Model!H6,Model!I6)</f>
        <v>3.6299891430994258</v>
      </c>
      <c r="C194">
        <f ca="1">Inputs!E12+(Inputs!G12-Inputs!E12)*BETAINV(RAND(),Model!J6,Model!K6)</f>
        <v>0.22353237016363636</v>
      </c>
      <c r="D194">
        <f ca="1">(Inputs!H12+(Inputs!J12-Inputs!H12)*BETAINV(RAND(),Model!L6,Model!M6))*Inputs!$C$6</f>
        <v>18072.06164408485</v>
      </c>
      <c r="E194">
        <f t="shared" ca="1" si="42"/>
        <v>0.81142007682528206</v>
      </c>
      <c r="F194">
        <f t="shared" ca="1" si="43"/>
        <v>0.68993099830685023</v>
      </c>
      <c r="G194">
        <f t="shared" ca="1" si="44"/>
        <v>1</v>
      </c>
      <c r="H194" s="47">
        <f t="shared" ca="1" si="45"/>
        <v>18072.06164408485</v>
      </c>
      <c r="I194">
        <f ca="1">Inputs!B13+(Inputs!D13-Inputs!B13)*BETAINV(RAND(),Model!H7,Model!I7)</f>
        <v>2.1743952015210315</v>
      </c>
      <c r="J194">
        <f ca="1">Inputs!E13+(Inputs!G13-Inputs!E13)*BETAINV(RAND(),Model!J7,Model!K7)</f>
        <v>0.40794214729619493</v>
      </c>
      <c r="K194">
        <f ca="1">(Inputs!H13+(Inputs!J13-Inputs!H13)*BETAINV(RAND(),Model!L7,Model!M7))*Inputs!$C$6</f>
        <v>28012.870027549117</v>
      </c>
      <c r="L194">
        <f t="shared" ca="1" si="46"/>
        <v>0.88702744757903207</v>
      </c>
      <c r="M194">
        <f t="shared" ca="1" si="47"/>
        <v>0.17202162070412352</v>
      </c>
      <c r="N194">
        <f t="shared" ca="1" si="48"/>
        <v>0</v>
      </c>
      <c r="O194" s="47">
        <f t="shared" ca="1" si="49"/>
        <v>0</v>
      </c>
      <c r="P194">
        <f ca="1">Inputs!B14+(Inputs!D14-Inputs!B14)*BETAINV(RAND(),Model!H8,Model!I8)</f>
        <v>0.24770720859538434</v>
      </c>
      <c r="Q194">
        <f ca="1">Inputs!E14+(Inputs!G14-Inputs!E14)*BETAINV(RAND(),Model!J8,Model!K8)</f>
        <v>0.53982159542247343</v>
      </c>
      <c r="R194">
        <f ca="1">(Inputs!H14+(Inputs!J14-Inputs!H14)*BETAINV(RAND(),Model!L8,Model!M8))*Inputs!$C$6</f>
        <v>467769.83114288363</v>
      </c>
      <c r="S194">
        <f t="shared" ca="1" si="50"/>
        <v>0.13371770054160781</v>
      </c>
      <c r="T194">
        <f t="shared" ca="1" si="51"/>
        <v>0.63541181369310107</v>
      </c>
      <c r="U194">
        <f t="shared" ca="1" si="52"/>
        <v>0</v>
      </c>
      <c r="V194" s="47">
        <f t="shared" ca="1" si="53"/>
        <v>0</v>
      </c>
      <c r="W194">
        <f ca="1">Inputs!B15+(Inputs!D15-Inputs!B15)*BETAINV(RAND(),Model!H9,Model!I9)</f>
        <v>1.2296441212825224</v>
      </c>
      <c r="X194">
        <f ca="1">Inputs!E15+(Inputs!G15-Inputs!E15)*BETAINV(RAND(),Model!J9,Model!K9)</f>
        <v>0.34586536539322049</v>
      </c>
      <c r="Y194">
        <f ca="1">(Inputs!H15+(Inputs!J15-Inputs!H15)*BETAINV(RAND(),Model!L9,Model!M9))*Inputs!$C$6</f>
        <v>33100.948308106192</v>
      </c>
      <c r="Z194">
        <f t="shared" ca="1" si="54"/>
        <v>0.42529131331100517</v>
      </c>
      <c r="AA194">
        <f t="shared" ca="1" si="55"/>
        <v>0.80129771043937192</v>
      </c>
      <c r="AB194">
        <f t="shared" ca="1" si="56"/>
        <v>1</v>
      </c>
      <c r="AC194" s="47">
        <f t="shared" ca="1" si="57"/>
        <v>33100.948308106192</v>
      </c>
      <c r="AD194">
        <f ca="1">Inputs!B16+(Inputs!D16-Inputs!B16)*BETAINV(RAND(),Model!H10,Model!I10)</f>
        <v>0.88435434583261574</v>
      </c>
      <c r="AE194">
        <f ca="1">Inputs!E16+(Inputs!G16-Inputs!E16)*BETAINV(RAND(),Model!J10,Model!K10)</f>
        <v>0.50048719905382999</v>
      </c>
      <c r="AF194">
        <f ca="1">(Inputs!H16+(Inputs!J16-Inputs!H16)*BETAINV(RAND(),Model!L10,Model!M10))*Inputs!$C$6</f>
        <v>122647.3862971237</v>
      </c>
      <c r="AG194">
        <f t="shared" ca="1" si="58"/>
        <v>0.44260802951684797</v>
      </c>
      <c r="AH194">
        <f t="shared" ca="1" si="59"/>
        <v>0.69528978789089324</v>
      </c>
      <c r="AI194">
        <f t="shared" ca="1" si="60"/>
        <v>1</v>
      </c>
      <c r="AJ194" s="47">
        <f t="shared" ca="1" si="61"/>
        <v>122647.3862971237</v>
      </c>
      <c r="AK194">
        <f t="shared" ca="1" si="62"/>
        <v>173820.39624931474</v>
      </c>
    </row>
    <row r="195" spans="2:37" x14ac:dyDescent="0.2">
      <c r="B195">
        <f ca="1">Inputs!B12+(Inputs!D12-Inputs!B12)*BETAINV(RAND(),Model!H6,Model!I6)</f>
        <v>4.8598022607689249</v>
      </c>
      <c r="C195">
        <f ca="1">Inputs!E12+(Inputs!G12-Inputs!E12)*BETAINV(RAND(),Model!J6,Model!K6)</f>
        <v>0.31505762217037614</v>
      </c>
      <c r="D195">
        <f ca="1">(Inputs!H12+(Inputs!J12-Inputs!H12)*BETAINV(RAND(),Model!L6,Model!M6))*Inputs!$C$6</f>
        <v>13655.811985405853</v>
      </c>
      <c r="E195">
        <f t="shared" ca="1" si="42"/>
        <v>1.5311177444960757</v>
      </c>
      <c r="F195">
        <f t="shared" ca="1" si="43"/>
        <v>0.5887668146788313</v>
      </c>
      <c r="G195">
        <f t="shared" ca="1" si="44"/>
        <v>2</v>
      </c>
      <c r="H195" s="47">
        <f t="shared" ca="1" si="45"/>
        <v>27311.623970811706</v>
      </c>
      <c r="I195">
        <f ca="1">Inputs!B13+(Inputs!D13-Inputs!B13)*BETAINV(RAND(),Model!H7,Model!I7)</f>
        <v>2.203818796918239</v>
      </c>
      <c r="J195">
        <f ca="1">Inputs!E13+(Inputs!G13-Inputs!E13)*BETAINV(RAND(),Model!J7,Model!K7)</f>
        <v>0.24854883068029246</v>
      </c>
      <c r="K195">
        <f ca="1">(Inputs!H13+(Inputs!J13-Inputs!H13)*BETAINV(RAND(),Model!L7,Model!M7))*Inputs!$C$6</f>
        <v>31129.159825335544</v>
      </c>
      <c r="L195">
        <f t="shared" ca="1" si="46"/>
        <v>0.54775658500527724</v>
      </c>
      <c r="M195">
        <f t="shared" ca="1" si="47"/>
        <v>0.83223402863494389</v>
      </c>
      <c r="N195">
        <f t="shared" ca="1" si="48"/>
        <v>1</v>
      </c>
      <c r="O195" s="47">
        <f t="shared" ca="1" si="49"/>
        <v>31129.159825335544</v>
      </c>
      <c r="P195">
        <f ca="1">Inputs!B14+(Inputs!D14-Inputs!B14)*BETAINV(RAND(),Model!H8,Model!I8)</f>
        <v>0.48515847055402395</v>
      </c>
      <c r="Q195">
        <f ca="1">Inputs!E14+(Inputs!G14-Inputs!E14)*BETAINV(RAND(),Model!J8,Model!K8)</f>
        <v>0.58547689549055737</v>
      </c>
      <c r="R195">
        <f ca="1">(Inputs!H14+(Inputs!J14-Inputs!H14)*BETAINV(RAND(),Model!L8,Model!M8))*Inputs!$C$6</f>
        <v>332626.3981246964</v>
      </c>
      <c r="S195">
        <f t="shared" ca="1" si="50"/>
        <v>0.28404907516091693</v>
      </c>
      <c r="T195">
        <f t="shared" ca="1" si="51"/>
        <v>0.65557588812501755</v>
      </c>
      <c r="U195">
        <f t="shared" ca="1" si="52"/>
        <v>0</v>
      </c>
      <c r="V195" s="47">
        <f t="shared" ca="1" si="53"/>
        <v>0</v>
      </c>
      <c r="W195">
        <f ca="1">Inputs!B15+(Inputs!D15-Inputs!B15)*BETAINV(RAND(),Model!H9,Model!I9)</f>
        <v>1.6318335529189707</v>
      </c>
      <c r="X195">
        <f ca="1">Inputs!E15+(Inputs!G15-Inputs!E15)*BETAINV(RAND(),Model!J9,Model!K9)</f>
        <v>0.33692172900961448</v>
      </c>
      <c r="Y195">
        <f ca="1">(Inputs!H15+(Inputs!J15-Inputs!H15)*BETAINV(RAND(),Model!L9,Model!M9))*Inputs!$C$6</f>
        <v>25419.246065112955</v>
      </c>
      <c r="Z195">
        <f t="shared" ca="1" si="54"/>
        <v>0.54980018210536186</v>
      </c>
      <c r="AA195">
        <f t="shared" ca="1" si="55"/>
        <v>0.7426293472751867</v>
      </c>
      <c r="AB195">
        <f t="shared" ca="1" si="56"/>
        <v>1</v>
      </c>
      <c r="AC195" s="47">
        <f t="shared" ca="1" si="57"/>
        <v>25419.246065112955</v>
      </c>
      <c r="AD195">
        <f ca="1">Inputs!B16+(Inputs!D16-Inputs!B16)*BETAINV(RAND(),Model!H10,Model!I10)</f>
        <v>0.84660204537857164</v>
      </c>
      <c r="AE195">
        <f ca="1">Inputs!E16+(Inputs!G16-Inputs!E16)*BETAINV(RAND(),Model!J10,Model!K10)</f>
        <v>0.46597075428901069</v>
      </c>
      <c r="AF195">
        <f ca="1">(Inputs!H16+(Inputs!J16-Inputs!H16)*BETAINV(RAND(),Model!L10,Model!M10))*Inputs!$C$6</f>
        <v>90219.280860873871</v>
      </c>
      <c r="AG195">
        <f t="shared" ca="1" si="58"/>
        <v>0.39449179366767229</v>
      </c>
      <c r="AH195">
        <f t="shared" ca="1" si="59"/>
        <v>0.98524670701549111</v>
      </c>
      <c r="AI195">
        <f t="shared" ca="1" si="60"/>
        <v>2</v>
      </c>
      <c r="AJ195" s="47">
        <f t="shared" ca="1" si="61"/>
        <v>180438.56172174774</v>
      </c>
      <c r="AK195">
        <f t="shared" ca="1" si="62"/>
        <v>264298.59158300795</v>
      </c>
    </row>
    <row r="196" spans="2:37" x14ac:dyDescent="0.2">
      <c r="B196">
        <f ca="1">Inputs!B12+(Inputs!D12-Inputs!B12)*BETAINV(RAND(),Model!H6,Model!I6)</f>
        <v>2.1792726261276232</v>
      </c>
      <c r="C196">
        <f ca="1">Inputs!E12+(Inputs!G12-Inputs!E12)*BETAINV(RAND(),Model!J6,Model!K6)</f>
        <v>0.21199559712107879</v>
      </c>
      <c r="D196">
        <f ca="1">(Inputs!H12+(Inputs!J12-Inputs!H12)*BETAINV(RAND(),Model!L6,Model!M6))*Inputs!$C$6</f>
        <v>42573.963862991222</v>
      </c>
      <c r="E196">
        <f t="shared" ca="1" si="42"/>
        <v>0.461996201665547</v>
      </c>
      <c r="F196">
        <f t="shared" ca="1" si="43"/>
        <v>0.33462194818148627</v>
      </c>
      <c r="G196">
        <f t="shared" ca="1" si="44"/>
        <v>0</v>
      </c>
      <c r="H196" s="47">
        <f t="shared" ca="1" si="45"/>
        <v>0</v>
      </c>
      <c r="I196">
        <f ca="1">Inputs!B13+(Inputs!D13-Inputs!B13)*BETAINV(RAND(),Model!H7,Model!I7)</f>
        <v>2.8504931780832825</v>
      </c>
      <c r="J196">
        <f ca="1">Inputs!E13+(Inputs!G13-Inputs!E13)*BETAINV(RAND(),Model!J7,Model!K7)</f>
        <v>0.20995434205657598</v>
      </c>
      <c r="K196">
        <f ca="1">(Inputs!H13+(Inputs!J13-Inputs!H13)*BETAINV(RAND(),Model!L7,Model!M7))*Inputs!$C$6</f>
        <v>28551.980115717841</v>
      </c>
      <c r="L196">
        <f t="shared" ca="1" si="46"/>
        <v>0.5984734197412338</v>
      </c>
      <c r="M196">
        <f t="shared" ca="1" si="47"/>
        <v>0.62795653083297331</v>
      </c>
      <c r="N196">
        <f t="shared" ca="1" si="48"/>
        <v>1</v>
      </c>
      <c r="O196" s="47">
        <f t="shared" ca="1" si="49"/>
        <v>28551.980115717841</v>
      </c>
      <c r="P196">
        <f ca="1">Inputs!B14+(Inputs!D14-Inputs!B14)*BETAINV(RAND(),Model!H8,Model!I8)</f>
        <v>0.18434232000674056</v>
      </c>
      <c r="Q196">
        <f ca="1">Inputs!E14+(Inputs!G14-Inputs!E14)*BETAINV(RAND(),Model!J8,Model!K8)</f>
        <v>0.57107172080239677</v>
      </c>
      <c r="R196">
        <f ca="1">(Inputs!H14+(Inputs!J14-Inputs!H14)*BETAINV(RAND(),Model!L8,Model!M8))*Inputs!$C$6</f>
        <v>325015.60992911714</v>
      </c>
      <c r="S196">
        <f t="shared" ca="1" si="50"/>
        <v>0.10527268590295542</v>
      </c>
      <c r="T196">
        <f t="shared" ca="1" si="51"/>
        <v>0.94533500528678005</v>
      </c>
      <c r="U196">
        <f t="shared" ca="1" si="52"/>
        <v>1</v>
      </c>
      <c r="V196" s="47">
        <f t="shared" ca="1" si="53"/>
        <v>325015.60992911714</v>
      </c>
      <c r="W196">
        <f ca="1">Inputs!B15+(Inputs!D15-Inputs!B15)*BETAINV(RAND(),Model!H9,Model!I9)</f>
        <v>1.9408651759532212</v>
      </c>
      <c r="X196">
        <f ca="1">Inputs!E15+(Inputs!G15-Inputs!E15)*BETAINV(RAND(),Model!J9,Model!K9)</f>
        <v>0.32949565915853984</v>
      </c>
      <c r="Y196">
        <f ca="1">(Inputs!H15+(Inputs!J15-Inputs!H15)*BETAINV(RAND(),Model!L9,Model!M9))*Inputs!$C$6</f>
        <v>21654.040938904302</v>
      </c>
      <c r="Z196">
        <f t="shared" ca="1" si="54"/>
        <v>0.63950665048856203</v>
      </c>
      <c r="AA196">
        <f t="shared" ca="1" si="55"/>
        <v>0.20831060429085724</v>
      </c>
      <c r="AB196">
        <f t="shared" ca="1" si="56"/>
        <v>0</v>
      </c>
      <c r="AC196" s="47">
        <f t="shared" ca="1" si="57"/>
        <v>0</v>
      </c>
      <c r="AD196">
        <f ca="1">Inputs!B16+(Inputs!D16-Inputs!B16)*BETAINV(RAND(),Model!H10,Model!I10)</f>
        <v>0.84731694930353907</v>
      </c>
      <c r="AE196">
        <f ca="1">Inputs!E16+(Inputs!G16-Inputs!E16)*BETAINV(RAND(),Model!J10,Model!K10)</f>
        <v>0.77227108460529537</v>
      </c>
      <c r="AF196">
        <f ca="1">(Inputs!H16+(Inputs!J16-Inputs!H16)*BETAINV(RAND(),Model!L10,Model!M10))*Inputs!$C$6</f>
        <v>95075.554305493541</v>
      </c>
      <c r="AG196">
        <f t="shared" ca="1" si="58"/>
        <v>0.65435837944309416</v>
      </c>
      <c r="AH196">
        <f t="shared" ca="1" si="59"/>
        <v>0.32023854136773644</v>
      </c>
      <c r="AI196">
        <f t="shared" ca="1" si="60"/>
        <v>0</v>
      </c>
      <c r="AJ196" s="47">
        <f t="shared" ca="1" si="61"/>
        <v>0</v>
      </c>
      <c r="AK196">
        <f t="shared" ca="1" si="62"/>
        <v>353567.590044835</v>
      </c>
    </row>
    <row r="197" spans="2:37" x14ac:dyDescent="0.2">
      <c r="B197">
        <f ca="1">Inputs!B12+(Inputs!D12-Inputs!B12)*BETAINV(RAND(),Model!H6,Model!I6)</f>
        <v>1.7225275985985193</v>
      </c>
      <c r="C197">
        <f ca="1">Inputs!E12+(Inputs!G12-Inputs!E12)*BETAINV(RAND(),Model!J6,Model!K6)</f>
        <v>0.37150445188493225</v>
      </c>
      <c r="D197">
        <f ca="1">(Inputs!H12+(Inputs!J12-Inputs!H12)*BETAINV(RAND(),Model!L6,Model!M6))*Inputs!$C$6</f>
        <v>21688.088679365705</v>
      </c>
      <c r="E197">
        <f t="shared" ca="1" si="42"/>
        <v>0.63992667137401149</v>
      </c>
      <c r="F197">
        <f t="shared" ca="1" si="43"/>
        <v>0.92173570208859457</v>
      </c>
      <c r="G197">
        <f t="shared" ca="1" si="44"/>
        <v>2</v>
      </c>
      <c r="H197" s="47">
        <f t="shared" ca="1" si="45"/>
        <v>43376.177358731409</v>
      </c>
      <c r="I197">
        <f ca="1">Inputs!B13+(Inputs!D13-Inputs!B13)*BETAINV(RAND(),Model!H7,Model!I7)</f>
        <v>2.1242309292351385</v>
      </c>
      <c r="J197">
        <f ca="1">Inputs!E13+(Inputs!G13-Inputs!E13)*BETAINV(RAND(),Model!J7,Model!K7)</f>
        <v>0.33248672662293544</v>
      </c>
      <c r="K197">
        <f ca="1">(Inputs!H13+(Inputs!J13-Inputs!H13)*BETAINV(RAND(),Model!L7,Model!M7))*Inputs!$C$6</f>
        <v>73180.12562213646</v>
      </c>
      <c r="L197">
        <f t="shared" ca="1" si="46"/>
        <v>0.7062785882525876</v>
      </c>
      <c r="M197">
        <f t="shared" ca="1" si="47"/>
        <v>0.10312315398948568</v>
      </c>
      <c r="N197">
        <f t="shared" ca="1" si="48"/>
        <v>0</v>
      </c>
      <c r="O197" s="47">
        <f t="shared" ca="1" si="49"/>
        <v>0</v>
      </c>
      <c r="P197">
        <f ca="1">Inputs!B14+(Inputs!D14-Inputs!B14)*BETAINV(RAND(),Model!H8,Model!I8)</f>
        <v>0.41647532754832906</v>
      </c>
      <c r="Q197">
        <f ca="1">Inputs!E14+(Inputs!G14-Inputs!E14)*BETAINV(RAND(),Model!J8,Model!K8)</f>
        <v>0.76034995657314819</v>
      </c>
      <c r="R197">
        <f ca="1">(Inputs!H14+(Inputs!J14-Inputs!H14)*BETAINV(RAND(),Model!L8,Model!M8))*Inputs!$C$6</f>
        <v>212510.44588956443</v>
      </c>
      <c r="S197">
        <f t="shared" ca="1" si="50"/>
        <v>0.31666699721515967</v>
      </c>
      <c r="T197">
        <f t="shared" ca="1" si="51"/>
        <v>0.24549778910524667</v>
      </c>
      <c r="U197">
        <f t="shared" ca="1" si="52"/>
        <v>0</v>
      </c>
      <c r="V197" s="47">
        <f t="shared" ca="1" si="53"/>
        <v>0</v>
      </c>
      <c r="W197">
        <f ca="1">Inputs!B15+(Inputs!D15-Inputs!B15)*BETAINV(RAND(),Model!H9,Model!I9)</f>
        <v>1.1677686453588594</v>
      </c>
      <c r="X197">
        <f ca="1">Inputs!E15+(Inputs!G15-Inputs!E15)*BETAINV(RAND(),Model!J9,Model!K9)</f>
        <v>0.42358330580303116</v>
      </c>
      <c r="Y197">
        <f ca="1">(Inputs!H15+(Inputs!J15-Inputs!H15)*BETAINV(RAND(),Model!L9,Model!M9))*Inputs!$C$6</f>
        <v>35937.403714950902</v>
      </c>
      <c r="Z197">
        <f t="shared" ca="1" si="54"/>
        <v>0.49464730321423317</v>
      </c>
      <c r="AA197">
        <f t="shared" ca="1" si="55"/>
        <v>0.38853246794439467</v>
      </c>
      <c r="AB197">
        <f t="shared" ca="1" si="56"/>
        <v>0</v>
      </c>
      <c r="AC197" s="47">
        <f t="shared" ca="1" si="57"/>
        <v>0</v>
      </c>
      <c r="AD197">
        <f ca="1">Inputs!B16+(Inputs!D16-Inputs!B16)*BETAINV(RAND(),Model!H10,Model!I10)</f>
        <v>0.42365321224138297</v>
      </c>
      <c r="AE197">
        <f ca="1">Inputs!E16+(Inputs!G16-Inputs!E16)*BETAINV(RAND(),Model!J10,Model!K10)</f>
        <v>0.561783357688039</v>
      </c>
      <c r="AF197">
        <f ca="1">(Inputs!H16+(Inputs!J16-Inputs!H16)*BETAINV(RAND(),Model!L10,Model!M10))*Inputs!$C$6</f>
        <v>71626.152464590559</v>
      </c>
      <c r="AG197">
        <f t="shared" ca="1" si="58"/>
        <v>0.23800132406828756</v>
      </c>
      <c r="AH197">
        <f t="shared" ca="1" si="59"/>
        <v>0.55467188673774348</v>
      </c>
      <c r="AI197">
        <f t="shared" ca="1" si="60"/>
        <v>0</v>
      </c>
      <c r="AJ197" s="47">
        <f t="shared" ca="1" si="61"/>
        <v>0</v>
      </c>
      <c r="AK197">
        <f t="shared" ca="1" si="62"/>
        <v>43376.177358731409</v>
      </c>
    </row>
    <row r="198" spans="2:37" x14ac:dyDescent="0.2">
      <c r="B198">
        <f ca="1">Inputs!B12+(Inputs!D12-Inputs!B12)*BETAINV(RAND(),Model!H6,Model!I6)</f>
        <v>2.9071946542916955</v>
      </c>
      <c r="C198">
        <f ca="1">Inputs!E12+(Inputs!G12-Inputs!E12)*BETAINV(RAND(),Model!J6,Model!K6)</f>
        <v>0.26575341108611933</v>
      </c>
      <c r="D198">
        <f ca="1">(Inputs!H12+(Inputs!J12-Inputs!H12)*BETAINV(RAND(),Model!L6,Model!M6))*Inputs!$C$6</f>
        <v>10339.50914614099</v>
      </c>
      <c r="E198">
        <f t="shared" ca="1" si="42"/>
        <v>0.77259689606934956</v>
      </c>
      <c r="F198">
        <f t="shared" ca="1" si="43"/>
        <v>0.19632816399570296</v>
      </c>
      <c r="G198">
        <f t="shared" ca="1" si="44"/>
        <v>0</v>
      </c>
      <c r="H198" s="47">
        <f t="shared" ca="1" si="45"/>
        <v>0</v>
      </c>
      <c r="I198">
        <f ca="1">Inputs!B13+(Inputs!D13-Inputs!B13)*BETAINV(RAND(),Model!H7,Model!I7)</f>
        <v>1.8621432567931919</v>
      </c>
      <c r="J198">
        <f ca="1">Inputs!E13+(Inputs!G13-Inputs!E13)*BETAINV(RAND(),Model!J7,Model!K7)</f>
        <v>0.28306822962232947</v>
      </c>
      <c r="K198">
        <f ca="1">(Inputs!H13+(Inputs!J13-Inputs!H13)*BETAINV(RAND(),Model!L7,Model!M7))*Inputs!$C$6</f>
        <v>33301.248587721813</v>
      </c>
      <c r="L198">
        <f t="shared" ca="1" si="46"/>
        <v>0.52711359500360766</v>
      </c>
      <c r="M198">
        <f t="shared" ca="1" si="47"/>
        <v>5.6118566971858574E-2</v>
      </c>
      <c r="N198">
        <f t="shared" ca="1" si="48"/>
        <v>0</v>
      </c>
      <c r="O198" s="47">
        <f t="shared" ca="1" si="49"/>
        <v>0</v>
      </c>
      <c r="P198">
        <f ca="1">Inputs!B14+(Inputs!D14-Inputs!B14)*BETAINV(RAND(),Model!H8,Model!I8)</f>
        <v>0.22952175602514069</v>
      </c>
      <c r="Q198">
        <f ca="1">Inputs!E14+(Inputs!G14-Inputs!E14)*BETAINV(RAND(),Model!J8,Model!K8)</f>
        <v>0.6164285972129413</v>
      </c>
      <c r="R198">
        <f ca="1">(Inputs!H14+(Inputs!J14-Inputs!H14)*BETAINV(RAND(),Model!L8,Model!M8))*Inputs!$C$6</f>
        <v>476868.46647039976</v>
      </c>
      <c r="S198">
        <f t="shared" ca="1" si="50"/>
        <v>0.14148377409642843</v>
      </c>
      <c r="T198">
        <f t="shared" ca="1" si="51"/>
        <v>8.7478521700262046E-2</v>
      </c>
      <c r="U198">
        <f t="shared" ca="1" si="52"/>
        <v>0</v>
      </c>
      <c r="V198" s="47">
        <f t="shared" ca="1" si="53"/>
        <v>0</v>
      </c>
      <c r="W198">
        <f ca="1">Inputs!B15+(Inputs!D15-Inputs!B15)*BETAINV(RAND(),Model!H9,Model!I9)</f>
        <v>1.3262489634086514</v>
      </c>
      <c r="X198">
        <f ca="1">Inputs!E15+(Inputs!G15-Inputs!E15)*BETAINV(RAND(),Model!J9,Model!K9)</f>
        <v>0.48979219698381848</v>
      </c>
      <c r="Y198">
        <f ca="1">(Inputs!H15+(Inputs!J15-Inputs!H15)*BETAINV(RAND(),Model!L9,Model!M9))*Inputs!$C$6</f>
        <v>57216.999166776877</v>
      </c>
      <c r="Z198">
        <f t="shared" ca="1" si="54"/>
        <v>0.64958639353543524</v>
      </c>
      <c r="AA198">
        <f t="shared" ca="1" si="55"/>
        <v>0.93350998019548947</v>
      </c>
      <c r="AB198">
        <f t="shared" ca="1" si="56"/>
        <v>2</v>
      </c>
      <c r="AC198" s="47">
        <f t="shared" ca="1" si="57"/>
        <v>114433.99833355375</v>
      </c>
      <c r="AD198">
        <f ca="1">Inputs!B16+(Inputs!D16-Inputs!B16)*BETAINV(RAND(),Model!H10,Model!I10)</f>
        <v>0.85218425610888859</v>
      </c>
      <c r="AE198">
        <f ca="1">Inputs!E16+(Inputs!G16-Inputs!E16)*BETAINV(RAND(),Model!J10,Model!K10)</f>
        <v>0.49231097478886893</v>
      </c>
      <c r="AF198">
        <f ca="1">(Inputs!H16+(Inputs!J16-Inputs!H16)*BETAINV(RAND(),Model!L10,Model!M10))*Inputs!$C$6</f>
        <v>67491.961200693448</v>
      </c>
      <c r="AG198">
        <f t="shared" ca="1" si="58"/>
        <v>0.4195396618246941</v>
      </c>
      <c r="AH198">
        <f t="shared" ca="1" si="59"/>
        <v>0.59728377172516134</v>
      </c>
      <c r="AI198">
        <f t="shared" ca="1" si="60"/>
        <v>0</v>
      </c>
      <c r="AJ198" s="47">
        <f t="shared" ca="1" si="61"/>
        <v>0</v>
      </c>
      <c r="AK198">
        <f t="shared" ca="1" si="62"/>
        <v>114433.99833355375</v>
      </c>
    </row>
    <row r="199" spans="2:37" x14ac:dyDescent="0.2">
      <c r="B199">
        <f ca="1">Inputs!B12+(Inputs!D12-Inputs!B12)*BETAINV(RAND(),Model!H6,Model!I6)</f>
        <v>5.5813002318365594</v>
      </c>
      <c r="C199">
        <f ca="1">Inputs!E12+(Inputs!G12-Inputs!E12)*BETAINV(RAND(),Model!J6,Model!K6)</f>
        <v>0.44587308637430334</v>
      </c>
      <c r="D199">
        <f ca="1">(Inputs!H12+(Inputs!J12-Inputs!H12)*BETAINV(RAND(),Model!L6,Model!M6))*Inputs!$C$6</f>
        <v>26078.242538149345</v>
      </c>
      <c r="E199">
        <f t="shared" ca="1" si="42"/>
        <v>2.4885515603505817</v>
      </c>
      <c r="F199">
        <f t="shared" ca="1" si="43"/>
        <v>0.2927065343105506</v>
      </c>
      <c r="G199">
        <f t="shared" ca="1" si="44"/>
        <v>2</v>
      </c>
      <c r="H199" s="47">
        <f t="shared" ca="1" si="45"/>
        <v>52156.48507629869</v>
      </c>
      <c r="I199">
        <f ca="1">Inputs!B13+(Inputs!D13-Inputs!B13)*BETAINV(RAND(),Model!H7,Model!I7)</f>
        <v>3.0077540114740997</v>
      </c>
      <c r="J199">
        <f ca="1">Inputs!E13+(Inputs!G13-Inputs!E13)*BETAINV(RAND(),Model!J7,Model!K7)</f>
        <v>0.43167979831645897</v>
      </c>
      <c r="K199">
        <f ca="1">(Inputs!H13+(Inputs!J13-Inputs!H13)*BETAINV(RAND(),Model!L7,Model!M7))*Inputs!$C$6</f>
        <v>38570.233173187276</v>
      </c>
      <c r="L199">
        <f t="shared" ca="1" si="46"/>
        <v>1.2983866450586599</v>
      </c>
      <c r="M199">
        <f t="shared" ca="1" si="47"/>
        <v>0.8529990985564988</v>
      </c>
      <c r="N199">
        <f t="shared" ca="1" si="48"/>
        <v>2</v>
      </c>
      <c r="O199" s="47">
        <f t="shared" ca="1" si="49"/>
        <v>77140.466346374553</v>
      </c>
      <c r="P199">
        <f ca="1">Inputs!B14+(Inputs!D14-Inputs!B14)*BETAINV(RAND(),Model!H8,Model!I8)</f>
        <v>0.31341944931785826</v>
      </c>
      <c r="Q199">
        <f ca="1">Inputs!E14+(Inputs!G14-Inputs!E14)*BETAINV(RAND(),Model!J8,Model!K8)</f>
        <v>0.78555499373843996</v>
      </c>
      <c r="R199">
        <f ca="1">(Inputs!H14+(Inputs!J14-Inputs!H14)*BETAINV(RAND(),Model!L8,Model!M8))*Inputs!$C$6</f>
        <v>289629.08154150622</v>
      </c>
      <c r="S199">
        <f t="shared" ca="1" si="50"/>
        <v>0.24620821354639544</v>
      </c>
      <c r="T199">
        <f t="shared" ca="1" si="51"/>
        <v>0.25678708448674747</v>
      </c>
      <c r="U199">
        <f t="shared" ca="1" si="52"/>
        <v>0</v>
      </c>
      <c r="V199" s="47">
        <f t="shared" ca="1" si="53"/>
        <v>0</v>
      </c>
      <c r="W199">
        <f ca="1">Inputs!B15+(Inputs!D15-Inputs!B15)*BETAINV(RAND(),Model!H9,Model!I9)</f>
        <v>1.4008027836171371</v>
      </c>
      <c r="X199">
        <f ca="1">Inputs!E15+(Inputs!G15-Inputs!E15)*BETAINV(RAND(),Model!J9,Model!K9)</f>
        <v>0.21901052072457411</v>
      </c>
      <c r="Y199">
        <f ca="1">(Inputs!H15+(Inputs!J15-Inputs!H15)*BETAINV(RAND(),Model!L9,Model!M9))*Inputs!$C$6</f>
        <v>16334.701337044668</v>
      </c>
      <c r="Z199">
        <f t="shared" ca="1" si="54"/>
        <v>0.30679054707242209</v>
      </c>
      <c r="AA199">
        <f t="shared" ca="1" si="55"/>
        <v>4.9960346677014211E-2</v>
      </c>
      <c r="AB199">
        <f t="shared" ca="1" si="56"/>
        <v>0</v>
      </c>
      <c r="AC199" s="47">
        <f t="shared" ca="1" si="57"/>
        <v>0</v>
      </c>
      <c r="AD199">
        <f ca="1">Inputs!B16+(Inputs!D16-Inputs!B16)*BETAINV(RAND(),Model!H10,Model!I10)</f>
        <v>0.64909637197210102</v>
      </c>
      <c r="AE199">
        <f ca="1">Inputs!E16+(Inputs!G16-Inputs!E16)*BETAINV(RAND(),Model!J10,Model!K10)</f>
        <v>0.69759235950498022</v>
      </c>
      <c r="AF199">
        <f ca="1">(Inputs!H16+(Inputs!J16-Inputs!H16)*BETAINV(RAND(),Model!L10,Model!M10))*Inputs!$C$6</f>
        <v>107770.74971915084</v>
      </c>
      <c r="AG199">
        <f t="shared" ca="1" si="58"/>
        <v>0.45280466967014027</v>
      </c>
      <c r="AH199">
        <f t="shared" ca="1" si="59"/>
        <v>0.15000845047565936</v>
      </c>
      <c r="AI199">
        <f t="shared" ca="1" si="60"/>
        <v>0</v>
      </c>
      <c r="AJ199" s="47">
        <f t="shared" ca="1" si="61"/>
        <v>0</v>
      </c>
      <c r="AK199">
        <f t="shared" ca="1" si="62"/>
        <v>129296.95142267324</v>
      </c>
    </row>
    <row r="200" spans="2:37" x14ac:dyDescent="0.2">
      <c r="B200">
        <f ca="1">Inputs!B12+(Inputs!D12-Inputs!B12)*BETAINV(RAND(),Model!H6,Model!I6)</f>
        <v>1.735406902498791</v>
      </c>
      <c r="C200">
        <f ca="1">Inputs!E12+(Inputs!G12-Inputs!E12)*BETAINV(RAND(),Model!J6,Model!K6)</f>
        <v>0.22812574604929958</v>
      </c>
      <c r="D200">
        <f ca="1">(Inputs!H12+(Inputs!J12-Inputs!H12)*BETAINV(RAND(),Model!L6,Model!M6))*Inputs!$C$6</f>
        <v>29385.812976730213</v>
      </c>
      <c r="E200">
        <f t="shared" ca="1" si="42"/>
        <v>0.39589099433164082</v>
      </c>
      <c r="F200">
        <f t="shared" ca="1" si="43"/>
        <v>1.6599034150603043E-2</v>
      </c>
      <c r="G200">
        <f t="shared" ca="1" si="44"/>
        <v>0</v>
      </c>
      <c r="H200" s="47">
        <f t="shared" ca="1" si="45"/>
        <v>0</v>
      </c>
      <c r="I200">
        <f ca="1">Inputs!B13+(Inputs!D13-Inputs!B13)*BETAINV(RAND(),Model!H7,Model!I7)</f>
        <v>2.8725051020227195</v>
      </c>
      <c r="J200">
        <f ca="1">Inputs!E13+(Inputs!G13-Inputs!E13)*BETAINV(RAND(),Model!J7,Model!K7)</f>
        <v>0.40171269904870832</v>
      </c>
      <c r="K200">
        <f ca="1">(Inputs!H13+(Inputs!J13-Inputs!H13)*BETAINV(RAND(),Model!L7,Model!M7))*Inputs!$C$6</f>
        <v>59650.78147573756</v>
      </c>
      <c r="L200">
        <f t="shared" ca="1" si="46"/>
        <v>1.1539217775647319</v>
      </c>
      <c r="M200">
        <f t="shared" ca="1" si="47"/>
        <v>0.79019955535440844</v>
      </c>
      <c r="N200">
        <f t="shared" ca="1" si="48"/>
        <v>2</v>
      </c>
      <c r="O200" s="47">
        <f t="shared" ca="1" si="49"/>
        <v>119301.56295147512</v>
      </c>
      <c r="P200">
        <f ca="1">Inputs!B14+(Inputs!D14-Inputs!B14)*BETAINV(RAND(),Model!H8,Model!I8)</f>
        <v>0.11755648598367019</v>
      </c>
      <c r="Q200">
        <f ca="1">Inputs!E14+(Inputs!G14-Inputs!E14)*BETAINV(RAND(),Model!J8,Model!K8)</f>
        <v>0.64849350095352409</v>
      </c>
      <c r="R200">
        <f ca="1">(Inputs!H14+(Inputs!J14-Inputs!H14)*BETAINV(RAND(),Model!L8,Model!M8))*Inputs!$C$6</f>
        <v>607411.33298516856</v>
      </c>
      <c r="S200">
        <f t="shared" ca="1" si="50"/>
        <v>7.6234617155344159E-2</v>
      </c>
      <c r="T200">
        <f t="shared" ca="1" si="51"/>
        <v>0.53497302801671642</v>
      </c>
      <c r="U200">
        <f t="shared" ca="1" si="52"/>
        <v>0</v>
      </c>
      <c r="V200" s="47">
        <f t="shared" ca="1" si="53"/>
        <v>0</v>
      </c>
      <c r="W200">
        <f ca="1">Inputs!B15+(Inputs!D15-Inputs!B15)*BETAINV(RAND(),Model!H9,Model!I9)</f>
        <v>1.8749693984958822</v>
      </c>
      <c r="X200">
        <f ca="1">Inputs!E15+(Inputs!G15-Inputs!E15)*BETAINV(RAND(),Model!J9,Model!K9)</f>
        <v>0.33227961179533594</v>
      </c>
      <c r="Y200">
        <f ca="1">(Inputs!H15+(Inputs!J15-Inputs!H15)*BETAINV(RAND(),Model!L9,Model!M9))*Inputs!$C$6</f>
        <v>25611.696390014604</v>
      </c>
      <c r="Z200">
        <f t="shared" ca="1" si="54"/>
        <v>0.62301410386034628</v>
      </c>
      <c r="AA200">
        <f t="shared" ca="1" si="55"/>
        <v>0.16589424949739617</v>
      </c>
      <c r="AB200">
        <f t="shared" ca="1" si="56"/>
        <v>0</v>
      </c>
      <c r="AC200" s="47">
        <f t="shared" ca="1" si="57"/>
        <v>0</v>
      </c>
      <c r="AD200">
        <f ca="1">Inputs!B16+(Inputs!D16-Inputs!B16)*BETAINV(RAND(),Model!H10,Model!I10)</f>
        <v>0.96349100766735174</v>
      </c>
      <c r="AE200">
        <f ca="1">Inputs!E16+(Inputs!G16-Inputs!E16)*BETAINV(RAND(),Model!J10,Model!K10)</f>
        <v>0.66293603396174672</v>
      </c>
      <c r="AF200">
        <f ca="1">(Inputs!H16+(Inputs!J16-Inputs!H16)*BETAINV(RAND(),Model!L10,Model!M10))*Inputs!$C$6</f>
        <v>59354.356119917917</v>
      </c>
      <c r="AG200">
        <f t="shared" ca="1" si="58"/>
        <v>0.63873290738080102</v>
      </c>
      <c r="AH200">
        <f t="shared" ca="1" si="59"/>
        <v>0.10784773387672064</v>
      </c>
      <c r="AI200">
        <f t="shared" ca="1" si="60"/>
        <v>0</v>
      </c>
      <c r="AJ200" s="47">
        <f t="shared" ca="1" si="61"/>
        <v>0</v>
      </c>
      <c r="AK200">
        <f t="shared" ca="1" si="62"/>
        <v>119301.56295147512</v>
      </c>
    </row>
    <row r="201" spans="2:37" x14ac:dyDescent="0.2">
      <c r="B201">
        <f ca="1">Inputs!B12+(Inputs!D12-Inputs!B12)*BETAINV(RAND(),Model!H6,Model!I6)</f>
        <v>2.695729064719294</v>
      </c>
      <c r="C201">
        <f ca="1">Inputs!E12+(Inputs!G12-Inputs!E12)*BETAINV(RAND(),Model!J6,Model!K6)</f>
        <v>0.33244053585551137</v>
      </c>
      <c r="D201">
        <f ca="1">(Inputs!H12+(Inputs!J12-Inputs!H12)*BETAINV(RAND(),Model!L6,Model!M6))*Inputs!$C$6</f>
        <v>14783.603309088519</v>
      </c>
      <c r="E201">
        <f t="shared" ca="1" si="42"/>
        <v>0.89616961479655854</v>
      </c>
      <c r="F201">
        <f t="shared" ca="1" si="43"/>
        <v>0.67589721264452851</v>
      </c>
      <c r="G201">
        <f t="shared" ca="1" si="44"/>
        <v>1</v>
      </c>
      <c r="H201" s="47">
        <f t="shared" ca="1" si="45"/>
        <v>14783.603309088519</v>
      </c>
      <c r="I201">
        <f ca="1">Inputs!B13+(Inputs!D13-Inputs!B13)*BETAINV(RAND(),Model!H7,Model!I7)</f>
        <v>3.2753235966752241</v>
      </c>
      <c r="J201">
        <f ca="1">Inputs!E13+(Inputs!G13-Inputs!E13)*BETAINV(RAND(),Model!J7,Model!K7)</f>
        <v>0.28116679704176784</v>
      </c>
      <c r="K201">
        <f ca="1">(Inputs!H13+(Inputs!J13-Inputs!H13)*BETAINV(RAND(),Model!L7,Model!M7))*Inputs!$C$6</f>
        <v>45233.018172145108</v>
      </c>
      <c r="L201">
        <f t="shared" ca="1" si="46"/>
        <v>0.9209122449524958</v>
      </c>
      <c r="M201">
        <f t="shared" ca="1" si="47"/>
        <v>0.98394152086327857</v>
      </c>
      <c r="N201">
        <f t="shared" ca="1" si="48"/>
        <v>3</v>
      </c>
      <c r="O201" s="47">
        <f t="shared" ca="1" si="49"/>
        <v>135699.05451643531</v>
      </c>
      <c r="P201">
        <f ca="1">Inputs!B14+(Inputs!D14-Inputs!B14)*BETAINV(RAND(),Model!H8,Model!I8)</f>
        <v>0.48897312241467594</v>
      </c>
      <c r="Q201">
        <f ca="1">Inputs!E14+(Inputs!G14-Inputs!E14)*BETAINV(RAND(),Model!J8,Model!K8)</f>
        <v>0.53622485535202136</v>
      </c>
      <c r="R201">
        <f ca="1">(Inputs!H14+(Inputs!J14-Inputs!H14)*BETAINV(RAND(),Model!L8,Model!M8))*Inputs!$C$6</f>
        <v>275760.73308522365</v>
      </c>
      <c r="S201">
        <f t="shared" ca="1" si="50"/>
        <v>0.26219954183783584</v>
      </c>
      <c r="T201">
        <f t="shared" ca="1" si="51"/>
        <v>0.3431290909908552</v>
      </c>
      <c r="U201">
        <f t="shared" ca="1" si="52"/>
        <v>0</v>
      </c>
      <c r="V201" s="47">
        <f t="shared" ca="1" si="53"/>
        <v>0</v>
      </c>
      <c r="W201">
        <f ca="1">Inputs!B15+(Inputs!D15-Inputs!B15)*BETAINV(RAND(),Model!H9,Model!I9)</f>
        <v>1.1244844759716874</v>
      </c>
      <c r="X201">
        <f ca="1">Inputs!E15+(Inputs!G15-Inputs!E15)*BETAINV(RAND(),Model!J9,Model!K9)</f>
        <v>0.51218474399464409</v>
      </c>
      <c r="Y201">
        <f ca="1">(Inputs!H15+(Inputs!J15-Inputs!H15)*BETAINV(RAND(),Model!L9,Model!M9))*Inputs!$C$6</f>
        <v>45272.576618795953</v>
      </c>
      <c r="Z201">
        <f t="shared" ca="1" si="54"/>
        <v>0.57594379345151026</v>
      </c>
      <c r="AA201">
        <f t="shared" ca="1" si="55"/>
        <v>0.42262204423178951</v>
      </c>
      <c r="AB201">
        <f t="shared" ca="1" si="56"/>
        <v>0</v>
      </c>
      <c r="AC201" s="47">
        <f t="shared" ca="1" si="57"/>
        <v>0</v>
      </c>
      <c r="AD201">
        <f ca="1">Inputs!B16+(Inputs!D16-Inputs!B16)*BETAINV(RAND(),Model!H10,Model!I10)</f>
        <v>0.52746022977793905</v>
      </c>
      <c r="AE201">
        <f ca="1">Inputs!E16+(Inputs!G16-Inputs!E16)*BETAINV(RAND(),Model!J10,Model!K10)</f>
        <v>0.53721401074902597</v>
      </c>
      <c r="AF201">
        <f ca="1">(Inputs!H16+(Inputs!J16-Inputs!H16)*BETAINV(RAND(),Model!L10,Model!M10))*Inputs!$C$6</f>
        <v>113807.03973717906</v>
      </c>
      <c r="AG201">
        <f t="shared" ca="1" si="58"/>
        <v>0.28335902554960946</v>
      </c>
      <c r="AH201">
        <f t="shared" ca="1" si="59"/>
        <v>0.73690086488621342</v>
      </c>
      <c r="AI201">
        <f t="shared" ca="1" si="60"/>
        <v>0</v>
      </c>
      <c r="AJ201" s="47">
        <f t="shared" ca="1" si="61"/>
        <v>0</v>
      </c>
      <c r="AK201">
        <f t="shared" ca="1" si="62"/>
        <v>150482.65782552384</v>
      </c>
    </row>
    <row r="202" spans="2:37" x14ac:dyDescent="0.2">
      <c r="B202">
        <f ca="1">Inputs!B12+(Inputs!D12-Inputs!B12)*BETAINV(RAND(),Model!H6,Model!I6)</f>
        <v>5.2572187407759063</v>
      </c>
      <c r="C202">
        <f ca="1">Inputs!E12+(Inputs!G12-Inputs!E12)*BETAINV(RAND(),Model!J6,Model!K6)</f>
        <v>0.48540230822268771</v>
      </c>
      <c r="D202">
        <f ca="1">(Inputs!H12+(Inputs!J12-Inputs!H12)*BETAINV(RAND(),Model!L6,Model!M6))*Inputs!$C$6</f>
        <v>23140.842460215637</v>
      </c>
      <c r="E202">
        <f t="shared" ca="1" si="42"/>
        <v>2.5518661116041965</v>
      </c>
      <c r="F202">
        <f t="shared" ca="1" si="43"/>
        <v>0.10988526207896476</v>
      </c>
      <c r="G202">
        <f t="shared" ca="1" si="44"/>
        <v>1</v>
      </c>
      <c r="H202" s="47">
        <f t="shared" ca="1" si="45"/>
        <v>23140.842460215637</v>
      </c>
      <c r="I202">
        <f ca="1">Inputs!B13+(Inputs!D13-Inputs!B13)*BETAINV(RAND(),Model!H7,Model!I7)</f>
        <v>1.1039778476376214</v>
      </c>
      <c r="J202">
        <f ca="1">Inputs!E13+(Inputs!G13-Inputs!E13)*BETAINV(RAND(),Model!J7,Model!K7)</f>
        <v>0.16934244656089148</v>
      </c>
      <c r="K202">
        <f ca="1">(Inputs!H13+(Inputs!J13-Inputs!H13)*BETAINV(RAND(),Model!L7,Model!M7))*Inputs!$C$6</f>
        <v>22118.648231082654</v>
      </c>
      <c r="L202">
        <f t="shared" ca="1" si="46"/>
        <v>0.1869503096679819</v>
      </c>
      <c r="M202">
        <f t="shared" ca="1" si="47"/>
        <v>0.33393066447625031</v>
      </c>
      <c r="N202">
        <f t="shared" ca="1" si="48"/>
        <v>0</v>
      </c>
      <c r="O202" s="47">
        <f t="shared" ca="1" si="49"/>
        <v>0</v>
      </c>
      <c r="P202">
        <f ca="1">Inputs!B14+(Inputs!D14-Inputs!B14)*BETAINV(RAND(),Model!H8,Model!I8)</f>
        <v>0.60605729159681021</v>
      </c>
      <c r="Q202">
        <f ca="1">Inputs!E14+(Inputs!G14-Inputs!E14)*BETAINV(RAND(),Model!J8,Model!K8)</f>
        <v>0.44783044258757665</v>
      </c>
      <c r="R202">
        <f ca="1">(Inputs!H14+(Inputs!J14-Inputs!H14)*BETAINV(RAND(),Model!L8,Model!M8))*Inputs!$C$6</f>
        <v>276905.68189965159</v>
      </c>
      <c r="S202">
        <f t="shared" ca="1" si="50"/>
        <v>0.2714109051292275</v>
      </c>
      <c r="T202">
        <f t="shared" ca="1" si="51"/>
        <v>0.44757516050676216</v>
      </c>
      <c r="U202">
        <f t="shared" ca="1" si="52"/>
        <v>0</v>
      </c>
      <c r="V202" s="47">
        <f t="shared" ca="1" si="53"/>
        <v>0</v>
      </c>
      <c r="W202">
        <f ca="1">Inputs!B15+(Inputs!D15-Inputs!B15)*BETAINV(RAND(),Model!H9,Model!I9)</f>
        <v>0.84323160576772582</v>
      </c>
      <c r="X202">
        <f ca="1">Inputs!E15+(Inputs!G15-Inputs!E15)*BETAINV(RAND(),Model!J9,Model!K9)</f>
        <v>0.37207280938865828</v>
      </c>
      <c r="Y202">
        <f ca="1">(Inputs!H15+(Inputs!J15-Inputs!H15)*BETAINV(RAND(),Model!L9,Model!M9))*Inputs!$C$6</f>
        <v>66485.467803127525</v>
      </c>
      <c r="Z202">
        <f t="shared" ca="1" si="54"/>
        <v>0.31374355252330727</v>
      </c>
      <c r="AA202">
        <f t="shared" ca="1" si="55"/>
        <v>0.95111795728466431</v>
      </c>
      <c r="AB202">
        <f t="shared" ca="1" si="56"/>
        <v>1</v>
      </c>
      <c r="AC202" s="47">
        <f t="shared" ca="1" si="57"/>
        <v>66485.467803127525</v>
      </c>
      <c r="AD202">
        <f ca="1">Inputs!B16+(Inputs!D16-Inputs!B16)*BETAINV(RAND(),Model!H10,Model!I10)</f>
        <v>0.8891747715352829</v>
      </c>
      <c r="AE202">
        <f ca="1">Inputs!E16+(Inputs!G16-Inputs!E16)*BETAINV(RAND(),Model!J10,Model!K10)</f>
        <v>0.58123505122982877</v>
      </c>
      <c r="AF202">
        <f ca="1">(Inputs!H16+(Inputs!J16-Inputs!H16)*BETAINV(RAND(),Model!L10,Model!M10))*Inputs!$C$6</f>
        <v>93050.466298989501</v>
      </c>
      <c r="AG202">
        <f t="shared" ca="1" si="58"/>
        <v>0.51681954388558149</v>
      </c>
      <c r="AH202">
        <f t="shared" ca="1" si="59"/>
        <v>0.2104411896869739</v>
      </c>
      <c r="AI202">
        <f t="shared" ca="1" si="60"/>
        <v>0</v>
      </c>
      <c r="AJ202" s="47">
        <f t="shared" ca="1" si="61"/>
        <v>0</v>
      </c>
      <c r="AK202">
        <f t="shared" ca="1" si="62"/>
        <v>89626.310263343155</v>
      </c>
    </row>
    <row r="203" spans="2:37" x14ac:dyDescent="0.2">
      <c r="B203">
        <f ca="1">Inputs!B12+(Inputs!D12-Inputs!B12)*BETAINV(RAND(),Model!H6,Model!I6)</f>
        <v>2.6830686913974096</v>
      </c>
      <c r="C203">
        <f ca="1">Inputs!E12+(Inputs!G12-Inputs!E12)*BETAINV(RAND(),Model!J6,Model!K6)</f>
        <v>0.29327526053671243</v>
      </c>
      <c r="D203">
        <f ca="1">(Inputs!H12+(Inputs!J12-Inputs!H12)*BETAINV(RAND(),Model!L6,Model!M6))*Inputs!$C$6</f>
        <v>48353.253618622701</v>
      </c>
      <c r="E203">
        <f t="shared" ca="1" si="42"/>
        <v>0.7868776695074714</v>
      </c>
      <c r="F203">
        <f t="shared" ca="1" si="43"/>
        <v>0.41599816115587829</v>
      </c>
      <c r="G203">
        <f t="shared" ca="1" si="44"/>
        <v>0</v>
      </c>
      <c r="H203" s="47">
        <f t="shared" ca="1" si="45"/>
        <v>0</v>
      </c>
      <c r="I203">
        <f ca="1">Inputs!B13+(Inputs!D13-Inputs!B13)*BETAINV(RAND(),Model!H7,Model!I7)</f>
        <v>1.9477915331608282</v>
      </c>
      <c r="J203">
        <f ca="1">Inputs!E13+(Inputs!G13-Inputs!E13)*BETAINV(RAND(),Model!J7,Model!K7)</f>
        <v>0.25886782131259217</v>
      </c>
      <c r="K203">
        <f ca="1">(Inputs!H13+(Inputs!J13-Inputs!H13)*BETAINV(RAND(),Model!L7,Model!M7))*Inputs!$C$6</f>
        <v>13428.447047547637</v>
      </c>
      <c r="L203">
        <f t="shared" ca="1" si="46"/>
        <v>0.50422055056045723</v>
      </c>
      <c r="M203">
        <f t="shared" ca="1" si="47"/>
        <v>0.80488330246270678</v>
      </c>
      <c r="N203">
        <f t="shared" ca="1" si="48"/>
        <v>1</v>
      </c>
      <c r="O203" s="47">
        <f t="shared" ca="1" si="49"/>
        <v>13428.447047547637</v>
      </c>
      <c r="P203">
        <f ca="1">Inputs!B14+(Inputs!D14-Inputs!B14)*BETAINV(RAND(),Model!H8,Model!I8)</f>
        <v>0.33685595811360075</v>
      </c>
      <c r="Q203">
        <f ca="1">Inputs!E14+(Inputs!G14-Inputs!E14)*BETAINV(RAND(),Model!J8,Model!K8)</f>
        <v>0.4308317059162971</v>
      </c>
      <c r="R203">
        <f ca="1">(Inputs!H14+(Inputs!J14-Inputs!H14)*BETAINV(RAND(),Model!L8,Model!M8))*Inputs!$C$6</f>
        <v>374367.53064582637</v>
      </c>
      <c r="S203">
        <f t="shared" ca="1" si="50"/>
        <v>0.14512822708215134</v>
      </c>
      <c r="T203">
        <f t="shared" ca="1" si="51"/>
        <v>0.23014512617587701</v>
      </c>
      <c r="U203">
        <f t="shared" ca="1" si="52"/>
        <v>0</v>
      </c>
      <c r="V203" s="47">
        <f t="shared" ca="1" si="53"/>
        <v>0</v>
      </c>
      <c r="W203">
        <f ca="1">Inputs!B15+(Inputs!D15-Inputs!B15)*BETAINV(RAND(),Model!H9,Model!I9)</f>
        <v>1.2413553621080609</v>
      </c>
      <c r="X203">
        <f ca="1">Inputs!E15+(Inputs!G15-Inputs!E15)*BETAINV(RAND(),Model!J9,Model!K9)</f>
        <v>0.45033828700617917</v>
      </c>
      <c r="Y203">
        <f ca="1">(Inputs!H15+(Inputs!J15-Inputs!H15)*BETAINV(RAND(),Model!L9,Model!M9))*Inputs!$C$6</f>
        <v>37768.567147808033</v>
      </c>
      <c r="Z203">
        <f t="shared" ca="1" si="54"/>
        <v>0.55902984733767935</v>
      </c>
      <c r="AA203">
        <f t="shared" ca="1" si="55"/>
        <v>0.42594767610934503</v>
      </c>
      <c r="AB203">
        <f t="shared" ca="1" si="56"/>
        <v>0</v>
      </c>
      <c r="AC203" s="47">
        <f t="shared" ca="1" si="57"/>
        <v>0</v>
      </c>
      <c r="AD203">
        <f ca="1">Inputs!B16+(Inputs!D16-Inputs!B16)*BETAINV(RAND(),Model!H10,Model!I10)</f>
        <v>0.22033584910258763</v>
      </c>
      <c r="AE203">
        <f ca="1">Inputs!E16+(Inputs!G16-Inputs!E16)*BETAINV(RAND(),Model!J10,Model!K10)</f>
        <v>0.53082275529162259</v>
      </c>
      <c r="AF203">
        <f ca="1">(Inputs!H16+(Inputs!J16-Inputs!H16)*BETAINV(RAND(),Model!L10,Model!M10))*Inputs!$C$6</f>
        <v>99889.390669742497</v>
      </c>
      <c r="AG203">
        <f t="shared" ca="1" si="58"/>
        <v>0.11695928251015476</v>
      </c>
      <c r="AH203">
        <f t="shared" ca="1" si="59"/>
        <v>0.77067455248126537</v>
      </c>
      <c r="AI203">
        <f t="shared" ca="1" si="60"/>
        <v>0</v>
      </c>
      <c r="AJ203" s="47">
        <f t="shared" ca="1" si="61"/>
        <v>0</v>
      </c>
      <c r="AK203">
        <f t="shared" ca="1" si="62"/>
        <v>13428.447047547637</v>
      </c>
    </row>
    <row r="204" spans="2:37" x14ac:dyDescent="0.2">
      <c r="B204">
        <f ca="1">Inputs!B12+(Inputs!D12-Inputs!B12)*BETAINV(RAND(),Model!H6,Model!I6)</f>
        <v>2.144056367335645</v>
      </c>
      <c r="C204">
        <f ca="1">Inputs!E12+(Inputs!G12-Inputs!E12)*BETAINV(RAND(),Model!J6,Model!K6)</f>
        <v>0.26183925268590302</v>
      </c>
      <c r="D204">
        <f ca="1">(Inputs!H12+(Inputs!J12-Inputs!H12)*BETAINV(RAND(),Model!L6,Model!M6))*Inputs!$C$6</f>
        <v>10835.783480976959</v>
      </c>
      <c r="E204">
        <f t="shared" ref="E204:E267" ca="1" si="63">B204*C204</f>
        <v>0.56139811693961728</v>
      </c>
      <c r="F204">
        <f t="shared" ref="F204:F267" ca="1" si="64">RAND()</f>
        <v>0.50459800235783325</v>
      </c>
      <c r="G204">
        <f t="shared" ref="G204:G267" ca="1" si="65">IF(F204&lt;EXP(-E204),0,IF(F204&lt;EXP(-E204)*(1+E204),1,IF(F204&lt;EXP(-E204)*(1+E204+E204^2/2),2,IF(F204&lt;EXP(-E204)*(1+E204+E204^2/2+E204^3/6),3,4))))</f>
        <v>0</v>
      </c>
      <c r="H204" s="47">
        <f t="shared" ref="H204:H267" ca="1" si="66">G204*D204</f>
        <v>0</v>
      </c>
      <c r="I204">
        <f ca="1">Inputs!B13+(Inputs!D13-Inputs!B13)*BETAINV(RAND(),Model!H7,Model!I7)</f>
        <v>1.5149075804795407</v>
      </c>
      <c r="J204">
        <f ca="1">Inputs!E13+(Inputs!G13-Inputs!E13)*BETAINV(RAND(),Model!J7,Model!K7)</f>
        <v>0.27973305450169861</v>
      </c>
      <c r="K204">
        <f ca="1">(Inputs!H13+(Inputs!J13-Inputs!H13)*BETAINV(RAND(),Model!L7,Model!M7))*Inputs!$C$6</f>
        <v>30739.4630692346</v>
      </c>
      <c r="L204">
        <f t="shared" ref="L204:L267" ca="1" si="67">I204*J204</f>
        <v>0.42376972477531971</v>
      </c>
      <c r="M204">
        <f t="shared" ref="M204:M267" ca="1" si="68">RAND()</f>
        <v>0.73661352078351805</v>
      </c>
      <c r="N204">
        <f t="shared" ref="N204:N267" ca="1" si="69">IF(M204&lt;EXP(-L204),0,IF(M204&lt;EXP(-L204)*(1+L204),1,IF(M204&lt;EXP(-L204)*(1+L204+L204^2/2),2,IF(M204&lt;EXP(-L204)*(1+L204+L204^2/2+L204^3/6),3,4))))</f>
        <v>1</v>
      </c>
      <c r="O204" s="47">
        <f t="shared" ref="O204:O267" ca="1" si="70">N204*K204</f>
        <v>30739.4630692346</v>
      </c>
      <c r="P204">
        <f ca="1">Inputs!B14+(Inputs!D14-Inputs!B14)*BETAINV(RAND(),Model!H8,Model!I8)</f>
        <v>0.22379198021715019</v>
      </c>
      <c r="Q204">
        <f ca="1">Inputs!E14+(Inputs!G14-Inputs!E14)*BETAINV(RAND(),Model!J8,Model!K8)</f>
        <v>0.62705443231894131</v>
      </c>
      <c r="R204">
        <f ca="1">(Inputs!H14+(Inputs!J14-Inputs!H14)*BETAINV(RAND(),Model!L8,Model!M8))*Inputs!$C$6</f>
        <v>222201.60975041994</v>
      </c>
      <c r="S204">
        <f t="shared" ref="S204:S267" ca="1" si="71">P204*Q204</f>
        <v>0.14032975311259685</v>
      </c>
      <c r="T204">
        <f t="shared" ref="T204:T267" ca="1" si="72">RAND()</f>
        <v>0.67431507276269342</v>
      </c>
      <c r="U204">
        <f t="shared" ref="U204:U267" ca="1" si="73">IF(T204&lt;EXP(-S204),0,IF(T204&lt;EXP(-S204)*(1+S204),1,IF(T204&lt;EXP(-S204)*(1+S204+S204^2/2),2,IF(T204&lt;EXP(-S204)*(1+S204+S204^2/2+S204^3/6),3,4))))</f>
        <v>0</v>
      </c>
      <c r="V204" s="47">
        <f t="shared" ref="V204:V267" ca="1" si="74">U204*R204</f>
        <v>0</v>
      </c>
      <c r="W204">
        <f ca="1">Inputs!B15+(Inputs!D15-Inputs!B15)*BETAINV(RAND(),Model!H9,Model!I9)</f>
        <v>0.58760308534055983</v>
      </c>
      <c r="X204">
        <f ca="1">Inputs!E15+(Inputs!G15-Inputs!E15)*BETAINV(RAND(),Model!J9,Model!K9)</f>
        <v>0.48817146607287154</v>
      </c>
      <c r="Y204">
        <f ca="1">(Inputs!H15+(Inputs!J15-Inputs!H15)*BETAINV(RAND(),Model!L9,Model!M9))*Inputs!$C$6</f>
        <v>23578.947292754241</v>
      </c>
      <c r="Z204">
        <f t="shared" ref="Z204:Z267" ca="1" si="75">W204*X204</f>
        <v>0.28685105963964375</v>
      </c>
      <c r="AA204">
        <f t="shared" ref="AA204:AA267" ca="1" si="76">RAND()</f>
        <v>0.26627656925793741</v>
      </c>
      <c r="AB204">
        <f t="shared" ref="AB204:AB267" ca="1" si="77">IF(AA204&lt;EXP(-Z204),0,IF(AA204&lt;EXP(-Z204)*(1+Z204),1,IF(AA204&lt;EXP(-Z204)*(1+Z204+Z204^2/2),2,IF(AA204&lt;EXP(-Z204)*(1+Z204+Z204^2/2+Z204^3/6),3,4))))</f>
        <v>0</v>
      </c>
      <c r="AC204" s="47">
        <f t="shared" ref="AC204:AC267" ca="1" si="78">AB204*Y204</f>
        <v>0</v>
      </c>
      <c r="AD204">
        <f ca="1">Inputs!B16+(Inputs!D16-Inputs!B16)*BETAINV(RAND(),Model!H10,Model!I10)</f>
        <v>0.89565217321204571</v>
      </c>
      <c r="AE204">
        <f ca="1">Inputs!E16+(Inputs!G16-Inputs!E16)*BETAINV(RAND(),Model!J10,Model!K10)</f>
        <v>0.61526998188678839</v>
      </c>
      <c r="AF204">
        <f ca="1">(Inputs!H16+(Inputs!J16-Inputs!H16)*BETAINV(RAND(),Model!L10,Model!M10))*Inputs!$C$6</f>
        <v>124079.99809880109</v>
      </c>
      <c r="AG204">
        <f t="shared" ref="AG204:AG267" ca="1" si="79">AD204*AE204</f>
        <v>0.55106789638903797</v>
      </c>
      <c r="AH204">
        <f t="shared" ref="AH204:AH267" ca="1" si="80">RAND()</f>
        <v>2.373753204475304E-2</v>
      </c>
      <c r="AI204">
        <f t="shared" ref="AI204:AI267" ca="1" si="81">IF(AH204&lt;EXP(-AG204),0,IF(AH204&lt;EXP(-AG204)*(1+AG204),1,IF(AH204&lt;EXP(-AG204)*(1+AG204+AG204^2/2),2,IF(AH204&lt;EXP(-AG204)*(1+AG204+AG204^2/2+AG204^3/6),3,4))))</f>
        <v>0</v>
      </c>
      <c r="AJ204" s="47">
        <f t="shared" ref="AJ204:AJ267" ca="1" si="82">AI204*AF204</f>
        <v>0</v>
      </c>
      <c r="AK204">
        <f t="shared" ref="AK204:AK267" ca="1" si="83">H204+O204+V204+AC204+AJ204</f>
        <v>30739.4630692346</v>
      </c>
    </row>
    <row r="205" spans="2:37" x14ac:dyDescent="0.2">
      <c r="B205">
        <f ca="1">Inputs!B12+(Inputs!D12-Inputs!B12)*BETAINV(RAND(),Model!H6,Model!I6)</f>
        <v>3.394715104176762</v>
      </c>
      <c r="C205">
        <f ca="1">Inputs!E12+(Inputs!G12-Inputs!E12)*BETAINV(RAND(),Model!J6,Model!K6)</f>
        <v>0.36921293260967925</v>
      </c>
      <c r="D205">
        <f ca="1">(Inputs!H12+(Inputs!J12-Inputs!H12)*BETAINV(RAND(),Model!L6,Model!M6))*Inputs!$C$6</f>
        <v>16191.891304145636</v>
      </c>
      <c r="E205">
        <f t="shared" ca="1" si="63"/>
        <v>1.253372718987475</v>
      </c>
      <c r="F205">
        <f t="shared" ca="1" si="64"/>
        <v>0.54745930575039869</v>
      </c>
      <c r="G205">
        <f t="shared" ca="1" si="65"/>
        <v>1</v>
      </c>
      <c r="H205" s="47">
        <f t="shared" ca="1" si="66"/>
        <v>16191.891304145636</v>
      </c>
      <c r="I205">
        <f ca="1">Inputs!B13+(Inputs!D13-Inputs!B13)*BETAINV(RAND(),Model!H7,Model!I7)</f>
        <v>1.4495119471847975</v>
      </c>
      <c r="J205">
        <f ca="1">Inputs!E13+(Inputs!G13-Inputs!E13)*BETAINV(RAND(),Model!J7,Model!K7)</f>
        <v>0.31727877048474734</v>
      </c>
      <c r="K205">
        <f ca="1">(Inputs!H13+(Inputs!J13-Inputs!H13)*BETAINV(RAND(),Model!L7,Model!M7))*Inputs!$C$6</f>
        <v>26608.164551309219</v>
      </c>
      <c r="L205">
        <f t="shared" ca="1" si="67"/>
        <v>0.45989936840574458</v>
      </c>
      <c r="M205">
        <f t="shared" ca="1" si="68"/>
        <v>0.38469873686849565</v>
      </c>
      <c r="N205">
        <f t="shared" ca="1" si="69"/>
        <v>0</v>
      </c>
      <c r="O205" s="47">
        <f t="shared" ca="1" si="70"/>
        <v>0</v>
      </c>
      <c r="P205">
        <f ca="1">Inputs!B14+(Inputs!D14-Inputs!B14)*BETAINV(RAND(),Model!H8,Model!I8)</f>
        <v>0.22843602042787944</v>
      </c>
      <c r="Q205">
        <f ca="1">Inputs!E14+(Inputs!G14-Inputs!E14)*BETAINV(RAND(),Model!J8,Model!K8)</f>
        <v>0.72969034583468173</v>
      </c>
      <c r="R205">
        <f ca="1">(Inputs!H14+(Inputs!J14-Inputs!H14)*BETAINV(RAND(),Model!L8,Model!M8))*Inputs!$C$6</f>
        <v>388123.06638658233</v>
      </c>
      <c r="S205">
        <f t="shared" ca="1" si="71"/>
        <v>0.16668755874711777</v>
      </c>
      <c r="T205">
        <f t="shared" ca="1" si="72"/>
        <v>0.62637032149213945</v>
      </c>
      <c r="U205">
        <f t="shared" ca="1" si="73"/>
        <v>0</v>
      </c>
      <c r="V205" s="47">
        <f t="shared" ca="1" si="74"/>
        <v>0</v>
      </c>
      <c r="W205">
        <f ca="1">Inputs!B15+(Inputs!D15-Inputs!B15)*BETAINV(RAND(),Model!H9,Model!I9)</f>
        <v>0.47396914876426</v>
      </c>
      <c r="X205">
        <f ca="1">Inputs!E15+(Inputs!G15-Inputs!E15)*BETAINV(RAND(),Model!J9,Model!K9)</f>
        <v>0.48391069125122887</v>
      </c>
      <c r="Y205">
        <f ca="1">(Inputs!H15+(Inputs!J15-Inputs!H15)*BETAINV(RAND(),Model!L9,Model!M9))*Inputs!$C$6</f>
        <v>22300.471842995732</v>
      </c>
      <c r="Z205">
        <f t="shared" ca="1" si="75"/>
        <v>0.22935873841026957</v>
      </c>
      <c r="AA205">
        <f t="shared" ca="1" si="76"/>
        <v>2.2487540912759729E-2</v>
      </c>
      <c r="AB205">
        <f t="shared" ca="1" si="77"/>
        <v>0</v>
      </c>
      <c r="AC205" s="47">
        <f t="shared" ca="1" si="78"/>
        <v>0</v>
      </c>
      <c r="AD205">
        <f ca="1">Inputs!B16+(Inputs!D16-Inputs!B16)*BETAINV(RAND(),Model!H10,Model!I10)</f>
        <v>0.84627125310425622</v>
      </c>
      <c r="AE205">
        <f ca="1">Inputs!E16+(Inputs!G16-Inputs!E16)*BETAINV(RAND(),Model!J10,Model!K10)</f>
        <v>0.77149408421835086</v>
      </c>
      <c r="AF205">
        <f ca="1">(Inputs!H16+(Inputs!J16-Inputs!H16)*BETAINV(RAND(),Model!L10,Model!M10))*Inputs!$C$6</f>
        <v>70585.933160290675</v>
      </c>
      <c r="AG205">
        <f t="shared" ca="1" si="79"/>
        <v>0.6528932654139844</v>
      </c>
      <c r="AH205">
        <f t="shared" ca="1" si="80"/>
        <v>0.70145272267599323</v>
      </c>
      <c r="AI205">
        <f t="shared" ca="1" si="81"/>
        <v>1</v>
      </c>
      <c r="AJ205" s="47">
        <f t="shared" ca="1" si="82"/>
        <v>70585.933160290675</v>
      </c>
      <c r="AK205">
        <f t="shared" ca="1" si="83"/>
        <v>86777.824464436315</v>
      </c>
    </row>
    <row r="206" spans="2:37" x14ac:dyDescent="0.2">
      <c r="B206">
        <f ca="1">Inputs!B12+(Inputs!D12-Inputs!B12)*BETAINV(RAND(),Model!H6,Model!I6)</f>
        <v>3.24100773356419</v>
      </c>
      <c r="C206">
        <f ca="1">Inputs!E12+(Inputs!G12-Inputs!E12)*BETAINV(RAND(),Model!J6,Model!K6)</f>
        <v>0.27003075280383088</v>
      </c>
      <c r="D206">
        <f ca="1">(Inputs!H12+(Inputs!J12-Inputs!H12)*BETAINV(RAND(),Model!L6,Model!M6))*Inputs!$C$6</f>
        <v>13801.449622941049</v>
      </c>
      <c r="E206">
        <f t="shared" ca="1" si="63"/>
        <v>0.87517175813737591</v>
      </c>
      <c r="F206">
        <f t="shared" ca="1" si="64"/>
        <v>0.63159737264515592</v>
      </c>
      <c r="G206">
        <f t="shared" ca="1" si="65"/>
        <v>1</v>
      </c>
      <c r="H206" s="47">
        <f t="shared" ca="1" si="66"/>
        <v>13801.449622941049</v>
      </c>
      <c r="I206">
        <f ca="1">Inputs!B13+(Inputs!D13-Inputs!B13)*BETAINV(RAND(),Model!H7,Model!I7)</f>
        <v>2.4859785577027513</v>
      </c>
      <c r="J206">
        <f ca="1">Inputs!E13+(Inputs!G13-Inputs!E13)*BETAINV(RAND(),Model!J7,Model!K7)</f>
        <v>0.27955009922693425</v>
      </c>
      <c r="K206">
        <f ca="1">(Inputs!H13+(Inputs!J13-Inputs!H13)*BETAINV(RAND(),Model!L7,Model!M7))*Inputs!$C$6</f>
        <v>17996.493624747105</v>
      </c>
      <c r="L206">
        <f t="shared" ca="1" si="67"/>
        <v>0.69495555248183505</v>
      </c>
      <c r="M206">
        <f t="shared" ca="1" si="68"/>
        <v>0.27906281289588797</v>
      </c>
      <c r="N206">
        <f t="shared" ca="1" si="69"/>
        <v>0</v>
      </c>
      <c r="O206" s="47">
        <f t="shared" ca="1" si="70"/>
        <v>0</v>
      </c>
      <c r="P206">
        <f ca="1">Inputs!B14+(Inputs!D14-Inputs!B14)*BETAINV(RAND(),Model!H8,Model!I8)</f>
        <v>0.36450095177778641</v>
      </c>
      <c r="Q206">
        <f ca="1">Inputs!E14+(Inputs!G14-Inputs!E14)*BETAINV(RAND(),Model!J8,Model!K8)</f>
        <v>0.6308368464999955</v>
      </c>
      <c r="R206">
        <f ca="1">(Inputs!H14+(Inputs!J14-Inputs!H14)*BETAINV(RAND(),Model!L8,Model!M8))*Inputs!$C$6</f>
        <v>437321.16768577538</v>
      </c>
      <c r="S206">
        <f t="shared" ca="1" si="71"/>
        <v>0.22994063096574571</v>
      </c>
      <c r="T206">
        <f t="shared" ca="1" si="72"/>
        <v>0.27832908799294731</v>
      </c>
      <c r="U206">
        <f t="shared" ca="1" si="73"/>
        <v>0</v>
      </c>
      <c r="V206" s="47">
        <f t="shared" ca="1" si="74"/>
        <v>0</v>
      </c>
      <c r="W206">
        <f ca="1">Inputs!B15+(Inputs!D15-Inputs!B15)*BETAINV(RAND(),Model!H9,Model!I9)</f>
        <v>1.3359256909877297</v>
      </c>
      <c r="X206">
        <f ca="1">Inputs!E15+(Inputs!G15-Inputs!E15)*BETAINV(RAND(),Model!J9,Model!K9)</f>
        <v>0.31786415617812902</v>
      </c>
      <c r="Y206">
        <f ca="1">(Inputs!H15+(Inputs!J15-Inputs!H15)*BETAINV(RAND(),Model!L9,Model!M9))*Inputs!$C$6</f>
        <v>17011.860128555531</v>
      </c>
      <c r="Z206">
        <f t="shared" ca="1" si="75"/>
        <v>0.42464289248249865</v>
      </c>
      <c r="AA206">
        <f t="shared" ca="1" si="76"/>
        <v>3.8870574436553396E-2</v>
      </c>
      <c r="AB206">
        <f t="shared" ca="1" si="77"/>
        <v>0</v>
      </c>
      <c r="AC206" s="47">
        <f t="shared" ca="1" si="78"/>
        <v>0</v>
      </c>
      <c r="AD206">
        <f ca="1">Inputs!B16+(Inputs!D16-Inputs!B16)*BETAINV(RAND(),Model!H10,Model!I10)</f>
        <v>0.55350260960972708</v>
      </c>
      <c r="AE206">
        <f ca="1">Inputs!E16+(Inputs!G16-Inputs!E16)*BETAINV(RAND(),Model!J10,Model!K10)</f>
        <v>0.64533782429803699</v>
      </c>
      <c r="AF206">
        <f ca="1">(Inputs!H16+(Inputs!J16-Inputs!H16)*BETAINV(RAND(),Model!L10,Model!M10))*Inputs!$C$6</f>
        <v>75592.304690307588</v>
      </c>
      <c r="AG206">
        <f t="shared" ca="1" si="79"/>
        <v>0.35719616982882701</v>
      </c>
      <c r="AH206">
        <f t="shared" ca="1" si="80"/>
        <v>0.67082602810208536</v>
      </c>
      <c r="AI206">
        <f t="shared" ca="1" si="81"/>
        <v>0</v>
      </c>
      <c r="AJ206" s="47">
        <f t="shared" ca="1" si="82"/>
        <v>0</v>
      </c>
      <c r="AK206">
        <f t="shared" ca="1" si="83"/>
        <v>13801.449622941049</v>
      </c>
    </row>
    <row r="207" spans="2:37" x14ac:dyDescent="0.2">
      <c r="B207">
        <f ca="1">Inputs!B12+(Inputs!D12-Inputs!B12)*BETAINV(RAND(),Model!H6,Model!I6)</f>
        <v>3.3803291838170337</v>
      </c>
      <c r="C207">
        <f ca="1">Inputs!E12+(Inputs!G12-Inputs!E12)*BETAINV(RAND(),Model!J6,Model!K6)</f>
        <v>0.31904595215691156</v>
      </c>
      <c r="D207">
        <f ca="1">(Inputs!H12+(Inputs!J12-Inputs!H12)*BETAINV(RAND(),Model!L6,Model!M6))*Inputs!$C$6</f>
        <v>10974.697981443982</v>
      </c>
      <c r="E207">
        <f t="shared" ca="1" si="63"/>
        <v>1.0784803430547012</v>
      </c>
      <c r="F207">
        <f t="shared" ca="1" si="64"/>
        <v>0.78675111548755972</v>
      </c>
      <c r="G207">
        <f t="shared" ca="1" si="65"/>
        <v>2</v>
      </c>
      <c r="H207" s="47">
        <f t="shared" ca="1" si="66"/>
        <v>21949.395962887964</v>
      </c>
      <c r="I207">
        <f ca="1">Inputs!B13+(Inputs!D13-Inputs!B13)*BETAINV(RAND(),Model!H7,Model!I7)</f>
        <v>0.91726356569273926</v>
      </c>
      <c r="J207">
        <f ca="1">Inputs!E13+(Inputs!G13-Inputs!E13)*BETAINV(RAND(),Model!J7,Model!K7)</f>
        <v>0.21039137999916621</v>
      </c>
      <c r="K207">
        <f ca="1">(Inputs!H13+(Inputs!J13-Inputs!H13)*BETAINV(RAND(),Model!L7,Model!M7))*Inputs!$C$6</f>
        <v>20474.546516028244</v>
      </c>
      <c r="L207">
        <f t="shared" ca="1" si="67"/>
        <v>0.19298434740905127</v>
      </c>
      <c r="M207">
        <f t="shared" ca="1" si="68"/>
        <v>0.73410922587263561</v>
      </c>
      <c r="N207">
        <f t="shared" ca="1" si="69"/>
        <v>0</v>
      </c>
      <c r="O207" s="47">
        <f t="shared" ca="1" si="70"/>
        <v>0</v>
      </c>
      <c r="P207">
        <f ca="1">Inputs!B14+(Inputs!D14-Inputs!B14)*BETAINV(RAND(),Model!H8,Model!I8)</f>
        <v>0.209103204050956</v>
      </c>
      <c r="Q207">
        <f ca="1">Inputs!E14+(Inputs!G14-Inputs!E14)*BETAINV(RAND(),Model!J8,Model!K8)</f>
        <v>0.48559493721886182</v>
      </c>
      <c r="R207">
        <f ca="1">(Inputs!H14+(Inputs!J14-Inputs!H14)*BETAINV(RAND(),Model!L8,Model!M8))*Inputs!$C$6</f>
        <v>514191.14658384037</v>
      </c>
      <c r="S207">
        <f t="shared" ca="1" si="71"/>
        <v>0.10153945724338684</v>
      </c>
      <c r="T207">
        <f t="shared" ca="1" si="72"/>
        <v>0.38849437618245031</v>
      </c>
      <c r="U207">
        <f t="shared" ca="1" si="73"/>
        <v>0</v>
      </c>
      <c r="V207" s="47">
        <f t="shared" ca="1" si="74"/>
        <v>0</v>
      </c>
      <c r="W207">
        <f ca="1">Inputs!B15+(Inputs!D15-Inputs!B15)*BETAINV(RAND(),Model!H9,Model!I9)</f>
        <v>1.651866755442281</v>
      </c>
      <c r="X207">
        <f ca="1">Inputs!E15+(Inputs!G15-Inputs!E15)*BETAINV(RAND(),Model!J9,Model!K9)</f>
        <v>0.53249285733028751</v>
      </c>
      <c r="Y207">
        <f ca="1">(Inputs!H15+(Inputs!J15-Inputs!H15)*BETAINV(RAND(),Model!L9,Model!M9))*Inputs!$C$6</f>
        <v>15606.21292983167</v>
      </c>
      <c r="Z207">
        <f t="shared" ca="1" si="75"/>
        <v>0.87960724853437144</v>
      </c>
      <c r="AA207">
        <f t="shared" ca="1" si="76"/>
        <v>0.41363723355972659</v>
      </c>
      <c r="AB207">
        <f t="shared" ca="1" si="77"/>
        <v>0</v>
      </c>
      <c r="AC207" s="47">
        <f t="shared" ca="1" si="78"/>
        <v>0</v>
      </c>
      <c r="AD207">
        <f ca="1">Inputs!B16+(Inputs!D16-Inputs!B16)*BETAINV(RAND(),Model!H10,Model!I10)</f>
        <v>0.40952864845399556</v>
      </c>
      <c r="AE207">
        <f ca="1">Inputs!E16+(Inputs!G16-Inputs!E16)*BETAINV(RAND(),Model!J10,Model!K10)</f>
        <v>0.53868542920309026</v>
      </c>
      <c r="AF207">
        <f ca="1">(Inputs!H16+(Inputs!J16-Inputs!H16)*BETAINV(RAND(),Model!L10,Model!M10))*Inputs!$C$6</f>
        <v>97278.641521291211</v>
      </c>
      <c r="AG207">
        <f t="shared" ca="1" si="79"/>
        <v>0.22060711576340206</v>
      </c>
      <c r="AH207">
        <f t="shared" ca="1" si="80"/>
        <v>0.56652821079040216</v>
      </c>
      <c r="AI207">
        <f t="shared" ca="1" si="81"/>
        <v>0</v>
      </c>
      <c r="AJ207" s="47">
        <f t="shared" ca="1" si="82"/>
        <v>0</v>
      </c>
      <c r="AK207">
        <f t="shared" ca="1" si="83"/>
        <v>21949.395962887964</v>
      </c>
    </row>
    <row r="208" spans="2:37" x14ac:dyDescent="0.2">
      <c r="B208">
        <f ca="1">Inputs!B12+(Inputs!D12-Inputs!B12)*BETAINV(RAND(),Model!H6,Model!I6)</f>
        <v>5.6671133307642902</v>
      </c>
      <c r="C208">
        <f ca="1">Inputs!E12+(Inputs!G12-Inputs!E12)*BETAINV(RAND(),Model!J6,Model!K6)</f>
        <v>0.30593251765517465</v>
      </c>
      <c r="D208">
        <f ca="1">(Inputs!H12+(Inputs!J12-Inputs!H12)*BETAINV(RAND(),Model!L6,Model!M6))*Inputs!$C$6</f>
        <v>33581.724131061179</v>
      </c>
      <c r="E208">
        <f t="shared" ca="1" si="63"/>
        <v>1.7337542491179219</v>
      </c>
      <c r="F208">
        <f t="shared" ca="1" si="64"/>
        <v>0.85260904331540177</v>
      </c>
      <c r="G208">
        <f t="shared" ca="1" si="65"/>
        <v>3</v>
      </c>
      <c r="H208" s="47">
        <f t="shared" ca="1" si="66"/>
        <v>100745.17239318354</v>
      </c>
      <c r="I208">
        <f ca="1">Inputs!B13+(Inputs!D13-Inputs!B13)*BETAINV(RAND(),Model!H7,Model!I7)</f>
        <v>3.5997158207049473</v>
      </c>
      <c r="J208">
        <f ca="1">Inputs!E13+(Inputs!G13-Inputs!E13)*BETAINV(RAND(),Model!J7,Model!K7)</f>
        <v>0.4101053768632158</v>
      </c>
      <c r="K208">
        <f ca="1">(Inputs!H13+(Inputs!J13-Inputs!H13)*BETAINV(RAND(),Model!L7,Model!M7))*Inputs!$C$6</f>
        <v>55544.707378351864</v>
      </c>
      <c r="L208">
        <f t="shared" ca="1" si="67"/>
        <v>1.4762628132506825</v>
      </c>
      <c r="M208">
        <f t="shared" ca="1" si="68"/>
        <v>0.73512238945989783</v>
      </c>
      <c r="N208">
        <f t="shared" ca="1" si="69"/>
        <v>2</v>
      </c>
      <c r="O208" s="47">
        <f t="shared" ca="1" si="70"/>
        <v>111089.41475670373</v>
      </c>
      <c r="P208">
        <f ca="1">Inputs!B14+(Inputs!D14-Inputs!B14)*BETAINV(RAND(),Model!H8,Model!I8)</f>
        <v>0.26945998333237842</v>
      </c>
      <c r="Q208">
        <f ca="1">Inputs!E14+(Inputs!G14-Inputs!E14)*BETAINV(RAND(),Model!J8,Model!K8)</f>
        <v>0.70437010429217484</v>
      </c>
      <c r="R208">
        <f ca="1">(Inputs!H14+(Inputs!J14-Inputs!H14)*BETAINV(RAND(),Model!L8,Model!M8))*Inputs!$C$6</f>
        <v>419691.87469160953</v>
      </c>
      <c r="S208">
        <f t="shared" ca="1" si="71"/>
        <v>0.18979955656239508</v>
      </c>
      <c r="T208">
        <f t="shared" ca="1" si="72"/>
        <v>2.5391889729264872E-2</v>
      </c>
      <c r="U208">
        <f t="shared" ca="1" si="73"/>
        <v>0</v>
      </c>
      <c r="V208" s="47">
        <f t="shared" ca="1" si="74"/>
        <v>0</v>
      </c>
      <c r="W208">
        <f ca="1">Inputs!B15+(Inputs!D15-Inputs!B15)*BETAINV(RAND(),Model!H9,Model!I9)</f>
        <v>1.3640054056825064</v>
      </c>
      <c r="X208">
        <f ca="1">Inputs!E15+(Inputs!G15-Inputs!E15)*BETAINV(RAND(),Model!J9,Model!K9)</f>
        <v>0.43912084651871441</v>
      </c>
      <c r="Y208">
        <f ca="1">(Inputs!H15+(Inputs!J15-Inputs!H15)*BETAINV(RAND(),Model!L9,Model!M9))*Inputs!$C$6</f>
        <v>51911.372382826987</v>
      </c>
      <c r="Z208">
        <f t="shared" ca="1" si="75"/>
        <v>0.59896320839940465</v>
      </c>
      <c r="AA208">
        <f t="shared" ca="1" si="76"/>
        <v>0.66279714428313341</v>
      </c>
      <c r="AB208">
        <f t="shared" ca="1" si="77"/>
        <v>1</v>
      </c>
      <c r="AC208" s="47">
        <f t="shared" ca="1" si="78"/>
        <v>51911.372382826987</v>
      </c>
      <c r="AD208">
        <f ca="1">Inputs!B16+(Inputs!D16-Inputs!B16)*BETAINV(RAND(),Model!H10,Model!I10)</f>
        <v>0.28516229438709684</v>
      </c>
      <c r="AE208">
        <f ca="1">Inputs!E16+(Inputs!G16-Inputs!E16)*BETAINV(RAND(),Model!J10,Model!K10)</f>
        <v>0.61590340732797233</v>
      </c>
      <c r="AF208">
        <f ca="1">(Inputs!H16+(Inputs!J16-Inputs!H16)*BETAINV(RAND(),Model!L10,Model!M10))*Inputs!$C$6</f>
        <v>49702.461370850782</v>
      </c>
      <c r="AG208">
        <f t="shared" ca="1" si="79"/>
        <v>0.17563242875447527</v>
      </c>
      <c r="AH208">
        <f t="shared" ca="1" si="80"/>
        <v>0.92417653243260489</v>
      </c>
      <c r="AI208">
        <f t="shared" ca="1" si="81"/>
        <v>1</v>
      </c>
      <c r="AJ208" s="47">
        <f t="shared" ca="1" si="82"/>
        <v>49702.461370850782</v>
      </c>
      <c r="AK208">
        <f t="shared" ca="1" si="83"/>
        <v>313448.42090356507</v>
      </c>
    </row>
    <row r="209" spans="2:37" x14ac:dyDescent="0.2">
      <c r="B209">
        <f ca="1">Inputs!B12+(Inputs!D12-Inputs!B12)*BETAINV(RAND(),Model!H6,Model!I6)</f>
        <v>5.5370363272771925</v>
      </c>
      <c r="C209">
        <f ca="1">Inputs!E12+(Inputs!G12-Inputs!E12)*BETAINV(RAND(),Model!J6,Model!K6)</f>
        <v>0.35484850606287144</v>
      </c>
      <c r="D209">
        <f ca="1">(Inputs!H12+(Inputs!J12-Inputs!H12)*BETAINV(RAND(),Model!L6,Model!M6))*Inputs!$C$6</f>
        <v>34772.583196206899</v>
      </c>
      <c r="E209">
        <f t="shared" ca="1" si="63"/>
        <v>1.9648090687501603</v>
      </c>
      <c r="F209">
        <f t="shared" ca="1" si="64"/>
        <v>0.86638016873892687</v>
      </c>
      <c r="G209">
        <f t="shared" ca="1" si="65"/>
        <v>4</v>
      </c>
      <c r="H209" s="47">
        <f t="shared" ca="1" si="66"/>
        <v>139090.33278482759</v>
      </c>
      <c r="I209">
        <f ca="1">Inputs!B13+(Inputs!D13-Inputs!B13)*BETAINV(RAND(),Model!H7,Model!I7)</f>
        <v>3.0925059152038932</v>
      </c>
      <c r="J209">
        <f ca="1">Inputs!E13+(Inputs!G13-Inputs!E13)*BETAINV(RAND(),Model!J7,Model!K7)</f>
        <v>0.15478213846304623</v>
      </c>
      <c r="K209">
        <f ca="1">(Inputs!H13+(Inputs!J13-Inputs!H13)*BETAINV(RAND(),Model!L7,Model!M7))*Inputs!$C$6</f>
        <v>15764.998772254912</v>
      </c>
      <c r="L209">
        <f t="shared" ca="1" si="67"/>
        <v>0.4786646787648785</v>
      </c>
      <c r="M209">
        <f t="shared" ca="1" si="68"/>
        <v>0.75487761580595181</v>
      </c>
      <c r="N209">
        <f t="shared" ca="1" si="69"/>
        <v>1</v>
      </c>
      <c r="O209" s="47">
        <f t="shared" ca="1" si="70"/>
        <v>15764.998772254912</v>
      </c>
      <c r="P209">
        <f ca="1">Inputs!B14+(Inputs!D14-Inputs!B14)*BETAINV(RAND(),Model!H8,Model!I8)</f>
        <v>0.59142656967300322</v>
      </c>
      <c r="Q209">
        <f ca="1">Inputs!E14+(Inputs!G14-Inputs!E14)*BETAINV(RAND(),Model!J8,Model!K8)</f>
        <v>0.45911264971616927</v>
      </c>
      <c r="R209">
        <f ca="1">(Inputs!H14+(Inputs!J14-Inputs!H14)*BETAINV(RAND(),Model!L8,Model!M8))*Inputs!$C$6</f>
        <v>286815.27543632733</v>
      </c>
      <c r="S209">
        <f t="shared" ca="1" si="71"/>
        <v>0.27153141951511711</v>
      </c>
      <c r="T209">
        <f t="shared" ca="1" si="72"/>
        <v>0.77072284571728544</v>
      </c>
      <c r="U209">
        <f t="shared" ca="1" si="73"/>
        <v>1</v>
      </c>
      <c r="V209" s="47">
        <f t="shared" ca="1" si="74"/>
        <v>286815.27543632733</v>
      </c>
      <c r="W209">
        <f ca="1">Inputs!B15+(Inputs!D15-Inputs!B15)*BETAINV(RAND(),Model!H9,Model!I9)</f>
        <v>1.0782216757062599</v>
      </c>
      <c r="X209">
        <f ca="1">Inputs!E15+(Inputs!G15-Inputs!E15)*BETAINV(RAND(),Model!J9,Model!K9)</f>
        <v>0.55614902550236134</v>
      </c>
      <c r="Y209">
        <f ca="1">(Inputs!H15+(Inputs!J15-Inputs!H15)*BETAINV(RAND(),Model!L9,Model!M9))*Inputs!$C$6</f>
        <v>22459.548250473861</v>
      </c>
      <c r="Z209">
        <f t="shared" ca="1" si="75"/>
        <v>0.59965193421955953</v>
      </c>
      <c r="AA209">
        <f t="shared" ca="1" si="76"/>
        <v>0.19607506990586965</v>
      </c>
      <c r="AB209">
        <f t="shared" ca="1" si="77"/>
        <v>0</v>
      </c>
      <c r="AC209" s="47">
        <f t="shared" ca="1" si="78"/>
        <v>0</v>
      </c>
      <c r="AD209">
        <f ca="1">Inputs!B16+(Inputs!D16-Inputs!B16)*BETAINV(RAND(),Model!H10,Model!I10)</f>
        <v>0.51689433273624896</v>
      </c>
      <c r="AE209">
        <f ca="1">Inputs!E16+(Inputs!G16-Inputs!E16)*BETAINV(RAND(),Model!J10,Model!K10)</f>
        <v>0.61665493789404513</v>
      </c>
      <c r="AF209">
        <f ca="1">(Inputs!H16+(Inputs!J16-Inputs!H16)*BETAINV(RAND(),Model!L10,Model!M10))*Inputs!$C$6</f>
        <v>135817.24055811402</v>
      </c>
      <c r="AG209">
        <f t="shared" ca="1" si="79"/>
        <v>0.31874544265125548</v>
      </c>
      <c r="AH209">
        <f t="shared" ca="1" si="80"/>
        <v>0.12757589816018</v>
      </c>
      <c r="AI209">
        <f t="shared" ca="1" si="81"/>
        <v>0</v>
      </c>
      <c r="AJ209" s="47">
        <f t="shared" ca="1" si="82"/>
        <v>0</v>
      </c>
      <c r="AK209">
        <f t="shared" ca="1" si="83"/>
        <v>441670.6069934098</v>
      </c>
    </row>
    <row r="210" spans="2:37" x14ac:dyDescent="0.2">
      <c r="B210">
        <f ca="1">Inputs!B12+(Inputs!D12-Inputs!B12)*BETAINV(RAND(),Model!H6,Model!I6)</f>
        <v>6.5049990363957439</v>
      </c>
      <c r="C210">
        <f ca="1">Inputs!E12+(Inputs!G12-Inputs!E12)*BETAINV(RAND(),Model!J6,Model!K6)</f>
        <v>0.38761005479186039</v>
      </c>
      <c r="D210">
        <f ca="1">(Inputs!H12+(Inputs!J12-Inputs!H12)*BETAINV(RAND(),Model!L6,Model!M6))*Inputs!$C$6</f>
        <v>27882.792724602805</v>
      </c>
      <c r="E210">
        <f t="shared" ca="1" si="63"/>
        <v>2.5214030329183532</v>
      </c>
      <c r="F210">
        <f t="shared" ca="1" si="64"/>
        <v>0.28935536492876968</v>
      </c>
      <c r="G210">
        <f t="shared" ca="1" si="65"/>
        <v>2</v>
      </c>
      <c r="H210" s="47">
        <f t="shared" ca="1" si="66"/>
        <v>55765.58544920561</v>
      </c>
      <c r="I210">
        <f ca="1">Inputs!B13+(Inputs!D13-Inputs!B13)*BETAINV(RAND(),Model!H7,Model!I7)</f>
        <v>1.3970882295714599</v>
      </c>
      <c r="J210">
        <f ca="1">Inputs!E13+(Inputs!G13-Inputs!E13)*BETAINV(RAND(),Model!J7,Model!K7)</f>
        <v>0.22639880865392364</v>
      </c>
      <c r="K210">
        <f ca="1">(Inputs!H13+(Inputs!J13-Inputs!H13)*BETAINV(RAND(),Model!L7,Model!M7))*Inputs!$C$6</f>
        <v>43548.107011600077</v>
      </c>
      <c r="L210">
        <f t="shared" ca="1" si="67"/>
        <v>0.31629911075939793</v>
      </c>
      <c r="M210">
        <f t="shared" ca="1" si="68"/>
        <v>0.41146099166236383</v>
      </c>
      <c r="N210">
        <f t="shared" ca="1" si="69"/>
        <v>0</v>
      </c>
      <c r="O210" s="47">
        <f t="shared" ca="1" si="70"/>
        <v>0</v>
      </c>
      <c r="P210">
        <f ca="1">Inputs!B14+(Inputs!D14-Inputs!B14)*BETAINV(RAND(),Model!H8,Model!I8)</f>
        <v>0.44198910083463394</v>
      </c>
      <c r="Q210">
        <f ca="1">Inputs!E14+(Inputs!G14-Inputs!E14)*BETAINV(RAND(),Model!J8,Model!K8)</f>
        <v>0.64280798529970384</v>
      </c>
      <c r="R210">
        <f ca="1">(Inputs!H14+(Inputs!J14-Inputs!H14)*BETAINV(RAND(),Model!L8,Model!M8))*Inputs!$C$6</f>
        <v>188103.30695328285</v>
      </c>
      <c r="S210">
        <f t="shared" ca="1" si="71"/>
        <v>0.2841141234319387</v>
      </c>
      <c r="T210">
        <f t="shared" ca="1" si="72"/>
        <v>0.96224219627242746</v>
      </c>
      <c r="U210">
        <f t="shared" ca="1" si="73"/>
        <v>1</v>
      </c>
      <c r="V210" s="47">
        <f t="shared" ca="1" si="74"/>
        <v>188103.30695328285</v>
      </c>
      <c r="W210">
        <f ca="1">Inputs!B15+(Inputs!D15-Inputs!B15)*BETAINV(RAND(),Model!H9,Model!I9)</f>
        <v>0.71868423862997899</v>
      </c>
      <c r="X210">
        <f ca="1">Inputs!E15+(Inputs!G15-Inputs!E15)*BETAINV(RAND(),Model!J9,Model!K9)</f>
        <v>0.53008281066268736</v>
      </c>
      <c r="Y210">
        <f ca="1">(Inputs!H15+(Inputs!J15-Inputs!H15)*BETAINV(RAND(),Model!L9,Model!M9))*Inputs!$C$6</f>
        <v>15435.684320761142</v>
      </c>
      <c r="Z210">
        <f t="shared" ca="1" si="75"/>
        <v>0.38096216119195275</v>
      </c>
      <c r="AA210">
        <f t="shared" ca="1" si="76"/>
        <v>0.32031933767288512</v>
      </c>
      <c r="AB210">
        <f t="shared" ca="1" si="77"/>
        <v>0</v>
      </c>
      <c r="AC210" s="47">
        <f t="shared" ca="1" si="78"/>
        <v>0</v>
      </c>
      <c r="AD210">
        <f ca="1">Inputs!B16+(Inputs!D16-Inputs!B16)*BETAINV(RAND(),Model!H10,Model!I10)</f>
        <v>0.36798089163326414</v>
      </c>
      <c r="AE210">
        <f ca="1">Inputs!E16+(Inputs!G16-Inputs!E16)*BETAINV(RAND(),Model!J10,Model!K10)</f>
        <v>0.71896589274642486</v>
      </c>
      <c r="AF210">
        <f ca="1">(Inputs!H16+(Inputs!J16-Inputs!H16)*BETAINV(RAND(),Model!L10,Model!M10))*Inputs!$C$6</f>
        <v>61333.042320374785</v>
      </c>
      <c r="AG210">
        <f t="shared" ca="1" si="79"/>
        <v>0.2645657102667352</v>
      </c>
      <c r="AH210">
        <f t="shared" ca="1" si="80"/>
        <v>0.71002078790654133</v>
      </c>
      <c r="AI210">
        <f t="shared" ca="1" si="81"/>
        <v>0</v>
      </c>
      <c r="AJ210" s="47">
        <f t="shared" ca="1" si="82"/>
        <v>0</v>
      </c>
      <c r="AK210">
        <f t="shared" ca="1" si="83"/>
        <v>243868.89240248845</v>
      </c>
    </row>
    <row r="211" spans="2:37" x14ac:dyDescent="0.2">
      <c r="B211">
        <f ca="1">Inputs!B12+(Inputs!D12-Inputs!B12)*BETAINV(RAND(),Model!H6,Model!I6)</f>
        <v>2.4255521268528124</v>
      </c>
      <c r="C211">
        <f ca="1">Inputs!E12+(Inputs!G12-Inputs!E12)*BETAINV(RAND(),Model!J6,Model!K6)</f>
        <v>0.29327187873456501</v>
      </c>
      <c r="D211">
        <f ca="1">(Inputs!H12+(Inputs!J12-Inputs!H12)*BETAINV(RAND(),Model!L6,Model!M6))*Inputs!$C$6</f>
        <v>28941.919597400003</v>
      </c>
      <c r="E211">
        <f t="shared" ca="1" si="63"/>
        <v>0.7113462292107442</v>
      </c>
      <c r="F211">
        <f t="shared" ca="1" si="64"/>
        <v>0.98331716223060273</v>
      </c>
      <c r="G211">
        <f t="shared" ca="1" si="65"/>
        <v>3</v>
      </c>
      <c r="H211" s="47">
        <f t="shared" ca="1" si="66"/>
        <v>86825.758792200009</v>
      </c>
      <c r="I211">
        <f ca="1">Inputs!B13+(Inputs!D13-Inputs!B13)*BETAINV(RAND(),Model!H7,Model!I7)</f>
        <v>3.1199553089947054</v>
      </c>
      <c r="J211">
        <f ca="1">Inputs!E13+(Inputs!G13-Inputs!E13)*BETAINV(RAND(),Model!J7,Model!K7)</f>
        <v>0.18249353525533674</v>
      </c>
      <c r="K211">
        <f ca="1">(Inputs!H13+(Inputs!J13-Inputs!H13)*BETAINV(RAND(),Model!L7,Model!M7))*Inputs!$C$6</f>
        <v>40518.569513427217</v>
      </c>
      <c r="L211">
        <f t="shared" ca="1" si="67"/>
        <v>0.56937167417710033</v>
      </c>
      <c r="M211">
        <f t="shared" ca="1" si="68"/>
        <v>0.2148606186896973</v>
      </c>
      <c r="N211">
        <f t="shared" ca="1" si="69"/>
        <v>0</v>
      </c>
      <c r="O211" s="47">
        <f t="shared" ca="1" si="70"/>
        <v>0</v>
      </c>
      <c r="P211">
        <f ca="1">Inputs!B14+(Inputs!D14-Inputs!B14)*BETAINV(RAND(),Model!H8,Model!I8)</f>
        <v>0.28625600491194281</v>
      </c>
      <c r="Q211">
        <f ca="1">Inputs!E14+(Inputs!G14-Inputs!E14)*BETAINV(RAND(),Model!J8,Model!K8)</f>
        <v>0.69439730792985976</v>
      </c>
      <c r="R211">
        <f ca="1">(Inputs!H14+(Inputs!J14-Inputs!H14)*BETAINV(RAND(),Model!L8,Model!M8))*Inputs!$C$6</f>
        <v>342076.47641435976</v>
      </c>
      <c r="S211">
        <f t="shared" ca="1" si="71"/>
        <v>0.19877539918960979</v>
      </c>
      <c r="T211">
        <f t="shared" ca="1" si="72"/>
        <v>0.37418851438482459</v>
      </c>
      <c r="U211">
        <f t="shared" ca="1" si="73"/>
        <v>0</v>
      </c>
      <c r="V211" s="47">
        <f t="shared" ca="1" si="74"/>
        <v>0</v>
      </c>
      <c r="W211">
        <f ca="1">Inputs!B15+(Inputs!D15-Inputs!B15)*BETAINV(RAND(),Model!H9,Model!I9)</f>
        <v>1.6276039199477357</v>
      </c>
      <c r="X211">
        <f ca="1">Inputs!E15+(Inputs!G15-Inputs!E15)*BETAINV(RAND(),Model!J9,Model!K9)</f>
        <v>0.3717428630669356</v>
      </c>
      <c r="Y211">
        <f ca="1">(Inputs!H15+(Inputs!J15-Inputs!H15)*BETAINV(RAND(),Model!L9,Model!M9))*Inputs!$C$6</f>
        <v>31110.151886058942</v>
      </c>
      <c r="Z211">
        <f t="shared" ca="1" si="75"/>
        <v>0.60505014114033873</v>
      </c>
      <c r="AA211">
        <f t="shared" ca="1" si="76"/>
        <v>0.82129544725767534</v>
      </c>
      <c r="AB211">
        <f t="shared" ca="1" si="77"/>
        <v>1</v>
      </c>
      <c r="AC211" s="47">
        <f t="shared" ca="1" si="78"/>
        <v>31110.151886058942</v>
      </c>
      <c r="AD211">
        <f ca="1">Inputs!B16+(Inputs!D16-Inputs!B16)*BETAINV(RAND(),Model!H10,Model!I10)</f>
        <v>0.73147278514498137</v>
      </c>
      <c r="AE211">
        <f ca="1">Inputs!E16+(Inputs!G16-Inputs!E16)*BETAINV(RAND(),Model!J10,Model!K10)</f>
        <v>0.72604067341285705</v>
      </c>
      <c r="AF211">
        <f ca="1">(Inputs!H16+(Inputs!J16-Inputs!H16)*BETAINV(RAND(),Model!L10,Model!M10))*Inputs!$C$6</f>
        <v>129223.38097108068</v>
      </c>
      <c r="AG211">
        <f t="shared" ca="1" si="79"/>
        <v>0.53107899350984034</v>
      </c>
      <c r="AH211">
        <f t="shared" ca="1" si="80"/>
        <v>0.29398526049046003</v>
      </c>
      <c r="AI211">
        <f t="shared" ca="1" si="81"/>
        <v>0</v>
      </c>
      <c r="AJ211" s="47">
        <f t="shared" ca="1" si="82"/>
        <v>0</v>
      </c>
      <c r="AK211">
        <f t="shared" ca="1" si="83"/>
        <v>117935.91067825895</v>
      </c>
    </row>
    <row r="212" spans="2:37" x14ac:dyDescent="0.2">
      <c r="B212">
        <f ca="1">Inputs!B12+(Inputs!D12-Inputs!B12)*BETAINV(RAND(),Model!H6,Model!I6)</f>
        <v>4.5601539879498327</v>
      </c>
      <c r="C212">
        <f ca="1">Inputs!E12+(Inputs!G12-Inputs!E12)*BETAINV(RAND(),Model!J6,Model!K6)</f>
        <v>0.25218233207703672</v>
      </c>
      <c r="D212">
        <f ca="1">(Inputs!H12+(Inputs!J12-Inputs!H12)*BETAINV(RAND(),Model!L6,Model!M6))*Inputs!$C$6</f>
        <v>26711.811923920675</v>
      </c>
      <c r="E212">
        <f t="shared" ca="1" si="63"/>
        <v>1.149990267311588</v>
      </c>
      <c r="F212">
        <f t="shared" ca="1" si="64"/>
        <v>0.84222126421175514</v>
      </c>
      <c r="G212">
        <f t="shared" ca="1" si="65"/>
        <v>2</v>
      </c>
      <c r="H212" s="47">
        <f t="shared" ca="1" si="66"/>
        <v>53423.623847841351</v>
      </c>
      <c r="I212">
        <f ca="1">Inputs!B13+(Inputs!D13-Inputs!B13)*BETAINV(RAND(),Model!H7,Model!I7)</f>
        <v>1.3711905950276355</v>
      </c>
      <c r="J212">
        <f ca="1">Inputs!E13+(Inputs!G13-Inputs!E13)*BETAINV(RAND(),Model!J7,Model!K7)</f>
        <v>0.38436069138708173</v>
      </c>
      <c r="K212">
        <f ca="1">(Inputs!H13+(Inputs!J13-Inputs!H13)*BETAINV(RAND(),Model!L7,Model!M7))*Inputs!$C$6</f>
        <v>55894.183353297536</v>
      </c>
      <c r="L212">
        <f t="shared" ca="1" si="67"/>
        <v>0.52703176512828598</v>
      </c>
      <c r="M212">
        <f t="shared" ca="1" si="68"/>
        <v>0.80334242722246674</v>
      </c>
      <c r="N212">
        <f t="shared" ca="1" si="69"/>
        <v>1</v>
      </c>
      <c r="O212" s="47">
        <f t="shared" ca="1" si="70"/>
        <v>55894.183353297536</v>
      </c>
      <c r="P212">
        <f ca="1">Inputs!B14+(Inputs!D14-Inputs!B14)*BETAINV(RAND(),Model!H8,Model!I8)</f>
        <v>0.35943806654618926</v>
      </c>
      <c r="Q212">
        <f ca="1">Inputs!E14+(Inputs!G14-Inputs!E14)*BETAINV(RAND(),Model!J8,Model!K8)</f>
        <v>0.61042071870265147</v>
      </c>
      <c r="R212">
        <f ca="1">(Inputs!H14+(Inputs!J14-Inputs!H14)*BETAINV(RAND(),Model!L8,Model!M8))*Inputs!$C$6</f>
        <v>331897.72360007052</v>
      </c>
      <c r="S212">
        <f t="shared" ca="1" si="71"/>
        <v>0.2194084429102163</v>
      </c>
      <c r="T212">
        <f t="shared" ca="1" si="72"/>
        <v>8.2222934187346164E-2</v>
      </c>
      <c r="U212">
        <f t="shared" ca="1" si="73"/>
        <v>0</v>
      </c>
      <c r="V212" s="47">
        <f t="shared" ca="1" si="74"/>
        <v>0</v>
      </c>
      <c r="W212">
        <f ca="1">Inputs!B15+(Inputs!D15-Inputs!B15)*BETAINV(RAND(),Model!H9,Model!I9)</f>
        <v>0.57798264530688082</v>
      </c>
      <c r="X212">
        <f ca="1">Inputs!E15+(Inputs!G15-Inputs!E15)*BETAINV(RAND(),Model!J9,Model!K9)</f>
        <v>0.4250155041337329</v>
      </c>
      <c r="Y212">
        <f ca="1">(Inputs!H15+(Inputs!J15-Inputs!H15)*BETAINV(RAND(),Model!L9,Model!M9))*Inputs!$C$6</f>
        <v>71826.781921891787</v>
      </c>
      <c r="Z212">
        <f t="shared" ca="1" si="75"/>
        <v>0.24565158537565249</v>
      </c>
      <c r="AA212">
        <f t="shared" ca="1" si="76"/>
        <v>0.65642090943972986</v>
      </c>
      <c r="AB212">
        <f t="shared" ca="1" si="77"/>
        <v>0</v>
      </c>
      <c r="AC212" s="47">
        <f t="shared" ca="1" si="78"/>
        <v>0</v>
      </c>
      <c r="AD212">
        <f ca="1">Inputs!B16+(Inputs!D16-Inputs!B16)*BETAINV(RAND(),Model!H10,Model!I10)</f>
        <v>0.29901772588161091</v>
      </c>
      <c r="AE212">
        <f ca="1">Inputs!E16+(Inputs!G16-Inputs!E16)*BETAINV(RAND(),Model!J10,Model!K10)</f>
        <v>0.68286168423515081</v>
      </c>
      <c r="AF212">
        <f ca="1">(Inputs!H16+(Inputs!J16-Inputs!H16)*BETAINV(RAND(),Model!L10,Model!M10))*Inputs!$C$6</f>
        <v>85512.161282534085</v>
      </c>
      <c r="AG212">
        <f t="shared" ca="1" si="79"/>
        <v>0.20418774791168148</v>
      </c>
      <c r="AH212">
        <f t="shared" ca="1" si="80"/>
        <v>0.34332548369238303</v>
      </c>
      <c r="AI212">
        <f t="shared" ca="1" si="81"/>
        <v>0</v>
      </c>
      <c r="AJ212" s="47">
        <f t="shared" ca="1" si="82"/>
        <v>0</v>
      </c>
      <c r="AK212">
        <f t="shared" ca="1" si="83"/>
        <v>109317.80720113889</v>
      </c>
    </row>
    <row r="213" spans="2:37" x14ac:dyDescent="0.2">
      <c r="B213">
        <f ca="1">Inputs!B12+(Inputs!D12-Inputs!B12)*BETAINV(RAND(),Model!H6,Model!I6)</f>
        <v>3.4630180086240476</v>
      </c>
      <c r="C213">
        <f ca="1">Inputs!E12+(Inputs!G12-Inputs!E12)*BETAINV(RAND(),Model!J6,Model!K6)</f>
        <v>0.24015926735142795</v>
      </c>
      <c r="D213">
        <f ca="1">(Inputs!H12+(Inputs!J12-Inputs!H12)*BETAINV(RAND(),Model!L6,Model!M6))*Inputs!$C$6</f>
        <v>36750.846546367589</v>
      </c>
      <c r="E213">
        <f t="shared" ca="1" si="63"/>
        <v>0.83167586777595226</v>
      </c>
      <c r="F213">
        <f t="shared" ca="1" si="64"/>
        <v>0.12963108703428083</v>
      </c>
      <c r="G213">
        <f t="shared" ca="1" si="65"/>
        <v>0</v>
      </c>
      <c r="H213" s="47">
        <f t="shared" ca="1" si="66"/>
        <v>0</v>
      </c>
      <c r="I213">
        <f ca="1">Inputs!B13+(Inputs!D13-Inputs!B13)*BETAINV(RAND(),Model!H7,Model!I7)</f>
        <v>1.8738970255743754</v>
      </c>
      <c r="J213">
        <f ca="1">Inputs!E13+(Inputs!G13-Inputs!E13)*BETAINV(RAND(),Model!J7,Model!K7)</f>
        <v>0.18555453186025334</v>
      </c>
      <c r="K213">
        <f ca="1">(Inputs!H13+(Inputs!J13-Inputs!H13)*BETAINV(RAND(),Model!L7,Model!M7))*Inputs!$C$6</f>
        <v>33381.887692035074</v>
      </c>
      <c r="L213">
        <f t="shared" ca="1" si="67"/>
        <v>0.34771008533477443</v>
      </c>
      <c r="M213">
        <f t="shared" ca="1" si="68"/>
        <v>0.60800340041431045</v>
      </c>
      <c r="N213">
        <f t="shared" ca="1" si="69"/>
        <v>0</v>
      </c>
      <c r="O213" s="47">
        <f t="shared" ca="1" si="70"/>
        <v>0</v>
      </c>
      <c r="P213">
        <f ca="1">Inputs!B14+(Inputs!D14-Inputs!B14)*BETAINV(RAND(),Model!H8,Model!I8)</f>
        <v>0.44113150986604721</v>
      </c>
      <c r="Q213">
        <f ca="1">Inputs!E14+(Inputs!G14-Inputs!E14)*BETAINV(RAND(),Model!J8,Model!K8)</f>
        <v>0.61590276389207799</v>
      </c>
      <c r="R213">
        <f ca="1">(Inputs!H14+(Inputs!J14-Inputs!H14)*BETAINV(RAND(),Model!L8,Model!M8))*Inputs!$C$6</f>
        <v>401750.58833409671</v>
      </c>
      <c r="S213">
        <f t="shared" ca="1" si="71"/>
        <v>0.27169411616638395</v>
      </c>
      <c r="T213">
        <f t="shared" ca="1" si="72"/>
        <v>0.71450831125823655</v>
      </c>
      <c r="U213">
        <f t="shared" ca="1" si="73"/>
        <v>0</v>
      </c>
      <c r="V213" s="47">
        <f t="shared" ca="1" si="74"/>
        <v>0</v>
      </c>
      <c r="W213">
        <f ca="1">Inputs!B15+(Inputs!D15-Inputs!B15)*BETAINV(RAND(),Model!H9,Model!I9)</f>
        <v>1.0663392724558856</v>
      </c>
      <c r="X213">
        <f ca="1">Inputs!E15+(Inputs!G15-Inputs!E15)*BETAINV(RAND(),Model!J9,Model!K9)</f>
        <v>0.38715879836357486</v>
      </c>
      <c r="Y213">
        <f ca="1">(Inputs!H15+(Inputs!J15-Inputs!H15)*BETAINV(RAND(),Model!L9,Model!M9))*Inputs!$C$6</f>
        <v>60576.057641684893</v>
      </c>
      <c r="Z213">
        <f t="shared" ca="1" si="75"/>
        <v>0.4128426313719093</v>
      </c>
      <c r="AA213">
        <f t="shared" ca="1" si="76"/>
        <v>0.62597597578496167</v>
      </c>
      <c r="AB213">
        <f t="shared" ca="1" si="77"/>
        <v>0</v>
      </c>
      <c r="AC213" s="47">
        <f t="shared" ca="1" si="78"/>
        <v>0</v>
      </c>
      <c r="AD213">
        <f ca="1">Inputs!B16+(Inputs!D16-Inputs!B16)*BETAINV(RAND(),Model!H10,Model!I10)</f>
        <v>0.68229078781043273</v>
      </c>
      <c r="AE213">
        <f ca="1">Inputs!E16+(Inputs!G16-Inputs!E16)*BETAINV(RAND(),Model!J10,Model!K10)</f>
        <v>0.58003710338632264</v>
      </c>
      <c r="AF213">
        <f ca="1">(Inputs!H16+(Inputs!J16-Inputs!H16)*BETAINV(RAND(),Model!L10,Model!M10))*Inputs!$C$6</f>
        <v>84390.604244787915</v>
      </c>
      <c r="AG213">
        <f t="shared" ca="1" si="79"/>
        <v>0.39575397222873548</v>
      </c>
      <c r="AH213">
        <f t="shared" ca="1" si="80"/>
        <v>0.78055971390808288</v>
      </c>
      <c r="AI213">
        <f t="shared" ca="1" si="81"/>
        <v>1</v>
      </c>
      <c r="AJ213" s="47">
        <f t="shared" ca="1" si="82"/>
        <v>84390.604244787915</v>
      </c>
      <c r="AK213">
        <f t="shared" ca="1" si="83"/>
        <v>84390.604244787915</v>
      </c>
    </row>
    <row r="214" spans="2:37" x14ac:dyDescent="0.2">
      <c r="B214">
        <f ca="1">Inputs!B12+(Inputs!D12-Inputs!B12)*BETAINV(RAND(),Model!H6,Model!I6)</f>
        <v>2.9590058714364704</v>
      </c>
      <c r="C214">
        <f ca="1">Inputs!E12+(Inputs!G12-Inputs!E12)*BETAINV(RAND(),Model!J6,Model!K6)</f>
        <v>0.28577986454771998</v>
      </c>
      <c r="D214">
        <f ca="1">(Inputs!H12+(Inputs!J12-Inputs!H12)*BETAINV(RAND(),Model!L6,Model!M6))*Inputs!$C$6</f>
        <v>17772.565891362712</v>
      </c>
      <c r="E214">
        <f t="shared" ca="1" si="63"/>
        <v>0.84562429713502263</v>
      </c>
      <c r="F214">
        <f t="shared" ca="1" si="64"/>
        <v>0.54411519115864226</v>
      </c>
      <c r="G214">
        <f t="shared" ca="1" si="65"/>
        <v>1</v>
      </c>
      <c r="H214" s="47">
        <f t="shared" ca="1" si="66"/>
        <v>17772.565891362712</v>
      </c>
      <c r="I214">
        <f ca="1">Inputs!B13+(Inputs!D13-Inputs!B13)*BETAINV(RAND(),Model!H7,Model!I7)</f>
        <v>1.2449900262245253</v>
      </c>
      <c r="J214">
        <f ca="1">Inputs!E13+(Inputs!G13-Inputs!E13)*BETAINV(RAND(),Model!J7,Model!K7)</f>
        <v>0.30637427719181953</v>
      </c>
      <c r="K214">
        <f ca="1">(Inputs!H13+(Inputs!J13-Inputs!H13)*BETAINV(RAND(),Model!L7,Model!M7))*Inputs!$C$6</f>
        <v>38871.038502999021</v>
      </c>
      <c r="L214">
        <f t="shared" ca="1" si="67"/>
        <v>0.3814329193955634</v>
      </c>
      <c r="M214">
        <f t="shared" ca="1" si="68"/>
        <v>0.46801602846176527</v>
      </c>
      <c r="N214">
        <f t="shared" ca="1" si="69"/>
        <v>0</v>
      </c>
      <c r="O214" s="47">
        <f t="shared" ca="1" si="70"/>
        <v>0</v>
      </c>
      <c r="P214">
        <f ca="1">Inputs!B14+(Inputs!D14-Inputs!B14)*BETAINV(RAND(),Model!H8,Model!I8)</f>
        <v>0.11431906455407302</v>
      </c>
      <c r="Q214">
        <f ca="1">Inputs!E14+(Inputs!G14-Inputs!E14)*BETAINV(RAND(),Model!J8,Model!K8)</f>
        <v>0.78343294515828865</v>
      </c>
      <c r="R214">
        <f ca="1">(Inputs!H14+(Inputs!J14-Inputs!H14)*BETAINV(RAND(),Model!L8,Model!M8))*Inputs!$C$6</f>
        <v>359936.64287473669</v>
      </c>
      <c r="S214">
        <f t="shared" ca="1" si="71"/>
        <v>8.9561321431337951E-2</v>
      </c>
      <c r="T214">
        <f t="shared" ca="1" si="72"/>
        <v>0.98313566344730974</v>
      </c>
      <c r="U214">
        <f t="shared" ca="1" si="73"/>
        <v>1</v>
      </c>
      <c r="V214" s="47">
        <f t="shared" ca="1" si="74"/>
        <v>359936.64287473669</v>
      </c>
      <c r="W214">
        <f ca="1">Inputs!B15+(Inputs!D15-Inputs!B15)*BETAINV(RAND(),Model!H9,Model!I9)</f>
        <v>1.3722744714650006</v>
      </c>
      <c r="X214">
        <f ca="1">Inputs!E15+(Inputs!G15-Inputs!E15)*BETAINV(RAND(),Model!J9,Model!K9)</f>
        <v>0.321854029999456</v>
      </c>
      <c r="Y214">
        <f ca="1">(Inputs!H15+(Inputs!J15-Inputs!H15)*BETAINV(RAND(),Model!L9,Model!M9))*Inputs!$C$6</f>
        <v>36677.316678861724</v>
      </c>
      <c r="Z214">
        <f t="shared" ca="1" si="75"/>
        <v>0.44167206890638394</v>
      </c>
      <c r="AA214">
        <f t="shared" ca="1" si="76"/>
        <v>0.14750637490845042</v>
      </c>
      <c r="AB214">
        <f t="shared" ca="1" si="77"/>
        <v>0</v>
      </c>
      <c r="AC214" s="47">
        <f t="shared" ca="1" si="78"/>
        <v>0</v>
      </c>
      <c r="AD214">
        <f ca="1">Inputs!B16+(Inputs!D16-Inputs!B16)*BETAINV(RAND(),Model!H10,Model!I10)</f>
        <v>0.59878588717728887</v>
      </c>
      <c r="AE214">
        <f ca="1">Inputs!E16+(Inputs!G16-Inputs!E16)*BETAINV(RAND(),Model!J10,Model!K10)</f>
        <v>0.6764852792340964</v>
      </c>
      <c r="AF214">
        <f ca="1">(Inputs!H16+(Inputs!J16-Inputs!H16)*BETAINV(RAND(),Model!L10,Model!M10))*Inputs!$C$6</f>
        <v>96064.589188417667</v>
      </c>
      <c r="AG214">
        <f t="shared" ca="1" si="79"/>
        <v>0.40506983808856439</v>
      </c>
      <c r="AH214">
        <f t="shared" ca="1" si="80"/>
        <v>0.45634041791492819</v>
      </c>
      <c r="AI214">
        <f t="shared" ca="1" si="81"/>
        <v>0</v>
      </c>
      <c r="AJ214" s="47">
        <f t="shared" ca="1" si="82"/>
        <v>0</v>
      </c>
      <c r="AK214">
        <f t="shared" ca="1" si="83"/>
        <v>377709.20876609941</v>
      </c>
    </row>
    <row r="215" spans="2:37" x14ac:dyDescent="0.2">
      <c r="B215">
        <f ca="1">Inputs!B12+(Inputs!D12-Inputs!B12)*BETAINV(RAND(),Model!H6,Model!I6)</f>
        <v>2.8851104116252704</v>
      </c>
      <c r="C215">
        <f ca="1">Inputs!E12+(Inputs!G12-Inputs!E12)*BETAINV(RAND(),Model!J6,Model!K6)</f>
        <v>0.26392223269209197</v>
      </c>
      <c r="D215">
        <f ca="1">(Inputs!H12+(Inputs!J12-Inputs!H12)*BETAINV(RAND(),Model!L6,Model!M6))*Inputs!$C$6</f>
        <v>20289.436813972708</v>
      </c>
      <c r="E215">
        <f t="shared" ca="1" si="63"/>
        <v>0.76144478139934191</v>
      </c>
      <c r="F215">
        <f t="shared" ca="1" si="64"/>
        <v>0.41652500267809123</v>
      </c>
      <c r="G215">
        <f t="shared" ca="1" si="65"/>
        <v>0</v>
      </c>
      <c r="H215" s="47">
        <f t="shared" ca="1" si="66"/>
        <v>0</v>
      </c>
      <c r="I215">
        <f ca="1">Inputs!B13+(Inputs!D13-Inputs!B13)*BETAINV(RAND(),Model!H7,Model!I7)</f>
        <v>3.103644981864961</v>
      </c>
      <c r="J215">
        <f ca="1">Inputs!E13+(Inputs!G13-Inputs!E13)*BETAINV(RAND(),Model!J7,Model!K7)</f>
        <v>0.3155210918699336</v>
      </c>
      <c r="K215">
        <f ca="1">(Inputs!H13+(Inputs!J13-Inputs!H13)*BETAINV(RAND(),Model!L7,Model!M7))*Inputs!$C$6</f>
        <v>28467.208759650679</v>
      </c>
      <c r="L215">
        <f t="shared" ca="1" si="67"/>
        <v>0.97926545345467275</v>
      </c>
      <c r="M215">
        <f t="shared" ca="1" si="68"/>
        <v>0.42894313137601647</v>
      </c>
      <c r="N215">
        <f t="shared" ca="1" si="69"/>
        <v>1</v>
      </c>
      <c r="O215" s="47">
        <f t="shared" ca="1" si="70"/>
        <v>28467.208759650679</v>
      </c>
      <c r="P215">
        <f ca="1">Inputs!B14+(Inputs!D14-Inputs!B14)*BETAINV(RAND(),Model!H8,Model!I8)</f>
        <v>0.44529264299015447</v>
      </c>
      <c r="Q215">
        <f ca="1">Inputs!E14+(Inputs!G14-Inputs!E14)*BETAINV(RAND(),Model!J8,Model!K8)</f>
        <v>0.47091185649101241</v>
      </c>
      <c r="R215">
        <f ca="1">(Inputs!H14+(Inputs!J14-Inputs!H14)*BETAINV(RAND(),Model!L8,Model!M8))*Inputs!$C$6</f>
        <v>229803.58351329595</v>
      </c>
      <c r="S215">
        <f t="shared" ca="1" si="71"/>
        <v>0.20969358519228326</v>
      </c>
      <c r="T215">
        <f t="shared" ca="1" si="72"/>
        <v>0.15196859880437807</v>
      </c>
      <c r="U215">
        <f t="shared" ca="1" si="73"/>
        <v>0</v>
      </c>
      <c r="V215" s="47">
        <f t="shared" ca="1" si="74"/>
        <v>0</v>
      </c>
      <c r="W215">
        <f ca="1">Inputs!B15+(Inputs!D15-Inputs!B15)*BETAINV(RAND(),Model!H9,Model!I9)</f>
        <v>1.3043289357630987</v>
      </c>
      <c r="X215">
        <f ca="1">Inputs!E15+(Inputs!G15-Inputs!E15)*BETAINV(RAND(),Model!J9,Model!K9)</f>
        <v>0.57028173400278459</v>
      </c>
      <c r="Y215">
        <f ca="1">(Inputs!H15+(Inputs!J15-Inputs!H15)*BETAINV(RAND(),Model!L9,Model!M9))*Inputs!$C$6</f>
        <v>15968.178551375562</v>
      </c>
      <c r="Z215">
        <f t="shared" ca="1" si="75"/>
        <v>0.74383496719698661</v>
      </c>
      <c r="AA215">
        <f t="shared" ca="1" si="76"/>
        <v>0.19590116344820574</v>
      </c>
      <c r="AB215">
        <f t="shared" ca="1" si="77"/>
        <v>0</v>
      </c>
      <c r="AC215" s="47">
        <f t="shared" ca="1" si="78"/>
        <v>0</v>
      </c>
      <c r="AD215">
        <f ca="1">Inputs!B16+(Inputs!D16-Inputs!B16)*BETAINV(RAND(),Model!H10,Model!I10)</f>
        <v>0.58494567740940895</v>
      </c>
      <c r="AE215">
        <f ca="1">Inputs!E16+(Inputs!G16-Inputs!E16)*BETAINV(RAND(),Model!J10,Model!K10)</f>
        <v>0.55671521819784264</v>
      </c>
      <c r="AF215">
        <f ca="1">(Inputs!H16+(Inputs!J16-Inputs!H16)*BETAINV(RAND(),Model!L10,Model!M10))*Inputs!$C$6</f>
        <v>105965.79670779343</v>
      </c>
      <c r="AG215">
        <f t="shared" ca="1" si="79"/>
        <v>0.32564816043286399</v>
      </c>
      <c r="AH215">
        <f t="shared" ca="1" si="80"/>
        <v>0.17834389813738394</v>
      </c>
      <c r="AI215">
        <f t="shared" ca="1" si="81"/>
        <v>0</v>
      </c>
      <c r="AJ215" s="47">
        <f t="shared" ca="1" si="82"/>
        <v>0</v>
      </c>
      <c r="AK215">
        <f t="shared" ca="1" si="83"/>
        <v>28467.208759650679</v>
      </c>
    </row>
    <row r="216" spans="2:37" x14ac:dyDescent="0.2">
      <c r="B216">
        <f ca="1">Inputs!B12+(Inputs!D12-Inputs!B12)*BETAINV(RAND(),Model!H6,Model!I6)</f>
        <v>1.8643578169823747</v>
      </c>
      <c r="C216">
        <f ca="1">Inputs!E12+(Inputs!G12-Inputs!E12)*BETAINV(RAND(),Model!J6,Model!K6)</f>
        <v>0.3266503775219568</v>
      </c>
      <c r="D216">
        <f ca="1">(Inputs!H12+(Inputs!J12-Inputs!H12)*BETAINV(RAND(),Model!L6,Model!M6))*Inputs!$C$6</f>
        <v>18773.116707960242</v>
      </c>
      <c r="E216">
        <f t="shared" ca="1" si="63"/>
        <v>0.60899318475330388</v>
      </c>
      <c r="F216">
        <f t="shared" ca="1" si="64"/>
        <v>0.5341291875779911</v>
      </c>
      <c r="G216">
        <f t="shared" ca="1" si="65"/>
        <v>0</v>
      </c>
      <c r="H216" s="47">
        <f t="shared" ca="1" si="66"/>
        <v>0</v>
      </c>
      <c r="I216">
        <f ca="1">Inputs!B13+(Inputs!D13-Inputs!B13)*BETAINV(RAND(),Model!H7,Model!I7)</f>
        <v>2.5821408509738015</v>
      </c>
      <c r="J216">
        <f ca="1">Inputs!E13+(Inputs!G13-Inputs!E13)*BETAINV(RAND(),Model!J7,Model!K7)</f>
        <v>0.2912461287840778</v>
      </c>
      <c r="K216">
        <f ca="1">(Inputs!H13+(Inputs!J13-Inputs!H13)*BETAINV(RAND(),Model!L7,Model!M7))*Inputs!$C$6</f>
        <v>27606.614101265248</v>
      </c>
      <c r="L216">
        <f t="shared" ca="1" si="67"/>
        <v>0.75203852682134398</v>
      </c>
      <c r="M216">
        <f t="shared" ca="1" si="68"/>
        <v>0.46817593502594956</v>
      </c>
      <c r="N216">
        <f t="shared" ca="1" si="69"/>
        <v>0</v>
      </c>
      <c r="O216" s="47">
        <f t="shared" ca="1" si="70"/>
        <v>0</v>
      </c>
      <c r="P216">
        <f ca="1">Inputs!B14+(Inputs!D14-Inputs!B14)*BETAINV(RAND(),Model!H8,Model!I8)</f>
        <v>0.28711889834522858</v>
      </c>
      <c r="Q216">
        <f ca="1">Inputs!E14+(Inputs!G14-Inputs!E14)*BETAINV(RAND(),Model!J8,Model!K8)</f>
        <v>0.76848699042897328</v>
      </c>
      <c r="R216">
        <f ca="1">(Inputs!H14+(Inputs!J14-Inputs!H14)*BETAINV(RAND(),Model!L8,Model!M8))*Inputs!$C$6</f>
        <v>347218.68912792118</v>
      </c>
      <c r="S216">
        <f t="shared" ca="1" si="71"/>
        <v>0.22064713808460704</v>
      </c>
      <c r="T216">
        <f t="shared" ca="1" si="72"/>
        <v>0.7892187360360049</v>
      </c>
      <c r="U216">
        <f t="shared" ca="1" si="73"/>
        <v>0</v>
      </c>
      <c r="V216" s="47">
        <f t="shared" ca="1" si="74"/>
        <v>0</v>
      </c>
      <c r="W216">
        <f ca="1">Inputs!B15+(Inputs!D15-Inputs!B15)*BETAINV(RAND(),Model!H9,Model!I9)</f>
        <v>1.323410082543502</v>
      </c>
      <c r="X216">
        <f ca="1">Inputs!E15+(Inputs!G15-Inputs!E15)*BETAINV(RAND(),Model!J9,Model!K9)</f>
        <v>0.29948492694357259</v>
      </c>
      <c r="Y216">
        <f ca="1">(Inputs!H15+(Inputs!J15-Inputs!H15)*BETAINV(RAND(),Model!L9,Model!M9))*Inputs!$C$6</f>
        <v>26828.614501702104</v>
      </c>
      <c r="Z216">
        <f t="shared" ca="1" si="75"/>
        <v>0.39634137188692808</v>
      </c>
      <c r="AA216">
        <f t="shared" ca="1" si="76"/>
        <v>0.6400257905133081</v>
      </c>
      <c r="AB216">
        <f t="shared" ca="1" si="77"/>
        <v>0</v>
      </c>
      <c r="AC216" s="47">
        <f t="shared" ca="1" si="78"/>
        <v>0</v>
      </c>
      <c r="AD216">
        <f ca="1">Inputs!B16+(Inputs!D16-Inputs!B16)*BETAINV(RAND(),Model!H10,Model!I10)</f>
        <v>0.6062235342630925</v>
      </c>
      <c r="AE216">
        <f ca="1">Inputs!E16+(Inputs!G16-Inputs!E16)*BETAINV(RAND(),Model!J10,Model!K10)</f>
        <v>0.52188654048756744</v>
      </c>
      <c r="AF216">
        <f ca="1">(Inputs!H16+(Inputs!J16-Inputs!H16)*BETAINV(RAND(),Model!L10,Model!M10))*Inputs!$C$6</f>
        <v>117483.74022527493</v>
      </c>
      <c r="AG216">
        <f t="shared" ca="1" si="79"/>
        <v>0.31637990305871166</v>
      </c>
      <c r="AH216">
        <f t="shared" ca="1" si="80"/>
        <v>0.28805561904544952</v>
      </c>
      <c r="AI216">
        <f t="shared" ca="1" si="81"/>
        <v>0</v>
      </c>
      <c r="AJ216" s="47">
        <f t="shared" ca="1" si="82"/>
        <v>0</v>
      </c>
      <c r="AK216">
        <f t="shared" ca="1" si="83"/>
        <v>0</v>
      </c>
    </row>
    <row r="217" spans="2:37" x14ac:dyDescent="0.2">
      <c r="B217">
        <f ca="1">Inputs!B12+(Inputs!D12-Inputs!B12)*BETAINV(RAND(),Model!H6,Model!I6)</f>
        <v>1.7165565261816325</v>
      </c>
      <c r="C217">
        <f ca="1">Inputs!E12+(Inputs!G12-Inputs!E12)*BETAINV(RAND(),Model!J6,Model!K6)</f>
        <v>0.40019298617959653</v>
      </c>
      <c r="D217">
        <f ca="1">(Inputs!H12+(Inputs!J12-Inputs!H12)*BETAINV(RAND(),Model!L6,Model!M6))*Inputs!$C$6</f>
        <v>20633.442837212089</v>
      </c>
      <c r="E217">
        <f t="shared" ca="1" si="63"/>
        <v>0.68695388215870223</v>
      </c>
      <c r="F217">
        <f t="shared" ca="1" si="64"/>
        <v>0.64007150019792358</v>
      </c>
      <c r="G217">
        <f t="shared" ca="1" si="65"/>
        <v>1</v>
      </c>
      <c r="H217" s="47">
        <f t="shared" ca="1" si="66"/>
        <v>20633.442837212089</v>
      </c>
      <c r="I217">
        <f ca="1">Inputs!B13+(Inputs!D13-Inputs!B13)*BETAINV(RAND(),Model!H7,Model!I7)</f>
        <v>2.1819615511090733</v>
      </c>
      <c r="J217">
        <f ca="1">Inputs!E13+(Inputs!G13-Inputs!E13)*BETAINV(RAND(),Model!J7,Model!K7)</f>
        <v>0.25133301705036826</v>
      </c>
      <c r="K217">
        <f ca="1">(Inputs!H13+(Inputs!J13-Inputs!H13)*BETAINV(RAND(),Model!L7,Model!M7))*Inputs!$C$6</f>
        <v>28286.071823105169</v>
      </c>
      <c r="L217">
        <f t="shared" ca="1" si="67"/>
        <v>0.54839897972814466</v>
      </c>
      <c r="M217">
        <f t="shared" ca="1" si="68"/>
        <v>0.60110392890915687</v>
      </c>
      <c r="N217">
        <f t="shared" ca="1" si="69"/>
        <v>1</v>
      </c>
      <c r="O217" s="47">
        <f t="shared" ca="1" si="70"/>
        <v>28286.071823105169</v>
      </c>
      <c r="P217">
        <f ca="1">Inputs!B14+(Inputs!D14-Inputs!B14)*BETAINV(RAND(),Model!H8,Model!I8)</f>
        <v>0.55099329428475152</v>
      </c>
      <c r="Q217">
        <f ca="1">Inputs!E14+(Inputs!G14-Inputs!E14)*BETAINV(RAND(),Model!J8,Model!K8)</f>
        <v>0.68822982182174863</v>
      </c>
      <c r="R217">
        <f ca="1">(Inputs!H14+(Inputs!J14-Inputs!H14)*BETAINV(RAND(),Model!L8,Model!M8))*Inputs!$C$6</f>
        <v>394351.87713468488</v>
      </c>
      <c r="S217">
        <f t="shared" ca="1" si="71"/>
        <v>0.37921001675057286</v>
      </c>
      <c r="T217">
        <f t="shared" ca="1" si="72"/>
        <v>0.36350513335520829</v>
      </c>
      <c r="U217">
        <f t="shared" ca="1" si="73"/>
        <v>0</v>
      </c>
      <c r="V217" s="47">
        <f t="shared" ca="1" si="74"/>
        <v>0</v>
      </c>
      <c r="W217">
        <f ca="1">Inputs!B15+(Inputs!D15-Inputs!B15)*BETAINV(RAND(),Model!H9,Model!I9)</f>
        <v>0.7116932146297883</v>
      </c>
      <c r="X217">
        <f ca="1">Inputs!E15+(Inputs!G15-Inputs!E15)*BETAINV(RAND(),Model!J9,Model!K9)</f>
        <v>0.42018686924097615</v>
      </c>
      <c r="Y217">
        <f ca="1">(Inputs!H15+(Inputs!J15-Inputs!H15)*BETAINV(RAND(),Model!L9,Model!M9))*Inputs!$C$6</f>
        <v>33637.783134493759</v>
      </c>
      <c r="Z217">
        <f t="shared" ca="1" si="75"/>
        <v>0.29904414371533683</v>
      </c>
      <c r="AA217">
        <f t="shared" ca="1" si="76"/>
        <v>0.88191022263228092</v>
      </c>
      <c r="AB217">
        <f t="shared" ca="1" si="77"/>
        <v>1</v>
      </c>
      <c r="AC217" s="47">
        <f t="shared" ca="1" si="78"/>
        <v>33637.783134493759</v>
      </c>
      <c r="AD217">
        <f ca="1">Inputs!B16+(Inputs!D16-Inputs!B16)*BETAINV(RAND(),Model!H10,Model!I10)</f>
        <v>0.56706300229600637</v>
      </c>
      <c r="AE217">
        <f ca="1">Inputs!E16+(Inputs!G16-Inputs!E16)*BETAINV(RAND(),Model!J10,Model!K10)</f>
        <v>0.70210099764518374</v>
      </c>
      <c r="AF217">
        <f ca="1">(Inputs!H16+(Inputs!J16-Inputs!H16)*BETAINV(RAND(),Model!L10,Model!M10))*Inputs!$C$6</f>
        <v>52758.695107622756</v>
      </c>
      <c r="AG217">
        <f t="shared" ca="1" si="79"/>
        <v>0.39813549963969919</v>
      </c>
      <c r="AH217">
        <f t="shared" ca="1" si="80"/>
        <v>0.93839351978660546</v>
      </c>
      <c r="AI217">
        <f t="shared" ca="1" si="81"/>
        <v>1</v>
      </c>
      <c r="AJ217" s="47">
        <f t="shared" ca="1" si="82"/>
        <v>52758.695107622756</v>
      </c>
      <c r="AK217">
        <f t="shared" ca="1" si="83"/>
        <v>135315.99290243379</v>
      </c>
    </row>
    <row r="218" spans="2:37" x14ac:dyDescent="0.2">
      <c r="B218">
        <f ca="1">Inputs!B12+(Inputs!D12-Inputs!B12)*BETAINV(RAND(),Model!H6,Model!I6)</f>
        <v>2.609469204111698</v>
      </c>
      <c r="C218">
        <f ca="1">Inputs!E12+(Inputs!G12-Inputs!E12)*BETAINV(RAND(),Model!J6,Model!K6)</f>
        <v>0.42693074985901658</v>
      </c>
      <c r="D218">
        <f ca="1">(Inputs!H12+(Inputs!J12-Inputs!H12)*BETAINV(RAND(),Model!L6,Model!M6))*Inputs!$C$6</f>
        <v>27834.038202502146</v>
      </c>
      <c r="E218">
        <f t="shared" ca="1" si="63"/>
        <v>1.1140626440454184</v>
      </c>
      <c r="F218">
        <f t="shared" ca="1" si="64"/>
        <v>0.5043535701054559</v>
      </c>
      <c r="G218">
        <f t="shared" ca="1" si="65"/>
        <v>1</v>
      </c>
      <c r="H218" s="47">
        <f t="shared" ca="1" si="66"/>
        <v>27834.038202502146</v>
      </c>
      <c r="I218">
        <f ca="1">Inputs!B13+(Inputs!D13-Inputs!B13)*BETAINV(RAND(),Model!H7,Model!I7)</f>
        <v>2.8531664653484787</v>
      </c>
      <c r="J218">
        <f ca="1">Inputs!E13+(Inputs!G13-Inputs!E13)*BETAINV(RAND(),Model!J7,Model!K7)</f>
        <v>0.2060144605330011</v>
      </c>
      <c r="K218">
        <f ca="1">(Inputs!H13+(Inputs!J13-Inputs!H13)*BETAINV(RAND(),Model!L7,Model!M7))*Inputs!$C$6</f>
        <v>29045.035441770386</v>
      </c>
      <c r="L218">
        <f t="shared" ca="1" si="67"/>
        <v>0.58779355016961643</v>
      </c>
      <c r="M218">
        <f t="shared" ca="1" si="68"/>
        <v>0.69863342839706943</v>
      </c>
      <c r="N218">
        <f t="shared" ca="1" si="69"/>
        <v>1</v>
      </c>
      <c r="O218" s="47">
        <f t="shared" ca="1" si="70"/>
        <v>29045.035441770386</v>
      </c>
      <c r="P218">
        <f ca="1">Inputs!B14+(Inputs!D14-Inputs!B14)*BETAINV(RAND(),Model!H8,Model!I8)</f>
        <v>0.2253514640128059</v>
      </c>
      <c r="Q218">
        <f ca="1">Inputs!E14+(Inputs!G14-Inputs!E14)*BETAINV(RAND(),Model!J8,Model!K8)</f>
        <v>0.61967956584549511</v>
      </c>
      <c r="R218">
        <f ca="1">(Inputs!H14+(Inputs!J14-Inputs!H14)*BETAINV(RAND(),Model!L8,Model!M8))*Inputs!$C$6</f>
        <v>341230.67091676081</v>
      </c>
      <c r="S218">
        <f t="shared" ca="1" si="71"/>
        <v>0.13964569738210228</v>
      </c>
      <c r="T218">
        <f t="shared" ca="1" si="72"/>
        <v>0.61358403749341561</v>
      </c>
      <c r="U218">
        <f t="shared" ca="1" si="73"/>
        <v>0</v>
      </c>
      <c r="V218" s="47">
        <f t="shared" ca="1" si="74"/>
        <v>0</v>
      </c>
      <c r="W218">
        <f ca="1">Inputs!B15+(Inputs!D15-Inputs!B15)*BETAINV(RAND(),Model!H9,Model!I9)</f>
        <v>0.80060553243465149</v>
      </c>
      <c r="X218">
        <f ca="1">Inputs!E15+(Inputs!G15-Inputs!E15)*BETAINV(RAND(),Model!J9,Model!K9)</f>
        <v>0.5582427146043486</v>
      </c>
      <c r="Y218">
        <f ca="1">(Inputs!H15+(Inputs!J15-Inputs!H15)*BETAINV(RAND(),Model!L9,Model!M9))*Inputs!$C$6</f>
        <v>65059.346837241865</v>
      </c>
      <c r="Z218">
        <f t="shared" ca="1" si="75"/>
        <v>0.44693220575357973</v>
      </c>
      <c r="AA218">
        <f t="shared" ca="1" si="76"/>
        <v>0.34503827216029892</v>
      </c>
      <c r="AB218">
        <f t="shared" ca="1" si="77"/>
        <v>0</v>
      </c>
      <c r="AC218" s="47">
        <f t="shared" ca="1" si="78"/>
        <v>0</v>
      </c>
      <c r="AD218">
        <f ca="1">Inputs!B16+(Inputs!D16-Inputs!B16)*BETAINV(RAND(),Model!H10,Model!I10)</f>
        <v>1.028093690417591</v>
      </c>
      <c r="AE218">
        <f ca="1">Inputs!E16+(Inputs!G16-Inputs!E16)*BETAINV(RAND(),Model!J10,Model!K10)</f>
        <v>0.48297667680991124</v>
      </c>
      <c r="AF218">
        <f ca="1">(Inputs!H16+(Inputs!J16-Inputs!H16)*BETAINV(RAND(),Model!L10,Model!M10))*Inputs!$C$6</f>
        <v>96323.642944801628</v>
      </c>
      <c r="AG218">
        <f t="shared" ca="1" si="79"/>
        <v>0.49654527404712578</v>
      </c>
      <c r="AH218">
        <f t="shared" ca="1" si="80"/>
        <v>0.68416155343417939</v>
      </c>
      <c r="AI218">
        <f t="shared" ca="1" si="81"/>
        <v>1</v>
      </c>
      <c r="AJ218" s="47">
        <f t="shared" ca="1" si="82"/>
        <v>96323.642944801628</v>
      </c>
      <c r="AK218">
        <f t="shared" ca="1" si="83"/>
        <v>153202.71658907417</v>
      </c>
    </row>
    <row r="219" spans="2:37" x14ac:dyDescent="0.2">
      <c r="B219">
        <f ca="1">Inputs!B12+(Inputs!D12-Inputs!B12)*BETAINV(RAND(),Model!H6,Model!I6)</f>
        <v>4.6886661240725891</v>
      </c>
      <c r="C219">
        <f ca="1">Inputs!E12+(Inputs!G12-Inputs!E12)*BETAINV(RAND(),Model!J6,Model!K6)</f>
        <v>0.4033047271651603</v>
      </c>
      <c r="D219">
        <f ca="1">(Inputs!H12+(Inputs!J12-Inputs!H12)*BETAINV(RAND(),Model!L6,Model!M6))*Inputs!$C$6</f>
        <v>48799.51812499162</v>
      </c>
      <c r="E219">
        <f t="shared" ca="1" si="63"/>
        <v>1.8909612119376251</v>
      </c>
      <c r="F219">
        <f t="shared" ca="1" si="64"/>
        <v>0.96618495732594234</v>
      </c>
      <c r="G219">
        <f t="shared" ca="1" si="65"/>
        <v>4</v>
      </c>
      <c r="H219" s="47">
        <f t="shared" ca="1" si="66"/>
        <v>195198.07249996648</v>
      </c>
      <c r="I219">
        <f ca="1">Inputs!B13+(Inputs!D13-Inputs!B13)*BETAINV(RAND(),Model!H7,Model!I7)</f>
        <v>2.5536226103005109</v>
      </c>
      <c r="J219">
        <f ca="1">Inputs!E13+(Inputs!G13-Inputs!E13)*BETAINV(RAND(),Model!J7,Model!K7)</f>
        <v>0.41288367545014892</v>
      </c>
      <c r="K219">
        <f ca="1">(Inputs!H13+(Inputs!J13-Inputs!H13)*BETAINV(RAND(),Model!L7,Model!M7))*Inputs!$C$6</f>
        <v>48527.24240235654</v>
      </c>
      <c r="L219">
        <f t="shared" ca="1" si="67"/>
        <v>1.0543490890534783</v>
      </c>
      <c r="M219">
        <f t="shared" ca="1" si="68"/>
        <v>0.74759421759737676</v>
      </c>
      <c r="N219">
        <f t="shared" ca="1" si="69"/>
        <v>2</v>
      </c>
      <c r="O219" s="47">
        <f t="shared" ca="1" si="70"/>
        <v>97054.48480471308</v>
      </c>
      <c r="P219">
        <f ca="1">Inputs!B14+(Inputs!D14-Inputs!B14)*BETAINV(RAND(),Model!H8,Model!I8)</f>
        <v>0.45374312402645955</v>
      </c>
      <c r="Q219">
        <f ca="1">Inputs!E14+(Inputs!G14-Inputs!E14)*BETAINV(RAND(),Model!J8,Model!K8)</f>
        <v>0.48582449155894325</v>
      </c>
      <c r="R219">
        <f ca="1">(Inputs!H14+(Inputs!J14-Inputs!H14)*BETAINV(RAND(),Model!L8,Model!M8))*Inputs!$C$6</f>
        <v>218136.44134074991</v>
      </c>
      <c r="S219">
        <f t="shared" ca="1" si="71"/>
        <v>0.22043952252852125</v>
      </c>
      <c r="T219">
        <f t="shared" ca="1" si="72"/>
        <v>7.516085658643179E-2</v>
      </c>
      <c r="U219">
        <f t="shared" ca="1" si="73"/>
        <v>0</v>
      </c>
      <c r="V219" s="47">
        <f t="shared" ca="1" si="74"/>
        <v>0</v>
      </c>
      <c r="W219">
        <f ca="1">Inputs!B15+(Inputs!D15-Inputs!B15)*BETAINV(RAND(),Model!H9,Model!I9)</f>
        <v>1.256576735712218</v>
      </c>
      <c r="X219">
        <f ca="1">Inputs!E15+(Inputs!G15-Inputs!E15)*BETAINV(RAND(),Model!J9,Model!K9)</f>
        <v>0.40206700677340118</v>
      </c>
      <c r="Y219">
        <f ca="1">(Inputs!H15+(Inputs!J15-Inputs!H15)*BETAINV(RAND(),Model!L9,Model!M9))*Inputs!$C$6</f>
        <v>31608.593330494645</v>
      </c>
      <c r="Z219">
        <f t="shared" ca="1" si="75"/>
        <v>0.50522804690890266</v>
      </c>
      <c r="AA219">
        <f t="shared" ca="1" si="76"/>
        <v>0.8256967983439556</v>
      </c>
      <c r="AB219">
        <f t="shared" ca="1" si="77"/>
        <v>1</v>
      </c>
      <c r="AC219" s="47">
        <f t="shared" ca="1" si="78"/>
        <v>31608.593330494645</v>
      </c>
      <c r="AD219">
        <f ca="1">Inputs!B16+(Inputs!D16-Inputs!B16)*BETAINV(RAND(),Model!H10,Model!I10)</f>
        <v>0.87980352195333733</v>
      </c>
      <c r="AE219">
        <f ca="1">Inputs!E16+(Inputs!G16-Inputs!E16)*BETAINV(RAND(),Model!J10,Model!K10)</f>
        <v>0.52846452705047509</v>
      </c>
      <c r="AF219">
        <f ca="1">(Inputs!H16+(Inputs!J16-Inputs!H16)*BETAINV(RAND(),Model!L10,Model!M10))*Inputs!$C$6</f>
        <v>85073.737782376935</v>
      </c>
      <c r="AG219">
        <f t="shared" ca="1" si="79"/>
        <v>0.46494495212641268</v>
      </c>
      <c r="AH219">
        <f t="shared" ca="1" si="80"/>
        <v>0.7149827082601462</v>
      </c>
      <c r="AI219">
        <f t="shared" ca="1" si="81"/>
        <v>1</v>
      </c>
      <c r="AJ219" s="47">
        <f t="shared" ca="1" si="82"/>
        <v>85073.737782376935</v>
      </c>
      <c r="AK219">
        <f t="shared" ca="1" si="83"/>
        <v>408934.88841755112</v>
      </c>
    </row>
    <row r="220" spans="2:37" x14ac:dyDescent="0.2">
      <c r="B220">
        <f ca="1">Inputs!B12+(Inputs!D12-Inputs!B12)*BETAINV(RAND(),Model!H6,Model!I6)</f>
        <v>2.6172505211539652</v>
      </c>
      <c r="C220">
        <f ca="1">Inputs!E12+(Inputs!G12-Inputs!E12)*BETAINV(RAND(),Model!J6,Model!K6)</f>
        <v>0.17865063070312165</v>
      </c>
      <c r="D220">
        <f ca="1">(Inputs!H12+(Inputs!J12-Inputs!H12)*BETAINV(RAND(),Model!L6,Model!M6))*Inputs!$C$6</f>
        <v>20023.997096632564</v>
      </c>
      <c r="E220">
        <f t="shared" ca="1" si="63"/>
        <v>0.46757345631222968</v>
      </c>
      <c r="F220">
        <f t="shared" ca="1" si="64"/>
        <v>0.90637020915345456</v>
      </c>
      <c r="G220">
        <f t="shared" ca="1" si="65"/>
        <v>1</v>
      </c>
      <c r="H220" s="47">
        <f t="shared" ca="1" si="66"/>
        <v>20023.997096632564</v>
      </c>
      <c r="I220">
        <f ca="1">Inputs!B13+(Inputs!D13-Inputs!B13)*BETAINV(RAND(),Model!H7,Model!I7)</f>
        <v>1.7397887406566959</v>
      </c>
      <c r="J220">
        <f ca="1">Inputs!E13+(Inputs!G13-Inputs!E13)*BETAINV(RAND(),Model!J7,Model!K7)</f>
        <v>0.32917955139340799</v>
      </c>
      <c r="K220">
        <f ca="1">(Inputs!H13+(Inputs!J13-Inputs!H13)*BETAINV(RAND(),Model!L7,Model!M7))*Inputs!$C$6</f>
        <v>18077.986592258407</v>
      </c>
      <c r="L220">
        <f t="shared" ca="1" si="67"/>
        <v>0.57270287716867341</v>
      </c>
      <c r="M220">
        <f t="shared" ca="1" si="68"/>
        <v>0.63512799213260573</v>
      </c>
      <c r="N220">
        <f t="shared" ca="1" si="69"/>
        <v>1</v>
      </c>
      <c r="O220" s="47">
        <f t="shared" ca="1" si="70"/>
        <v>18077.986592258407</v>
      </c>
      <c r="P220">
        <f ca="1">Inputs!B14+(Inputs!D14-Inputs!B14)*BETAINV(RAND(),Model!H8,Model!I8)</f>
        <v>0.5023999110423808</v>
      </c>
      <c r="Q220">
        <f ca="1">Inputs!E14+(Inputs!G14-Inputs!E14)*BETAINV(RAND(),Model!J8,Model!K8)</f>
        <v>0.62977568607466838</v>
      </c>
      <c r="R220">
        <f ca="1">(Inputs!H14+(Inputs!J14-Inputs!H14)*BETAINV(RAND(),Model!L8,Model!M8))*Inputs!$C$6</f>
        <v>471340.5642173409</v>
      </c>
      <c r="S220">
        <f t="shared" ca="1" si="71"/>
        <v>0.31639924866056773</v>
      </c>
      <c r="T220">
        <f t="shared" ca="1" si="72"/>
        <v>0.16176910082239082</v>
      </c>
      <c r="U220">
        <f t="shared" ca="1" si="73"/>
        <v>0</v>
      </c>
      <c r="V220" s="47">
        <f t="shared" ca="1" si="74"/>
        <v>0</v>
      </c>
      <c r="W220">
        <f ca="1">Inputs!B15+(Inputs!D15-Inputs!B15)*BETAINV(RAND(),Model!H9,Model!I9)</f>
        <v>2.4358529420721875</v>
      </c>
      <c r="X220">
        <f ca="1">Inputs!E15+(Inputs!G15-Inputs!E15)*BETAINV(RAND(),Model!J9,Model!K9)</f>
        <v>0.56453470404077621</v>
      </c>
      <c r="Y220">
        <f ca="1">(Inputs!H15+(Inputs!J15-Inputs!H15)*BETAINV(RAND(),Model!L9,Model!M9))*Inputs!$C$6</f>
        <v>40421.201790600266</v>
      </c>
      <c r="Z220">
        <f t="shared" ca="1" si="75"/>
        <v>1.3751235197395764</v>
      </c>
      <c r="AA220">
        <f t="shared" ca="1" si="76"/>
        <v>0.56471481288050707</v>
      </c>
      <c r="AB220">
        <f t="shared" ca="1" si="77"/>
        <v>1</v>
      </c>
      <c r="AC220" s="47">
        <f t="shared" ca="1" si="78"/>
        <v>40421.201790600266</v>
      </c>
      <c r="AD220">
        <f ca="1">Inputs!B16+(Inputs!D16-Inputs!B16)*BETAINV(RAND(),Model!H10,Model!I10)</f>
        <v>0.58828692763565837</v>
      </c>
      <c r="AE220">
        <f ca="1">Inputs!E16+(Inputs!G16-Inputs!E16)*BETAINV(RAND(),Model!J10,Model!K10)</f>
        <v>0.48135217236216032</v>
      </c>
      <c r="AF220">
        <f ca="1">(Inputs!H16+(Inputs!J16-Inputs!H16)*BETAINV(RAND(),Model!L10,Model!M10))*Inputs!$C$6</f>
        <v>127273.72231845278</v>
      </c>
      <c r="AG220">
        <f t="shared" ca="1" si="79"/>
        <v>0.28317319058968515</v>
      </c>
      <c r="AH220">
        <f t="shared" ca="1" si="80"/>
        <v>3.760505035073225E-2</v>
      </c>
      <c r="AI220">
        <f t="shared" ca="1" si="81"/>
        <v>0</v>
      </c>
      <c r="AJ220" s="47">
        <f t="shared" ca="1" si="82"/>
        <v>0</v>
      </c>
      <c r="AK220">
        <f t="shared" ca="1" si="83"/>
        <v>78523.185479491236</v>
      </c>
    </row>
    <row r="221" spans="2:37" x14ac:dyDescent="0.2">
      <c r="B221">
        <f ca="1">Inputs!B12+(Inputs!D12-Inputs!B12)*BETAINV(RAND(),Model!H6,Model!I6)</f>
        <v>3.1522482843114763</v>
      </c>
      <c r="C221">
        <f ca="1">Inputs!E12+(Inputs!G12-Inputs!E12)*BETAINV(RAND(),Model!J6,Model!K6)</f>
        <v>0.19161833980721918</v>
      </c>
      <c r="D221">
        <f ca="1">(Inputs!H12+(Inputs!J12-Inputs!H12)*BETAINV(RAND(),Model!L6,Model!M6))*Inputs!$C$6</f>
        <v>15424.052901765199</v>
      </c>
      <c r="E221">
        <f t="shared" ca="1" si="63"/>
        <v>0.60402858289992012</v>
      </c>
      <c r="F221">
        <f t="shared" ca="1" si="64"/>
        <v>3.2826059954175091E-2</v>
      </c>
      <c r="G221">
        <f t="shared" ca="1" si="65"/>
        <v>0</v>
      </c>
      <c r="H221" s="47">
        <f t="shared" ca="1" si="66"/>
        <v>0</v>
      </c>
      <c r="I221">
        <f ca="1">Inputs!B13+(Inputs!D13-Inputs!B13)*BETAINV(RAND(),Model!H7,Model!I7)</f>
        <v>2.0599891521000897</v>
      </c>
      <c r="J221">
        <f ca="1">Inputs!E13+(Inputs!G13-Inputs!E13)*BETAINV(RAND(),Model!J7,Model!K7)</f>
        <v>0.33892759893632207</v>
      </c>
      <c r="K221">
        <f ca="1">(Inputs!H13+(Inputs!J13-Inputs!H13)*BETAINV(RAND(),Model!L7,Model!M7))*Inputs!$C$6</f>
        <v>42602.551687146675</v>
      </c>
      <c r="L221">
        <f t="shared" ca="1" si="67"/>
        <v>0.69818717715615342</v>
      </c>
      <c r="M221">
        <f t="shared" ca="1" si="68"/>
        <v>0.15954168193868801</v>
      </c>
      <c r="N221">
        <f t="shared" ca="1" si="69"/>
        <v>0</v>
      </c>
      <c r="O221" s="47">
        <f t="shared" ca="1" si="70"/>
        <v>0</v>
      </c>
      <c r="P221">
        <f ca="1">Inputs!B14+(Inputs!D14-Inputs!B14)*BETAINV(RAND(),Model!H8,Model!I8)</f>
        <v>0.58915936012604209</v>
      </c>
      <c r="Q221">
        <f ca="1">Inputs!E14+(Inputs!G14-Inputs!E14)*BETAINV(RAND(),Model!J8,Model!K8)</f>
        <v>0.36506137537261146</v>
      </c>
      <c r="R221">
        <f ca="1">(Inputs!H14+(Inputs!J14-Inputs!H14)*BETAINV(RAND(),Model!L8,Model!M8))*Inputs!$C$6</f>
        <v>353575.41740075394</v>
      </c>
      <c r="S221">
        <f t="shared" ca="1" si="71"/>
        <v>0.21507932632126062</v>
      </c>
      <c r="T221">
        <f t="shared" ca="1" si="72"/>
        <v>0.8925451122859186</v>
      </c>
      <c r="U221">
        <f t="shared" ca="1" si="73"/>
        <v>1</v>
      </c>
      <c r="V221" s="47">
        <f t="shared" ca="1" si="74"/>
        <v>353575.41740075394</v>
      </c>
      <c r="W221">
        <f ca="1">Inputs!B15+(Inputs!D15-Inputs!B15)*BETAINV(RAND(),Model!H9,Model!I9)</f>
        <v>0.77514425539936116</v>
      </c>
      <c r="X221">
        <f ca="1">Inputs!E15+(Inputs!G15-Inputs!E15)*BETAINV(RAND(),Model!J9,Model!K9)</f>
        <v>0.49712932042607805</v>
      </c>
      <c r="Y221">
        <f ca="1">(Inputs!H15+(Inputs!J15-Inputs!H15)*BETAINV(RAND(),Model!L9,Model!M9))*Inputs!$C$6</f>
        <v>37395.916699966736</v>
      </c>
      <c r="Z221">
        <f t="shared" ca="1" si="75"/>
        <v>0.38534693691886268</v>
      </c>
      <c r="AA221">
        <f t="shared" ca="1" si="76"/>
        <v>0.16621610169980772</v>
      </c>
      <c r="AB221">
        <f t="shared" ca="1" si="77"/>
        <v>0</v>
      </c>
      <c r="AC221" s="47">
        <f t="shared" ca="1" si="78"/>
        <v>0</v>
      </c>
      <c r="AD221">
        <f ca="1">Inputs!B16+(Inputs!D16-Inputs!B16)*BETAINV(RAND(),Model!H10,Model!I10)</f>
        <v>0.64348355795821299</v>
      </c>
      <c r="AE221">
        <f ca="1">Inputs!E16+(Inputs!G16-Inputs!E16)*BETAINV(RAND(),Model!J10,Model!K10)</f>
        <v>0.63673721542068873</v>
      </c>
      <c r="AF221">
        <f ca="1">(Inputs!H16+(Inputs!J16-Inputs!H16)*BETAINV(RAND(),Model!L10,Model!M10))*Inputs!$C$6</f>
        <v>88892.248090590554</v>
      </c>
      <c r="AG221">
        <f t="shared" ca="1" si="79"/>
        <v>0.40972992886330989</v>
      </c>
      <c r="AH221">
        <f t="shared" ca="1" si="80"/>
        <v>0.69174489279229279</v>
      </c>
      <c r="AI221">
        <f t="shared" ca="1" si="81"/>
        <v>1</v>
      </c>
      <c r="AJ221" s="47">
        <f t="shared" ca="1" si="82"/>
        <v>88892.248090590554</v>
      </c>
      <c r="AK221">
        <f t="shared" ca="1" si="83"/>
        <v>442467.66549134452</v>
      </c>
    </row>
    <row r="222" spans="2:37" x14ac:dyDescent="0.2">
      <c r="B222">
        <f ca="1">Inputs!B12+(Inputs!D12-Inputs!B12)*BETAINV(RAND(),Model!H6,Model!I6)</f>
        <v>4.562823538425528</v>
      </c>
      <c r="C222">
        <f ca="1">Inputs!E12+(Inputs!G12-Inputs!E12)*BETAINV(RAND(),Model!J6,Model!K6)</f>
        <v>0.39018886730317859</v>
      </c>
      <c r="D222">
        <f ca="1">(Inputs!H12+(Inputs!J12-Inputs!H12)*BETAINV(RAND(),Model!L6,Model!M6))*Inputs!$C$6</f>
        <v>38211.377654188815</v>
      </c>
      <c r="E222">
        <f t="shared" ca="1" si="63"/>
        <v>1.780362948162538</v>
      </c>
      <c r="F222">
        <f t="shared" ca="1" si="64"/>
        <v>0.8588702408575688</v>
      </c>
      <c r="G222">
        <f t="shared" ca="1" si="65"/>
        <v>3</v>
      </c>
      <c r="H222" s="47">
        <f t="shared" ca="1" si="66"/>
        <v>114634.13296256645</v>
      </c>
      <c r="I222">
        <f ca="1">Inputs!B13+(Inputs!D13-Inputs!B13)*BETAINV(RAND(),Model!H7,Model!I7)</f>
        <v>1.0709323234174515</v>
      </c>
      <c r="J222">
        <f ca="1">Inputs!E13+(Inputs!G13-Inputs!E13)*BETAINV(RAND(),Model!J7,Model!K7)</f>
        <v>0.27502801893834272</v>
      </c>
      <c r="K222">
        <f ca="1">(Inputs!H13+(Inputs!J13-Inputs!H13)*BETAINV(RAND(),Model!L7,Model!M7))*Inputs!$C$6</f>
        <v>32647.284156346275</v>
      </c>
      <c r="L222">
        <f t="shared" ca="1" si="67"/>
        <v>0.29453639532653819</v>
      </c>
      <c r="M222">
        <f t="shared" ca="1" si="68"/>
        <v>0.21444419904344314</v>
      </c>
      <c r="N222">
        <f t="shared" ca="1" si="69"/>
        <v>0</v>
      </c>
      <c r="O222" s="47">
        <f t="shared" ca="1" si="70"/>
        <v>0</v>
      </c>
      <c r="P222">
        <f ca="1">Inputs!B14+(Inputs!D14-Inputs!B14)*BETAINV(RAND(),Model!H8,Model!I8)</f>
        <v>0.41018242953828032</v>
      </c>
      <c r="Q222">
        <f ca="1">Inputs!E14+(Inputs!G14-Inputs!E14)*BETAINV(RAND(),Model!J8,Model!K8)</f>
        <v>0.64830342858880741</v>
      </c>
      <c r="R222">
        <f ca="1">(Inputs!H14+(Inputs!J14-Inputs!H14)*BETAINV(RAND(),Model!L8,Model!M8))*Inputs!$C$6</f>
        <v>313075.42285395885</v>
      </c>
      <c r="S222">
        <f t="shared" ca="1" si="71"/>
        <v>0.26592267541655407</v>
      </c>
      <c r="T222">
        <f t="shared" ca="1" si="72"/>
        <v>0.570996933423077</v>
      </c>
      <c r="U222">
        <f t="shared" ca="1" si="73"/>
        <v>0</v>
      </c>
      <c r="V222" s="47">
        <f t="shared" ca="1" si="74"/>
        <v>0</v>
      </c>
      <c r="W222">
        <f ca="1">Inputs!B15+(Inputs!D15-Inputs!B15)*BETAINV(RAND(),Model!H9,Model!I9)</f>
        <v>1.3170934497260467</v>
      </c>
      <c r="X222">
        <f ca="1">Inputs!E15+(Inputs!G15-Inputs!E15)*BETAINV(RAND(),Model!J9,Model!K9)</f>
        <v>0.38572892633418077</v>
      </c>
      <c r="Y222">
        <f ca="1">(Inputs!H15+(Inputs!J15-Inputs!H15)*BETAINV(RAND(),Model!L9,Model!M9))*Inputs!$C$6</f>
        <v>19436.212393403817</v>
      </c>
      <c r="Z222">
        <f t="shared" ca="1" si="75"/>
        <v>0.50804104224461033</v>
      </c>
      <c r="AA222">
        <f t="shared" ca="1" si="76"/>
        <v>4.4139434273598233E-2</v>
      </c>
      <c r="AB222">
        <f t="shared" ca="1" si="77"/>
        <v>0</v>
      </c>
      <c r="AC222" s="47">
        <f t="shared" ca="1" si="78"/>
        <v>0</v>
      </c>
      <c r="AD222">
        <f ca="1">Inputs!B16+(Inputs!D16-Inputs!B16)*BETAINV(RAND(),Model!H10,Model!I10)</f>
        <v>0.45949197976877099</v>
      </c>
      <c r="AE222">
        <f ca="1">Inputs!E16+(Inputs!G16-Inputs!E16)*BETAINV(RAND(),Model!J10,Model!K10)</f>
        <v>0.64935527288122141</v>
      </c>
      <c r="AF222">
        <f ca="1">(Inputs!H16+(Inputs!J16-Inputs!H16)*BETAINV(RAND(),Model!L10,Model!M10))*Inputs!$C$6</f>
        <v>111362.33053111543</v>
      </c>
      <c r="AG222">
        <f t="shared" ca="1" si="79"/>
        <v>0.29837353990948295</v>
      </c>
      <c r="AH222">
        <f t="shared" ca="1" si="80"/>
        <v>2.2147358225301228E-2</v>
      </c>
      <c r="AI222">
        <f t="shared" ca="1" si="81"/>
        <v>0</v>
      </c>
      <c r="AJ222" s="47">
        <f t="shared" ca="1" si="82"/>
        <v>0</v>
      </c>
      <c r="AK222">
        <f t="shared" ca="1" si="83"/>
        <v>114634.13296256645</v>
      </c>
    </row>
    <row r="223" spans="2:37" x14ac:dyDescent="0.2">
      <c r="B223">
        <f ca="1">Inputs!B12+(Inputs!D12-Inputs!B12)*BETAINV(RAND(),Model!H6,Model!I6)</f>
        <v>4.6428701776393204</v>
      </c>
      <c r="C223">
        <f ca="1">Inputs!E12+(Inputs!G12-Inputs!E12)*BETAINV(RAND(),Model!J6,Model!K6)</f>
        <v>0.32082542214723292</v>
      </c>
      <c r="D223">
        <f ca="1">(Inputs!H12+(Inputs!J12-Inputs!H12)*BETAINV(RAND(),Model!L6,Model!M6))*Inputs!$C$6</f>
        <v>15569.508237935754</v>
      </c>
      <c r="E223">
        <f t="shared" ca="1" si="63"/>
        <v>1.4895507847159333</v>
      </c>
      <c r="F223">
        <f t="shared" ca="1" si="64"/>
        <v>0.55126166045387193</v>
      </c>
      <c r="G223">
        <f t="shared" ca="1" si="65"/>
        <v>1</v>
      </c>
      <c r="H223" s="47">
        <f t="shared" ca="1" si="66"/>
        <v>15569.508237935754</v>
      </c>
      <c r="I223">
        <f ca="1">Inputs!B13+(Inputs!D13-Inputs!B13)*BETAINV(RAND(),Model!H7,Model!I7)</f>
        <v>3.7388840710139006</v>
      </c>
      <c r="J223">
        <f ca="1">Inputs!E13+(Inputs!G13-Inputs!E13)*BETAINV(RAND(),Model!J7,Model!K7)</f>
        <v>0.22994092647503916</v>
      </c>
      <c r="K223">
        <f ca="1">(Inputs!H13+(Inputs!J13-Inputs!H13)*BETAINV(RAND(),Model!L7,Model!M7))*Inputs!$C$6</f>
        <v>56488.793138742389</v>
      </c>
      <c r="L223">
        <f t="shared" ca="1" si="67"/>
        <v>0.85972246727170243</v>
      </c>
      <c r="M223">
        <f t="shared" ca="1" si="68"/>
        <v>9.3657722036326496E-2</v>
      </c>
      <c r="N223">
        <f t="shared" ca="1" si="69"/>
        <v>0</v>
      </c>
      <c r="O223" s="47">
        <f t="shared" ca="1" si="70"/>
        <v>0</v>
      </c>
      <c r="P223">
        <f ca="1">Inputs!B14+(Inputs!D14-Inputs!B14)*BETAINV(RAND(),Model!H8,Model!I8)</f>
        <v>0.26857107088839238</v>
      </c>
      <c r="Q223">
        <f ca="1">Inputs!E14+(Inputs!G14-Inputs!E14)*BETAINV(RAND(),Model!J8,Model!K8)</f>
        <v>0.52982668657989229</v>
      </c>
      <c r="R223">
        <f ca="1">(Inputs!H14+(Inputs!J14-Inputs!H14)*BETAINV(RAND(),Model!L8,Model!M8))*Inputs!$C$6</f>
        <v>497515.32529578247</v>
      </c>
      <c r="S223">
        <f t="shared" ca="1" si="71"/>
        <v>0.14229612060001032</v>
      </c>
      <c r="T223">
        <f t="shared" ca="1" si="72"/>
        <v>0.33765810060168056</v>
      </c>
      <c r="U223">
        <f t="shared" ca="1" si="73"/>
        <v>0</v>
      </c>
      <c r="V223" s="47">
        <f t="shared" ca="1" si="74"/>
        <v>0</v>
      </c>
      <c r="W223">
        <f ca="1">Inputs!B15+(Inputs!D15-Inputs!B15)*BETAINV(RAND(),Model!H9,Model!I9)</f>
        <v>0.76024337247497875</v>
      </c>
      <c r="X223">
        <f ca="1">Inputs!E15+(Inputs!G15-Inputs!E15)*BETAINV(RAND(),Model!J9,Model!K9)</f>
        <v>0.39193118952280204</v>
      </c>
      <c r="Y223">
        <f ca="1">(Inputs!H15+(Inputs!J15-Inputs!H15)*BETAINV(RAND(),Model!L9,Model!M9))*Inputs!$C$6</f>
        <v>32200.479120525088</v>
      </c>
      <c r="Z223">
        <f t="shared" ca="1" si="75"/>
        <v>0.29796308930094506</v>
      </c>
      <c r="AA223">
        <f t="shared" ca="1" si="76"/>
        <v>0.86043871699135854</v>
      </c>
      <c r="AB223">
        <f t="shared" ca="1" si="77"/>
        <v>1</v>
      </c>
      <c r="AC223" s="47">
        <f t="shared" ca="1" si="78"/>
        <v>32200.479120525088</v>
      </c>
      <c r="AD223">
        <f ca="1">Inputs!B16+(Inputs!D16-Inputs!B16)*BETAINV(RAND(),Model!H10,Model!I10)</f>
        <v>0.50397671032739177</v>
      </c>
      <c r="AE223">
        <f ca="1">Inputs!E16+(Inputs!G16-Inputs!E16)*BETAINV(RAND(),Model!J10,Model!K10)</f>
        <v>0.67680140807208866</v>
      </c>
      <c r="AF223">
        <f ca="1">(Inputs!H16+(Inputs!J16-Inputs!H16)*BETAINV(RAND(),Model!L10,Model!M10))*Inputs!$C$6</f>
        <v>65965.236595644688</v>
      </c>
      <c r="AG223">
        <f t="shared" ca="1" si="79"/>
        <v>0.34109214718511788</v>
      </c>
      <c r="AH223">
        <f t="shared" ca="1" si="80"/>
        <v>0.621410047090314</v>
      </c>
      <c r="AI223">
        <f t="shared" ca="1" si="81"/>
        <v>0</v>
      </c>
      <c r="AJ223" s="47">
        <f t="shared" ca="1" si="82"/>
        <v>0</v>
      </c>
      <c r="AK223">
        <f t="shared" ca="1" si="83"/>
        <v>47769.987358460843</v>
      </c>
    </row>
    <row r="224" spans="2:37" x14ac:dyDescent="0.2">
      <c r="B224">
        <f ca="1">Inputs!B12+(Inputs!D12-Inputs!B12)*BETAINV(RAND(),Model!H6,Model!I6)</f>
        <v>5.7569873937067007</v>
      </c>
      <c r="C224">
        <f ca="1">Inputs!E12+(Inputs!G12-Inputs!E12)*BETAINV(RAND(),Model!J6,Model!K6)</f>
        <v>0.34410422595726486</v>
      </c>
      <c r="D224">
        <f ca="1">(Inputs!H12+(Inputs!J12-Inputs!H12)*BETAINV(RAND(),Model!L6,Model!M6))*Inputs!$C$6</f>
        <v>8426.3507115251105</v>
      </c>
      <c r="E224">
        <f t="shared" ca="1" si="63"/>
        <v>1.9810036909571758</v>
      </c>
      <c r="F224">
        <f t="shared" ca="1" si="64"/>
        <v>0.76968704283703304</v>
      </c>
      <c r="G224">
        <f t="shared" ca="1" si="65"/>
        <v>3</v>
      </c>
      <c r="H224" s="47">
        <f t="shared" ca="1" si="66"/>
        <v>25279.05213457533</v>
      </c>
      <c r="I224">
        <f ca="1">Inputs!B13+(Inputs!D13-Inputs!B13)*BETAINV(RAND(),Model!H7,Model!I7)</f>
        <v>2.883363528107989</v>
      </c>
      <c r="J224">
        <f ca="1">Inputs!E13+(Inputs!G13-Inputs!E13)*BETAINV(RAND(),Model!J7,Model!K7)</f>
        <v>0.15330876148103964</v>
      </c>
      <c r="K224">
        <f ca="1">(Inputs!H13+(Inputs!J13-Inputs!H13)*BETAINV(RAND(),Model!L7,Model!M7))*Inputs!$C$6</f>
        <v>53338.685111842271</v>
      </c>
      <c r="L224">
        <f t="shared" ca="1" si="67"/>
        <v>0.44204489139383663</v>
      </c>
      <c r="M224">
        <f t="shared" ca="1" si="68"/>
        <v>4.4429319675635681E-2</v>
      </c>
      <c r="N224">
        <f t="shared" ca="1" si="69"/>
        <v>0</v>
      </c>
      <c r="O224" s="47">
        <f t="shared" ca="1" si="70"/>
        <v>0</v>
      </c>
      <c r="P224">
        <f ca="1">Inputs!B14+(Inputs!D14-Inputs!B14)*BETAINV(RAND(),Model!H8,Model!I8)</f>
        <v>0.533691571871593</v>
      </c>
      <c r="Q224">
        <f ca="1">Inputs!E14+(Inputs!G14-Inputs!E14)*BETAINV(RAND(),Model!J8,Model!K8)</f>
        <v>0.71790855301707179</v>
      </c>
      <c r="R224">
        <f ca="1">(Inputs!H14+(Inputs!J14-Inputs!H14)*BETAINV(RAND(),Model!L8,Model!M8))*Inputs!$C$6</f>
        <v>267982.79759598</v>
      </c>
      <c r="S224">
        <f t="shared" ca="1" si="71"/>
        <v>0.38314174411974189</v>
      </c>
      <c r="T224">
        <f t="shared" ca="1" si="72"/>
        <v>0.72882025099140058</v>
      </c>
      <c r="U224">
        <f t="shared" ca="1" si="73"/>
        <v>1</v>
      </c>
      <c r="V224" s="47">
        <f t="shared" ca="1" si="74"/>
        <v>267982.79759598</v>
      </c>
      <c r="W224">
        <f ca="1">Inputs!B15+(Inputs!D15-Inputs!B15)*BETAINV(RAND(),Model!H9,Model!I9)</f>
        <v>1.2962348669314558</v>
      </c>
      <c r="X224">
        <f ca="1">Inputs!E15+(Inputs!G15-Inputs!E15)*BETAINV(RAND(),Model!J9,Model!K9)</f>
        <v>0.55771172724871632</v>
      </c>
      <c r="Y224">
        <f ca="1">(Inputs!H15+(Inputs!J15-Inputs!H15)*BETAINV(RAND(),Model!L9,Model!M9))*Inputs!$C$6</f>
        <v>49289.529711169067</v>
      </c>
      <c r="Z224">
        <f t="shared" ca="1" si="75"/>
        <v>0.72292538655635219</v>
      </c>
      <c r="AA224">
        <f t="shared" ca="1" si="76"/>
        <v>4.1689813343008919E-2</v>
      </c>
      <c r="AB224">
        <f t="shared" ca="1" si="77"/>
        <v>0</v>
      </c>
      <c r="AC224" s="47">
        <f t="shared" ca="1" si="78"/>
        <v>0</v>
      </c>
      <c r="AD224">
        <f ca="1">Inputs!B16+(Inputs!D16-Inputs!B16)*BETAINV(RAND(),Model!H10,Model!I10)</f>
        <v>0.76157843679556181</v>
      </c>
      <c r="AE224">
        <f ca="1">Inputs!E16+(Inputs!G16-Inputs!E16)*BETAINV(RAND(),Model!J10,Model!K10)</f>
        <v>0.45732478706762153</v>
      </c>
      <c r="AF224">
        <f ca="1">(Inputs!H16+(Inputs!J16-Inputs!H16)*BETAINV(RAND(),Model!L10,Model!M10))*Inputs!$C$6</f>
        <v>68152.545325352199</v>
      </c>
      <c r="AG224">
        <f t="shared" ca="1" si="79"/>
        <v>0.34828869644282234</v>
      </c>
      <c r="AH224">
        <f t="shared" ca="1" si="80"/>
        <v>0.96090854263911496</v>
      </c>
      <c r="AI224">
        <f t="shared" ca="1" si="81"/>
        <v>2</v>
      </c>
      <c r="AJ224" s="47">
        <f t="shared" ca="1" si="82"/>
        <v>136305.0906507044</v>
      </c>
      <c r="AK224">
        <f t="shared" ca="1" si="83"/>
        <v>429566.94038125972</v>
      </c>
    </row>
    <row r="225" spans="2:37" x14ac:dyDescent="0.2">
      <c r="B225">
        <f ca="1">Inputs!B12+(Inputs!D12-Inputs!B12)*BETAINV(RAND(),Model!H6,Model!I6)</f>
        <v>3.4562508279106123</v>
      </c>
      <c r="C225">
        <f ca="1">Inputs!E12+(Inputs!G12-Inputs!E12)*BETAINV(RAND(),Model!J6,Model!K6)</f>
        <v>0.22083473167658901</v>
      </c>
      <c r="D225">
        <f ca="1">(Inputs!H12+(Inputs!J12-Inputs!H12)*BETAINV(RAND(),Model!L6,Model!M6))*Inputs!$C$6</f>
        <v>10057.565047155529</v>
      </c>
      <c r="E225">
        <f t="shared" ca="1" si="63"/>
        <v>0.76326022418862871</v>
      </c>
      <c r="F225">
        <f t="shared" ca="1" si="64"/>
        <v>0.65126404315670827</v>
      </c>
      <c r="G225">
        <f t="shared" ca="1" si="65"/>
        <v>1</v>
      </c>
      <c r="H225" s="47">
        <f t="shared" ca="1" si="66"/>
        <v>10057.565047155529</v>
      </c>
      <c r="I225">
        <f ca="1">Inputs!B13+(Inputs!D13-Inputs!B13)*BETAINV(RAND(),Model!H7,Model!I7)</f>
        <v>2.2530090182856179</v>
      </c>
      <c r="J225">
        <f ca="1">Inputs!E13+(Inputs!G13-Inputs!E13)*BETAINV(RAND(),Model!J7,Model!K7)</f>
        <v>0.36158922793452331</v>
      </c>
      <c r="K225">
        <f ca="1">(Inputs!H13+(Inputs!J13-Inputs!H13)*BETAINV(RAND(),Model!L7,Model!M7))*Inputs!$C$6</f>
        <v>78682.250842816997</v>
      </c>
      <c r="L225">
        <f t="shared" ca="1" si="67"/>
        <v>0.81466379145141488</v>
      </c>
      <c r="M225">
        <f t="shared" ca="1" si="68"/>
        <v>0.50028497662512172</v>
      </c>
      <c r="N225">
        <f t="shared" ca="1" si="69"/>
        <v>1</v>
      </c>
      <c r="O225" s="47">
        <f t="shared" ca="1" si="70"/>
        <v>78682.250842816997</v>
      </c>
      <c r="P225">
        <f ca="1">Inputs!B14+(Inputs!D14-Inputs!B14)*BETAINV(RAND(),Model!H8,Model!I8)</f>
        <v>0.29052748802020256</v>
      </c>
      <c r="Q225">
        <f ca="1">Inputs!E14+(Inputs!G14-Inputs!E14)*BETAINV(RAND(),Model!J8,Model!K8)</f>
        <v>0.79964095932887491</v>
      </c>
      <c r="R225">
        <f ca="1">(Inputs!H14+(Inputs!J14-Inputs!H14)*BETAINV(RAND(),Model!L8,Model!M8))*Inputs!$C$6</f>
        <v>160639.03742333868</v>
      </c>
      <c r="S225">
        <f t="shared" ca="1" si="71"/>
        <v>0.23231767923188298</v>
      </c>
      <c r="T225">
        <f t="shared" ca="1" si="72"/>
        <v>0.40618893046906468</v>
      </c>
      <c r="U225">
        <f t="shared" ca="1" si="73"/>
        <v>0</v>
      </c>
      <c r="V225" s="47">
        <f t="shared" ca="1" si="74"/>
        <v>0</v>
      </c>
      <c r="W225">
        <f ca="1">Inputs!B15+(Inputs!D15-Inputs!B15)*BETAINV(RAND(),Model!H9,Model!I9)</f>
        <v>1.9987196697125003</v>
      </c>
      <c r="X225">
        <f ca="1">Inputs!E15+(Inputs!G15-Inputs!E15)*BETAINV(RAND(),Model!J9,Model!K9)</f>
        <v>0.36294122698981773</v>
      </c>
      <c r="Y225">
        <f ca="1">(Inputs!H15+(Inputs!J15-Inputs!H15)*BETAINV(RAND(),Model!L9,Model!M9))*Inputs!$C$6</f>
        <v>28712.198008902797</v>
      </c>
      <c r="Z225">
        <f t="shared" ca="1" si="75"/>
        <v>0.72541776933413804</v>
      </c>
      <c r="AA225">
        <f t="shared" ca="1" si="76"/>
        <v>2.9203499568503433E-2</v>
      </c>
      <c r="AB225">
        <f t="shared" ca="1" si="77"/>
        <v>0</v>
      </c>
      <c r="AC225" s="47">
        <f t="shared" ca="1" si="78"/>
        <v>0</v>
      </c>
      <c r="AD225">
        <f ca="1">Inputs!B16+(Inputs!D16-Inputs!B16)*BETAINV(RAND(),Model!H10,Model!I10)</f>
        <v>0.812191846363437</v>
      </c>
      <c r="AE225">
        <f ca="1">Inputs!E16+(Inputs!G16-Inputs!E16)*BETAINV(RAND(),Model!J10,Model!K10)</f>
        <v>0.56540075566689596</v>
      </c>
      <c r="AF225">
        <f ca="1">(Inputs!H16+(Inputs!J16-Inputs!H16)*BETAINV(RAND(),Model!L10,Model!M10))*Inputs!$C$6</f>
        <v>84748.093603402463</v>
      </c>
      <c r="AG225">
        <f t="shared" ca="1" si="79"/>
        <v>0.45921388368037874</v>
      </c>
      <c r="AH225">
        <f t="shared" ca="1" si="80"/>
        <v>0.41042196475560677</v>
      </c>
      <c r="AI225">
        <f t="shared" ca="1" si="81"/>
        <v>0</v>
      </c>
      <c r="AJ225" s="47">
        <f t="shared" ca="1" si="82"/>
        <v>0</v>
      </c>
      <c r="AK225">
        <f t="shared" ca="1" si="83"/>
        <v>88739.815889972524</v>
      </c>
    </row>
    <row r="226" spans="2:37" x14ac:dyDescent="0.2">
      <c r="B226">
        <f ca="1">Inputs!B12+(Inputs!D12-Inputs!B12)*BETAINV(RAND(),Model!H6,Model!I6)</f>
        <v>5.628614545245413</v>
      </c>
      <c r="C226">
        <f ca="1">Inputs!E12+(Inputs!G12-Inputs!E12)*BETAINV(RAND(),Model!J6,Model!K6)</f>
        <v>0.22008643387958479</v>
      </c>
      <c r="D226">
        <f ca="1">(Inputs!H12+(Inputs!J12-Inputs!H12)*BETAINV(RAND(),Model!L6,Model!M6))*Inputs!$C$6</f>
        <v>23283.77561116069</v>
      </c>
      <c r="E226">
        <f t="shared" ca="1" si="63"/>
        <v>1.2387817029458239</v>
      </c>
      <c r="F226">
        <f t="shared" ca="1" si="64"/>
        <v>0.75556786740686077</v>
      </c>
      <c r="G226">
        <f t="shared" ca="1" si="65"/>
        <v>2</v>
      </c>
      <c r="H226" s="47">
        <f t="shared" ca="1" si="66"/>
        <v>46567.551222321381</v>
      </c>
      <c r="I226">
        <f ca="1">Inputs!B13+(Inputs!D13-Inputs!B13)*BETAINV(RAND(),Model!H7,Model!I7)</f>
        <v>3.5284817008648872</v>
      </c>
      <c r="J226">
        <f ca="1">Inputs!E13+(Inputs!G13-Inputs!E13)*BETAINV(RAND(),Model!J7,Model!K7)</f>
        <v>0.30798454204461978</v>
      </c>
      <c r="K226">
        <f ca="1">(Inputs!H13+(Inputs!J13-Inputs!H13)*BETAINV(RAND(),Model!L7,Model!M7))*Inputs!$C$6</f>
        <v>18370.954665610403</v>
      </c>
      <c r="L226">
        <f t="shared" ca="1" si="67"/>
        <v>1.0867178207536934</v>
      </c>
      <c r="M226">
        <f t="shared" ca="1" si="68"/>
        <v>0.17862068359775496</v>
      </c>
      <c r="N226">
        <f t="shared" ca="1" si="69"/>
        <v>0</v>
      </c>
      <c r="O226" s="47">
        <f t="shared" ca="1" si="70"/>
        <v>0</v>
      </c>
      <c r="P226">
        <f ca="1">Inputs!B14+(Inputs!D14-Inputs!B14)*BETAINV(RAND(),Model!H8,Model!I8)</f>
        <v>0.12097315940121829</v>
      </c>
      <c r="Q226">
        <f ca="1">Inputs!E14+(Inputs!G14-Inputs!E14)*BETAINV(RAND(),Model!J8,Model!K8)</f>
        <v>0.6967889641111159</v>
      </c>
      <c r="R226">
        <f ca="1">(Inputs!H14+(Inputs!J14-Inputs!H14)*BETAINV(RAND(),Model!L8,Model!M8))*Inputs!$C$6</f>
        <v>160466.7732718584</v>
      </c>
      <c r="S226">
        <f t="shared" ca="1" si="71"/>
        <v>8.4292762424423795E-2</v>
      </c>
      <c r="T226">
        <f t="shared" ca="1" si="72"/>
        <v>0.26143317329912519</v>
      </c>
      <c r="U226">
        <f t="shared" ca="1" si="73"/>
        <v>0</v>
      </c>
      <c r="V226" s="47">
        <f t="shared" ca="1" si="74"/>
        <v>0</v>
      </c>
      <c r="W226">
        <f ca="1">Inputs!B15+(Inputs!D15-Inputs!B15)*BETAINV(RAND(),Model!H9,Model!I9)</f>
        <v>0.77477896778684396</v>
      </c>
      <c r="X226">
        <f ca="1">Inputs!E15+(Inputs!G15-Inputs!E15)*BETAINV(RAND(),Model!J9,Model!K9)</f>
        <v>0.28143927429818105</v>
      </c>
      <c r="Y226">
        <f ca="1">(Inputs!H15+(Inputs!J15-Inputs!H15)*BETAINV(RAND(),Model!L9,Model!M9))*Inputs!$C$6</f>
        <v>30421.278511081018</v>
      </c>
      <c r="Z226">
        <f t="shared" ca="1" si="75"/>
        <v>0.21805323043542316</v>
      </c>
      <c r="AA226">
        <f t="shared" ca="1" si="76"/>
        <v>0.19591687159654991</v>
      </c>
      <c r="AB226">
        <f t="shared" ca="1" si="77"/>
        <v>0</v>
      </c>
      <c r="AC226" s="47">
        <f t="shared" ca="1" si="78"/>
        <v>0</v>
      </c>
      <c r="AD226">
        <f ca="1">Inputs!B16+(Inputs!D16-Inputs!B16)*BETAINV(RAND(),Model!H10,Model!I10)</f>
        <v>0.56549119097401113</v>
      </c>
      <c r="AE226">
        <f ca="1">Inputs!E16+(Inputs!G16-Inputs!E16)*BETAINV(RAND(),Model!J10,Model!K10)</f>
        <v>0.64643053557160834</v>
      </c>
      <c r="AF226">
        <f ca="1">(Inputs!H16+(Inputs!J16-Inputs!H16)*BETAINV(RAND(),Model!L10,Model!M10))*Inputs!$C$6</f>
        <v>52742.18669409844</v>
      </c>
      <c r="AG226">
        <f t="shared" ca="1" si="79"/>
        <v>0.36555077344235665</v>
      </c>
      <c r="AH226">
        <f t="shared" ca="1" si="80"/>
        <v>0.86732628865902217</v>
      </c>
      <c r="AI226">
        <f t="shared" ca="1" si="81"/>
        <v>1</v>
      </c>
      <c r="AJ226" s="47">
        <f t="shared" ca="1" si="82"/>
        <v>52742.18669409844</v>
      </c>
      <c r="AK226">
        <f t="shared" ca="1" si="83"/>
        <v>99309.737916419821</v>
      </c>
    </row>
    <row r="227" spans="2:37" x14ac:dyDescent="0.2">
      <c r="B227">
        <f ca="1">Inputs!B12+(Inputs!D12-Inputs!B12)*BETAINV(RAND(),Model!H6,Model!I6)</f>
        <v>4.8497909388229488</v>
      </c>
      <c r="C227">
        <f ca="1">Inputs!E12+(Inputs!G12-Inputs!E12)*BETAINV(RAND(),Model!J6,Model!K6)</f>
        <v>0.34658279710421841</v>
      </c>
      <c r="D227">
        <f ca="1">(Inputs!H12+(Inputs!J12-Inputs!H12)*BETAINV(RAND(),Model!L6,Model!M6))*Inputs!$C$6</f>
        <v>15989.77720522942</v>
      </c>
      <c r="E227">
        <f t="shared" ca="1" si="63"/>
        <v>1.680854108947951</v>
      </c>
      <c r="F227">
        <f t="shared" ca="1" si="64"/>
        <v>0.32074274484268872</v>
      </c>
      <c r="G227">
        <f t="shared" ca="1" si="65"/>
        <v>1</v>
      </c>
      <c r="H227" s="47">
        <f t="shared" ca="1" si="66"/>
        <v>15989.77720522942</v>
      </c>
      <c r="I227">
        <f ca="1">Inputs!B13+(Inputs!D13-Inputs!B13)*BETAINV(RAND(),Model!H7,Model!I7)</f>
        <v>1.7536583969322448</v>
      </c>
      <c r="J227">
        <f ca="1">Inputs!E13+(Inputs!G13-Inputs!E13)*BETAINV(RAND(),Model!J7,Model!K7)</f>
        <v>0.31013511252240877</v>
      </c>
      <c r="K227">
        <f ca="1">(Inputs!H13+(Inputs!J13-Inputs!H13)*BETAINV(RAND(),Model!L7,Model!M7))*Inputs!$C$6</f>
        <v>45871.602721410454</v>
      </c>
      <c r="L227">
        <f t="shared" ca="1" si="67"/>
        <v>0.54387104425844868</v>
      </c>
      <c r="M227">
        <f t="shared" ca="1" si="68"/>
        <v>8.8378267593841708E-2</v>
      </c>
      <c r="N227">
        <f t="shared" ca="1" si="69"/>
        <v>0</v>
      </c>
      <c r="O227" s="47">
        <f t="shared" ca="1" si="70"/>
        <v>0</v>
      </c>
      <c r="P227">
        <f ca="1">Inputs!B14+(Inputs!D14-Inputs!B14)*BETAINV(RAND(),Model!H8,Model!I8)</f>
        <v>0.43470496038095252</v>
      </c>
      <c r="Q227">
        <f ca="1">Inputs!E14+(Inputs!G14-Inputs!E14)*BETAINV(RAND(),Model!J8,Model!K8)</f>
        <v>0.39735756285891238</v>
      </c>
      <c r="R227">
        <f ca="1">(Inputs!H14+(Inputs!J14-Inputs!H14)*BETAINV(RAND(),Model!L8,Model!M8))*Inputs!$C$6</f>
        <v>487715.37973615009</v>
      </c>
      <c r="S227">
        <f t="shared" ca="1" si="71"/>
        <v>0.17273330361965536</v>
      </c>
      <c r="T227">
        <f t="shared" ca="1" si="72"/>
        <v>0.57123604126010752</v>
      </c>
      <c r="U227">
        <f t="shared" ca="1" si="73"/>
        <v>0</v>
      </c>
      <c r="V227" s="47">
        <f t="shared" ca="1" si="74"/>
        <v>0</v>
      </c>
      <c r="W227">
        <f ca="1">Inputs!B15+(Inputs!D15-Inputs!B15)*BETAINV(RAND(),Model!H9,Model!I9)</f>
        <v>1.0231503202930583</v>
      </c>
      <c r="X227">
        <f ca="1">Inputs!E15+(Inputs!G15-Inputs!E15)*BETAINV(RAND(),Model!J9,Model!K9)</f>
        <v>0.25376550449569196</v>
      </c>
      <c r="Y227">
        <f ca="1">(Inputs!H15+(Inputs!J15-Inputs!H15)*BETAINV(RAND(),Model!L9,Model!M9))*Inputs!$C$6</f>
        <v>33040.200789856222</v>
      </c>
      <c r="Z227">
        <f t="shared" ca="1" si="75"/>
        <v>0.25964025720409678</v>
      </c>
      <c r="AA227">
        <f t="shared" ca="1" si="76"/>
        <v>0.7893633289579991</v>
      </c>
      <c r="AB227">
        <f t="shared" ca="1" si="77"/>
        <v>1</v>
      </c>
      <c r="AC227" s="47">
        <f t="shared" ca="1" si="78"/>
        <v>33040.200789856222</v>
      </c>
      <c r="AD227">
        <f ca="1">Inputs!B16+(Inputs!D16-Inputs!B16)*BETAINV(RAND(),Model!H10,Model!I10)</f>
        <v>0.37573172465974036</v>
      </c>
      <c r="AE227">
        <f ca="1">Inputs!E16+(Inputs!G16-Inputs!E16)*BETAINV(RAND(),Model!J10,Model!K10)</f>
        <v>0.72324439404474605</v>
      </c>
      <c r="AF227">
        <f ca="1">(Inputs!H16+(Inputs!J16-Inputs!H16)*BETAINV(RAND(),Model!L10,Model!M10))*Inputs!$C$6</f>
        <v>109882.5760831299</v>
      </c>
      <c r="AG227">
        <f t="shared" ca="1" si="79"/>
        <v>0.27174586352492131</v>
      </c>
      <c r="AH227">
        <f t="shared" ca="1" si="80"/>
        <v>0.28987873848767898</v>
      </c>
      <c r="AI227">
        <f t="shared" ca="1" si="81"/>
        <v>0</v>
      </c>
      <c r="AJ227" s="47">
        <f t="shared" ca="1" si="82"/>
        <v>0</v>
      </c>
      <c r="AK227">
        <f t="shared" ca="1" si="83"/>
        <v>49029.977995085646</v>
      </c>
    </row>
    <row r="228" spans="2:37" x14ac:dyDescent="0.2">
      <c r="B228">
        <f ca="1">Inputs!B12+(Inputs!D12-Inputs!B12)*BETAINV(RAND(),Model!H6,Model!I6)</f>
        <v>2.9192634867848977</v>
      </c>
      <c r="C228">
        <f ca="1">Inputs!E12+(Inputs!G12-Inputs!E12)*BETAINV(RAND(),Model!J6,Model!K6)</f>
        <v>0.30297533020558265</v>
      </c>
      <c r="D228">
        <f ca="1">(Inputs!H12+(Inputs!J12-Inputs!H12)*BETAINV(RAND(),Model!L6,Model!M6))*Inputs!$C$6</f>
        <v>19234.723262566105</v>
      </c>
      <c r="E228">
        <f t="shared" ca="1" si="63"/>
        <v>0.8844648188657549</v>
      </c>
      <c r="F228">
        <f t="shared" ca="1" si="64"/>
        <v>0.39344670449036068</v>
      </c>
      <c r="G228">
        <f t="shared" ca="1" si="65"/>
        <v>0</v>
      </c>
      <c r="H228" s="47">
        <f t="shared" ca="1" si="66"/>
        <v>0</v>
      </c>
      <c r="I228">
        <f ca="1">Inputs!B13+(Inputs!D13-Inputs!B13)*BETAINV(RAND(),Model!H7,Model!I7)</f>
        <v>2.9635292121940271</v>
      </c>
      <c r="J228">
        <f ca="1">Inputs!E13+(Inputs!G13-Inputs!E13)*BETAINV(RAND(),Model!J7,Model!K7)</f>
        <v>0.15874990395392588</v>
      </c>
      <c r="K228">
        <f ca="1">(Inputs!H13+(Inputs!J13-Inputs!H13)*BETAINV(RAND(),Model!L7,Model!M7))*Inputs!$C$6</f>
        <v>80832.259468919452</v>
      </c>
      <c r="L228">
        <f t="shared" ca="1" si="67"/>
        <v>0.47045997780045545</v>
      </c>
      <c r="M228">
        <f t="shared" ca="1" si="68"/>
        <v>0.82253358270757493</v>
      </c>
      <c r="N228">
        <f t="shared" ca="1" si="69"/>
        <v>1</v>
      </c>
      <c r="O228" s="47">
        <f t="shared" ca="1" si="70"/>
        <v>80832.259468919452</v>
      </c>
      <c r="P228">
        <f ca="1">Inputs!B14+(Inputs!D14-Inputs!B14)*BETAINV(RAND(),Model!H8,Model!I8)</f>
        <v>0.3229616179655479</v>
      </c>
      <c r="Q228">
        <f ca="1">Inputs!E14+(Inputs!G14-Inputs!E14)*BETAINV(RAND(),Model!J8,Model!K8)</f>
        <v>0.61855533388981077</v>
      </c>
      <c r="R228">
        <f ca="1">(Inputs!H14+(Inputs!J14-Inputs!H14)*BETAINV(RAND(),Model!L8,Model!M8))*Inputs!$C$6</f>
        <v>395871.16410192981</v>
      </c>
      <c r="S228">
        <f t="shared" ca="1" si="71"/>
        <v>0.19976963143427298</v>
      </c>
      <c r="T228">
        <f t="shared" ca="1" si="72"/>
        <v>0.33225136042886427</v>
      </c>
      <c r="U228">
        <f t="shared" ca="1" si="73"/>
        <v>0</v>
      </c>
      <c r="V228" s="47">
        <f t="shared" ca="1" si="74"/>
        <v>0</v>
      </c>
      <c r="W228">
        <f ca="1">Inputs!B15+(Inputs!D15-Inputs!B15)*BETAINV(RAND(),Model!H9,Model!I9)</f>
        <v>1.6532251596398659</v>
      </c>
      <c r="X228">
        <f ca="1">Inputs!E15+(Inputs!G15-Inputs!E15)*BETAINV(RAND(),Model!J9,Model!K9)</f>
        <v>0.507895658702329</v>
      </c>
      <c r="Y228">
        <f ca="1">(Inputs!H15+(Inputs!J15-Inputs!H15)*BETAINV(RAND(),Model!L9,Model!M9))*Inputs!$C$6</f>
        <v>19808.266306390364</v>
      </c>
      <c r="Z228">
        <f t="shared" ca="1" si="75"/>
        <v>0.8396658814385527</v>
      </c>
      <c r="AA228">
        <f t="shared" ca="1" si="76"/>
        <v>0.25400154551842957</v>
      </c>
      <c r="AB228">
        <f t="shared" ca="1" si="77"/>
        <v>0</v>
      </c>
      <c r="AC228" s="47">
        <f t="shared" ca="1" si="78"/>
        <v>0</v>
      </c>
      <c r="AD228">
        <f ca="1">Inputs!B16+(Inputs!D16-Inputs!B16)*BETAINV(RAND(),Model!H10,Model!I10)</f>
        <v>0.35880255772336522</v>
      </c>
      <c r="AE228">
        <f ca="1">Inputs!E16+(Inputs!G16-Inputs!E16)*BETAINV(RAND(),Model!J10,Model!K10)</f>
        <v>0.54711653053304565</v>
      </c>
      <c r="AF228">
        <f ca="1">(Inputs!H16+(Inputs!J16-Inputs!H16)*BETAINV(RAND(),Model!L10,Model!M10))*Inputs!$C$6</f>
        <v>65751.090734038036</v>
      </c>
      <c r="AG228">
        <f t="shared" ca="1" si="79"/>
        <v>0.19630681052799043</v>
      </c>
      <c r="AH228">
        <f t="shared" ca="1" si="80"/>
        <v>0.60726808854609948</v>
      </c>
      <c r="AI228">
        <f t="shared" ca="1" si="81"/>
        <v>0</v>
      </c>
      <c r="AJ228" s="47">
        <f t="shared" ca="1" si="82"/>
        <v>0</v>
      </c>
      <c r="AK228">
        <f t="shared" ca="1" si="83"/>
        <v>80832.259468919452</v>
      </c>
    </row>
    <row r="229" spans="2:37" x14ac:dyDescent="0.2">
      <c r="B229">
        <f ca="1">Inputs!B12+(Inputs!D12-Inputs!B12)*BETAINV(RAND(),Model!H6,Model!I6)</f>
        <v>2.3754798043805181</v>
      </c>
      <c r="C229">
        <f ca="1">Inputs!E12+(Inputs!G12-Inputs!E12)*BETAINV(RAND(),Model!J6,Model!K6)</f>
        <v>0.30527216018051095</v>
      </c>
      <c r="D229">
        <f ca="1">(Inputs!H12+(Inputs!J12-Inputs!H12)*BETAINV(RAND(),Model!L6,Model!M6))*Inputs!$C$6</f>
        <v>32376.506922655528</v>
      </c>
      <c r="E229">
        <f t="shared" ca="1" si="63"/>
        <v>0.72516785134841832</v>
      </c>
      <c r="F229">
        <f t="shared" ca="1" si="64"/>
        <v>0.74423124246518946</v>
      </c>
      <c r="G229">
        <f t="shared" ca="1" si="65"/>
        <v>1</v>
      </c>
      <c r="H229" s="47">
        <f t="shared" ca="1" si="66"/>
        <v>32376.506922655528</v>
      </c>
      <c r="I229">
        <f ca="1">Inputs!B13+(Inputs!D13-Inputs!B13)*BETAINV(RAND(),Model!H7,Model!I7)</f>
        <v>1.6529843389038201</v>
      </c>
      <c r="J229">
        <f ca="1">Inputs!E13+(Inputs!G13-Inputs!E13)*BETAINV(RAND(),Model!J7,Model!K7)</f>
        <v>0.11815030859149728</v>
      </c>
      <c r="K229">
        <f ca="1">(Inputs!H13+(Inputs!J13-Inputs!H13)*BETAINV(RAND(),Model!L7,Model!M7))*Inputs!$C$6</f>
        <v>68249.996482020186</v>
      </c>
      <c r="L229">
        <f t="shared" ca="1" si="67"/>
        <v>0.19530060973839847</v>
      </c>
      <c r="M229">
        <f t="shared" ca="1" si="68"/>
        <v>0.45961601114315487</v>
      </c>
      <c r="N229">
        <f t="shared" ca="1" si="69"/>
        <v>0</v>
      </c>
      <c r="O229" s="47">
        <f t="shared" ca="1" si="70"/>
        <v>0</v>
      </c>
      <c r="P229">
        <f ca="1">Inputs!B14+(Inputs!D14-Inputs!B14)*BETAINV(RAND(),Model!H8,Model!I8)</f>
        <v>0.13437737223719842</v>
      </c>
      <c r="Q229">
        <f ca="1">Inputs!E14+(Inputs!G14-Inputs!E14)*BETAINV(RAND(),Model!J8,Model!K8)</f>
        <v>0.58500242458072949</v>
      </c>
      <c r="R229">
        <f ca="1">(Inputs!H14+(Inputs!J14-Inputs!H14)*BETAINV(RAND(),Model!L8,Model!M8))*Inputs!$C$6</f>
        <v>596235.16690771596</v>
      </c>
      <c r="S229">
        <f t="shared" ca="1" si="71"/>
        <v>7.8611088567548282E-2</v>
      </c>
      <c r="T229">
        <f t="shared" ca="1" si="72"/>
        <v>0.34849735322249853</v>
      </c>
      <c r="U229">
        <f t="shared" ca="1" si="73"/>
        <v>0</v>
      </c>
      <c r="V229" s="47">
        <f t="shared" ca="1" si="74"/>
        <v>0</v>
      </c>
      <c r="W229">
        <f ca="1">Inputs!B15+(Inputs!D15-Inputs!B15)*BETAINV(RAND(),Model!H9,Model!I9)</f>
        <v>1.2763371502822114</v>
      </c>
      <c r="X229">
        <f ca="1">Inputs!E15+(Inputs!G15-Inputs!E15)*BETAINV(RAND(),Model!J9,Model!K9)</f>
        <v>0.48792736934553183</v>
      </c>
      <c r="Y229">
        <f ca="1">(Inputs!H15+(Inputs!J15-Inputs!H15)*BETAINV(RAND(),Model!L9,Model!M9))*Inputs!$C$6</f>
        <v>9009.770203506474</v>
      </c>
      <c r="Z229">
        <f t="shared" ca="1" si="75"/>
        <v>0.62275982813517217</v>
      </c>
      <c r="AA229">
        <f t="shared" ca="1" si="76"/>
        <v>0.55398304723635328</v>
      </c>
      <c r="AB229">
        <f t="shared" ca="1" si="77"/>
        <v>1</v>
      </c>
      <c r="AC229" s="47">
        <f t="shared" ca="1" si="78"/>
        <v>9009.770203506474</v>
      </c>
      <c r="AD229">
        <f ca="1">Inputs!B16+(Inputs!D16-Inputs!B16)*BETAINV(RAND(),Model!H10,Model!I10)</f>
        <v>0.79672546262955635</v>
      </c>
      <c r="AE229">
        <f ca="1">Inputs!E16+(Inputs!G16-Inputs!E16)*BETAINV(RAND(),Model!J10,Model!K10)</f>
        <v>0.65785614039609253</v>
      </c>
      <c r="AF229">
        <f ca="1">(Inputs!H16+(Inputs!J16-Inputs!H16)*BETAINV(RAND(),Model!L10,Model!M10))*Inputs!$C$6</f>
        <v>116042.76818221137</v>
      </c>
      <c r="AG229">
        <f t="shared" ca="1" si="79"/>
        <v>0.52413073780077124</v>
      </c>
      <c r="AH229">
        <f t="shared" ca="1" si="80"/>
        <v>0.15416974467140832</v>
      </c>
      <c r="AI229">
        <f t="shared" ca="1" si="81"/>
        <v>0</v>
      </c>
      <c r="AJ229" s="47">
        <f t="shared" ca="1" si="82"/>
        <v>0</v>
      </c>
      <c r="AK229">
        <f t="shared" ca="1" si="83"/>
        <v>41386.277126162</v>
      </c>
    </row>
    <row r="230" spans="2:37" x14ac:dyDescent="0.2">
      <c r="B230">
        <f ca="1">Inputs!B12+(Inputs!D12-Inputs!B12)*BETAINV(RAND(),Model!H6,Model!I6)</f>
        <v>2.4442086763274431</v>
      </c>
      <c r="C230">
        <f ca="1">Inputs!E12+(Inputs!G12-Inputs!E12)*BETAINV(RAND(),Model!J6,Model!K6)</f>
        <v>0.27227408410242815</v>
      </c>
      <c r="D230">
        <f ca="1">(Inputs!H12+(Inputs!J12-Inputs!H12)*BETAINV(RAND(),Model!L6,Model!M6))*Inputs!$C$6</f>
        <v>21911.339202372434</v>
      </c>
      <c r="E230">
        <f t="shared" ca="1" si="63"/>
        <v>0.66549467870226287</v>
      </c>
      <c r="F230">
        <f t="shared" ca="1" si="64"/>
        <v>0.10111399353301398</v>
      </c>
      <c r="G230">
        <f t="shared" ca="1" si="65"/>
        <v>0</v>
      </c>
      <c r="H230" s="47">
        <f t="shared" ca="1" si="66"/>
        <v>0</v>
      </c>
      <c r="I230">
        <f ca="1">Inputs!B13+(Inputs!D13-Inputs!B13)*BETAINV(RAND(),Model!H7,Model!I7)</f>
        <v>2.4684388597159637</v>
      </c>
      <c r="J230">
        <f ca="1">Inputs!E13+(Inputs!G13-Inputs!E13)*BETAINV(RAND(),Model!J7,Model!K7)</f>
        <v>0.14726427237484618</v>
      </c>
      <c r="K230">
        <f ca="1">(Inputs!H13+(Inputs!J13-Inputs!H13)*BETAINV(RAND(),Model!L7,Model!M7))*Inputs!$C$6</f>
        <v>48129.055057709309</v>
      </c>
      <c r="L230">
        <f t="shared" ca="1" si="67"/>
        <v>0.36351285257786642</v>
      </c>
      <c r="M230">
        <f t="shared" ca="1" si="68"/>
        <v>1.4456061886456428E-2</v>
      </c>
      <c r="N230">
        <f t="shared" ca="1" si="69"/>
        <v>0</v>
      </c>
      <c r="O230" s="47">
        <f t="shared" ca="1" si="70"/>
        <v>0</v>
      </c>
      <c r="P230">
        <f ca="1">Inputs!B14+(Inputs!D14-Inputs!B14)*BETAINV(RAND(),Model!H8,Model!I8)</f>
        <v>0.32794550264889938</v>
      </c>
      <c r="Q230">
        <f ca="1">Inputs!E14+(Inputs!G14-Inputs!E14)*BETAINV(RAND(),Model!J8,Model!K8)</f>
        <v>0.50935562717588478</v>
      </c>
      <c r="R230">
        <f ca="1">(Inputs!H14+(Inputs!J14-Inputs!H14)*BETAINV(RAND(),Model!L8,Model!M8))*Inputs!$C$6</f>
        <v>269266.70871610835</v>
      </c>
      <c r="S230">
        <f t="shared" ca="1" si="71"/>
        <v>0.16704088718124094</v>
      </c>
      <c r="T230">
        <f t="shared" ca="1" si="72"/>
        <v>0.68480221439678612</v>
      </c>
      <c r="U230">
        <f t="shared" ca="1" si="73"/>
        <v>0</v>
      </c>
      <c r="V230" s="47">
        <f t="shared" ca="1" si="74"/>
        <v>0</v>
      </c>
      <c r="W230">
        <f ca="1">Inputs!B15+(Inputs!D15-Inputs!B15)*BETAINV(RAND(),Model!H9,Model!I9)</f>
        <v>1.2202946778110786</v>
      </c>
      <c r="X230">
        <f ca="1">Inputs!E15+(Inputs!G15-Inputs!E15)*BETAINV(RAND(),Model!J9,Model!K9)</f>
        <v>0.3127107150891219</v>
      </c>
      <c r="Y230">
        <f ca="1">(Inputs!H15+(Inputs!J15-Inputs!H15)*BETAINV(RAND(),Model!L9,Model!M9))*Inputs!$C$6</f>
        <v>15444.682051564467</v>
      </c>
      <c r="Z230">
        <f t="shared" ca="1" si="75"/>
        <v>0.38159922131775198</v>
      </c>
      <c r="AA230">
        <f t="shared" ca="1" si="76"/>
        <v>0.32714690554282544</v>
      </c>
      <c r="AB230">
        <f t="shared" ca="1" si="77"/>
        <v>0</v>
      </c>
      <c r="AC230" s="47">
        <f t="shared" ca="1" si="78"/>
        <v>0</v>
      </c>
      <c r="AD230">
        <f ca="1">Inputs!B16+(Inputs!D16-Inputs!B16)*BETAINV(RAND(),Model!H10,Model!I10)</f>
        <v>0.67292384009507711</v>
      </c>
      <c r="AE230">
        <f ca="1">Inputs!E16+(Inputs!G16-Inputs!E16)*BETAINV(RAND(),Model!J10,Model!K10)</f>
        <v>0.66452704062387424</v>
      </c>
      <c r="AF230">
        <f ca="1">(Inputs!H16+(Inputs!J16-Inputs!H16)*BETAINV(RAND(),Model!L10,Model!M10))*Inputs!$C$6</f>
        <v>94535.566230392345</v>
      </c>
      <c r="AG230">
        <f t="shared" ca="1" si="79"/>
        <v>0.44717608802363479</v>
      </c>
      <c r="AH230">
        <f t="shared" ca="1" si="80"/>
        <v>0.42637959817864779</v>
      </c>
      <c r="AI230">
        <f t="shared" ca="1" si="81"/>
        <v>0</v>
      </c>
      <c r="AJ230" s="47">
        <f t="shared" ca="1" si="82"/>
        <v>0</v>
      </c>
      <c r="AK230">
        <f t="shared" ca="1" si="83"/>
        <v>0</v>
      </c>
    </row>
    <row r="231" spans="2:37" x14ac:dyDescent="0.2">
      <c r="B231">
        <f ca="1">Inputs!B12+(Inputs!D12-Inputs!B12)*BETAINV(RAND(),Model!H6,Model!I6)</f>
        <v>3.2735065909255541</v>
      </c>
      <c r="C231">
        <f ca="1">Inputs!E12+(Inputs!G12-Inputs!E12)*BETAINV(RAND(),Model!J6,Model!K6)</f>
        <v>0.27896383966742966</v>
      </c>
      <c r="D231">
        <f ca="1">(Inputs!H12+(Inputs!J12-Inputs!H12)*BETAINV(RAND(),Model!L6,Model!M6))*Inputs!$C$6</f>
        <v>49490.50745311573</v>
      </c>
      <c r="E231">
        <f t="shared" ca="1" si="63"/>
        <v>0.91318996778123052</v>
      </c>
      <c r="F231">
        <f t="shared" ca="1" si="64"/>
        <v>0.90854883002486864</v>
      </c>
      <c r="G231">
        <f t="shared" ca="1" si="65"/>
        <v>2</v>
      </c>
      <c r="H231" s="47">
        <f t="shared" ca="1" si="66"/>
        <v>98981.014906231459</v>
      </c>
      <c r="I231">
        <f ca="1">Inputs!B13+(Inputs!D13-Inputs!B13)*BETAINV(RAND(),Model!H7,Model!I7)</f>
        <v>3.0750545124580131</v>
      </c>
      <c r="J231">
        <f ca="1">Inputs!E13+(Inputs!G13-Inputs!E13)*BETAINV(RAND(),Model!J7,Model!K7)</f>
        <v>0.26090403102947934</v>
      </c>
      <c r="K231">
        <f ca="1">(Inputs!H13+(Inputs!J13-Inputs!H13)*BETAINV(RAND(),Model!L7,Model!M7))*Inputs!$C$6</f>
        <v>19868.294476088715</v>
      </c>
      <c r="L231">
        <f t="shared" ca="1" si="67"/>
        <v>0.80229411793568595</v>
      </c>
      <c r="M231">
        <f t="shared" ca="1" si="68"/>
        <v>0.15878755027374292</v>
      </c>
      <c r="N231">
        <f t="shared" ca="1" si="69"/>
        <v>0</v>
      </c>
      <c r="O231" s="47">
        <f t="shared" ca="1" si="70"/>
        <v>0</v>
      </c>
      <c r="P231">
        <f ca="1">Inputs!B14+(Inputs!D14-Inputs!B14)*BETAINV(RAND(),Model!H8,Model!I8)</f>
        <v>0.22479109340643216</v>
      </c>
      <c r="Q231">
        <f ca="1">Inputs!E14+(Inputs!G14-Inputs!E14)*BETAINV(RAND(),Model!J8,Model!K8)</f>
        <v>0.4798039986080439</v>
      </c>
      <c r="R231">
        <f ca="1">(Inputs!H14+(Inputs!J14-Inputs!H14)*BETAINV(RAND(),Model!L8,Model!M8))*Inputs!$C$6</f>
        <v>320425.4656140586</v>
      </c>
      <c r="S231">
        <f t="shared" ca="1" si="71"/>
        <v>0.10785566546788045</v>
      </c>
      <c r="T231">
        <f t="shared" ca="1" si="72"/>
        <v>0.48122468010378394</v>
      </c>
      <c r="U231">
        <f t="shared" ca="1" si="73"/>
        <v>0</v>
      </c>
      <c r="V231" s="47">
        <f t="shared" ca="1" si="74"/>
        <v>0</v>
      </c>
      <c r="W231">
        <f ca="1">Inputs!B15+(Inputs!D15-Inputs!B15)*BETAINV(RAND(),Model!H9,Model!I9)</f>
        <v>0.51152887465968977</v>
      </c>
      <c r="X231">
        <f ca="1">Inputs!E15+(Inputs!G15-Inputs!E15)*BETAINV(RAND(),Model!J9,Model!K9)</f>
        <v>0.3619818004979769</v>
      </c>
      <c r="Y231">
        <f ca="1">(Inputs!H15+(Inputs!J15-Inputs!H15)*BETAINV(RAND(),Model!L9,Model!M9))*Inputs!$C$6</f>
        <v>37131.902538159527</v>
      </c>
      <c r="Z231">
        <f t="shared" ca="1" si="75"/>
        <v>0.18516414305601844</v>
      </c>
      <c r="AA231">
        <f t="shared" ca="1" si="76"/>
        <v>0.21033098150705165</v>
      </c>
      <c r="AB231">
        <f t="shared" ca="1" si="77"/>
        <v>0</v>
      </c>
      <c r="AC231" s="47">
        <f t="shared" ca="1" si="78"/>
        <v>0</v>
      </c>
      <c r="AD231">
        <f ca="1">Inputs!B16+(Inputs!D16-Inputs!B16)*BETAINV(RAND(),Model!H10,Model!I10)</f>
        <v>1.2183553337552135</v>
      </c>
      <c r="AE231">
        <f ca="1">Inputs!E16+(Inputs!G16-Inputs!E16)*BETAINV(RAND(),Model!J10,Model!K10)</f>
        <v>0.63555887222126972</v>
      </c>
      <c r="AF231">
        <f ca="1">(Inputs!H16+(Inputs!J16-Inputs!H16)*BETAINV(RAND(),Model!L10,Model!M10))*Inputs!$C$6</f>
        <v>62745.025472070694</v>
      </c>
      <c r="AG231">
        <f t="shared" ca="1" si="79"/>
        <v>0.77433654188623224</v>
      </c>
      <c r="AH231">
        <f t="shared" ca="1" si="80"/>
        <v>0.45847861603676299</v>
      </c>
      <c r="AI231">
        <f t="shared" ca="1" si="81"/>
        <v>0</v>
      </c>
      <c r="AJ231" s="47">
        <f t="shared" ca="1" si="82"/>
        <v>0</v>
      </c>
      <c r="AK231">
        <f t="shared" ca="1" si="83"/>
        <v>98981.014906231459</v>
      </c>
    </row>
    <row r="232" spans="2:37" x14ac:dyDescent="0.2">
      <c r="B232">
        <f ca="1">Inputs!B12+(Inputs!D12-Inputs!B12)*BETAINV(RAND(),Model!H6,Model!I6)</f>
        <v>2.214313182632174</v>
      </c>
      <c r="C232">
        <f ca="1">Inputs!E12+(Inputs!G12-Inputs!E12)*BETAINV(RAND(),Model!J6,Model!K6)</f>
        <v>0.38462199978407657</v>
      </c>
      <c r="D232">
        <f ca="1">(Inputs!H12+(Inputs!J12-Inputs!H12)*BETAINV(RAND(),Model!L6,Model!M6))*Inputs!$C$6</f>
        <v>10394.819118340027</v>
      </c>
      <c r="E232">
        <f t="shared" ca="1" si="63"/>
        <v>0.85167356445222997</v>
      </c>
      <c r="F232">
        <f t="shared" ca="1" si="64"/>
        <v>0.19321501774811911</v>
      </c>
      <c r="G232">
        <f t="shared" ca="1" si="65"/>
        <v>0</v>
      </c>
      <c r="H232" s="47">
        <f t="shared" ca="1" si="66"/>
        <v>0</v>
      </c>
      <c r="I232">
        <f ca="1">Inputs!B13+(Inputs!D13-Inputs!B13)*BETAINV(RAND(),Model!H7,Model!I7)</f>
        <v>1.1302848808381452</v>
      </c>
      <c r="J232">
        <f ca="1">Inputs!E13+(Inputs!G13-Inputs!E13)*BETAINV(RAND(),Model!J7,Model!K7)</f>
        <v>0.16611337197343035</v>
      </c>
      <c r="K232">
        <f ca="1">(Inputs!H13+(Inputs!J13-Inputs!H13)*BETAINV(RAND(),Model!L7,Model!M7))*Inputs!$C$6</f>
        <v>27553.204489399406</v>
      </c>
      <c r="L232">
        <f t="shared" ca="1" si="67"/>
        <v>0.1877554328466112</v>
      </c>
      <c r="M232">
        <f t="shared" ca="1" si="68"/>
        <v>0.30517938832892733</v>
      </c>
      <c r="N232">
        <f t="shared" ca="1" si="69"/>
        <v>0</v>
      </c>
      <c r="O232" s="47">
        <f t="shared" ca="1" si="70"/>
        <v>0</v>
      </c>
      <c r="P232">
        <f ca="1">Inputs!B14+(Inputs!D14-Inputs!B14)*BETAINV(RAND(),Model!H8,Model!I8)</f>
        <v>0.31995651622550808</v>
      </c>
      <c r="Q232">
        <f ca="1">Inputs!E14+(Inputs!G14-Inputs!E14)*BETAINV(RAND(),Model!J8,Model!K8)</f>
        <v>0.46355163772030905</v>
      </c>
      <c r="R232">
        <f ca="1">(Inputs!H14+(Inputs!J14-Inputs!H14)*BETAINV(RAND(),Model!L8,Model!M8))*Inputs!$C$6</f>
        <v>446007.75189612375</v>
      </c>
      <c r="S232">
        <f t="shared" ca="1" si="71"/>
        <v>0.14831636709561891</v>
      </c>
      <c r="T232">
        <f t="shared" ca="1" si="72"/>
        <v>0.44429774677411582</v>
      </c>
      <c r="U232">
        <f t="shared" ca="1" si="73"/>
        <v>0</v>
      </c>
      <c r="V232" s="47">
        <f t="shared" ca="1" si="74"/>
        <v>0</v>
      </c>
      <c r="W232">
        <f ca="1">Inputs!B15+(Inputs!D15-Inputs!B15)*BETAINV(RAND(),Model!H9,Model!I9)</f>
        <v>1.0306361664871448</v>
      </c>
      <c r="X232">
        <f ca="1">Inputs!E15+(Inputs!G15-Inputs!E15)*BETAINV(RAND(),Model!J9,Model!K9)</f>
        <v>0.35752366870385949</v>
      </c>
      <c r="Y232">
        <f ca="1">(Inputs!H15+(Inputs!J15-Inputs!H15)*BETAINV(RAND(),Model!L9,Model!M9))*Inputs!$C$6</f>
        <v>36360.002169006046</v>
      </c>
      <c r="Z232">
        <f t="shared" ca="1" si="75"/>
        <v>0.36847682334136572</v>
      </c>
      <c r="AA232">
        <f t="shared" ca="1" si="76"/>
        <v>3.1755681821892368E-2</v>
      </c>
      <c r="AB232">
        <f t="shared" ca="1" si="77"/>
        <v>0</v>
      </c>
      <c r="AC232" s="47">
        <f t="shared" ca="1" si="78"/>
        <v>0</v>
      </c>
      <c r="AD232">
        <f ca="1">Inputs!B16+(Inputs!D16-Inputs!B16)*BETAINV(RAND(),Model!H10,Model!I10)</f>
        <v>0.52683080916718927</v>
      </c>
      <c r="AE232">
        <f ca="1">Inputs!E16+(Inputs!G16-Inputs!E16)*BETAINV(RAND(),Model!J10,Model!K10)</f>
        <v>0.64886822074717898</v>
      </c>
      <c r="AF232">
        <f ca="1">(Inputs!H16+(Inputs!J16-Inputs!H16)*BETAINV(RAND(),Model!L10,Model!M10))*Inputs!$C$6</f>
        <v>111558.41923265185</v>
      </c>
      <c r="AG232">
        <f t="shared" ca="1" si="79"/>
        <v>0.34184376977911068</v>
      </c>
      <c r="AH232">
        <f t="shared" ca="1" si="80"/>
        <v>0.29775183487393508</v>
      </c>
      <c r="AI232">
        <f t="shared" ca="1" si="81"/>
        <v>0</v>
      </c>
      <c r="AJ232" s="47">
        <f t="shared" ca="1" si="82"/>
        <v>0</v>
      </c>
      <c r="AK232">
        <f t="shared" ca="1" si="83"/>
        <v>0</v>
      </c>
    </row>
    <row r="233" spans="2:37" x14ac:dyDescent="0.2">
      <c r="B233">
        <f ca="1">Inputs!B12+(Inputs!D12-Inputs!B12)*BETAINV(RAND(),Model!H6,Model!I6)</f>
        <v>2.0011457895467624</v>
      </c>
      <c r="C233">
        <f ca="1">Inputs!E12+(Inputs!G12-Inputs!E12)*BETAINV(RAND(),Model!J6,Model!K6)</f>
        <v>0.33853544733411622</v>
      </c>
      <c r="D233">
        <f ca="1">(Inputs!H12+(Inputs!J12-Inputs!H12)*BETAINV(RAND(),Model!L6,Model!M6))*Inputs!$C$6</f>
        <v>53527.147763861751</v>
      </c>
      <c r="E233">
        <f t="shared" ca="1" si="63"/>
        <v>0.67745878504499635</v>
      </c>
      <c r="F233">
        <f t="shared" ca="1" si="64"/>
        <v>0.85688283222504857</v>
      </c>
      <c r="G233">
        <f t="shared" ca="1" si="65"/>
        <v>2</v>
      </c>
      <c r="H233" s="47">
        <f t="shared" ca="1" si="66"/>
        <v>107054.2955277235</v>
      </c>
      <c r="I233">
        <f ca="1">Inputs!B13+(Inputs!D13-Inputs!B13)*BETAINV(RAND(),Model!H7,Model!I7)</f>
        <v>2.4061767438464341</v>
      </c>
      <c r="J233">
        <f ca="1">Inputs!E13+(Inputs!G13-Inputs!E13)*BETAINV(RAND(),Model!J7,Model!K7)</f>
        <v>0.25170086632732158</v>
      </c>
      <c r="K233">
        <f ca="1">(Inputs!H13+(Inputs!J13-Inputs!H13)*BETAINV(RAND(),Model!L7,Model!M7))*Inputs!$C$6</f>
        <v>32004.317808104443</v>
      </c>
      <c r="L233">
        <f t="shared" ca="1" si="67"/>
        <v>0.60563677096280122</v>
      </c>
      <c r="M233">
        <f t="shared" ca="1" si="68"/>
        <v>0.49525821349218124</v>
      </c>
      <c r="N233">
        <f t="shared" ca="1" si="69"/>
        <v>0</v>
      </c>
      <c r="O233" s="47">
        <f t="shared" ca="1" si="70"/>
        <v>0</v>
      </c>
      <c r="P233">
        <f ca="1">Inputs!B14+(Inputs!D14-Inputs!B14)*BETAINV(RAND(),Model!H8,Model!I8)</f>
        <v>0.30110034784552009</v>
      </c>
      <c r="Q233">
        <f ca="1">Inputs!E14+(Inputs!G14-Inputs!E14)*BETAINV(RAND(),Model!J8,Model!K8)</f>
        <v>0.62104937456355902</v>
      </c>
      <c r="R233">
        <f ca="1">(Inputs!H14+(Inputs!J14-Inputs!H14)*BETAINV(RAND(),Model!L8,Model!M8))*Inputs!$C$6</f>
        <v>263031.22166652302</v>
      </c>
      <c r="S233">
        <f t="shared" ca="1" si="71"/>
        <v>0.18699818271033031</v>
      </c>
      <c r="T233">
        <f t="shared" ca="1" si="72"/>
        <v>0.77810658740391225</v>
      </c>
      <c r="U233">
        <f t="shared" ca="1" si="73"/>
        <v>0</v>
      </c>
      <c r="V233" s="47">
        <f t="shared" ca="1" si="74"/>
        <v>0</v>
      </c>
      <c r="W233">
        <f ca="1">Inputs!B15+(Inputs!D15-Inputs!B15)*BETAINV(RAND(),Model!H9,Model!I9)</f>
        <v>1.8243333662969754</v>
      </c>
      <c r="X233">
        <f ca="1">Inputs!E15+(Inputs!G15-Inputs!E15)*BETAINV(RAND(),Model!J9,Model!K9)</f>
        <v>0.39882262970724236</v>
      </c>
      <c r="Y233">
        <f ca="1">(Inputs!H15+(Inputs!J15-Inputs!H15)*BETAINV(RAND(),Model!L9,Model!M9))*Inputs!$C$6</f>
        <v>16509.058132072136</v>
      </c>
      <c r="Z233">
        <f t="shared" ca="1" si="75"/>
        <v>0.72758543060922554</v>
      </c>
      <c r="AA233">
        <f t="shared" ca="1" si="76"/>
        <v>0.90403559943252343</v>
      </c>
      <c r="AB233">
        <f t="shared" ca="1" si="77"/>
        <v>2</v>
      </c>
      <c r="AC233" s="47">
        <f t="shared" ca="1" si="78"/>
        <v>33018.116264144272</v>
      </c>
      <c r="AD233">
        <f ca="1">Inputs!B16+(Inputs!D16-Inputs!B16)*BETAINV(RAND(),Model!H10,Model!I10)</f>
        <v>0.53718945044846267</v>
      </c>
      <c r="AE233">
        <f ca="1">Inputs!E16+(Inputs!G16-Inputs!E16)*BETAINV(RAND(),Model!J10,Model!K10)</f>
        <v>0.71497393300234924</v>
      </c>
      <c r="AF233">
        <f ca="1">(Inputs!H16+(Inputs!J16-Inputs!H16)*BETAINV(RAND(),Model!L10,Model!M10))*Inputs!$C$6</f>
        <v>155944.04445790782</v>
      </c>
      <c r="AG233">
        <f t="shared" ca="1" si="79"/>
        <v>0.38407645415450797</v>
      </c>
      <c r="AH233">
        <f t="shared" ca="1" si="80"/>
        <v>0.42202692059586</v>
      </c>
      <c r="AI233">
        <f t="shared" ca="1" si="81"/>
        <v>0</v>
      </c>
      <c r="AJ233" s="47">
        <f t="shared" ca="1" si="82"/>
        <v>0</v>
      </c>
      <c r="AK233">
        <f t="shared" ca="1" si="83"/>
        <v>140072.41179186778</v>
      </c>
    </row>
    <row r="234" spans="2:37" x14ac:dyDescent="0.2">
      <c r="B234">
        <f ca="1">Inputs!B12+(Inputs!D12-Inputs!B12)*BETAINV(RAND(),Model!H6,Model!I6)</f>
        <v>6.2818307510404026</v>
      </c>
      <c r="C234">
        <f ca="1">Inputs!E12+(Inputs!G12-Inputs!E12)*BETAINV(RAND(),Model!J6,Model!K6)</f>
        <v>0.28145496146541077</v>
      </c>
      <c r="D234">
        <f ca="1">(Inputs!H12+(Inputs!J12-Inputs!H12)*BETAINV(RAND(),Model!L6,Model!M6))*Inputs!$C$6</f>
        <v>14389.978050537396</v>
      </c>
      <c r="E234">
        <f t="shared" ca="1" si="63"/>
        <v>1.7680524319663089</v>
      </c>
      <c r="F234">
        <f t="shared" ca="1" si="64"/>
        <v>0.39332586843506501</v>
      </c>
      <c r="G234">
        <f t="shared" ca="1" si="65"/>
        <v>1</v>
      </c>
      <c r="H234" s="47">
        <f t="shared" ca="1" si="66"/>
        <v>14389.978050537396</v>
      </c>
      <c r="I234">
        <f ca="1">Inputs!B13+(Inputs!D13-Inputs!B13)*BETAINV(RAND(),Model!H7,Model!I7)</f>
        <v>2.7624387248331663</v>
      </c>
      <c r="J234">
        <f ca="1">Inputs!E13+(Inputs!G13-Inputs!E13)*BETAINV(RAND(),Model!J7,Model!K7)</f>
        <v>0.17422848475479494</v>
      </c>
      <c r="K234">
        <f ca="1">(Inputs!H13+(Inputs!J13-Inputs!H13)*BETAINV(RAND(),Model!L7,Model!M7))*Inputs!$C$6</f>
        <v>33460.037167089009</v>
      </c>
      <c r="L234">
        <f t="shared" ca="1" si="67"/>
        <v>0.48129551325565051</v>
      </c>
      <c r="M234">
        <f t="shared" ca="1" si="68"/>
        <v>0.47817524182915028</v>
      </c>
      <c r="N234">
        <f t="shared" ca="1" si="69"/>
        <v>0</v>
      </c>
      <c r="O234" s="47">
        <f t="shared" ca="1" si="70"/>
        <v>0</v>
      </c>
      <c r="P234">
        <f ca="1">Inputs!B14+(Inputs!D14-Inputs!B14)*BETAINV(RAND(),Model!H8,Model!I8)</f>
        <v>0.47561162674563295</v>
      </c>
      <c r="Q234">
        <f ca="1">Inputs!E14+(Inputs!G14-Inputs!E14)*BETAINV(RAND(),Model!J8,Model!K8)</f>
        <v>0.46008289502497468</v>
      </c>
      <c r="R234">
        <f ca="1">(Inputs!H14+(Inputs!J14-Inputs!H14)*BETAINV(RAND(),Model!L8,Model!M8))*Inputs!$C$6</f>
        <v>207377.90177254754</v>
      </c>
      <c r="S234">
        <f t="shared" ca="1" si="71"/>
        <v>0.2188207741406685</v>
      </c>
      <c r="T234">
        <f t="shared" ca="1" si="72"/>
        <v>0.49172588525665006</v>
      </c>
      <c r="U234">
        <f t="shared" ca="1" si="73"/>
        <v>0</v>
      </c>
      <c r="V234" s="47">
        <f t="shared" ca="1" si="74"/>
        <v>0</v>
      </c>
      <c r="W234">
        <f ca="1">Inputs!B15+(Inputs!D15-Inputs!B15)*BETAINV(RAND(),Model!H9,Model!I9)</f>
        <v>1.6283227934833946</v>
      </c>
      <c r="X234">
        <f ca="1">Inputs!E15+(Inputs!G15-Inputs!E15)*BETAINV(RAND(),Model!J9,Model!K9)</f>
        <v>0.48707277088267403</v>
      </c>
      <c r="Y234">
        <f ca="1">(Inputs!H15+(Inputs!J15-Inputs!H15)*BETAINV(RAND(),Model!L9,Model!M9))*Inputs!$C$6</f>
        <v>26560.723510098705</v>
      </c>
      <c r="Z234">
        <f t="shared" ca="1" si="75"/>
        <v>0.79311169491337319</v>
      </c>
      <c r="AA234">
        <f t="shared" ca="1" si="76"/>
        <v>0.19742151426710186</v>
      </c>
      <c r="AB234">
        <f t="shared" ca="1" si="77"/>
        <v>0</v>
      </c>
      <c r="AC234" s="47">
        <f t="shared" ca="1" si="78"/>
        <v>0</v>
      </c>
      <c r="AD234">
        <f ca="1">Inputs!B16+(Inputs!D16-Inputs!B16)*BETAINV(RAND(),Model!H10,Model!I10)</f>
        <v>0.43913924573500551</v>
      </c>
      <c r="AE234">
        <f ca="1">Inputs!E16+(Inputs!G16-Inputs!E16)*BETAINV(RAND(),Model!J10,Model!K10)</f>
        <v>0.64985703734613276</v>
      </c>
      <c r="AF234">
        <f ca="1">(Inputs!H16+(Inputs!J16-Inputs!H16)*BETAINV(RAND(),Model!L10,Model!M10))*Inputs!$C$6</f>
        <v>42789.19134544507</v>
      </c>
      <c r="AG234">
        <f t="shared" ca="1" si="79"/>
        <v>0.28537772921576604</v>
      </c>
      <c r="AH234">
        <f t="shared" ca="1" si="80"/>
        <v>0.16409842610268099</v>
      </c>
      <c r="AI234">
        <f t="shared" ca="1" si="81"/>
        <v>0</v>
      </c>
      <c r="AJ234" s="47">
        <f t="shared" ca="1" si="82"/>
        <v>0</v>
      </c>
      <c r="AK234">
        <f t="shared" ca="1" si="83"/>
        <v>14389.978050537396</v>
      </c>
    </row>
    <row r="235" spans="2:37" x14ac:dyDescent="0.2">
      <c r="B235">
        <f ca="1">Inputs!B12+(Inputs!D12-Inputs!B12)*BETAINV(RAND(),Model!H6,Model!I6)</f>
        <v>4.9801710368760652</v>
      </c>
      <c r="C235">
        <f ca="1">Inputs!E12+(Inputs!G12-Inputs!E12)*BETAINV(RAND(),Model!J6,Model!K6)</f>
        <v>0.20147738161798098</v>
      </c>
      <c r="D235">
        <f ca="1">(Inputs!H12+(Inputs!J12-Inputs!H12)*BETAINV(RAND(),Model!L6,Model!M6))*Inputs!$C$6</f>
        <v>18920.324775789915</v>
      </c>
      <c r="E235">
        <f t="shared" ca="1" si="63"/>
        <v>1.0033918205194949</v>
      </c>
      <c r="F235">
        <f t="shared" ca="1" si="64"/>
        <v>0.90576889515363246</v>
      </c>
      <c r="G235">
        <f t="shared" ca="1" si="65"/>
        <v>2</v>
      </c>
      <c r="H235" s="47">
        <f t="shared" ca="1" si="66"/>
        <v>37840.649551579831</v>
      </c>
      <c r="I235">
        <f ca="1">Inputs!B13+(Inputs!D13-Inputs!B13)*BETAINV(RAND(),Model!H7,Model!I7)</f>
        <v>2.6033417470761497</v>
      </c>
      <c r="J235">
        <f ca="1">Inputs!E13+(Inputs!G13-Inputs!E13)*BETAINV(RAND(),Model!J7,Model!K7)</f>
        <v>0.33739813883302833</v>
      </c>
      <c r="K235">
        <f ca="1">(Inputs!H13+(Inputs!J13-Inputs!H13)*BETAINV(RAND(),Model!L7,Model!M7))*Inputs!$C$6</f>
        <v>23465.860372137839</v>
      </c>
      <c r="L235">
        <f t="shared" ca="1" si="67"/>
        <v>0.87836266020981724</v>
      </c>
      <c r="M235">
        <f t="shared" ca="1" si="68"/>
        <v>1.4659885688835916E-2</v>
      </c>
      <c r="N235">
        <f t="shared" ca="1" si="69"/>
        <v>0</v>
      </c>
      <c r="O235" s="47">
        <f t="shared" ca="1" si="70"/>
        <v>0</v>
      </c>
      <c r="P235">
        <f ca="1">Inputs!B14+(Inputs!D14-Inputs!B14)*BETAINV(RAND(),Model!H8,Model!I8)</f>
        <v>0.24803515529126235</v>
      </c>
      <c r="Q235">
        <f ca="1">Inputs!E14+(Inputs!G14-Inputs!E14)*BETAINV(RAND(),Model!J8,Model!K8)</f>
        <v>0.5296681847957958</v>
      </c>
      <c r="R235">
        <f ca="1">(Inputs!H14+(Inputs!J14-Inputs!H14)*BETAINV(RAND(),Model!L8,Model!M8))*Inputs!$C$6</f>
        <v>382487.51997324289</v>
      </c>
      <c r="S235">
        <f t="shared" ca="1" si="71"/>
        <v>0.13137633046866626</v>
      </c>
      <c r="T235">
        <f t="shared" ca="1" si="72"/>
        <v>0.36381535534072384</v>
      </c>
      <c r="U235">
        <f t="shared" ca="1" si="73"/>
        <v>0</v>
      </c>
      <c r="V235" s="47">
        <f t="shared" ca="1" si="74"/>
        <v>0</v>
      </c>
      <c r="W235">
        <f ca="1">Inputs!B15+(Inputs!D15-Inputs!B15)*BETAINV(RAND(),Model!H9,Model!I9)</f>
        <v>1.5319584595669129</v>
      </c>
      <c r="X235">
        <f ca="1">Inputs!E15+(Inputs!G15-Inputs!E15)*BETAINV(RAND(),Model!J9,Model!K9)</f>
        <v>0.62496758451122192</v>
      </c>
      <c r="Y235">
        <f ca="1">(Inputs!H15+(Inputs!J15-Inputs!H15)*BETAINV(RAND(),Model!L9,Model!M9))*Inputs!$C$6</f>
        <v>29788.866317297889</v>
      </c>
      <c r="Z235">
        <f t="shared" ca="1" si="75"/>
        <v>0.95742437804706604</v>
      </c>
      <c r="AA235">
        <f t="shared" ca="1" si="76"/>
        <v>0.52550029173129464</v>
      </c>
      <c r="AB235">
        <f t="shared" ca="1" si="77"/>
        <v>1</v>
      </c>
      <c r="AC235" s="47">
        <f t="shared" ca="1" si="78"/>
        <v>29788.866317297889</v>
      </c>
      <c r="AD235">
        <f ca="1">Inputs!B16+(Inputs!D16-Inputs!B16)*BETAINV(RAND(),Model!H10,Model!I10)</f>
        <v>0.66168366086342245</v>
      </c>
      <c r="AE235">
        <f ca="1">Inputs!E16+(Inputs!G16-Inputs!E16)*BETAINV(RAND(),Model!J10,Model!K10)</f>
        <v>0.76704401848304937</v>
      </c>
      <c r="AF235">
        <f ca="1">(Inputs!H16+(Inputs!J16-Inputs!H16)*BETAINV(RAND(),Model!L10,Model!M10))*Inputs!$C$6</f>
        <v>62187.765228437587</v>
      </c>
      <c r="AG235">
        <f t="shared" ca="1" si="79"/>
        <v>0.50754049419325475</v>
      </c>
      <c r="AH235">
        <f t="shared" ca="1" si="80"/>
        <v>0.12492572783371936</v>
      </c>
      <c r="AI235">
        <f t="shared" ca="1" si="81"/>
        <v>0</v>
      </c>
      <c r="AJ235" s="47">
        <f t="shared" ca="1" si="82"/>
        <v>0</v>
      </c>
      <c r="AK235">
        <f t="shared" ca="1" si="83"/>
        <v>67629.515868877716</v>
      </c>
    </row>
    <row r="236" spans="2:37" x14ac:dyDescent="0.2">
      <c r="B236">
        <f ca="1">Inputs!B12+(Inputs!D12-Inputs!B12)*BETAINV(RAND(),Model!H6,Model!I6)</f>
        <v>2.9916518897073066</v>
      </c>
      <c r="C236">
        <f ca="1">Inputs!E12+(Inputs!G12-Inputs!E12)*BETAINV(RAND(),Model!J6,Model!K6)</f>
        <v>0.36412324734131191</v>
      </c>
      <c r="D236">
        <f ca="1">(Inputs!H12+(Inputs!J12-Inputs!H12)*BETAINV(RAND(),Model!L6,Model!M6))*Inputs!$C$6</f>
        <v>17741.004339422649</v>
      </c>
      <c r="E236">
        <f t="shared" ca="1" si="63"/>
        <v>1.0893300009949967</v>
      </c>
      <c r="F236">
        <f t="shared" ca="1" si="64"/>
        <v>0.263142109416036</v>
      </c>
      <c r="G236">
        <f t="shared" ca="1" si="65"/>
        <v>0</v>
      </c>
      <c r="H236" s="47">
        <f t="shared" ca="1" si="66"/>
        <v>0</v>
      </c>
      <c r="I236">
        <f ca="1">Inputs!B13+(Inputs!D13-Inputs!B13)*BETAINV(RAND(),Model!H7,Model!I7)</f>
        <v>1.4032064680936371</v>
      </c>
      <c r="J236">
        <f ca="1">Inputs!E13+(Inputs!G13-Inputs!E13)*BETAINV(RAND(),Model!J7,Model!K7)</f>
        <v>0.37076816765384413</v>
      </c>
      <c r="K236">
        <f ca="1">(Inputs!H13+(Inputs!J13-Inputs!H13)*BETAINV(RAND(),Model!L7,Model!M7))*Inputs!$C$6</f>
        <v>59151.644069637972</v>
      </c>
      <c r="L236">
        <f t="shared" ca="1" si="67"/>
        <v>0.52026429101510019</v>
      </c>
      <c r="M236">
        <f t="shared" ca="1" si="68"/>
        <v>0.19947119208966502</v>
      </c>
      <c r="N236">
        <f t="shared" ca="1" si="69"/>
        <v>0</v>
      </c>
      <c r="O236" s="47">
        <f t="shared" ca="1" si="70"/>
        <v>0</v>
      </c>
      <c r="P236">
        <f ca="1">Inputs!B14+(Inputs!D14-Inputs!B14)*BETAINV(RAND(),Model!H8,Model!I8)</f>
        <v>0.30751305240317461</v>
      </c>
      <c r="Q236">
        <f ca="1">Inputs!E14+(Inputs!G14-Inputs!E14)*BETAINV(RAND(),Model!J8,Model!K8)</f>
        <v>0.60560426948349722</v>
      </c>
      <c r="R236">
        <f ca="1">(Inputs!H14+(Inputs!J14-Inputs!H14)*BETAINV(RAND(),Model!L8,Model!M8))*Inputs!$C$6</f>
        <v>306656.99671205052</v>
      </c>
      <c r="S236">
        <f t="shared" ca="1" si="71"/>
        <v>0.18623121745726495</v>
      </c>
      <c r="T236">
        <f t="shared" ca="1" si="72"/>
        <v>0.20417067772312503</v>
      </c>
      <c r="U236">
        <f t="shared" ca="1" si="73"/>
        <v>0</v>
      </c>
      <c r="V236" s="47">
        <f t="shared" ca="1" si="74"/>
        <v>0</v>
      </c>
      <c r="W236">
        <f ca="1">Inputs!B15+(Inputs!D15-Inputs!B15)*BETAINV(RAND(),Model!H9,Model!I9)</f>
        <v>2.0641707104503362</v>
      </c>
      <c r="X236">
        <f ca="1">Inputs!E15+(Inputs!G15-Inputs!E15)*BETAINV(RAND(),Model!J9,Model!K9)</f>
        <v>0.50795444100690013</v>
      </c>
      <c r="Y236">
        <f ca="1">(Inputs!H15+(Inputs!J15-Inputs!H15)*BETAINV(RAND(),Model!L9,Model!M9))*Inputs!$C$6</f>
        <v>19357.077745995346</v>
      </c>
      <c r="Z236">
        <f t="shared" ca="1" si="75"/>
        <v>1.0485046793696164</v>
      </c>
      <c r="AA236">
        <f t="shared" ca="1" si="76"/>
        <v>0.13033673074582475</v>
      </c>
      <c r="AB236">
        <f t="shared" ca="1" si="77"/>
        <v>0</v>
      </c>
      <c r="AC236" s="47">
        <f t="shared" ca="1" si="78"/>
        <v>0</v>
      </c>
      <c r="AD236">
        <f ca="1">Inputs!B16+(Inputs!D16-Inputs!B16)*BETAINV(RAND(),Model!H10,Model!I10)</f>
        <v>0.55079947435532084</v>
      </c>
      <c r="AE236">
        <f ca="1">Inputs!E16+(Inputs!G16-Inputs!E16)*BETAINV(RAND(),Model!J10,Model!K10)</f>
        <v>0.54181169265705531</v>
      </c>
      <c r="AF236">
        <f ca="1">(Inputs!H16+(Inputs!J16-Inputs!H16)*BETAINV(RAND(),Model!L10,Model!M10))*Inputs!$C$6</f>
        <v>48179.911672355498</v>
      </c>
      <c r="AG236">
        <f t="shared" ca="1" si="79"/>
        <v>0.2984295955150727</v>
      </c>
      <c r="AH236">
        <f t="shared" ca="1" si="80"/>
        <v>4.0500448366280528E-2</v>
      </c>
      <c r="AI236">
        <f t="shared" ca="1" si="81"/>
        <v>0</v>
      </c>
      <c r="AJ236" s="47">
        <f t="shared" ca="1" si="82"/>
        <v>0</v>
      </c>
      <c r="AK236">
        <f t="shared" ca="1" si="83"/>
        <v>0</v>
      </c>
    </row>
    <row r="237" spans="2:37" x14ac:dyDescent="0.2">
      <c r="B237">
        <f ca="1">Inputs!B12+(Inputs!D12-Inputs!B12)*BETAINV(RAND(),Model!H6,Model!I6)</f>
        <v>6.5622994738175864</v>
      </c>
      <c r="C237">
        <f ca="1">Inputs!E12+(Inputs!G12-Inputs!E12)*BETAINV(RAND(),Model!J6,Model!K6)</f>
        <v>0.24207020104460636</v>
      </c>
      <c r="D237">
        <f ca="1">(Inputs!H12+(Inputs!J12-Inputs!H12)*BETAINV(RAND(),Model!L6,Model!M6))*Inputs!$C$6</f>
        <v>12811.420675608166</v>
      </c>
      <c r="E237">
        <f t="shared" ca="1" si="63"/>
        <v>1.5885371529419376</v>
      </c>
      <c r="F237">
        <f t="shared" ca="1" si="64"/>
        <v>0.74229912496613737</v>
      </c>
      <c r="G237">
        <f t="shared" ca="1" si="65"/>
        <v>2</v>
      </c>
      <c r="H237" s="47">
        <f t="shared" ca="1" si="66"/>
        <v>25622.841351216332</v>
      </c>
      <c r="I237">
        <f ca="1">Inputs!B13+(Inputs!D13-Inputs!B13)*BETAINV(RAND(),Model!H7,Model!I7)</f>
        <v>3.3313576658936732</v>
      </c>
      <c r="J237">
        <f ca="1">Inputs!E13+(Inputs!G13-Inputs!E13)*BETAINV(RAND(),Model!J7,Model!K7)</f>
        <v>0.30509958030642981</v>
      </c>
      <c r="K237">
        <f ca="1">(Inputs!H13+(Inputs!J13-Inputs!H13)*BETAINV(RAND(),Model!L7,Model!M7))*Inputs!$C$6</f>
        <v>39149.928315357036</v>
      </c>
      <c r="L237">
        <f t="shared" ca="1" si="67"/>
        <v>1.0163958257147674</v>
      </c>
      <c r="M237">
        <f t="shared" ca="1" si="68"/>
        <v>0.77531148250476822</v>
      </c>
      <c r="N237">
        <f t="shared" ca="1" si="69"/>
        <v>2</v>
      </c>
      <c r="O237" s="47">
        <f t="shared" ca="1" si="70"/>
        <v>78299.856630714072</v>
      </c>
      <c r="P237">
        <f ca="1">Inputs!B14+(Inputs!D14-Inputs!B14)*BETAINV(RAND(),Model!H8,Model!I8)</f>
        <v>0.6867997207038119</v>
      </c>
      <c r="Q237">
        <f ca="1">Inputs!E14+(Inputs!G14-Inputs!E14)*BETAINV(RAND(),Model!J8,Model!K8)</f>
        <v>0.70501889057043754</v>
      </c>
      <c r="R237">
        <f ca="1">(Inputs!H14+(Inputs!J14-Inputs!H14)*BETAINV(RAND(),Model!L8,Model!M8))*Inputs!$C$6</f>
        <v>524120.44245933078</v>
      </c>
      <c r="S237">
        <f t="shared" ca="1" si="71"/>
        <v>0.48420677713468785</v>
      </c>
      <c r="T237">
        <f t="shared" ca="1" si="72"/>
        <v>0.14860467263416777</v>
      </c>
      <c r="U237">
        <f t="shared" ca="1" si="73"/>
        <v>0</v>
      </c>
      <c r="V237" s="47">
        <f t="shared" ca="1" si="74"/>
        <v>0</v>
      </c>
      <c r="W237">
        <f ca="1">Inputs!B15+(Inputs!D15-Inputs!B15)*BETAINV(RAND(),Model!H9,Model!I9)</f>
        <v>0.81674744534294352</v>
      </c>
      <c r="X237">
        <f ca="1">Inputs!E15+(Inputs!G15-Inputs!E15)*BETAINV(RAND(),Model!J9,Model!K9)</f>
        <v>0.44091562895313341</v>
      </c>
      <c r="Y237">
        <f ca="1">(Inputs!H15+(Inputs!J15-Inputs!H15)*BETAINV(RAND(),Model!L9,Model!M9))*Inputs!$C$6</f>
        <v>47510.933707967102</v>
      </c>
      <c r="Z237">
        <f t="shared" ca="1" si="75"/>
        <v>0.3601167135592489</v>
      </c>
      <c r="AA237">
        <f t="shared" ca="1" si="76"/>
        <v>0.67855110967969401</v>
      </c>
      <c r="AB237">
        <f t="shared" ca="1" si="77"/>
        <v>0</v>
      </c>
      <c r="AC237" s="47">
        <f t="shared" ca="1" si="78"/>
        <v>0</v>
      </c>
      <c r="AD237">
        <f ca="1">Inputs!B16+(Inputs!D16-Inputs!B16)*BETAINV(RAND(),Model!H10,Model!I10)</f>
        <v>0.95318122131523619</v>
      </c>
      <c r="AE237">
        <f ca="1">Inputs!E16+(Inputs!G16-Inputs!E16)*BETAINV(RAND(),Model!J10,Model!K10)</f>
        <v>0.61533111115049577</v>
      </c>
      <c r="AF237">
        <f ca="1">(Inputs!H16+(Inputs!J16-Inputs!H16)*BETAINV(RAND(),Model!L10,Model!M10))*Inputs!$C$6</f>
        <v>50104.866650474658</v>
      </c>
      <c r="AG237">
        <f t="shared" ca="1" si="79"/>
        <v>0.58652206003969087</v>
      </c>
      <c r="AH237">
        <f t="shared" ca="1" si="80"/>
        <v>0.9826434880803756</v>
      </c>
      <c r="AI237">
        <f t="shared" ca="1" si="81"/>
        <v>3</v>
      </c>
      <c r="AJ237" s="47">
        <f t="shared" ca="1" si="82"/>
        <v>150314.59995142397</v>
      </c>
      <c r="AK237">
        <f t="shared" ca="1" si="83"/>
        <v>254237.29793335436</v>
      </c>
    </row>
    <row r="238" spans="2:37" x14ac:dyDescent="0.2">
      <c r="B238">
        <f ca="1">Inputs!B12+(Inputs!D12-Inputs!B12)*BETAINV(RAND(),Model!H6,Model!I6)</f>
        <v>4.1098234617750169</v>
      </c>
      <c r="C238">
        <f ca="1">Inputs!E12+(Inputs!G12-Inputs!E12)*BETAINV(RAND(),Model!J6,Model!K6)</f>
        <v>0.36133771647722562</v>
      </c>
      <c r="D238">
        <f ca="1">(Inputs!H12+(Inputs!J12-Inputs!H12)*BETAINV(RAND(),Model!L6,Model!M6))*Inputs!$C$6</f>
        <v>34302.385903267597</v>
      </c>
      <c r="E238">
        <f t="shared" ca="1" si="63"/>
        <v>1.485034224802311</v>
      </c>
      <c r="F238">
        <f t="shared" ca="1" si="64"/>
        <v>0.20407276441564948</v>
      </c>
      <c r="G238">
        <f t="shared" ca="1" si="65"/>
        <v>0</v>
      </c>
      <c r="H238" s="47">
        <f t="shared" ca="1" si="66"/>
        <v>0</v>
      </c>
      <c r="I238">
        <f ca="1">Inputs!B13+(Inputs!D13-Inputs!B13)*BETAINV(RAND(),Model!H7,Model!I7)</f>
        <v>1.6944033757839301</v>
      </c>
      <c r="J238">
        <f ca="1">Inputs!E13+(Inputs!G13-Inputs!E13)*BETAINV(RAND(),Model!J7,Model!K7)</f>
        <v>0.16433460993182536</v>
      </c>
      <c r="K238">
        <f ca="1">(Inputs!H13+(Inputs!J13-Inputs!H13)*BETAINV(RAND(),Model!L7,Model!M7))*Inputs!$C$6</f>
        <v>18501.29824426023</v>
      </c>
      <c r="L238">
        <f t="shared" ca="1" si="67"/>
        <v>0.27844911782662024</v>
      </c>
      <c r="M238">
        <f t="shared" ca="1" si="68"/>
        <v>6.6073748695748891E-2</v>
      </c>
      <c r="N238">
        <f t="shared" ca="1" si="69"/>
        <v>0</v>
      </c>
      <c r="O238" s="47">
        <f t="shared" ca="1" si="70"/>
        <v>0</v>
      </c>
      <c r="P238">
        <f ca="1">Inputs!B14+(Inputs!D14-Inputs!B14)*BETAINV(RAND(),Model!H8,Model!I8)</f>
        <v>0.38236352087440906</v>
      </c>
      <c r="Q238">
        <f ca="1">Inputs!E14+(Inputs!G14-Inputs!E14)*BETAINV(RAND(),Model!J8,Model!K8)</f>
        <v>0.59193719810472056</v>
      </c>
      <c r="R238">
        <f ca="1">(Inputs!H14+(Inputs!J14-Inputs!H14)*BETAINV(RAND(),Model!L8,Model!M8))*Inputs!$C$6</f>
        <v>377328.79345058068</v>
      </c>
      <c r="S238">
        <f t="shared" ca="1" si="71"/>
        <v>0.22633519120385354</v>
      </c>
      <c r="T238">
        <f t="shared" ca="1" si="72"/>
        <v>5.9188112214048738E-2</v>
      </c>
      <c r="U238">
        <f t="shared" ca="1" si="73"/>
        <v>0</v>
      </c>
      <c r="V238" s="47">
        <f t="shared" ca="1" si="74"/>
        <v>0</v>
      </c>
      <c r="W238">
        <f ca="1">Inputs!B15+(Inputs!D15-Inputs!B15)*BETAINV(RAND(),Model!H9,Model!I9)</f>
        <v>0.738173367246033</v>
      </c>
      <c r="X238">
        <f ca="1">Inputs!E15+(Inputs!G15-Inputs!E15)*BETAINV(RAND(),Model!J9,Model!K9)</f>
        <v>0.44759756896935154</v>
      </c>
      <c r="Y238">
        <f ca="1">(Inputs!H15+(Inputs!J15-Inputs!H15)*BETAINV(RAND(),Model!L9,Model!M9))*Inputs!$C$6</f>
        <v>55378.200126205949</v>
      </c>
      <c r="Z238">
        <f t="shared" ca="1" si="75"/>
        <v>0.33040460465724469</v>
      </c>
      <c r="AA238">
        <f t="shared" ca="1" si="76"/>
        <v>0.89435889876467634</v>
      </c>
      <c r="AB238">
        <f t="shared" ca="1" si="77"/>
        <v>1</v>
      </c>
      <c r="AC238" s="47">
        <f t="shared" ca="1" si="78"/>
        <v>55378.200126205949</v>
      </c>
      <c r="AD238">
        <f ca="1">Inputs!B16+(Inputs!D16-Inputs!B16)*BETAINV(RAND(),Model!H10,Model!I10)</f>
        <v>0.55661718110862424</v>
      </c>
      <c r="AE238">
        <f ca="1">Inputs!E16+(Inputs!G16-Inputs!E16)*BETAINV(RAND(),Model!J10,Model!K10)</f>
        <v>0.70006708756882563</v>
      </c>
      <c r="AF238">
        <f ca="1">(Inputs!H16+(Inputs!J16-Inputs!H16)*BETAINV(RAND(),Model!L10,Model!M10))*Inputs!$C$6</f>
        <v>97033.360454911803</v>
      </c>
      <c r="AG238">
        <f t="shared" ca="1" si="79"/>
        <v>0.38966936886948411</v>
      </c>
      <c r="AH238">
        <f t="shared" ca="1" si="80"/>
        <v>0.16358815572946395</v>
      </c>
      <c r="AI238">
        <f t="shared" ca="1" si="81"/>
        <v>0</v>
      </c>
      <c r="AJ238" s="47">
        <f t="shared" ca="1" si="82"/>
        <v>0</v>
      </c>
      <c r="AK238">
        <f t="shared" ca="1" si="83"/>
        <v>55378.200126205949</v>
      </c>
    </row>
    <row r="239" spans="2:37" x14ac:dyDescent="0.2">
      <c r="B239">
        <f ca="1">Inputs!B12+(Inputs!D12-Inputs!B12)*BETAINV(RAND(),Model!H6,Model!I6)</f>
        <v>1.7699628655630979</v>
      </c>
      <c r="C239">
        <f ca="1">Inputs!E12+(Inputs!G12-Inputs!E12)*BETAINV(RAND(),Model!J6,Model!K6)</f>
        <v>0.30026240176815011</v>
      </c>
      <c r="D239">
        <f ca="1">(Inputs!H12+(Inputs!J12-Inputs!H12)*BETAINV(RAND(),Model!L6,Model!M6))*Inputs!$C$6</f>
        <v>29914.180415479044</v>
      </c>
      <c r="E239">
        <f t="shared" ca="1" si="63"/>
        <v>0.53145330105441313</v>
      </c>
      <c r="F239">
        <f t="shared" ca="1" si="64"/>
        <v>0.1620474680836802</v>
      </c>
      <c r="G239">
        <f t="shared" ca="1" si="65"/>
        <v>0</v>
      </c>
      <c r="H239" s="47">
        <f t="shared" ca="1" si="66"/>
        <v>0</v>
      </c>
      <c r="I239">
        <f ca="1">Inputs!B13+(Inputs!D13-Inputs!B13)*BETAINV(RAND(),Model!H7,Model!I7)</f>
        <v>1.6448741806395519</v>
      </c>
      <c r="J239">
        <f ca="1">Inputs!E13+(Inputs!G13-Inputs!E13)*BETAINV(RAND(),Model!J7,Model!K7)</f>
        <v>0.32826228156793169</v>
      </c>
      <c r="K239">
        <f ca="1">(Inputs!H13+(Inputs!J13-Inputs!H13)*BETAINV(RAND(),Model!L7,Model!M7))*Inputs!$C$6</f>
        <v>53676.153717475929</v>
      </c>
      <c r="L239">
        <f t="shared" ca="1" si="67"/>
        <v>0.53995015142892155</v>
      </c>
      <c r="M239">
        <f t="shared" ca="1" si="68"/>
        <v>6.8939570251328908E-2</v>
      </c>
      <c r="N239">
        <f t="shared" ca="1" si="69"/>
        <v>0</v>
      </c>
      <c r="O239" s="47">
        <f t="shared" ca="1" si="70"/>
        <v>0</v>
      </c>
      <c r="P239">
        <f ca="1">Inputs!B14+(Inputs!D14-Inputs!B14)*BETAINV(RAND(),Model!H8,Model!I8)</f>
        <v>0.19198146994720811</v>
      </c>
      <c r="Q239">
        <f ca="1">Inputs!E14+(Inputs!G14-Inputs!E14)*BETAINV(RAND(),Model!J8,Model!K8)</f>
        <v>0.69650133209439324</v>
      </c>
      <c r="R239">
        <f ca="1">(Inputs!H14+(Inputs!J14-Inputs!H14)*BETAINV(RAND(),Model!L8,Model!M8))*Inputs!$C$6</f>
        <v>214601.76144320928</v>
      </c>
      <c r="S239">
        <f t="shared" ca="1" si="71"/>
        <v>0.13371534955567016</v>
      </c>
      <c r="T239">
        <f t="shared" ca="1" si="72"/>
        <v>0.63624123153351819</v>
      </c>
      <c r="U239">
        <f t="shared" ca="1" si="73"/>
        <v>0</v>
      </c>
      <c r="V239" s="47">
        <f t="shared" ca="1" si="74"/>
        <v>0</v>
      </c>
      <c r="W239">
        <f ca="1">Inputs!B15+(Inputs!D15-Inputs!B15)*BETAINV(RAND(),Model!H9,Model!I9)</f>
        <v>0.84658138239884173</v>
      </c>
      <c r="X239">
        <f ca="1">Inputs!E15+(Inputs!G15-Inputs!E15)*BETAINV(RAND(),Model!J9,Model!K9)</f>
        <v>0.46356845011368064</v>
      </c>
      <c r="Y239">
        <f ca="1">(Inputs!H15+(Inputs!J15-Inputs!H15)*BETAINV(RAND(),Model!L9,Model!M9))*Inputs!$C$6</f>
        <v>9904.6651151198839</v>
      </c>
      <c r="Z239">
        <f t="shared" ca="1" si="75"/>
        <v>0.39244841933372826</v>
      </c>
      <c r="AA239">
        <f t="shared" ca="1" si="76"/>
        <v>0.23841319378546766</v>
      </c>
      <c r="AB239">
        <f t="shared" ca="1" si="77"/>
        <v>0</v>
      </c>
      <c r="AC239" s="47">
        <f t="shared" ca="1" si="78"/>
        <v>0</v>
      </c>
      <c r="AD239">
        <f ca="1">Inputs!B16+(Inputs!D16-Inputs!B16)*BETAINV(RAND(),Model!H10,Model!I10)</f>
        <v>0.74609254999265806</v>
      </c>
      <c r="AE239">
        <f ca="1">Inputs!E16+(Inputs!G16-Inputs!E16)*BETAINV(RAND(),Model!J10,Model!K10)</f>
        <v>0.69891885404553633</v>
      </c>
      <c r="AF239">
        <f ca="1">(Inputs!H16+(Inputs!J16-Inputs!H16)*BETAINV(RAND(),Model!L10,Model!M10))*Inputs!$C$6</f>
        <v>82429.617131862833</v>
      </c>
      <c r="AG239">
        <f t="shared" ca="1" si="79"/>
        <v>0.52145815005278062</v>
      </c>
      <c r="AH239">
        <f t="shared" ca="1" si="80"/>
        <v>0.8769394503998672</v>
      </c>
      <c r="AI239">
        <f t="shared" ca="1" si="81"/>
        <v>1</v>
      </c>
      <c r="AJ239" s="47">
        <f t="shared" ca="1" si="82"/>
        <v>82429.617131862833</v>
      </c>
      <c r="AK239">
        <f t="shared" ca="1" si="83"/>
        <v>82429.617131862833</v>
      </c>
    </row>
    <row r="240" spans="2:37" x14ac:dyDescent="0.2">
      <c r="B240">
        <f ca="1">Inputs!B12+(Inputs!D12-Inputs!B12)*BETAINV(RAND(),Model!H6,Model!I6)</f>
        <v>4.6995780080100618</v>
      </c>
      <c r="C240">
        <f ca="1">Inputs!E12+(Inputs!G12-Inputs!E12)*BETAINV(RAND(),Model!J6,Model!K6)</f>
        <v>0.27048758312069326</v>
      </c>
      <c r="D240">
        <f ca="1">(Inputs!H12+(Inputs!J12-Inputs!H12)*BETAINV(RAND(),Model!L6,Model!M6))*Inputs!$C$6</f>
        <v>43578.938595837164</v>
      </c>
      <c r="E240">
        <f t="shared" ca="1" si="63"/>
        <v>1.2711774970738037</v>
      </c>
      <c r="F240">
        <f t="shared" ca="1" si="64"/>
        <v>0.50342676638951545</v>
      </c>
      <c r="G240">
        <f t="shared" ca="1" si="65"/>
        <v>1</v>
      </c>
      <c r="H240" s="47">
        <f t="shared" ca="1" si="66"/>
        <v>43578.938595837164</v>
      </c>
      <c r="I240">
        <f ca="1">Inputs!B13+(Inputs!D13-Inputs!B13)*BETAINV(RAND(),Model!H7,Model!I7)</f>
        <v>3.0410782768752966</v>
      </c>
      <c r="J240">
        <f ca="1">Inputs!E13+(Inputs!G13-Inputs!E13)*BETAINV(RAND(),Model!J7,Model!K7)</f>
        <v>0.15505097037169074</v>
      </c>
      <c r="K240">
        <f ca="1">(Inputs!H13+(Inputs!J13-Inputs!H13)*BETAINV(RAND(),Model!L7,Model!M7))*Inputs!$C$6</f>
        <v>39210.150452346323</v>
      </c>
      <c r="L240">
        <f t="shared" ca="1" si="67"/>
        <v>0.47152213780578395</v>
      </c>
      <c r="M240">
        <f t="shared" ca="1" si="68"/>
        <v>0.87986283535037824</v>
      </c>
      <c r="N240">
        <f t="shared" ca="1" si="69"/>
        <v>1</v>
      </c>
      <c r="O240" s="47">
        <f t="shared" ca="1" si="70"/>
        <v>39210.150452346323</v>
      </c>
      <c r="P240">
        <f ca="1">Inputs!B14+(Inputs!D14-Inputs!B14)*BETAINV(RAND(),Model!H8,Model!I8)</f>
        <v>0.25181850838562819</v>
      </c>
      <c r="Q240">
        <f ca="1">Inputs!E14+(Inputs!G14-Inputs!E14)*BETAINV(RAND(),Model!J8,Model!K8)</f>
        <v>0.68910398174649945</v>
      </c>
      <c r="R240">
        <f ca="1">(Inputs!H14+(Inputs!J14-Inputs!H14)*BETAINV(RAND(),Model!L8,Model!M8))*Inputs!$C$6</f>
        <v>365186.91903890599</v>
      </c>
      <c r="S240">
        <f t="shared" ca="1" si="71"/>
        <v>0.17352913680600066</v>
      </c>
      <c r="T240">
        <f t="shared" ca="1" si="72"/>
        <v>7.5150834652496057E-2</v>
      </c>
      <c r="U240">
        <f t="shared" ca="1" si="73"/>
        <v>0</v>
      </c>
      <c r="V240" s="47">
        <f t="shared" ca="1" si="74"/>
        <v>0</v>
      </c>
      <c r="W240">
        <f ca="1">Inputs!B15+(Inputs!D15-Inputs!B15)*BETAINV(RAND(),Model!H9,Model!I9)</f>
        <v>1.549548307683583</v>
      </c>
      <c r="X240">
        <f ca="1">Inputs!E15+(Inputs!G15-Inputs!E15)*BETAINV(RAND(),Model!J9,Model!K9)</f>
        <v>0.37668770183331501</v>
      </c>
      <c r="Y240">
        <f ca="1">(Inputs!H15+(Inputs!J15-Inputs!H15)*BETAINV(RAND(),Model!L9,Model!M9))*Inputs!$C$6</f>
        <v>47465.985763429657</v>
      </c>
      <c r="Z240">
        <f t="shared" ca="1" si="75"/>
        <v>0.58369579090103141</v>
      </c>
      <c r="AA240">
        <f t="shared" ca="1" si="76"/>
        <v>0.52890913933055361</v>
      </c>
      <c r="AB240">
        <f t="shared" ca="1" si="77"/>
        <v>0</v>
      </c>
      <c r="AC240" s="47">
        <f t="shared" ca="1" si="78"/>
        <v>0</v>
      </c>
      <c r="AD240">
        <f ca="1">Inputs!B16+(Inputs!D16-Inputs!B16)*BETAINV(RAND(),Model!H10,Model!I10)</f>
        <v>0.65425595547260351</v>
      </c>
      <c r="AE240">
        <f ca="1">Inputs!E16+(Inputs!G16-Inputs!E16)*BETAINV(RAND(),Model!J10,Model!K10)</f>
        <v>0.54764548884418829</v>
      </c>
      <c r="AF240">
        <f ca="1">(Inputs!H16+(Inputs!J16-Inputs!H16)*BETAINV(RAND(),Model!L10,Model!M10))*Inputs!$C$6</f>
        <v>105136.01798050379</v>
      </c>
      <c r="AG240">
        <f t="shared" ca="1" si="79"/>
        <v>0.35830032256401545</v>
      </c>
      <c r="AH240">
        <f t="shared" ca="1" si="80"/>
        <v>0.67489755705675059</v>
      </c>
      <c r="AI240">
        <f t="shared" ca="1" si="81"/>
        <v>0</v>
      </c>
      <c r="AJ240" s="47">
        <f t="shared" ca="1" si="82"/>
        <v>0</v>
      </c>
      <c r="AK240">
        <f t="shared" ca="1" si="83"/>
        <v>82789.089048183494</v>
      </c>
    </row>
    <row r="241" spans="2:37" x14ac:dyDescent="0.2">
      <c r="B241">
        <f ca="1">Inputs!B12+(Inputs!D12-Inputs!B12)*BETAINV(RAND(),Model!H6,Model!I6)</f>
        <v>6.4125157165118765</v>
      </c>
      <c r="C241">
        <f ca="1">Inputs!E12+(Inputs!G12-Inputs!E12)*BETAINV(RAND(),Model!J6,Model!K6)</f>
        <v>0.34712120549081948</v>
      </c>
      <c r="D241">
        <f ca="1">(Inputs!H12+(Inputs!J12-Inputs!H12)*BETAINV(RAND(),Model!L6,Model!M6))*Inputs!$C$6</f>
        <v>22598.701938302722</v>
      </c>
      <c r="E241">
        <f t="shared" ca="1" si="63"/>
        <v>2.2259201857444286</v>
      </c>
      <c r="F241">
        <f t="shared" ca="1" si="64"/>
        <v>0.56028320716427071</v>
      </c>
      <c r="G241">
        <f t="shared" ca="1" si="65"/>
        <v>2</v>
      </c>
      <c r="H241" s="47">
        <f t="shared" ca="1" si="66"/>
        <v>45197.403876605444</v>
      </c>
      <c r="I241">
        <f ca="1">Inputs!B13+(Inputs!D13-Inputs!B13)*BETAINV(RAND(),Model!H7,Model!I7)</f>
        <v>2.4627002960050448</v>
      </c>
      <c r="J241">
        <f ca="1">Inputs!E13+(Inputs!G13-Inputs!E13)*BETAINV(RAND(),Model!J7,Model!K7)</f>
        <v>0.21263845253263314</v>
      </c>
      <c r="K241">
        <f ca="1">(Inputs!H13+(Inputs!J13-Inputs!H13)*BETAINV(RAND(),Model!L7,Model!M7))*Inputs!$C$6</f>
        <v>21570.445335628647</v>
      </c>
      <c r="L241">
        <f t="shared" ca="1" si="67"/>
        <v>0.52366477999417027</v>
      </c>
      <c r="M241">
        <f t="shared" ca="1" si="68"/>
        <v>0.60470785650145753</v>
      </c>
      <c r="N241">
        <f t="shared" ca="1" si="69"/>
        <v>1</v>
      </c>
      <c r="O241" s="47">
        <f t="shared" ca="1" si="70"/>
        <v>21570.445335628647</v>
      </c>
      <c r="P241">
        <f ca="1">Inputs!B14+(Inputs!D14-Inputs!B14)*BETAINV(RAND(),Model!H8,Model!I8)</f>
        <v>0.31051507407302914</v>
      </c>
      <c r="Q241">
        <f ca="1">Inputs!E14+(Inputs!G14-Inputs!E14)*BETAINV(RAND(),Model!J8,Model!K8)</f>
        <v>0.57356323763778116</v>
      </c>
      <c r="R241">
        <f ca="1">(Inputs!H14+(Inputs!J14-Inputs!H14)*BETAINV(RAND(),Model!L8,Model!M8))*Inputs!$C$6</f>
        <v>266458.63415414252</v>
      </c>
      <c r="S241">
        <f t="shared" ca="1" si="71"/>
        <v>0.17810003122066204</v>
      </c>
      <c r="T241">
        <f t="shared" ca="1" si="72"/>
        <v>0.37826836961725163</v>
      </c>
      <c r="U241">
        <f t="shared" ca="1" si="73"/>
        <v>0</v>
      </c>
      <c r="V241" s="47">
        <f t="shared" ca="1" si="74"/>
        <v>0</v>
      </c>
      <c r="W241">
        <f ca="1">Inputs!B15+(Inputs!D15-Inputs!B15)*BETAINV(RAND(),Model!H9,Model!I9)</f>
        <v>1.016063706224837</v>
      </c>
      <c r="X241">
        <f ca="1">Inputs!E15+(Inputs!G15-Inputs!E15)*BETAINV(RAND(),Model!J9,Model!K9)</f>
        <v>0.32962321316637944</v>
      </c>
      <c r="Y241">
        <f ca="1">(Inputs!H15+(Inputs!J15-Inputs!H15)*BETAINV(RAND(),Model!L9,Model!M9))*Inputs!$C$6</f>
        <v>76133.881737167918</v>
      </c>
      <c r="Z241">
        <f t="shared" ca="1" si="75"/>
        <v>0.33491818362757098</v>
      </c>
      <c r="AA241">
        <f t="shared" ca="1" si="76"/>
        <v>3.3769136979391434E-2</v>
      </c>
      <c r="AB241">
        <f t="shared" ca="1" si="77"/>
        <v>0</v>
      </c>
      <c r="AC241" s="47">
        <f t="shared" ca="1" si="78"/>
        <v>0</v>
      </c>
      <c r="AD241">
        <f ca="1">Inputs!B16+(Inputs!D16-Inputs!B16)*BETAINV(RAND(),Model!H10,Model!I10)</f>
        <v>0.42995296270151562</v>
      </c>
      <c r="AE241">
        <f ca="1">Inputs!E16+(Inputs!G16-Inputs!E16)*BETAINV(RAND(),Model!J10,Model!K10)</f>
        <v>0.60097787775652523</v>
      </c>
      <c r="AF241">
        <f ca="1">(Inputs!H16+(Inputs!J16-Inputs!H16)*BETAINV(RAND(),Model!L10,Model!M10))*Inputs!$C$6</f>
        <v>88786.282494581319</v>
      </c>
      <c r="AG241">
        <f t="shared" ca="1" si="79"/>
        <v>0.25839221905948728</v>
      </c>
      <c r="AH241">
        <f t="shared" ca="1" si="80"/>
        <v>0.59982123947589638</v>
      </c>
      <c r="AI241">
        <f t="shared" ca="1" si="81"/>
        <v>0</v>
      </c>
      <c r="AJ241" s="47">
        <f t="shared" ca="1" si="82"/>
        <v>0</v>
      </c>
      <c r="AK241">
        <f t="shared" ca="1" si="83"/>
        <v>66767.849212234083</v>
      </c>
    </row>
    <row r="242" spans="2:37" x14ac:dyDescent="0.2">
      <c r="B242">
        <f ca="1">Inputs!B12+(Inputs!D12-Inputs!B12)*BETAINV(RAND(),Model!H6,Model!I6)</f>
        <v>2.2754050947381197</v>
      </c>
      <c r="C242">
        <f ca="1">Inputs!E12+(Inputs!G12-Inputs!E12)*BETAINV(RAND(),Model!J6,Model!K6)</f>
        <v>0.32698677874784843</v>
      </c>
      <c r="D242">
        <f ca="1">(Inputs!H12+(Inputs!J12-Inputs!H12)*BETAINV(RAND(),Model!L6,Model!M6))*Inputs!$C$6</f>
        <v>43843.902147325614</v>
      </c>
      <c r="E242">
        <f t="shared" ca="1" si="63"/>
        <v>0.74402738227486065</v>
      </c>
      <c r="F242">
        <f t="shared" ca="1" si="64"/>
        <v>0.87783226532553094</v>
      </c>
      <c r="G242">
        <f t="shared" ca="1" si="65"/>
        <v>2</v>
      </c>
      <c r="H242" s="47">
        <f t="shared" ca="1" si="66"/>
        <v>87687.804294651229</v>
      </c>
      <c r="I242">
        <f ca="1">Inputs!B13+(Inputs!D13-Inputs!B13)*BETAINV(RAND(),Model!H7,Model!I7)</f>
        <v>2.4612577809692837</v>
      </c>
      <c r="J242">
        <f ca="1">Inputs!E13+(Inputs!G13-Inputs!E13)*BETAINV(RAND(),Model!J7,Model!K7)</f>
        <v>0.25273385971017459</v>
      </c>
      <c r="K242">
        <f ca="1">(Inputs!H13+(Inputs!J13-Inputs!H13)*BETAINV(RAND(),Model!L7,Model!M7))*Inputs!$C$6</f>
        <v>66164.565672673853</v>
      </c>
      <c r="L242">
        <f t="shared" ca="1" si="67"/>
        <v>0.62204317872606663</v>
      </c>
      <c r="M242">
        <f t="shared" ca="1" si="68"/>
        <v>0.43874641141490189</v>
      </c>
      <c r="N242">
        <f t="shared" ca="1" si="69"/>
        <v>0</v>
      </c>
      <c r="O242" s="47">
        <f t="shared" ca="1" si="70"/>
        <v>0</v>
      </c>
      <c r="P242">
        <f ca="1">Inputs!B14+(Inputs!D14-Inputs!B14)*BETAINV(RAND(),Model!H8,Model!I8)</f>
        <v>0.30369272786467594</v>
      </c>
      <c r="Q242">
        <f ca="1">Inputs!E14+(Inputs!G14-Inputs!E14)*BETAINV(RAND(),Model!J8,Model!K8)</f>
        <v>0.60732151887038199</v>
      </c>
      <c r="R242">
        <f ca="1">(Inputs!H14+(Inputs!J14-Inputs!H14)*BETAINV(RAND(),Model!L8,Model!M8))*Inputs!$C$6</f>
        <v>215766.2478638858</v>
      </c>
      <c r="S242">
        <f t="shared" ca="1" si="71"/>
        <v>0.18443912875666457</v>
      </c>
      <c r="T242">
        <f t="shared" ca="1" si="72"/>
        <v>0.96235693341132023</v>
      </c>
      <c r="U242">
        <f t="shared" ca="1" si="73"/>
        <v>1</v>
      </c>
      <c r="V242" s="47">
        <f t="shared" ca="1" si="74"/>
        <v>215766.2478638858</v>
      </c>
      <c r="W242">
        <f ca="1">Inputs!B15+(Inputs!D15-Inputs!B15)*BETAINV(RAND(),Model!H9,Model!I9)</f>
        <v>0.99761632234725206</v>
      </c>
      <c r="X242">
        <f ca="1">Inputs!E15+(Inputs!G15-Inputs!E15)*BETAINV(RAND(),Model!J9,Model!K9)</f>
        <v>0.56362721962849727</v>
      </c>
      <c r="Y242">
        <f ca="1">(Inputs!H15+(Inputs!J15-Inputs!H15)*BETAINV(RAND(),Model!L9,Model!M9))*Inputs!$C$6</f>
        <v>22707.440122500277</v>
      </c>
      <c r="Z242">
        <f t="shared" ca="1" si="75"/>
        <v>0.56228371402058841</v>
      </c>
      <c r="AA242">
        <f t="shared" ca="1" si="76"/>
        <v>0.72961851532703614</v>
      </c>
      <c r="AB242">
        <f t="shared" ca="1" si="77"/>
        <v>1</v>
      </c>
      <c r="AC242" s="47">
        <f t="shared" ca="1" si="78"/>
        <v>22707.440122500277</v>
      </c>
      <c r="AD242">
        <f ca="1">Inputs!B16+(Inputs!D16-Inputs!B16)*BETAINV(RAND(),Model!H10,Model!I10)</f>
        <v>0.56263926815571907</v>
      </c>
      <c r="AE242">
        <f ca="1">Inputs!E16+(Inputs!G16-Inputs!E16)*BETAINV(RAND(),Model!J10,Model!K10)</f>
        <v>0.56130397286737754</v>
      </c>
      <c r="AF242">
        <f ca="1">(Inputs!H16+(Inputs!J16-Inputs!H16)*BETAINV(RAND(),Model!L10,Model!M10))*Inputs!$C$6</f>
        <v>83168.493196689524</v>
      </c>
      <c r="AG242">
        <f t="shared" ca="1" si="79"/>
        <v>0.31581165650699888</v>
      </c>
      <c r="AH242">
        <f t="shared" ca="1" si="80"/>
        <v>0.89234400424906324</v>
      </c>
      <c r="AI242">
        <f t="shared" ca="1" si="81"/>
        <v>1</v>
      </c>
      <c r="AJ242" s="47">
        <f t="shared" ca="1" si="82"/>
        <v>83168.493196689524</v>
      </c>
      <c r="AK242">
        <f t="shared" ca="1" si="83"/>
        <v>409329.98547772685</v>
      </c>
    </row>
    <row r="243" spans="2:37" x14ac:dyDescent="0.2">
      <c r="B243">
        <f ca="1">Inputs!B12+(Inputs!D12-Inputs!B12)*BETAINV(RAND(),Model!H6,Model!I6)</f>
        <v>5.6566307909535434</v>
      </c>
      <c r="C243">
        <f ca="1">Inputs!E12+(Inputs!G12-Inputs!E12)*BETAINV(RAND(),Model!J6,Model!K6)</f>
        <v>0.24775716346177262</v>
      </c>
      <c r="D243">
        <f ca="1">(Inputs!H12+(Inputs!J12-Inputs!H12)*BETAINV(RAND(),Model!L6,Model!M6))*Inputs!$C$6</f>
        <v>18136.151625273971</v>
      </c>
      <c r="E243">
        <f t="shared" ca="1" si="63"/>
        <v>1.4014707995171731</v>
      </c>
      <c r="F243">
        <f t="shared" ca="1" si="64"/>
        <v>0.65699141963242647</v>
      </c>
      <c r="G243">
        <f t="shared" ca="1" si="65"/>
        <v>2</v>
      </c>
      <c r="H243" s="47">
        <f t="shared" ca="1" si="66"/>
        <v>36272.303250547942</v>
      </c>
      <c r="I243">
        <f ca="1">Inputs!B13+(Inputs!D13-Inputs!B13)*BETAINV(RAND(),Model!H7,Model!I7)</f>
        <v>2.9807357266913779</v>
      </c>
      <c r="J243">
        <f ca="1">Inputs!E13+(Inputs!G13-Inputs!E13)*BETAINV(RAND(),Model!J7,Model!K7)</f>
        <v>0.32767780635255611</v>
      </c>
      <c r="K243">
        <f ca="1">(Inputs!H13+(Inputs!J13-Inputs!H13)*BETAINV(RAND(),Model!L7,Model!M7))*Inputs!$C$6</f>
        <v>23190.237285226005</v>
      </c>
      <c r="L243">
        <f t="shared" ca="1" si="67"/>
        <v>0.97672094423892297</v>
      </c>
      <c r="M243">
        <f t="shared" ca="1" si="68"/>
        <v>0.19609220779559267</v>
      </c>
      <c r="N243">
        <f t="shared" ca="1" si="69"/>
        <v>0</v>
      </c>
      <c r="O243" s="47">
        <f t="shared" ca="1" si="70"/>
        <v>0</v>
      </c>
      <c r="P243">
        <f ca="1">Inputs!B14+(Inputs!D14-Inputs!B14)*BETAINV(RAND(),Model!H8,Model!I8)</f>
        <v>0.45673888144330366</v>
      </c>
      <c r="Q243">
        <f ca="1">Inputs!E14+(Inputs!G14-Inputs!E14)*BETAINV(RAND(),Model!J8,Model!K8)</f>
        <v>0.5844541407995405</v>
      </c>
      <c r="R243">
        <f ca="1">(Inputs!H14+(Inputs!J14-Inputs!H14)*BETAINV(RAND(),Model!L8,Model!M8))*Inputs!$C$6</f>
        <v>238022.55061526888</v>
      </c>
      <c r="S243">
        <f t="shared" ca="1" si="71"/>
        <v>0.26694293052368923</v>
      </c>
      <c r="T243">
        <f t="shared" ca="1" si="72"/>
        <v>1.5509265505286862E-3</v>
      </c>
      <c r="U243">
        <f t="shared" ca="1" si="73"/>
        <v>0</v>
      </c>
      <c r="V243" s="47">
        <f t="shared" ca="1" si="74"/>
        <v>0</v>
      </c>
      <c r="W243">
        <f ca="1">Inputs!B15+(Inputs!D15-Inputs!B15)*BETAINV(RAND(),Model!H9,Model!I9)</f>
        <v>1.8985305284664915</v>
      </c>
      <c r="X243">
        <f ca="1">Inputs!E15+(Inputs!G15-Inputs!E15)*BETAINV(RAND(),Model!J9,Model!K9)</f>
        <v>0.3394722692235782</v>
      </c>
      <c r="Y243">
        <f ca="1">(Inputs!H15+(Inputs!J15-Inputs!H15)*BETAINV(RAND(),Model!L9,Model!M9))*Inputs!$C$6</f>
        <v>29141.743112630938</v>
      </c>
      <c r="Z243">
        <f t="shared" ca="1" si="75"/>
        <v>0.64449846668875899</v>
      </c>
      <c r="AA243">
        <f t="shared" ca="1" si="76"/>
        <v>0.67257667656679898</v>
      </c>
      <c r="AB243">
        <f t="shared" ca="1" si="77"/>
        <v>1</v>
      </c>
      <c r="AC243" s="47">
        <f t="shared" ca="1" si="78"/>
        <v>29141.743112630938</v>
      </c>
      <c r="AD243">
        <f ca="1">Inputs!B16+(Inputs!D16-Inputs!B16)*BETAINV(RAND(),Model!H10,Model!I10)</f>
        <v>0.90586129519567593</v>
      </c>
      <c r="AE243">
        <f ca="1">Inputs!E16+(Inputs!G16-Inputs!E16)*BETAINV(RAND(),Model!J10,Model!K10)</f>
        <v>0.59177901403991662</v>
      </c>
      <c r="AF243">
        <f ca="1">(Inputs!H16+(Inputs!J16-Inputs!H16)*BETAINV(RAND(),Model!L10,Model!M10))*Inputs!$C$6</f>
        <v>61351.133243739168</v>
      </c>
      <c r="AG243">
        <f t="shared" ca="1" si="79"/>
        <v>0.53606970412781896</v>
      </c>
      <c r="AH243">
        <f t="shared" ca="1" si="80"/>
        <v>0.92499223759856064</v>
      </c>
      <c r="AI243">
        <f t="shared" ca="1" si="81"/>
        <v>2</v>
      </c>
      <c r="AJ243" s="47">
        <f t="shared" ca="1" si="82"/>
        <v>122702.26648747834</v>
      </c>
      <c r="AK243">
        <f t="shared" ca="1" si="83"/>
        <v>188116.31285065721</v>
      </c>
    </row>
    <row r="244" spans="2:37" x14ac:dyDescent="0.2">
      <c r="B244">
        <f ca="1">Inputs!B12+(Inputs!D12-Inputs!B12)*BETAINV(RAND(),Model!H6,Model!I6)</f>
        <v>3.7783139786470299</v>
      </c>
      <c r="C244">
        <f ca="1">Inputs!E12+(Inputs!G12-Inputs!E12)*BETAINV(RAND(),Model!J6,Model!K6)</f>
        <v>0.39552809657783083</v>
      </c>
      <c r="D244">
        <f ca="1">(Inputs!H12+(Inputs!J12-Inputs!H12)*BETAINV(RAND(),Model!L6,Model!M6))*Inputs!$C$6</f>
        <v>23730.092868389584</v>
      </c>
      <c r="E244">
        <f t="shared" ca="1" si="63"/>
        <v>1.4944293362476706</v>
      </c>
      <c r="F244">
        <f t="shared" ca="1" si="64"/>
        <v>0.22518607259456558</v>
      </c>
      <c r="G244">
        <f t="shared" ca="1" si="65"/>
        <v>1</v>
      </c>
      <c r="H244" s="47">
        <f t="shared" ca="1" si="66"/>
        <v>23730.092868389584</v>
      </c>
      <c r="I244">
        <f ca="1">Inputs!B13+(Inputs!D13-Inputs!B13)*BETAINV(RAND(),Model!H7,Model!I7)</f>
        <v>2.9051936225016366</v>
      </c>
      <c r="J244">
        <f ca="1">Inputs!E13+(Inputs!G13-Inputs!E13)*BETAINV(RAND(),Model!J7,Model!K7)</f>
        <v>0.18217214358498882</v>
      </c>
      <c r="K244">
        <f ca="1">(Inputs!H13+(Inputs!J13-Inputs!H13)*BETAINV(RAND(),Model!L7,Model!M7))*Inputs!$C$6</f>
        <v>31709.059316141465</v>
      </c>
      <c r="L244">
        <f t="shared" ca="1" si="67"/>
        <v>0.52924534974056192</v>
      </c>
      <c r="M244">
        <f t="shared" ca="1" si="68"/>
        <v>0.32239264008766066</v>
      </c>
      <c r="N244">
        <f t="shared" ca="1" si="69"/>
        <v>0</v>
      </c>
      <c r="O244" s="47">
        <f t="shared" ca="1" si="70"/>
        <v>0</v>
      </c>
      <c r="P244">
        <f ca="1">Inputs!B14+(Inputs!D14-Inputs!B14)*BETAINV(RAND(),Model!H8,Model!I8)</f>
        <v>0.42224493229184434</v>
      </c>
      <c r="Q244">
        <f ca="1">Inputs!E14+(Inputs!G14-Inputs!E14)*BETAINV(RAND(),Model!J8,Model!K8)</f>
        <v>0.54244515656366965</v>
      </c>
      <c r="R244">
        <f ca="1">(Inputs!H14+(Inputs!J14-Inputs!H14)*BETAINV(RAND(),Model!L8,Model!M8))*Inputs!$C$6</f>
        <v>452544.47392461059</v>
      </c>
      <c r="S244">
        <f t="shared" ca="1" si="71"/>
        <v>0.22904471840526561</v>
      </c>
      <c r="T244">
        <f t="shared" ca="1" si="72"/>
        <v>0.69398899391483904</v>
      </c>
      <c r="U244">
        <f t="shared" ca="1" si="73"/>
        <v>0</v>
      </c>
      <c r="V244" s="47">
        <f t="shared" ca="1" si="74"/>
        <v>0</v>
      </c>
      <c r="W244">
        <f ca="1">Inputs!B15+(Inputs!D15-Inputs!B15)*BETAINV(RAND(),Model!H9,Model!I9)</f>
        <v>0.40568624971806677</v>
      </c>
      <c r="X244">
        <f ca="1">Inputs!E15+(Inputs!G15-Inputs!E15)*BETAINV(RAND(),Model!J9,Model!K9)</f>
        <v>0.51908382522566943</v>
      </c>
      <c r="Y244">
        <f ca="1">(Inputs!H15+(Inputs!J15-Inputs!H15)*BETAINV(RAND(),Model!L9,Model!M9))*Inputs!$C$6</f>
        <v>48987.188729718073</v>
      </c>
      <c r="Z244">
        <f t="shared" ca="1" si="75"/>
        <v>0.21058517034511026</v>
      </c>
      <c r="AA244">
        <f t="shared" ca="1" si="76"/>
        <v>0.81466856747281158</v>
      </c>
      <c r="AB244">
        <f t="shared" ca="1" si="77"/>
        <v>1</v>
      </c>
      <c r="AC244" s="47">
        <f t="shared" ca="1" si="78"/>
        <v>48987.188729718073</v>
      </c>
      <c r="AD244">
        <f ca="1">Inputs!B16+(Inputs!D16-Inputs!B16)*BETAINV(RAND(),Model!H10,Model!I10)</f>
        <v>0.54293762441798799</v>
      </c>
      <c r="AE244">
        <f ca="1">Inputs!E16+(Inputs!G16-Inputs!E16)*BETAINV(RAND(),Model!J10,Model!K10)</f>
        <v>0.60900672507186238</v>
      </c>
      <c r="AF244">
        <f ca="1">(Inputs!H16+(Inputs!J16-Inputs!H16)*BETAINV(RAND(),Model!L10,Model!M10))*Inputs!$C$6</f>
        <v>41380.198987630814</v>
      </c>
      <c r="AG244">
        <f t="shared" ca="1" si="79"/>
        <v>0.33065266456509568</v>
      </c>
      <c r="AH244">
        <f t="shared" ca="1" si="80"/>
        <v>0.70606740010620961</v>
      </c>
      <c r="AI244">
        <f t="shared" ca="1" si="81"/>
        <v>0</v>
      </c>
      <c r="AJ244" s="47">
        <f t="shared" ca="1" si="82"/>
        <v>0</v>
      </c>
      <c r="AK244">
        <f t="shared" ca="1" si="83"/>
        <v>72717.281598107656</v>
      </c>
    </row>
    <row r="245" spans="2:37" x14ac:dyDescent="0.2">
      <c r="B245">
        <f ca="1">Inputs!B12+(Inputs!D12-Inputs!B12)*BETAINV(RAND(),Model!H6,Model!I6)</f>
        <v>1.5241236558243108</v>
      </c>
      <c r="C245">
        <f ca="1">Inputs!E12+(Inputs!G12-Inputs!E12)*BETAINV(RAND(),Model!J6,Model!K6)</f>
        <v>0.19369425604848522</v>
      </c>
      <c r="D245">
        <f ca="1">(Inputs!H12+(Inputs!J12-Inputs!H12)*BETAINV(RAND(),Model!L6,Model!M6))*Inputs!$C$6</f>
        <v>28913.248645133797</v>
      </c>
      <c r="E245">
        <f t="shared" ca="1" si="63"/>
        <v>0.29521399764078743</v>
      </c>
      <c r="F245">
        <f t="shared" ca="1" si="64"/>
        <v>0.1307124579416451</v>
      </c>
      <c r="G245">
        <f t="shared" ca="1" si="65"/>
        <v>0</v>
      </c>
      <c r="H245" s="47">
        <f t="shared" ca="1" si="66"/>
        <v>0</v>
      </c>
      <c r="I245">
        <f ca="1">Inputs!B13+(Inputs!D13-Inputs!B13)*BETAINV(RAND(),Model!H7,Model!I7)</f>
        <v>3.2403531837183639</v>
      </c>
      <c r="J245">
        <f ca="1">Inputs!E13+(Inputs!G13-Inputs!E13)*BETAINV(RAND(),Model!J7,Model!K7)</f>
        <v>0.26889809335773474</v>
      </c>
      <c r="K245">
        <f ca="1">(Inputs!H13+(Inputs!J13-Inputs!H13)*BETAINV(RAND(),Model!L7,Model!M7))*Inputs!$C$6</f>
        <v>62995.056596424562</v>
      </c>
      <c r="L245">
        <f t="shared" ca="1" si="67"/>
        <v>0.87132479290753362</v>
      </c>
      <c r="M245">
        <f t="shared" ca="1" si="68"/>
        <v>3.0367109039361462E-2</v>
      </c>
      <c r="N245">
        <f t="shared" ca="1" si="69"/>
        <v>0</v>
      </c>
      <c r="O245" s="47">
        <f t="shared" ca="1" si="70"/>
        <v>0</v>
      </c>
      <c r="P245">
        <f ca="1">Inputs!B14+(Inputs!D14-Inputs!B14)*BETAINV(RAND(),Model!H8,Model!I8)</f>
        <v>0.26098224422419958</v>
      </c>
      <c r="Q245">
        <f ca="1">Inputs!E14+(Inputs!G14-Inputs!E14)*BETAINV(RAND(),Model!J8,Model!K8)</f>
        <v>0.40175248630921706</v>
      </c>
      <c r="R245">
        <f ca="1">(Inputs!H14+(Inputs!J14-Inputs!H14)*BETAINV(RAND(),Model!L8,Model!M8))*Inputs!$C$6</f>
        <v>283344.91934606899</v>
      </c>
      <c r="S245">
        <f t="shared" ca="1" si="71"/>
        <v>0.10485026549963149</v>
      </c>
      <c r="T245">
        <f t="shared" ca="1" si="72"/>
        <v>0.20742916014844404</v>
      </c>
      <c r="U245">
        <f t="shared" ca="1" si="73"/>
        <v>0</v>
      </c>
      <c r="V245" s="47">
        <f t="shared" ca="1" si="74"/>
        <v>0</v>
      </c>
      <c r="W245">
        <f ca="1">Inputs!B15+(Inputs!D15-Inputs!B15)*BETAINV(RAND(),Model!H9,Model!I9)</f>
        <v>1.0332779238072298</v>
      </c>
      <c r="X245">
        <f ca="1">Inputs!E15+(Inputs!G15-Inputs!E15)*BETAINV(RAND(),Model!J9,Model!K9)</f>
        <v>0.33355261059014102</v>
      </c>
      <c r="Y245">
        <f ca="1">(Inputs!H15+(Inputs!J15-Inputs!H15)*BETAINV(RAND(),Model!L9,Model!M9))*Inputs!$C$6</f>
        <v>26496.818352591523</v>
      </c>
      <c r="Z245">
        <f t="shared" ca="1" si="75"/>
        <v>0.34465254895106234</v>
      </c>
      <c r="AA245">
        <f t="shared" ca="1" si="76"/>
        <v>0.78874502135330116</v>
      </c>
      <c r="AB245">
        <f t="shared" ca="1" si="77"/>
        <v>1</v>
      </c>
      <c r="AC245" s="47">
        <f t="shared" ca="1" si="78"/>
        <v>26496.818352591523</v>
      </c>
      <c r="AD245">
        <f ca="1">Inputs!B16+(Inputs!D16-Inputs!B16)*BETAINV(RAND(),Model!H10,Model!I10)</f>
        <v>0.37481085706569384</v>
      </c>
      <c r="AE245">
        <f ca="1">Inputs!E16+(Inputs!G16-Inputs!E16)*BETAINV(RAND(),Model!J10,Model!K10)</f>
        <v>0.770074480471441</v>
      </c>
      <c r="AF245">
        <f ca="1">(Inputs!H16+(Inputs!J16-Inputs!H16)*BETAINV(RAND(),Model!L10,Model!M10))*Inputs!$C$6</f>
        <v>65953.582272787986</v>
      </c>
      <c r="AG245">
        <f t="shared" ca="1" si="79"/>
        <v>0.2886322760299197</v>
      </c>
      <c r="AH245">
        <f t="shared" ca="1" si="80"/>
        <v>0.75663054951027653</v>
      </c>
      <c r="AI245">
        <f t="shared" ca="1" si="81"/>
        <v>1</v>
      </c>
      <c r="AJ245" s="47">
        <f t="shared" ca="1" si="82"/>
        <v>65953.582272787986</v>
      </c>
      <c r="AK245">
        <f t="shared" ca="1" si="83"/>
        <v>92450.400625379509</v>
      </c>
    </row>
    <row r="246" spans="2:37" x14ac:dyDescent="0.2">
      <c r="B246">
        <f ca="1">Inputs!B12+(Inputs!D12-Inputs!B12)*BETAINV(RAND(),Model!H6,Model!I6)</f>
        <v>2.5386746650842809</v>
      </c>
      <c r="C246">
        <f ca="1">Inputs!E12+(Inputs!G12-Inputs!E12)*BETAINV(RAND(),Model!J6,Model!K6)</f>
        <v>0.45862556484797667</v>
      </c>
      <c r="D246">
        <f ca="1">(Inputs!H12+(Inputs!J12-Inputs!H12)*BETAINV(RAND(),Model!L6,Model!M6))*Inputs!$C$6</f>
        <v>42895.486794137105</v>
      </c>
      <c r="E246">
        <f t="shared" ca="1" si="63"/>
        <v>1.1643011022395262</v>
      </c>
      <c r="F246">
        <f t="shared" ca="1" si="64"/>
        <v>0.15573755232471287</v>
      </c>
      <c r="G246">
        <f t="shared" ca="1" si="65"/>
        <v>0</v>
      </c>
      <c r="H246" s="47">
        <f t="shared" ca="1" si="66"/>
        <v>0</v>
      </c>
      <c r="I246">
        <f ca="1">Inputs!B13+(Inputs!D13-Inputs!B13)*BETAINV(RAND(),Model!H7,Model!I7)</f>
        <v>2.9701018810833224</v>
      </c>
      <c r="J246">
        <f ca="1">Inputs!E13+(Inputs!G13-Inputs!E13)*BETAINV(RAND(),Model!J7,Model!K7)</f>
        <v>0.36584414439832913</v>
      </c>
      <c r="K246">
        <f ca="1">(Inputs!H13+(Inputs!J13-Inputs!H13)*BETAINV(RAND(),Model!L7,Model!M7))*Inputs!$C$6</f>
        <v>47273.32608469588</v>
      </c>
      <c r="L246">
        <f t="shared" ca="1" si="67"/>
        <v>1.0865943814607959</v>
      </c>
      <c r="M246">
        <f t="shared" ca="1" si="68"/>
        <v>0.52030234980929291</v>
      </c>
      <c r="N246">
        <f t="shared" ca="1" si="69"/>
        <v>1</v>
      </c>
      <c r="O246" s="47">
        <f t="shared" ca="1" si="70"/>
        <v>47273.32608469588</v>
      </c>
      <c r="P246">
        <f ca="1">Inputs!B14+(Inputs!D14-Inputs!B14)*BETAINV(RAND(),Model!H8,Model!I8)</f>
        <v>0.27172214030542879</v>
      </c>
      <c r="Q246">
        <f ca="1">Inputs!E14+(Inputs!G14-Inputs!E14)*BETAINV(RAND(),Model!J8,Model!K8)</f>
        <v>0.67262967717815614</v>
      </c>
      <c r="R246">
        <f ca="1">(Inputs!H14+(Inputs!J14-Inputs!H14)*BETAINV(RAND(),Model!L8,Model!M8))*Inputs!$C$6</f>
        <v>299985.24393101799</v>
      </c>
      <c r="S246">
        <f t="shared" ca="1" si="71"/>
        <v>0.18276837551579822</v>
      </c>
      <c r="T246">
        <f t="shared" ca="1" si="72"/>
        <v>0.57210756387966166</v>
      </c>
      <c r="U246">
        <f t="shared" ca="1" si="73"/>
        <v>0</v>
      </c>
      <c r="V246" s="47">
        <f t="shared" ca="1" si="74"/>
        <v>0</v>
      </c>
      <c r="W246">
        <f ca="1">Inputs!B15+(Inputs!D15-Inputs!B15)*BETAINV(RAND(),Model!H9,Model!I9)</f>
        <v>0.31338447887842719</v>
      </c>
      <c r="X246">
        <f ca="1">Inputs!E15+(Inputs!G15-Inputs!E15)*BETAINV(RAND(),Model!J9,Model!K9)</f>
        <v>0.45106823932483375</v>
      </c>
      <c r="Y246">
        <f ca="1">(Inputs!H15+(Inputs!J15-Inputs!H15)*BETAINV(RAND(),Model!L9,Model!M9))*Inputs!$C$6</f>
        <v>21862.778940028536</v>
      </c>
      <c r="Z246">
        <f t="shared" ca="1" si="75"/>
        <v>0.14135778511942271</v>
      </c>
      <c r="AA246">
        <f t="shared" ca="1" si="76"/>
        <v>2.8225977211586706E-2</v>
      </c>
      <c r="AB246">
        <f t="shared" ca="1" si="77"/>
        <v>0</v>
      </c>
      <c r="AC246" s="47">
        <f t="shared" ca="1" si="78"/>
        <v>0</v>
      </c>
      <c r="AD246">
        <f ca="1">Inputs!B16+(Inputs!D16-Inputs!B16)*BETAINV(RAND(),Model!H10,Model!I10)</f>
        <v>0.59702198873357992</v>
      </c>
      <c r="AE246">
        <f ca="1">Inputs!E16+(Inputs!G16-Inputs!E16)*BETAINV(RAND(),Model!J10,Model!K10)</f>
        <v>0.61855053939393312</v>
      </c>
      <c r="AF246">
        <f ca="1">(Inputs!H16+(Inputs!J16-Inputs!H16)*BETAINV(RAND(),Model!L10,Model!M10))*Inputs!$C$6</f>
        <v>66413.210492261496</v>
      </c>
      <c r="AG246">
        <f t="shared" ca="1" si="79"/>
        <v>0.3692882731611945</v>
      </c>
      <c r="AH246">
        <f t="shared" ca="1" si="80"/>
        <v>0.10270819067830383</v>
      </c>
      <c r="AI246">
        <f t="shared" ca="1" si="81"/>
        <v>0</v>
      </c>
      <c r="AJ246" s="47">
        <f t="shared" ca="1" si="82"/>
        <v>0</v>
      </c>
      <c r="AK246">
        <f t="shared" ca="1" si="83"/>
        <v>47273.32608469588</v>
      </c>
    </row>
    <row r="247" spans="2:37" x14ac:dyDescent="0.2">
      <c r="B247">
        <f ca="1">Inputs!B12+(Inputs!D12-Inputs!B12)*BETAINV(RAND(),Model!H6,Model!I6)</f>
        <v>1.5997171404584223</v>
      </c>
      <c r="C247">
        <f ca="1">Inputs!E12+(Inputs!G12-Inputs!E12)*BETAINV(RAND(),Model!J6,Model!K6)</f>
        <v>0.20080900423063491</v>
      </c>
      <c r="D247">
        <f ca="1">(Inputs!H12+(Inputs!J12-Inputs!H12)*BETAINV(RAND(),Model!L6,Model!M6))*Inputs!$C$6</f>
        <v>43443.323723324058</v>
      </c>
      <c r="E247">
        <f t="shared" ca="1" si="63"/>
        <v>0.32123760602613449</v>
      </c>
      <c r="F247">
        <f t="shared" ca="1" si="64"/>
        <v>0.97745727104090363</v>
      </c>
      <c r="G247">
        <f t="shared" ca="1" si="65"/>
        <v>2</v>
      </c>
      <c r="H247" s="47">
        <f t="shared" ca="1" si="66"/>
        <v>86886.647446648116</v>
      </c>
      <c r="I247">
        <f ca="1">Inputs!B13+(Inputs!D13-Inputs!B13)*BETAINV(RAND(),Model!H7,Model!I7)</f>
        <v>1.3284663738703482</v>
      </c>
      <c r="J247">
        <f ca="1">Inputs!E13+(Inputs!G13-Inputs!E13)*BETAINV(RAND(),Model!J7,Model!K7)</f>
        <v>0.25590271092047634</v>
      </c>
      <c r="K247">
        <f ca="1">(Inputs!H13+(Inputs!J13-Inputs!H13)*BETAINV(RAND(),Model!L7,Model!M7))*Inputs!$C$6</f>
        <v>53109.026616302639</v>
      </c>
      <c r="L247">
        <f t="shared" ca="1" si="67"/>
        <v>0.33995814644011713</v>
      </c>
      <c r="M247">
        <f t="shared" ca="1" si="68"/>
        <v>0.81888048038507422</v>
      </c>
      <c r="N247">
        <f t="shared" ca="1" si="69"/>
        <v>1</v>
      </c>
      <c r="O247" s="47">
        <f t="shared" ca="1" si="70"/>
        <v>53109.026616302639</v>
      </c>
      <c r="P247">
        <f ca="1">Inputs!B14+(Inputs!D14-Inputs!B14)*BETAINV(RAND(),Model!H8,Model!I8)</f>
        <v>0.3629485617457866</v>
      </c>
      <c r="Q247">
        <f ca="1">Inputs!E14+(Inputs!G14-Inputs!E14)*BETAINV(RAND(),Model!J8,Model!K8)</f>
        <v>0.53353107834660951</v>
      </c>
      <c r="R247">
        <f ca="1">(Inputs!H14+(Inputs!J14-Inputs!H14)*BETAINV(RAND(),Model!L8,Model!M8))*Inputs!$C$6</f>
        <v>376534.33959685464</v>
      </c>
      <c r="S247">
        <f t="shared" ca="1" si="71"/>
        <v>0.19364433753258051</v>
      </c>
      <c r="T247">
        <f t="shared" ca="1" si="72"/>
        <v>0.90916334724180481</v>
      </c>
      <c r="U247">
        <f t="shared" ca="1" si="73"/>
        <v>1</v>
      </c>
      <c r="V247" s="47">
        <f t="shared" ca="1" si="74"/>
        <v>376534.33959685464</v>
      </c>
      <c r="W247">
        <f ca="1">Inputs!B15+(Inputs!D15-Inputs!B15)*BETAINV(RAND(),Model!H9,Model!I9)</f>
        <v>0.48219116907195669</v>
      </c>
      <c r="X247">
        <f ca="1">Inputs!E15+(Inputs!G15-Inputs!E15)*BETAINV(RAND(),Model!J9,Model!K9)</f>
        <v>0.25582605351392074</v>
      </c>
      <c r="Y247">
        <f ca="1">(Inputs!H15+(Inputs!J15-Inputs!H15)*BETAINV(RAND(),Model!L9,Model!M9))*Inputs!$C$6</f>
        <v>29774.932833762206</v>
      </c>
      <c r="Z247">
        <f t="shared" ca="1" si="75"/>
        <v>0.1233570638229424</v>
      </c>
      <c r="AA247">
        <f t="shared" ca="1" si="76"/>
        <v>0.17324678701833574</v>
      </c>
      <c r="AB247">
        <f t="shared" ca="1" si="77"/>
        <v>0</v>
      </c>
      <c r="AC247" s="47">
        <f t="shared" ca="1" si="78"/>
        <v>0</v>
      </c>
      <c r="AD247">
        <f ca="1">Inputs!B16+(Inputs!D16-Inputs!B16)*BETAINV(RAND(),Model!H10,Model!I10)</f>
        <v>0.81614660779799308</v>
      </c>
      <c r="AE247">
        <f ca="1">Inputs!E16+(Inputs!G16-Inputs!E16)*BETAINV(RAND(),Model!J10,Model!K10)</f>
        <v>0.70593171020020107</v>
      </c>
      <c r="AF247">
        <f ca="1">(Inputs!H16+(Inputs!J16-Inputs!H16)*BETAINV(RAND(),Model!L10,Model!M10))*Inputs!$C$6</f>
        <v>70048.771615594043</v>
      </c>
      <c r="AG247">
        <f t="shared" ca="1" si="79"/>
        <v>0.57614377061693001</v>
      </c>
      <c r="AH247">
        <f t="shared" ca="1" si="80"/>
        <v>0.83691980610070005</v>
      </c>
      <c r="AI247">
        <f t="shared" ca="1" si="81"/>
        <v>1</v>
      </c>
      <c r="AJ247" s="47">
        <f t="shared" ca="1" si="82"/>
        <v>70048.771615594043</v>
      </c>
      <c r="AK247">
        <f t="shared" ca="1" si="83"/>
        <v>586578.78527539945</v>
      </c>
    </row>
    <row r="248" spans="2:37" x14ac:dyDescent="0.2">
      <c r="B248">
        <f ca="1">Inputs!B12+(Inputs!D12-Inputs!B12)*BETAINV(RAND(),Model!H6,Model!I6)</f>
        <v>5.1692770454563437</v>
      </c>
      <c r="C248">
        <f ca="1">Inputs!E12+(Inputs!G12-Inputs!E12)*BETAINV(RAND(),Model!J6,Model!K6)</f>
        <v>0.20230076602976063</v>
      </c>
      <c r="D248">
        <f ca="1">(Inputs!H12+(Inputs!J12-Inputs!H12)*BETAINV(RAND(),Model!L6,Model!M6))*Inputs!$C$6</f>
        <v>33750.02978580902</v>
      </c>
      <c r="E248">
        <f t="shared" ca="1" si="63"/>
        <v>1.0457487061158761</v>
      </c>
      <c r="F248">
        <f t="shared" ca="1" si="64"/>
        <v>0.3682025755554178</v>
      </c>
      <c r="G248">
        <f t="shared" ca="1" si="65"/>
        <v>1</v>
      </c>
      <c r="H248" s="47">
        <f t="shared" ca="1" si="66"/>
        <v>33750.02978580902</v>
      </c>
      <c r="I248">
        <f ca="1">Inputs!B13+(Inputs!D13-Inputs!B13)*BETAINV(RAND(),Model!H7,Model!I7)</f>
        <v>2.3119938929520911</v>
      </c>
      <c r="J248">
        <f ca="1">Inputs!E13+(Inputs!G13-Inputs!E13)*BETAINV(RAND(),Model!J7,Model!K7)</f>
        <v>0.15941045135652412</v>
      </c>
      <c r="K248">
        <f ca="1">(Inputs!H13+(Inputs!J13-Inputs!H13)*BETAINV(RAND(),Model!L7,Model!M7))*Inputs!$C$6</f>
        <v>14464.688419450915</v>
      </c>
      <c r="L248">
        <f t="shared" ca="1" si="67"/>
        <v>0.36855599000902017</v>
      </c>
      <c r="M248">
        <f t="shared" ca="1" si="68"/>
        <v>0.96066552717240306</v>
      </c>
      <c r="N248">
        <f t="shared" ca="1" si="69"/>
        <v>2</v>
      </c>
      <c r="O248" s="47">
        <f t="shared" ca="1" si="70"/>
        <v>28929.37683890183</v>
      </c>
      <c r="P248">
        <f ca="1">Inputs!B14+(Inputs!D14-Inputs!B14)*BETAINV(RAND(),Model!H8,Model!I8)</f>
        <v>0.17922795824387547</v>
      </c>
      <c r="Q248">
        <f ca="1">Inputs!E14+(Inputs!G14-Inputs!E14)*BETAINV(RAND(),Model!J8,Model!K8)</f>
        <v>0.56703805318603417</v>
      </c>
      <c r="R248">
        <f ca="1">(Inputs!H14+(Inputs!J14-Inputs!H14)*BETAINV(RAND(),Model!L8,Model!M8))*Inputs!$C$6</f>
        <v>212412.56944820427</v>
      </c>
      <c r="S248">
        <f t="shared" ca="1" si="71"/>
        <v>0.10162907251911497</v>
      </c>
      <c r="T248">
        <f t="shared" ca="1" si="72"/>
        <v>0.27594228873034488</v>
      </c>
      <c r="U248">
        <f t="shared" ca="1" si="73"/>
        <v>0</v>
      </c>
      <c r="V248" s="47">
        <f t="shared" ca="1" si="74"/>
        <v>0</v>
      </c>
      <c r="W248">
        <f ca="1">Inputs!B15+(Inputs!D15-Inputs!B15)*BETAINV(RAND(),Model!H9,Model!I9)</f>
        <v>1.0989180166448451</v>
      </c>
      <c r="X248">
        <f ca="1">Inputs!E15+(Inputs!G15-Inputs!E15)*BETAINV(RAND(),Model!J9,Model!K9)</f>
        <v>0.36350707585028769</v>
      </c>
      <c r="Y248">
        <f ca="1">(Inputs!H15+(Inputs!J15-Inputs!H15)*BETAINV(RAND(),Model!L9,Model!M9))*Inputs!$C$6</f>
        <v>42935.135373497746</v>
      </c>
      <c r="Z248">
        <f t="shared" ca="1" si="75"/>
        <v>0.39946447482976544</v>
      </c>
      <c r="AA248">
        <f t="shared" ca="1" si="76"/>
        <v>0.83650358930545565</v>
      </c>
      <c r="AB248">
        <f t="shared" ca="1" si="77"/>
        <v>1</v>
      </c>
      <c r="AC248" s="47">
        <f t="shared" ca="1" si="78"/>
        <v>42935.135373497746</v>
      </c>
      <c r="AD248">
        <f ca="1">Inputs!B16+(Inputs!D16-Inputs!B16)*BETAINV(RAND(),Model!H10,Model!I10)</f>
        <v>1.2423965607012071</v>
      </c>
      <c r="AE248">
        <f ca="1">Inputs!E16+(Inputs!G16-Inputs!E16)*BETAINV(RAND(),Model!J10,Model!K10)</f>
        <v>0.59304825215414425</v>
      </c>
      <c r="AF248">
        <f ca="1">(Inputs!H16+(Inputs!J16-Inputs!H16)*BETAINV(RAND(),Model!L10,Model!M10))*Inputs!$C$6</f>
        <v>41899.132878853423</v>
      </c>
      <c r="AG248">
        <f t="shared" ca="1" si="79"/>
        <v>0.736801108806171</v>
      </c>
      <c r="AH248">
        <f t="shared" ca="1" si="80"/>
        <v>0.44034115834145882</v>
      </c>
      <c r="AI248">
        <f t="shared" ca="1" si="81"/>
        <v>0</v>
      </c>
      <c r="AJ248" s="47">
        <f t="shared" ca="1" si="82"/>
        <v>0</v>
      </c>
      <c r="AK248">
        <f t="shared" ca="1" si="83"/>
        <v>105614.54199820859</v>
      </c>
    </row>
    <row r="249" spans="2:37" x14ac:dyDescent="0.2">
      <c r="B249">
        <f ca="1">Inputs!B12+(Inputs!D12-Inputs!B12)*BETAINV(RAND(),Model!H6,Model!I6)</f>
        <v>2.1813330452742443</v>
      </c>
      <c r="C249">
        <f ca="1">Inputs!E12+(Inputs!G12-Inputs!E12)*BETAINV(RAND(),Model!J6,Model!K6)</f>
        <v>0.44220018121671956</v>
      </c>
      <c r="D249">
        <f ca="1">(Inputs!H12+(Inputs!J12-Inputs!H12)*BETAINV(RAND(),Model!L6,Model!M6))*Inputs!$C$6</f>
        <v>44949.807398563367</v>
      </c>
      <c r="E249">
        <f t="shared" ca="1" si="63"/>
        <v>0.96458586791428957</v>
      </c>
      <c r="F249">
        <f t="shared" ca="1" si="64"/>
        <v>0.58833162160550057</v>
      </c>
      <c r="G249">
        <f t="shared" ca="1" si="65"/>
        <v>1</v>
      </c>
      <c r="H249" s="47">
        <f t="shared" ca="1" si="66"/>
        <v>44949.807398563367</v>
      </c>
      <c r="I249">
        <f ca="1">Inputs!B13+(Inputs!D13-Inputs!B13)*BETAINV(RAND(),Model!H7,Model!I7)</f>
        <v>2.2363504489018897</v>
      </c>
      <c r="J249">
        <f ca="1">Inputs!E13+(Inputs!G13-Inputs!E13)*BETAINV(RAND(),Model!J7,Model!K7)</f>
        <v>0.16282796582555703</v>
      </c>
      <c r="K249">
        <f ca="1">(Inputs!H13+(Inputs!J13-Inputs!H13)*BETAINV(RAND(),Model!L7,Model!M7))*Inputs!$C$6</f>
        <v>32594.750231298844</v>
      </c>
      <c r="L249">
        <f t="shared" ca="1" si="67"/>
        <v>0.36414039446776603</v>
      </c>
      <c r="M249">
        <f t="shared" ca="1" si="68"/>
        <v>0.77184835629568893</v>
      </c>
      <c r="N249">
        <f t="shared" ca="1" si="69"/>
        <v>1</v>
      </c>
      <c r="O249" s="47">
        <f t="shared" ca="1" si="70"/>
        <v>32594.750231298844</v>
      </c>
      <c r="P249">
        <f ca="1">Inputs!B14+(Inputs!D14-Inputs!B14)*BETAINV(RAND(),Model!H8,Model!I8)</f>
        <v>0.48982181460787289</v>
      </c>
      <c r="Q249">
        <f ca="1">Inputs!E14+(Inputs!G14-Inputs!E14)*BETAINV(RAND(),Model!J8,Model!K8)</f>
        <v>0.65181885318196053</v>
      </c>
      <c r="R249">
        <f ca="1">(Inputs!H14+(Inputs!J14-Inputs!H14)*BETAINV(RAND(),Model!L8,Model!M8))*Inputs!$C$6</f>
        <v>500958.12592564709</v>
      </c>
      <c r="S249">
        <f t="shared" ca="1" si="71"/>
        <v>0.31927509346121058</v>
      </c>
      <c r="T249">
        <f t="shared" ca="1" si="72"/>
        <v>0.95142071721518862</v>
      </c>
      <c r="U249">
        <f t="shared" ca="1" si="73"/>
        <v>1</v>
      </c>
      <c r="V249" s="47">
        <f t="shared" ca="1" si="74"/>
        <v>500958.12592564709</v>
      </c>
      <c r="W249">
        <f ca="1">Inputs!B15+(Inputs!D15-Inputs!B15)*BETAINV(RAND(),Model!H9,Model!I9)</f>
        <v>1.6282465207707226</v>
      </c>
      <c r="X249">
        <f ca="1">Inputs!E15+(Inputs!G15-Inputs!E15)*BETAINV(RAND(),Model!J9,Model!K9)</f>
        <v>0.37642818326388272</v>
      </c>
      <c r="Y249">
        <f ca="1">(Inputs!H15+(Inputs!J15-Inputs!H15)*BETAINV(RAND(),Model!L9,Model!M9))*Inputs!$C$6</f>
        <v>31890.61090539167</v>
      </c>
      <c r="Z249">
        <f t="shared" ca="1" si="75"/>
        <v>0.61291787971946099</v>
      </c>
      <c r="AA249">
        <f t="shared" ca="1" si="76"/>
        <v>0.9855726765147752</v>
      </c>
      <c r="AB249">
        <f t="shared" ca="1" si="77"/>
        <v>3</v>
      </c>
      <c r="AC249" s="47">
        <f t="shared" ca="1" si="78"/>
        <v>95671.832716175006</v>
      </c>
      <c r="AD249">
        <f ca="1">Inputs!B16+(Inputs!D16-Inputs!B16)*BETAINV(RAND(),Model!H10,Model!I10)</f>
        <v>1.2007608457671113</v>
      </c>
      <c r="AE249">
        <f ca="1">Inputs!E16+(Inputs!G16-Inputs!E16)*BETAINV(RAND(),Model!J10,Model!K10)</f>
        <v>0.5667807355094453</v>
      </c>
      <c r="AF249">
        <f ca="1">(Inputs!H16+(Inputs!J16-Inputs!H16)*BETAINV(RAND(),Model!L10,Model!M10))*Inputs!$C$6</f>
        <v>92662.928504126656</v>
      </c>
      <c r="AG249">
        <f t="shared" ca="1" si="79"/>
        <v>0.68056811533482697</v>
      </c>
      <c r="AH249">
        <f t="shared" ca="1" si="80"/>
        <v>6.4466069062970699E-2</v>
      </c>
      <c r="AI249">
        <f t="shared" ca="1" si="81"/>
        <v>0</v>
      </c>
      <c r="AJ249" s="47">
        <f t="shared" ca="1" si="82"/>
        <v>0</v>
      </c>
      <c r="AK249">
        <f t="shared" ca="1" si="83"/>
        <v>674174.51627168432</v>
      </c>
    </row>
    <row r="250" spans="2:37" x14ac:dyDescent="0.2">
      <c r="B250">
        <f ca="1">Inputs!B12+(Inputs!D12-Inputs!B12)*BETAINV(RAND(),Model!H6,Model!I6)</f>
        <v>4.2945277790680843</v>
      </c>
      <c r="C250">
        <f ca="1">Inputs!E12+(Inputs!G12-Inputs!E12)*BETAINV(RAND(),Model!J6,Model!K6)</f>
        <v>0.35653705719294282</v>
      </c>
      <c r="D250">
        <f ca="1">(Inputs!H12+(Inputs!J12-Inputs!H12)*BETAINV(RAND(),Model!L6,Model!M6))*Inputs!$C$6</f>
        <v>26563.33980289863</v>
      </c>
      <c r="E250">
        <f t="shared" ca="1" si="63"/>
        <v>1.5311582963822792</v>
      </c>
      <c r="F250">
        <f t="shared" ca="1" si="64"/>
        <v>0.71815576052757002</v>
      </c>
      <c r="G250">
        <f t="shared" ca="1" si="65"/>
        <v>2</v>
      </c>
      <c r="H250" s="47">
        <f t="shared" ca="1" si="66"/>
        <v>53126.679605797261</v>
      </c>
      <c r="I250">
        <f ca="1">Inputs!B13+(Inputs!D13-Inputs!B13)*BETAINV(RAND(),Model!H7,Model!I7)</f>
        <v>0.9139886222781044</v>
      </c>
      <c r="J250">
        <f ca="1">Inputs!E13+(Inputs!G13-Inputs!E13)*BETAINV(RAND(),Model!J7,Model!K7)</f>
        <v>0.26399588844171251</v>
      </c>
      <c r="K250">
        <f ca="1">(Inputs!H13+(Inputs!J13-Inputs!H13)*BETAINV(RAND(),Model!L7,Model!M7))*Inputs!$C$6</f>
        <v>22399.210069948367</v>
      </c>
      <c r="L250">
        <f t="shared" ca="1" si="67"/>
        <v>0.24128923836392496</v>
      </c>
      <c r="M250">
        <f t="shared" ca="1" si="68"/>
        <v>0.67239305775810509</v>
      </c>
      <c r="N250">
        <f t="shared" ca="1" si="69"/>
        <v>0</v>
      </c>
      <c r="O250" s="47">
        <f t="shared" ca="1" si="70"/>
        <v>0</v>
      </c>
      <c r="P250">
        <f ca="1">Inputs!B14+(Inputs!D14-Inputs!B14)*BETAINV(RAND(),Model!H8,Model!I8)</f>
        <v>0.38916612712718734</v>
      </c>
      <c r="Q250">
        <f ca="1">Inputs!E14+(Inputs!G14-Inputs!E14)*BETAINV(RAND(),Model!J8,Model!K8)</f>
        <v>0.7656352548355283</v>
      </c>
      <c r="R250">
        <f ca="1">(Inputs!H14+(Inputs!J14-Inputs!H14)*BETAINV(RAND(),Model!L8,Model!M8))*Inputs!$C$6</f>
        <v>295795.88527296751</v>
      </c>
      <c r="S250">
        <f t="shared" ca="1" si="71"/>
        <v>0.29795930691637967</v>
      </c>
      <c r="T250">
        <f t="shared" ca="1" si="72"/>
        <v>0.68260721111646605</v>
      </c>
      <c r="U250">
        <f t="shared" ca="1" si="73"/>
        <v>0</v>
      </c>
      <c r="V250" s="47">
        <f t="shared" ca="1" si="74"/>
        <v>0</v>
      </c>
      <c r="W250">
        <f ca="1">Inputs!B15+(Inputs!D15-Inputs!B15)*BETAINV(RAND(),Model!H9,Model!I9)</f>
        <v>2.1284650240237859</v>
      </c>
      <c r="X250">
        <f ca="1">Inputs!E15+(Inputs!G15-Inputs!E15)*BETAINV(RAND(),Model!J9,Model!K9)</f>
        <v>0.36233137284486872</v>
      </c>
      <c r="Y250">
        <f ca="1">(Inputs!H15+(Inputs!J15-Inputs!H15)*BETAINV(RAND(),Model!L9,Model!M9))*Inputs!$C$6</f>
        <v>19589.043955567857</v>
      </c>
      <c r="Z250">
        <f t="shared" ca="1" si="75"/>
        <v>0.77120965420682486</v>
      </c>
      <c r="AA250">
        <f t="shared" ca="1" si="76"/>
        <v>0.63132449070921803</v>
      </c>
      <c r="AB250">
        <f t="shared" ca="1" si="77"/>
        <v>1</v>
      </c>
      <c r="AC250" s="47">
        <f t="shared" ca="1" si="78"/>
        <v>19589.043955567857</v>
      </c>
      <c r="AD250">
        <f ca="1">Inputs!B16+(Inputs!D16-Inputs!B16)*BETAINV(RAND(),Model!H10,Model!I10)</f>
        <v>0.51363835336375574</v>
      </c>
      <c r="AE250">
        <f ca="1">Inputs!E16+(Inputs!G16-Inputs!E16)*BETAINV(RAND(),Model!J10,Model!K10)</f>
        <v>0.55132714358146884</v>
      </c>
      <c r="AF250">
        <f ca="1">(Inputs!H16+(Inputs!J16-Inputs!H16)*BETAINV(RAND(),Model!L10,Model!M10))*Inputs!$C$6</f>
        <v>106213.63850431208</v>
      </c>
      <c r="AG250">
        <f t="shared" ca="1" si="79"/>
        <v>0.28318276619392857</v>
      </c>
      <c r="AH250">
        <f t="shared" ca="1" si="80"/>
        <v>0.24403107332762697</v>
      </c>
      <c r="AI250">
        <f t="shared" ca="1" si="81"/>
        <v>0</v>
      </c>
      <c r="AJ250" s="47">
        <f t="shared" ca="1" si="82"/>
        <v>0</v>
      </c>
      <c r="AK250">
        <f t="shared" ca="1" si="83"/>
        <v>72715.723561365114</v>
      </c>
    </row>
    <row r="251" spans="2:37" x14ac:dyDescent="0.2">
      <c r="B251">
        <f ca="1">Inputs!B12+(Inputs!D12-Inputs!B12)*BETAINV(RAND(),Model!H6,Model!I6)</f>
        <v>2.5183117382011364</v>
      </c>
      <c r="C251">
        <f ca="1">Inputs!E12+(Inputs!G12-Inputs!E12)*BETAINV(RAND(),Model!J6,Model!K6)</f>
        <v>0.27376519643240521</v>
      </c>
      <c r="D251">
        <f ca="1">(Inputs!H12+(Inputs!J12-Inputs!H12)*BETAINV(RAND(),Model!L6,Model!M6))*Inputs!$C$6</f>
        <v>30644.620303956719</v>
      </c>
      <c r="E251">
        <f t="shared" ca="1" si="63"/>
        <v>0.6894261076866659</v>
      </c>
      <c r="F251">
        <f t="shared" ca="1" si="64"/>
        <v>0.23518849707048817</v>
      </c>
      <c r="G251">
        <f t="shared" ca="1" si="65"/>
        <v>0</v>
      </c>
      <c r="H251" s="47">
        <f t="shared" ca="1" si="66"/>
        <v>0</v>
      </c>
      <c r="I251">
        <f ca="1">Inputs!B13+(Inputs!D13-Inputs!B13)*BETAINV(RAND(),Model!H7,Model!I7)</f>
        <v>2.4177685237706203</v>
      </c>
      <c r="J251">
        <f ca="1">Inputs!E13+(Inputs!G13-Inputs!E13)*BETAINV(RAND(),Model!J7,Model!K7)</f>
        <v>0.15625971465762314</v>
      </c>
      <c r="K251">
        <f ca="1">(Inputs!H13+(Inputs!J13-Inputs!H13)*BETAINV(RAND(),Model!L7,Model!M7))*Inputs!$C$6</f>
        <v>23529.637182403381</v>
      </c>
      <c r="L251">
        <f t="shared" ca="1" si="67"/>
        <v>0.37779981963257986</v>
      </c>
      <c r="M251">
        <f t="shared" ca="1" si="68"/>
        <v>0.62320883366018198</v>
      </c>
      <c r="N251">
        <f t="shared" ca="1" si="69"/>
        <v>0</v>
      </c>
      <c r="O251" s="47">
        <f t="shared" ca="1" si="70"/>
        <v>0</v>
      </c>
      <c r="P251">
        <f ca="1">Inputs!B14+(Inputs!D14-Inputs!B14)*BETAINV(RAND(),Model!H8,Model!I8)</f>
        <v>0.58008742853871831</v>
      </c>
      <c r="Q251">
        <f ca="1">Inputs!E14+(Inputs!G14-Inputs!E14)*BETAINV(RAND(),Model!J8,Model!K8)</f>
        <v>0.67325445640314696</v>
      </c>
      <c r="R251">
        <f ca="1">(Inputs!H14+(Inputs!J14-Inputs!H14)*BETAINV(RAND(),Model!L8,Model!M8))*Inputs!$C$6</f>
        <v>407232.26069147873</v>
      </c>
      <c r="S251">
        <f t="shared" ca="1" si="71"/>
        <v>0.39054644636713415</v>
      </c>
      <c r="T251">
        <f t="shared" ca="1" si="72"/>
        <v>0.18391419962793398</v>
      </c>
      <c r="U251">
        <f t="shared" ca="1" si="73"/>
        <v>0</v>
      </c>
      <c r="V251" s="47">
        <f t="shared" ca="1" si="74"/>
        <v>0</v>
      </c>
      <c r="W251">
        <f ca="1">Inputs!B15+(Inputs!D15-Inputs!B15)*BETAINV(RAND(),Model!H9,Model!I9)</f>
        <v>0.77308114609405421</v>
      </c>
      <c r="X251">
        <f ca="1">Inputs!E15+(Inputs!G15-Inputs!E15)*BETAINV(RAND(),Model!J9,Model!K9)</f>
        <v>0.41505566159411056</v>
      </c>
      <c r="Y251">
        <f ca="1">(Inputs!H15+(Inputs!J15-Inputs!H15)*BETAINV(RAND(),Model!L9,Model!M9))*Inputs!$C$6</f>
        <v>32293.362970040718</v>
      </c>
      <c r="Z251">
        <f t="shared" ca="1" si="75"/>
        <v>0.3208717065580009</v>
      </c>
      <c r="AA251">
        <f t="shared" ca="1" si="76"/>
        <v>0.97263155270271529</v>
      </c>
      <c r="AB251">
        <f t="shared" ca="1" si="77"/>
        <v>2</v>
      </c>
      <c r="AC251" s="47">
        <f t="shared" ca="1" si="78"/>
        <v>64586.725940081436</v>
      </c>
      <c r="AD251">
        <f ca="1">Inputs!B16+(Inputs!D16-Inputs!B16)*BETAINV(RAND(),Model!H10,Model!I10)</f>
        <v>0.72260450422894018</v>
      </c>
      <c r="AE251">
        <f ca="1">Inputs!E16+(Inputs!G16-Inputs!E16)*BETAINV(RAND(),Model!J10,Model!K10)</f>
        <v>0.62385310458377852</v>
      </c>
      <c r="AF251">
        <f ca="1">(Inputs!H16+(Inputs!J16-Inputs!H16)*BETAINV(RAND(),Model!L10,Model!M10))*Inputs!$C$6</f>
        <v>65200.022938306531</v>
      </c>
      <c r="AG251">
        <f t="shared" ca="1" si="79"/>
        <v>0.45079906334944647</v>
      </c>
      <c r="AH251">
        <f t="shared" ca="1" si="80"/>
        <v>0.98424550727272486</v>
      </c>
      <c r="AI251">
        <f t="shared" ca="1" si="81"/>
        <v>2</v>
      </c>
      <c r="AJ251" s="47">
        <f t="shared" ca="1" si="82"/>
        <v>130400.04587661306</v>
      </c>
      <c r="AK251">
        <f t="shared" ca="1" si="83"/>
        <v>194986.7718166945</v>
      </c>
    </row>
    <row r="252" spans="2:37" x14ac:dyDescent="0.2">
      <c r="B252">
        <f ca="1">Inputs!B12+(Inputs!D12-Inputs!B12)*BETAINV(RAND(),Model!H6,Model!I6)</f>
        <v>4.3929391506586288</v>
      </c>
      <c r="C252">
        <f ca="1">Inputs!E12+(Inputs!G12-Inputs!E12)*BETAINV(RAND(),Model!J6,Model!K6)</f>
        <v>0.38118970933986307</v>
      </c>
      <c r="D252">
        <f ca="1">(Inputs!H12+(Inputs!J12-Inputs!H12)*BETAINV(RAND(),Model!L6,Model!M6))*Inputs!$C$6</f>
        <v>24700.205622230598</v>
      </c>
      <c r="E252">
        <f t="shared" ca="1" si="63"/>
        <v>1.6745431979872676</v>
      </c>
      <c r="F252">
        <f t="shared" ca="1" si="64"/>
        <v>0.64775284078041429</v>
      </c>
      <c r="G252">
        <f t="shared" ca="1" si="65"/>
        <v>2</v>
      </c>
      <c r="H252" s="47">
        <f t="shared" ca="1" si="66"/>
        <v>49400.411244461196</v>
      </c>
      <c r="I252">
        <f ca="1">Inputs!B13+(Inputs!D13-Inputs!B13)*BETAINV(RAND(),Model!H7,Model!I7)</f>
        <v>2.1615402500727994</v>
      </c>
      <c r="J252">
        <f ca="1">Inputs!E13+(Inputs!G13-Inputs!E13)*BETAINV(RAND(),Model!J7,Model!K7)</f>
        <v>0.13532589503196141</v>
      </c>
      <c r="K252">
        <f ca="1">(Inputs!H13+(Inputs!J13-Inputs!H13)*BETAINV(RAND(),Model!L7,Model!M7))*Inputs!$C$6</f>
        <v>70480.695226227632</v>
      </c>
      <c r="L252">
        <f t="shared" ca="1" si="67"/>
        <v>0.29251236898871125</v>
      </c>
      <c r="M252">
        <f t="shared" ca="1" si="68"/>
        <v>0.32052443744248249</v>
      </c>
      <c r="N252">
        <f t="shared" ca="1" si="69"/>
        <v>0</v>
      </c>
      <c r="O252" s="47">
        <f t="shared" ca="1" si="70"/>
        <v>0</v>
      </c>
      <c r="P252">
        <f ca="1">Inputs!B14+(Inputs!D14-Inputs!B14)*BETAINV(RAND(),Model!H8,Model!I8)</f>
        <v>0.23699375436568129</v>
      </c>
      <c r="Q252">
        <f ca="1">Inputs!E14+(Inputs!G14-Inputs!E14)*BETAINV(RAND(),Model!J8,Model!K8)</f>
        <v>0.48425939609982793</v>
      </c>
      <c r="R252">
        <f ca="1">(Inputs!H14+(Inputs!J14-Inputs!H14)*BETAINV(RAND(),Model!L8,Model!M8))*Inputs!$C$6</f>
        <v>259543.36468731155</v>
      </c>
      <c r="S252">
        <f t="shared" ca="1" si="71"/>
        <v>0.11476645236855579</v>
      </c>
      <c r="T252">
        <f t="shared" ca="1" si="72"/>
        <v>0.10947967638498635</v>
      </c>
      <c r="U252">
        <f t="shared" ca="1" si="73"/>
        <v>0</v>
      </c>
      <c r="V252" s="47">
        <f t="shared" ca="1" si="74"/>
        <v>0</v>
      </c>
      <c r="W252">
        <f ca="1">Inputs!B15+(Inputs!D15-Inputs!B15)*BETAINV(RAND(),Model!H9,Model!I9)</f>
        <v>0.53718336088500418</v>
      </c>
      <c r="X252">
        <f ca="1">Inputs!E15+(Inputs!G15-Inputs!E15)*BETAINV(RAND(),Model!J9,Model!K9)</f>
        <v>0.55699017632739389</v>
      </c>
      <c r="Y252">
        <f ca="1">(Inputs!H15+(Inputs!J15-Inputs!H15)*BETAINV(RAND(),Model!L9,Model!M9))*Inputs!$C$6</f>
        <v>71080.206168349774</v>
      </c>
      <c r="Z252">
        <f t="shared" ca="1" si="75"/>
        <v>0.29920585489948054</v>
      </c>
      <c r="AA252">
        <f t="shared" ca="1" si="76"/>
        <v>0.76079151567459369</v>
      </c>
      <c r="AB252">
        <f t="shared" ca="1" si="77"/>
        <v>1</v>
      </c>
      <c r="AC252" s="47">
        <f t="shared" ca="1" si="78"/>
        <v>71080.206168349774</v>
      </c>
      <c r="AD252">
        <f ca="1">Inputs!B16+(Inputs!D16-Inputs!B16)*BETAINV(RAND(),Model!H10,Model!I10)</f>
        <v>0.57925137702762164</v>
      </c>
      <c r="AE252">
        <f ca="1">Inputs!E16+(Inputs!G16-Inputs!E16)*BETAINV(RAND(),Model!J10,Model!K10)</f>
        <v>0.62138554383532396</v>
      </c>
      <c r="AF252">
        <f ca="1">(Inputs!H16+(Inputs!J16-Inputs!H16)*BETAINV(RAND(),Model!L10,Model!M10))*Inputs!$C$6</f>
        <v>82695.234944043972</v>
      </c>
      <c r="AG252">
        <f t="shared" ca="1" si="79"/>
        <v>0.35993843193166897</v>
      </c>
      <c r="AH252">
        <f t="shared" ca="1" si="80"/>
        <v>0.90963620149999802</v>
      </c>
      <c r="AI252">
        <f t="shared" ca="1" si="81"/>
        <v>1</v>
      </c>
      <c r="AJ252" s="47">
        <f t="shared" ca="1" si="82"/>
        <v>82695.234944043972</v>
      </c>
      <c r="AK252">
        <f t="shared" ca="1" si="83"/>
        <v>203175.85235685494</v>
      </c>
    </row>
    <row r="253" spans="2:37" x14ac:dyDescent="0.2">
      <c r="B253">
        <f ca="1">Inputs!B12+(Inputs!D12-Inputs!B12)*BETAINV(RAND(),Model!H6,Model!I6)</f>
        <v>6.7498307413441188</v>
      </c>
      <c r="C253">
        <f ca="1">Inputs!E12+(Inputs!G12-Inputs!E12)*BETAINV(RAND(),Model!J6,Model!K6)</f>
        <v>0.31830369087957799</v>
      </c>
      <c r="D253">
        <f ca="1">(Inputs!H12+(Inputs!J12-Inputs!H12)*BETAINV(RAND(),Model!L6,Model!M6))*Inputs!$C$6</f>
        <v>50397.072007146569</v>
      </c>
      <c r="E253">
        <f t="shared" ca="1" si="63"/>
        <v>2.1484960377822713</v>
      </c>
      <c r="F253">
        <f t="shared" ca="1" si="64"/>
        <v>0.67348044518935146</v>
      </c>
      <c r="G253">
        <f t="shared" ca="1" si="65"/>
        <v>3</v>
      </c>
      <c r="H253" s="47">
        <f t="shared" ca="1" si="66"/>
        <v>151191.2160214397</v>
      </c>
      <c r="I253">
        <f ca="1">Inputs!B13+(Inputs!D13-Inputs!B13)*BETAINV(RAND(),Model!H7,Model!I7)</f>
        <v>2.1265905033662711</v>
      </c>
      <c r="J253">
        <f ca="1">Inputs!E13+(Inputs!G13-Inputs!E13)*BETAINV(RAND(),Model!J7,Model!K7)</f>
        <v>0.33322112136039039</v>
      </c>
      <c r="K253">
        <f ca="1">(Inputs!H13+(Inputs!J13-Inputs!H13)*BETAINV(RAND(),Model!L7,Model!M7))*Inputs!$C$6</f>
        <v>37580.819091628699</v>
      </c>
      <c r="L253">
        <f t="shared" ca="1" si="67"/>
        <v>0.70862487220606596</v>
      </c>
      <c r="M253">
        <f t="shared" ca="1" si="68"/>
        <v>0.27117830776195229</v>
      </c>
      <c r="N253">
        <f t="shared" ca="1" si="69"/>
        <v>0</v>
      </c>
      <c r="O253" s="47">
        <f t="shared" ca="1" si="70"/>
        <v>0</v>
      </c>
      <c r="P253">
        <f ca="1">Inputs!B14+(Inputs!D14-Inputs!B14)*BETAINV(RAND(),Model!H8,Model!I8)</f>
        <v>0.15237297734525249</v>
      </c>
      <c r="Q253">
        <f ca="1">Inputs!E14+(Inputs!G14-Inputs!E14)*BETAINV(RAND(),Model!J8,Model!K8)</f>
        <v>0.62085120389239634</v>
      </c>
      <c r="R253">
        <f ca="1">(Inputs!H14+(Inputs!J14-Inputs!H14)*BETAINV(RAND(),Model!L8,Model!M8))*Inputs!$C$6</f>
        <v>346085.70912743564</v>
      </c>
      <c r="S253">
        <f t="shared" ca="1" si="71"/>
        <v>9.4600946425468846E-2</v>
      </c>
      <c r="T253">
        <f t="shared" ca="1" si="72"/>
        <v>4.8033752518952588E-2</v>
      </c>
      <c r="U253">
        <f t="shared" ca="1" si="73"/>
        <v>0</v>
      </c>
      <c r="V253" s="47">
        <f t="shared" ca="1" si="74"/>
        <v>0</v>
      </c>
      <c r="W253">
        <f ca="1">Inputs!B15+(Inputs!D15-Inputs!B15)*BETAINV(RAND(),Model!H9,Model!I9)</f>
        <v>0.86330177180866374</v>
      </c>
      <c r="X253">
        <f ca="1">Inputs!E15+(Inputs!G15-Inputs!E15)*BETAINV(RAND(),Model!J9,Model!K9)</f>
        <v>0.34354393483857937</v>
      </c>
      <c r="Y253">
        <f ca="1">(Inputs!H15+(Inputs!J15-Inputs!H15)*BETAINV(RAND(),Model!L9,Model!M9))*Inputs!$C$6</f>
        <v>35989.877356972458</v>
      </c>
      <c r="Z253">
        <f t="shared" ca="1" si="75"/>
        <v>0.29658208764026567</v>
      </c>
      <c r="AA253">
        <f t="shared" ca="1" si="76"/>
        <v>0.95459413205267907</v>
      </c>
      <c r="AB253">
        <f t="shared" ca="1" si="77"/>
        <v>1</v>
      </c>
      <c r="AC253" s="47">
        <f t="shared" ca="1" si="78"/>
        <v>35989.877356972458</v>
      </c>
      <c r="AD253">
        <f ca="1">Inputs!B16+(Inputs!D16-Inputs!B16)*BETAINV(RAND(),Model!H10,Model!I10)</f>
        <v>0.69781999553995888</v>
      </c>
      <c r="AE253">
        <f ca="1">Inputs!E16+(Inputs!G16-Inputs!E16)*BETAINV(RAND(),Model!J10,Model!K10)</f>
        <v>0.47541330428343204</v>
      </c>
      <c r="AF253">
        <f ca="1">(Inputs!H16+(Inputs!J16-Inputs!H16)*BETAINV(RAND(),Model!L10,Model!M10))*Inputs!$C$6</f>
        <v>57534.029384838599</v>
      </c>
      <c r="AG253">
        <f t="shared" ca="1" si="79"/>
        <v>0.33175290987470168</v>
      </c>
      <c r="AH253">
        <f t="shared" ca="1" si="80"/>
        <v>0.195776916844838</v>
      </c>
      <c r="AI253">
        <f t="shared" ca="1" si="81"/>
        <v>0</v>
      </c>
      <c r="AJ253" s="47">
        <f t="shared" ca="1" si="82"/>
        <v>0</v>
      </c>
      <c r="AK253">
        <f t="shared" ca="1" si="83"/>
        <v>187181.09337841216</v>
      </c>
    </row>
    <row r="254" spans="2:37" x14ac:dyDescent="0.2">
      <c r="B254">
        <f ca="1">Inputs!B12+(Inputs!D12-Inputs!B12)*BETAINV(RAND(),Model!H6,Model!I6)</f>
        <v>1.7609539729682133</v>
      </c>
      <c r="C254">
        <f ca="1">Inputs!E12+(Inputs!G12-Inputs!E12)*BETAINV(RAND(),Model!J6,Model!K6)</f>
        <v>0.19851517377581951</v>
      </c>
      <c r="D254">
        <f ca="1">(Inputs!H12+(Inputs!J12-Inputs!H12)*BETAINV(RAND(),Model!L6,Model!M6))*Inputs!$C$6</f>
        <v>36088.310546166555</v>
      </c>
      <c r="E254">
        <f t="shared" ca="1" si="63"/>
        <v>0.34957608395500461</v>
      </c>
      <c r="F254">
        <f t="shared" ca="1" si="64"/>
        <v>0.41066909182447575</v>
      </c>
      <c r="G254">
        <f t="shared" ca="1" si="65"/>
        <v>0</v>
      </c>
      <c r="H254" s="47">
        <f t="shared" ca="1" si="66"/>
        <v>0</v>
      </c>
      <c r="I254">
        <f ca="1">Inputs!B13+(Inputs!D13-Inputs!B13)*BETAINV(RAND(),Model!H7,Model!I7)</f>
        <v>3.0857594703334073</v>
      </c>
      <c r="J254">
        <f ca="1">Inputs!E13+(Inputs!G13-Inputs!E13)*BETAINV(RAND(),Model!J7,Model!K7)</f>
        <v>0.4068989104158518</v>
      </c>
      <c r="K254">
        <f ca="1">(Inputs!H13+(Inputs!J13-Inputs!H13)*BETAINV(RAND(),Model!L7,Model!M7))*Inputs!$C$6</f>
        <v>14188.290279897752</v>
      </c>
      <c r="L254">
        <f t="shared" ca="1" si="67"/>
        <v>1.2555921662840595</v>
      </c>
      <c r="M254">
        <f t="shared" ca="1" si="68"/>
        <v>0.43286044627728304</v>
      </c>
      <c r="N254">
        <f t="shared" ca="1" si="69"/>
        <v>1</v>
      </c>
      <c r="O254" s="47">
        <f t="shared" ca="1" si="70"/>
        <v>14188.290279897752</v>
      </c>
      <c r="P254">
        <f ca="1">Inputs!B14+(Inputs!D14-Inputs!B14)*BETAINV(RAND(),Model!H8,Model!I8)</f>
        <v>0.33021434309117237</v>
      </c>
      <c r="Q254">
        <f ca="1">Inputs!E14+(Inputs!G14-Inputs!E14)*BETAINV(RAND(),Model!J8,Model!K8)</f>
        <v>0.63194526942867157</v>
      </c>
      <c r="R254">
        <f ca="1">(Inputs!H14+(Inputs!J14-Inputs!H14)*BETAINV(RAND(),Model!L8,Model!M8))*Inputs!$C$6</f>
        <v>526341.11563334812</v>
      </c>
      <c r="S254">
        <f t="shared" ca="1" si="71"/>
        <v>0.20867739201396271</v>
      </c>
      <c r="T254">
        <f t="shared" ca="1" si="72"/>
        <v>0.56085477859622879</v>
      </c>
      <c r="U254">
        <f t="shared" ca="1" si="73"/>
        <v>0</v>
      </c>
      <c r="V254" s="47">
        <f t="shared" ca="1" si="74"/>
        <v>0</v>
      </c>
      <c r="W254">
        <f ca="1">Inputs!B15+(Inputs!D15-Inputs!B15)*BETAINV(RAND(),Model!H9,Model!I9)</f>
        <v>0.78661897146280513</v>
      </c>
      <c r="X254">
        <f ca="1">Inputs!E15+(Inputs!G15-Inputs!E15)*BETAINV(RAND(),Model!J9,Model!K9)</f>
        <v>0.34463437198286584</v>
      </c>
      <c r="Y254">
        <f ca="1">(Inputs!H15+(Inputs!J15-Inputs!H15)*BETAINV(RAND(),Model!L9,Model!M9))*Inputs!$C$6</f>
        <v>18340.933192775501</v>
      </c>
      <c r="Z254">
        <f t="shared" ca="1" si="75"/>
        <v>0.27109593521989173</v>
      </c>
      <c r="AA254">
        <f t="shared" ca="1" si="76"/>
        <v>3.5936542230666668E-2</v>
      </c>
      <c r="AB254">
        <f t="shared" ca="1" si="77"/>
        <v>0</v>
      </c>
      <c r="AC254" s="47">
        <f t="shared" ca="1" si="78"/>
        <v>0</v>
      </c>
      <c r="AD254">
        <f ca="1">Inputs!B16+(Inputs!D16-Inputs!B16)*BETAINV(RAND(),Model!H10,Model!I10)</f>
        <v>0.43143361942745595</v>
      </c>
      <c r="AE254">
        <f ca="1">Inputs!E16+(Inputs!G16-Inputs!E16)*BETAINV(RAND(),Model!J10,Model!K10)</f>
        <v>0.6250779721797004</v>
      </c>
      <c r="AF254">
        <f ca="1">(Inputs!H16+(Inputs!J16-Inputs!H16)*BETAINV(RAND(),Model!L10,Model!M10))*Inputs!$C$6</f>
        <v>48171.486392576437</v>
      </c>
      <c r="AG254">
        <f t="shared" ca="1" si="79"/>
        <v>0.26967965196186278</v>
      </c>
      <c r="AH254">
        <f t="shared" ca="1" si="80"/>
        <v>6.2856575791860991E-2</v>
      </c>
      <c r="AI254">
        <f t="shared" ca="1" si="81"/>
        <v>0</v>
      </c>
      <c r="AJ254" s="47">
        <f t="shared" ca="1" si="82"/>
        <v>0</v>
      </c>
      <c r="AK254">
        <f t="shared" ca="1" si="83"/>
        <v>14188.290279897752</v>
      </c>
    </row>
    <row r="255" spans="2:37" x14ac:dyDescent="0.2">
      <c r="B255">
        <f ca="1">Inputs!B12+(Inputs!D12-Inputs!B12)*BETAINV(RAND(),Model!H6,Model!I6)</f>
        <v>3.8354651734549381</v>
      </c>
      <c r="C255">
        <f ca="1">Inputs!E12+(Inputs!G12-Inputs!E12)*BETAINV(RAND(),Model!J6,Model!K6)</f>
        <v>0.38272792397910421</v>
      </c>
      <c r="D255">
        <f ca="1">(Inputs!H12+(Inputs!J12-Inputs!H12)*BETAINV(RAND(),Model!L6,Model!M6))*Inputs!$C$6</f>
        <v>13871.525205656351</v>
      </c>
      <c r="E255">
        <f t="shared" ca="1" si="63"/>
        <v>1.4679396233305633</v>
      </c>
      <c r="F255">
        <f t="shared" ca="1" si="64"/>
        <v>0.82258422566161837</v>
      </c>
      <c r="G255">
        <f t="shared" ca="1" si="65"/>
        <v>3</v>
      </c>
      <c r="H255" s="47">
        <f t="shared" ca="1" si="66"/>
        <v>41614.575616969058</v>
      </c>
      <c r="I255">
        <f ca="1">Inputs!B13+(Inputs!D13-Inputs!B13)*BETAINV(RAND(),Model!H7,Model!I7)</f>
        <v>1.1298524407566646</v>
      </c>
      <c r="J255">
        <f ca="1">Inputs!E13+(Inputs!G13-Inputs!E13)*BETAINV(RAND(),Model!J7,Model!K7)</f>
        <v>0.34767630415819495</v>
      </c>
      <c r="K255">
        <f ca="1">(Inputs!H13+(Inputs!J13-Inputs!H13)*BETAINV(RAND(),Model!L7,Model!M7))*Inputs!$C$6</f>
        <v>29138.558930435553</v>
      </c>
      <c r="L255">
        <f t="shared" ca="1" si="67"/>
        <v>0.39282292084639303</v>
      </c>
      <c r="M255">
        <f t="shared" ca="1" si="68"/>
        <v>0.69855939492369779</v>
      </c>
      <c r="N255">
        <f t="shared" ca="1" si="69"/>
        <v>1</v>
      </c>
      <c r="O255" s="47">
        <f t="shared" ca="1" si="70"/>
        <v>29138.558930435553</v>
      </c>
      <c r="P255">
        <f ca="1">Inputs!B14+(Inputs!D14-Inputs!B14)*BETAINV(RAND(),Model!H8,Model!I8)</f>
        <v>0.26066837589252112</v>
      </c>
      <c r="Q255">
        <f ca="1">Inputs!E14+(Inputs!G14-Inputs!E14)*BETAINV(RAND(),Model!J8,Model!K8)</f>
        <v>0.73845101332285346</v>
      </c>
      <c r="R255">
        <f ca="1">(Inputs!H14+(Inputs!J14-Inputs!H14)*BETAINV(RAND(),Model!L8,Model!M8))*Inputs!$C$6</f>
        <v>409623.65603781008</v>
      </c>
      <c r="S255">
        <f t="shared" ca="1" si="71"/>
        <v>0.19249082631905468</v>
      </c>
      <c r="T255">
        <f t="shared" ca="1" si="72"/>
        <v>4.3086385203798261E-2</v>
      </c>
      <c r="U255">
        <f t="shared" ca="1" si="73"/>
        <v>0</v>
      </c>
      <c r="V255" s="47">
        <f t="shared" ca="1" si="74"/>
        <v>0</v>
      </c>
      <c r="W255">
        <f ca="1">Inputs!B15+(Inputs!D15-Inputs!B15)*BETAINV(RAND(),Model!H9,Model!I9)</f>
        <v>0.47954500872199002</v>
      </c>
      <c r="X255">
        <f ca="1">Inputs!E15+(Inputs!G15-Inputs!E15)*BETAINV(RAND(),Model!J9,Model!K9)</f>
        <v>0.3112925978063586</v>
      </c>
      <c r="Y255">
        <f ca="1">(Inputs!H15+(Inputs!J15-Inputs!H15)*BETAINV(RAND(),Model!L9,Model!M9))*Inputs!$C$6</f>
        <v>44662.788967002314</v>
      </c>
      <c r="Z255">
        <f t="shared" ca="1" si="75"/>
        <v>0.14927881153014116</v>
      </c>
      <c r="AA255">
        <f t="shared" ca="1" si="76"/>
        <v>0.84104127207734958</v>
      </c>
      <c r="AB255">
        <f t="shared" ca="1" si="77"/>
        <v>0</v>
      </c>
      <c r="AC255" s="47">
        <f t="shared" ca="1" si="78"/>
        <v>0</v>
      </c>
      <c r="AD255">
        <f ca="1">Inputs!B16+(Inputs!D16-Inputs!B16)*BETAINV(RAND(),Model!H10,Model!I10)</f>
        <v>1.0754699091541597</v>
      </c>
      <c r="AE255">
        <f ca="1">Inputs!E16+(Inputs!G16-Inputs!E16)*BETAINV(RAND(),Model!J10,Model!K10)</f>
        <v>0.69841860395005373</v>
      </c>
      <c r="AF255">
        <f ca="1">(Inputs!H16+(Inputs!J16-Inputs!H16)*BETAINV(RAND(),Model!L10,Model!M10))*Inputs!$C$6</f>
        <v>137570.60941042489</v>
      </c>
      <c r="AG255">
        <f t="shared" ca="1" si="79"/>
        <v>0.75112819254173935</v>
      </c>
      <c r="AH255">
        <f t="shared" ca="1" si="80"/>
        <v>0.24380054834203868</v>
      </c>
      <c r="AI255">
        <f t="shared" ca="1" si="81"/>
        <v>0</v>
      </c>
      <c r="AJ255" s="47">
        <f t="shared" ca="1" si="82"/>
        <v>0</v>
      </c>
      <c r="AK255">
        <f t="shared" ca="1" si="83"/>
        <v>70753.13454740461</v>
      </c>
    </row>
    <row r="256" spans="2:37" x14ac:dyDescent="0.2">
      <c r="B256">
        <f ca="1">Inputs!B12+(Inputs!D12-Inputs!B12)*BETAINV(RAND(),Model!H6,Model!I6)</f>
        <v>4.1887426330267274</v>
      </c>
      <c r="C256">
        <f ca="1">Inputs!E12+(Inputs!G12-Inputs!E12)*BETAINV(RAND(),Model!J6,Model!K6)</f>
        <v>0.35209940170904575</v>
      </c>
      <c r="D256">
        <f ca="1">(Inputs!H12+(Inputs!J12-Inputs!H12)*BETAINV(RAND(),Model!L6,Model!M6))*Inputs!$C$6</f>
        <v>42478.061001782706</v>
      </c>
      <c r="E256">
        <f t="shared" ca="1" si="63"/>
        <v>1.4748537750018837</v>
      </c>
      <c r="F256">
        <f t="shared" ca="1" si="64"/>
        <v>0.53339022539603065</v>
      </c>
      <c r="G256">
        <f t="shared" ca="1" si="65"/>
        <v>1</v>
      </c>
      <c r="H256" s="47">
        <f t="shared" ca="1" si="66"/>
        <v>42478.061001782706</v>
      </c>
      <c r="I256">
        <f ca="1">Inputs!B13+(Inputs!D13-Inputs!B13)*BETAINV(RAND(),Model!H7,Model!I7)</f>
        <v>2.4066097197851768</v>
      </c>
      <c r="J256">
        <f ca="1">Inputs!E13+(Inputs!G13-Inputs!E13)*BETAINV(RAND(),Model!J7,Model!K7)</f>
        <v>0.31856388043827877</v>
      </c>
      <c r="K256">
        <f ca="1">(Inputs!H13+(Inputs!J13-Inputs!H13)*BETAINV(RAND(),Model!L7,Model!M7))*Inputs!$C$6</f>
        <v>40683.443385143568</v>
      </c>
      <c r="L256">
        <f t="shared" ca="1" si="67"/>
        <v>0.76665893103524463</v>
      </c>
      <c r="M256">
        <f t="shared" ca="1" si="68"/>
        <v>0.17143382774340421</v>
      </c>
      <c r="N256">
        <f t="shared" ca="1" si="69"/>
        <v>0</v>
      </c>
      <c r="O256" s="47">
        <f t="shared" ca="1" si="70"/>
        <v>0</v>
      </c>
      <c r="P256">
        <f ca="1">Inputs!B14+(Inputs!D14-Inputs!B14)*BETAINV(RAND(),Model!H8,Model!I8)</f>
        <v>0.20608634280855495</v>
      </c>
      <c r="Q256">
        <f ca="1">Inputs!E14+(Inputs!G14-Inputs!E14)*BETAINV(RAND(),Model!J8,Model!K8)</f>
        <v>0.53738442603969894</v>
      </c>
      <c r="R256">
        <f ca="1">(Inputs!H14+(Inputs!J14-Inputs!H14)*BETAINV(RAND(),Model!L8,Model!M8))*Inputs!$C$6</f>
        <v>360705.63221446809</v>
      </c>
      <c r="S256">
        <f t="shared" ca="1" si="71"/>
        <v>0.11074759104479594</v>
      </c>
      <c r="T256">
        <f t="shared" ca="1" si="72"/>
        <v>0.84964460970240652</v>
      </c>
      <c r="U256">
        <f t="shared" ca="1" si="73"/>
        <v>0</v>
      </c>
      <c r="V256" s="47">
        <f t="shared" ca="1" si="74"/>
        <v>0</v>
      </c>
      <c r="W256">
        <f ca="1">Inputs!B15+(Inputs!D15-Inputs!B15)*BETAINV(RAND(),Model!H9,Model!I9)</f>
        <v>0.55083174524303158</v>
      </c>
      <c r="X256">
        <f ca="1">Inputs!E15+(Inputs!G15-Inputs!E15)*BETAINV(RAND(),Model!J9,Model!K9)</f>
        <v>0.54670206120253495</v>
      </c>
      <c r="Y256">
        <f ca="1">(Inputs!H15+(Inputs!J15-Inputs!H15)*BETAINV(RAND(),Model!L9,Model!M9))*Inputs!$C$6</f>
        <v>32277.505675446988</v>
      </c>
      <c r="Z256">
        <f t="shared" ca="1" si="75"/>
        <v>0.30114085050015499</v>
      </c>
      <c r="AA256">
        <f t="shared" ca="1" si="76"/>
        <v>0.1090847415711319</v>
      </c>
      <c r="AB256">
        <f t="shared" ca="1" si="77"/>
        <v>0</v>
      </c>
      <c r="AC256" s="47">
        <f t="shared" ca="1" si="78"/>
        <v>0</v>
      </c>
      <c r="AD256">
        <f ca="1">Inputs!B16+(Inputs!D16-Inputs!B16)*BETAINV(RAND(),Model!H10,Model!I10)</f>
        <v>0.67562495002129241</v>
      </c>
      <c r="AE256">
        <f ca="1">Inputs!E16+(Inputs!G16-Inputs!E16)*BETAINV(RAND(),Model!J10,Model!K10)</f>
        <v>0.52164993559155903</v>
      </c>
      <c r="AF256">
        <f ca="1">(Inputs!H16+(Inputs!J16-Inputs!H16)*BETAINV(RAND(),Model!L10,Model!M10))*Inputs!$C$6</f>
        <v>99934.523722215687</v>
      </c>
      <c r="AG256">
        <f t="shared" ca="1" si="79"/>
        <v>0.35243971166265747</v>
      </c>
      <c r="AH256">
        <f t="shared" ca="1" si="80"/>
        <v>0.37770295456153524</v>
      </c>
      <c r="AI256">
        <f t="shared" ca="1" si="81"/>
        <v>0</v>
      </c>
      <c r="AJ256" s="47">
        <f t="shared" ca="1" si="82"/>
        <v>0</v>
      </c>
      <c r="AK256">
        <f t="shared" ca="1" si="83"/>
        <v>42478.061001782706</v>
      </c>
    </row>
    <row r="257" spans="2:37" x14ac:dyDescent="0.2">
      <c r="B257">
        <f ca="1">Inputs!B12+(Inputs!D12-Inputs!B12)*BETAINV(RAND(),Model!H6,Model!I6)</f>
        <v>3.7917937001503397</v>
      </c>
      <c r="C257">
        <f ca="1">Inputs!E12+(Inputs!G12-Inputs!E12)*BETAINV(RAND(),Model!J6,Model!K6)</f>
        <v>0.30787415364941384</v>
      </c>
      <c r="D257">
        <f ca="1">(Inputs!H12+(Inputs!J12-Inputs!H12)*BETAINV(RAND(),Model!L6,Model!M6))*Inputs!$C$6</f>
        <v>26674.825848795306</v>
      </c>
      <c r="E257">
        <f t="shared" ca="1" si="63"/>
        <v>1.167395276246965</v>
      </c>
      <c r="F257">
        <f t="shared" ca="1" si="64"/>
        <v>0.68402479891662893</v>
      </c>
      <c r="G257">
        <f t="shared" ca="1" si="65"/>
        <v>2</v>
      </c>
      <c r="H257" s="47">
        <f t="shared" ca="1" si="66"/>
        <v>53349.651697590612</v>
      </c>
      <c r="I257">
        <f ca="1">Inputs!B13+(Inputs!D13-Inputs!B13)*BETAINV(RAND(),Model!H7,Model!I7)</f>
        <v>1.6449767344105397</v>
      </c>
      <c r="J257">
        <f ca="1">Inputs!E13+(Inputs!G13-Inputs!E13)*BETAINV(RAND(),Model!J7,Model!K7)</f>
        <v>0.17348787678107691</v>
      </c>
      <c r="K257">
        <f ca="1">(Inputs!H13+(Inputs!J13-Inputs!H13)*BETAINV(RAND(),Model!L7,Model!M7))*Inputs!$C$6</f>
        <v>46562.296475621923</v>
      </c>
      <c r="L257">
        <f t="shared" ca="1" si="67"/>
        <v>0.28538352100715397</v>
      </c>
      <c r="M257">
        <f t="shared" ca="1" si="68"/>
        <v>0.43214145721251318</v>
      </c>
      <c r="N257">
        <f t="shared" ca="1" si="69"/>
        <v>0</v>
      </c>
      <c r="O257" s="47">
        <f t="shared" ca="1" si="70"/>
        <v>0</v>
      </c>
      <c r="P257">
        <f ca="1">Inputs!B14+(Inputs!D14-Inputs!B14)*BETAINV(RAND(),Model!H8,Model!I8)</f>
        <v>0.40000112245989694</v>
      </c>
      <c r="Q257">
        <f ca="1">Inputs!E14+(Inputs!G14-Inputs!E14)*BETAINV(RAND(),Model!J8,Model!K8)</f>
        <v>0.60877784588005457</v>
      </c>
      <c r="R257">
        <f ca="1">(Inputs!H14+(Inputs!J14-Inputs!H14)*BETAINV(RAND(),Model!L8,Model!M8))*Inputs!$C$6</f>
        <v>235221.55819695978</v>
      </c>
      <c r="S257">
        <f t="shared" ca="1" si="71"/>
        <v>0.24351182168073998</v>
      </c>
      <c r="T257">
        <f t="shared" ca="1" si="72"/>
        <v>0.39239047443398734</v>
      </c>
      <c r="U257">
        <f t="shared" ca="1" si="73"/>
        <v>0</v>
      </c>
      <c r="V257" s="47">
        <f t="shared" ca="1" si="74"/>
        <v>0</v>
      </c>
      <c r="W257">
        <f ca="1">Inputs!B15+(Inputs!D15-Inputs!B15)*BETAINV(RAND(),Model!H9,Model!I9)</f>
        <v>2.2520272840503988</v>
      </c>
      <c r="X257">
        <f ca="1">Inputs!E15+(Inputs!G15-Inputs!E15)*BETAINV(RAND(),Model!J9,Model!K9)</f>
        <v>0.46656722552743002</v>
      </c>
      <c r="Y257">
        <f ca="1">(Inputs!H15+(Inputs!J15-Inputs!H15)*BETAINV(RAND(),Model!L9,Model!M9))*Inputs!$C$6</f>
        <v>27915.523547111625</v>
      </c>
      <c r="Z257">
        <f t="shared" ca="1" si="75"/>
        <v>1.0507221217314682</v>
      </c>
      <c r="AA257">
        <f t="shared" ca="1" si="76"/>
        <v>0.12704483261535826</v>
      </c>
      <c r="AB257">
        <f t="shared" ca="1" si="77"/>
        <v>0</v>
      </c>
      <c r="AC257" s="47">
        <f t="shared" ca="1" si="78"/>
        <v>0</v>
      </c>
      <c r="AD257">
        <f ca="1">Inputs!B16+(Inputs!D16-Inputs!B16)*BETAINV(RAND(),Model!H10,Model!I10)</f>
        <v>0.6963235775808988</v>
      </c>
      <c r="AE257">
        <f ca="1">Inputs!E16+(Inputs!G16-Inputs!E16)*BETAINV(RAND(),Model!J10,Model!K10)</f>
        <v>0.72527521786981697</v>
      </c>
      <c r="AF257">
        <f ca="1">(Inputs!H16+(Inputs!J16-Inputs!H16)*BETAINV(RAND(),Model!L10,Model!M10))*Inputs!$C$6</f>
        <v>88236.540328317162</v>
      </c>
      <c r="AG257">
        <f t="shared" ca="1" si="79"/>
        <v>0.50502623443787675</v>
      </c>
      <c r="AH257">
        <f t="shared" ca="1" si="80"/>
        <v>0.35995443248316195</v>
      </c>
      <c r="AI257">
        <f t="shared" ca="1" si="81"/>
        <v>0</v>
      </c>
      <c r="AJ257" s="47">
        <f t="shared" ca="1" si="82"/>
        <v>0</v>
      </c>
      <c r="AK257">
        <f t="shared" ca="1" si="83"/>
        <v>53349.651697590612</v>
      </c>
    </row>
    <row r="258" spans="2:37" x14ac:dyDescent="0.2">
      <c r="B258">
        <f ca="1">Inputs!B12+(Inputs!D12-Inputs!B12)*BETAINV(RAND(),Model!H6,Model!I6)</f>
        <v>5.602130162263216</v>
      </c>
      <c r="C258">
        <f ca="1">Inputs!E12+(Inputs!G12-Inputs!E12)*BETAINV(RAND(),Model!J6,Model!K6)</f>
        <v>0.34732360264875106</v>
      </c>
      <c r="D258">
        <f ca="1">(Inputs!H12+(Inputs!J12-Inputs!H12)*BETAINV(RAND(),Model!L6,Model!M6))*Inputs!$C$6</f>
        <v>27220.012756638847</v>
      </c>
      <c r="E258">
        <f t="shared" ca="1" si="63"/>
        <v>1.9457520304644926</v>
      </c>
      <c r="F258">
        <f t="shared" ca="1" si="64"/>
        <v>0.17319014795720877</v>
      </c>
      <c r="G258">
        <f t="shared" ca="1" si="65"/>
        <v>1</v>
      </c>
      <c r="H258" s="47">
        <f t="shared" ca="1" si="66"/>
        <v>27220.012756638847</v>
      </c>
      <c r="I258">
        <f ca="1">Inputs!B13+(Inputs!D13-Inputs!B13)*BETAINV(RAND(),Model!H7,Model!I7)</f>
        <v>3.5708251607196106</v>
      </c>
      <c r="J258">
        <f ca="1">Inputs!E13+(Inputs!G13-Inputs!E13)*BETAINV(RAND(),Model!J7,Model!K7)</f>
        <v>0.3965979647345832</v>
      </c>
      <c r="K258">
        <f ca="1">(Inputs!H13+(Inputs!J13-Inputs!H13)*BETAINV(RAND(),Model!L7,Model!M7))*Inputs!$C$6</f>
        <v>49589.440203158883</v>
      </c>
      <c r="L258">
        <f t="shared" ca="1" si="67"/>
        <v>1.4161819911644384</v>
      </c>
      <c r="M258">
        <f t="shared" ca="1" si="68"/>
        <v>0.69970036014168324</v>
      </c>
      <c r="N258">
        <f t="shared" ca="1" si="69"/>
        <v>2</v>
      </c>
      <c r="O258" s="47">
        <f t="shared" ca="1" si="70"/>
        <v>99178.880406317767</v>
      </c>
      <c r="P258">
        <f ca="1">Inputs!B14+(Inputs!D14-Inputs!B14)*BETAINV(RAND(),Model!H8,Model!I8)</f>
        <v>0.31581322375852894</v>
      </c>
      <c r="Q258">
        <f ca="1">Inputs!E14+(Inputs!G14-Inputs!E14)*BETAINV(RAND(),Model!J8,Model!K8)</f>
        <v>0.6440017286634987</v>
      </c>
      <c r="R258">
        <f ca="1">(Inputs!H14+(Inputs!J14-Inputs!H14)*BETAINV(RAND(),Model!L8,Model!M8))*Inputs!$C$6</f>
        <v>480380.68519075908</v>
      </c>
      <c r="S258">
        <f t="shared" ca="1" si="71"/>
        <v>0.20338426203528495</v>
      </c>
      <c r="T258">
        <f t="shared" ca="1" si="72"/>
        <v>0.78131146329380852</v>
      </c>
      <c r="U258">
        <f t="shared" ca="1" si="73"/>
        <v>0</v>
      </c>
      <c r="V258" s="47">
        <f t="shared" ca="1" si="74"/>
        <v>0</v>
      </c>
      <c r="W258">
        <f ca="1">Inputs!B15+(Inputs!D15-Inputs!B15)*BETAINV(RAND(),Model!H9,Model!I9)</f>
        <v>1.4668052814712083</v>
      </c>
      <c r="X258">
        <f ca="1">Inputs!E15+(Inputs!G15-Inputs!E15)*BETAINV(RAND(),Model!J9,Model!K9)</f>
        <v>0.3402183033164935</v>
      </c>
      <c r="Y258">
        <f ca="1">(Inputs!H15+(Inputs!J15-Inputs!H15)*BETAINV(RAND(),Model!L9,Model!M9))*Inputs!$C$6</f>
        <v>34291.240508756557</v>
      </c>
      <c r="Z258">
        <f t="shared" ca="1" si="75"/>
        <v>0.49903400415780613</v>
      </c>
      <c r="AA258">
        <f t="shared" ca="1" si="76"/>
        <v>0.34338104697763427</v>
      </c>
      <c r="AB258">
        <f t="shared" ca="1" si="77"/>
        <v>0</v>
      </c>
      <c r="AC258" s="47">
        <f t="shared" ca="1" si="78"/>
        <v>0</v>
      </c>
      <c r="AD258">
        <f ca="1">Inputs!B16+(Inputs!D16-Inputs!B16)*BETAINV(RAND(),Model!H10,Model!I10)</f>
        <v>0.63317931658474236</v>
      </c>
      <c r="AE258">
        <f ca="1">Inputs!E16+(Inputs!G16-Inputs!E16)*BETAINV(RAND(),Model!J10,Model!K10)</f>
        <v>0.63867640802138193</v>
      </c>
      <c r="AF258">
        <f ca="1">(Inputs!H16+(Inputs!J16-Inputs!H16)*BETAINV(RAND(),Model!L10,Model!M10))*Inputs!$C$6</f>
        <v>59455.29211496393</v>
      </c>
      <c r="AG258">
        <f t="shared" ca="1" si="79"/>
        <v>0.40439669154977664</v>
      </c>
      <c r="AH258">
        <f t="shared" ca="1" si="80"/>
        <v>0.2301914461695127</v>
      </c>
      <c r="AI258">
        <f t="shared" ca="1" si="81"/>
        <v>0</v>
      </c>
      <c r="AJ258" s="47">
        <f t="shared" ca="1" si="82"/>
        <v>0</v>
      </c>
      <c r="AK258">
        <f t="shared" ca="1" si="83"/>
        <v>126398.89316295661</v>
      </c>
    </row>
    <row r="259" spans="2:37" x14ac:dyDescent="0.2">
      <c r="B259">
        <f ca="1">Inputs!B12+(Inputs!D12-Inputs!B12)*BETAINV(RAND(),Model!H6,Model!I6)</f>
        <v>2.5701089155757111</v>
      </c>
      <c r="C259">
        <f ca="1">Inputs!E12+(Inputs!G12-Inputs!E12)*BETAINV(RAND(),Model!J6,Model!K6)</f>
        <v>0.27647549601932708</v>
      </c>
      <c r="D259">
        <f ca="1">(Inputs!H12+(Inputs!J12-Inputs!H12)*BETAINV(RAND(),Model!L6,Model!M6))*Inputs!$C$6</f>
        <v>26764.878992695947</v>
      </c>
      <c r="E259">
        <f t="shared" ca="1" si="63"/>
        <v>0.71057213725748958</v>
      </c>
      <c r="F259">
        <f t="shared" ca="1" si="64"/>
        <v>0.67199606413487245</v>
      </c>
      <c r="G259">
        <f t="shared" ca="1" si="65"/>
        <v>1</v>
      </c>
      <c r="H259" s="47">
        <f t="shared" ca="1" si="66"/>
        <v>26764.878992695947</v>
      </c>
      <c r="I259">
        <f ca="1">Inputs!B13+(Inputs!D13-Inputs!B13)*BETAINV(RAND(),Model!H7,Model!I7)</f>
        <v>2.2614572557464303</v>
      </c>
      <c r="J259">
        <f ca="1">Inputs!E13+(Inputs!G13-Inputs!E13)*BETAINV(RAND(),Model!J7,Model!K7)</f>
        <v>0.34551390851499797</v>
      </c>
      <c r="K259">
        <f ca="1">(Inputs!H13+(Inputs!J13-Inputs!H13)*BETAINV(RAND(),Model!L7,Model!M7))*Inputs!$C$6</f>
        <v>47319.77789348879</v>
      </c>
      <c r="L259">
        <f t="shared" ca="1" si="67"/>
        <v>0.78136493537255047</v>
      </c>
      <c r="M259">
        <f t="shared" ca="1" si="68"/>
        <v>0.15245482947858602</v>
      </c>
      <c r="N259">
        <f t="shared" ca="1" si="69"/>
        <v>0</v>
      </c>
      <c r="O259" s="47">
        <f t="shared" ca="1" si="70"/>
        <v>0</v>
      </c>
      <c r="P259">
        <f ca="1">Inputs!B14+(Inputs!D14-Inputs!B14)*BETAINV(RAND(),Model!H8,Model!I8)</f>
        <v>0.52870078427129719</v>
      </c>
      <c r="Q259">
        <f ca="1">Inputs!E14+(Inputs!G14-Inputs!E14)*BETAINV(RAND(),Model!J8,Model!K8)</f>
        <v>0.44960480532474728</v>
      </c>
      <c r="R259">
        <f ca="1">(Inputs!H14+(Inputs!J14-Inputs!H14)*BETAINV(RAND(),Model!L8,Model!M8))*Inputs!$C$6</f>
        <v>301022.1157007502</v>
      </c>
      <c r="S259">
        <f t="shared" ca="1" si="71"/>
        <v>0.23770641318733779</v>
      </c>
      <c r="T259">
        <f t="shared" ca="1" si="72"/>
        <v>0.63281359300040685</v>
      </c>
      <c r="U259">
        <f t="shared" ca="1" si="73"/>
        <v>0</v>
      </c>
      <c r="V259" s="47">
        <f t="shared" ca="1" si="74"/>
        <v>0</v>
      </c>
      <c r="W259">
        <f ca="1">Inputs!B15+(Inputs!D15-Inputs!B15)*BETAINV(RAND(),Model!H9,Model!I9)</f>
        <v>1.7348322320376182</v>
      </c>
      <c r="X259">
        <f ca="1">Inputs!E15+(Inputs!G15-Inputs!E15)*BETAINV(RAND(),Model!J9,Model!K9)</f>
        <v>0.45116557077725705</v>
      </c>
      <c r="Y259">
        <f ca="1">(Inputs!H15+(Inputs!J15-Inputs!H15)*BETAINV(RAND(),Model!L9,Model!M9))*Inputs!$C$6</f>
        <v>18446.569027149148</v>
      </c>
      <c r="Z259">
        <f t="shared" ca="1" si="75"/>
        <v>0.7826965741700348</v>
      </c>
      <c r="AA259">
        <f t="shared" ca="1" si="76"/>
        <v>0.83849958236888522</v>
      </c>
      <c r="AB259">
        <f t="shared" ca="1" si="77"/>
        <v>2</v>
      </c>
      <c r="AC259" s="47">
        <f t="shared" ca="1" si="78"/>
        <v>36893.138054298295</v>
      </c>
      <c r="AD259">
        <f ca="1">Inputs!B16+(Inputs!D16-Inputs!B16)*BETAINV(RAND(),Model!H10,Model!I10)</f>
        <v>1.1357201574726685</v>
      </c>
      <c r="AE259">
        <f ca="1">Inputs!E16+(Inputs!G16-Inputs!E16)*BETAINV(RAND(),Model!J10,Model!K10)</f>
        <v>0.62297686158858445</v>
      </c>
      <c r="AF259">
        <f ca="1">(Inputs!H16+(Inputs!J16-Inputs!H16)*BETAINV(RAND(),Model!L10,Model!M10))*Inputs!$C$6</f>
        <v>90460.202864082938</v>
      </c>
      <c r="AG259">
        <f t="shared" ca="1" si="79"/>
        <v>0.70752737934521592</v>
      </c>
      <c r="AH259">
        <f t="shared" ca="1" si="80"/>
        <v>0.80245811601492978</v>
      </c>
      <c r="AI259">
        <f t="shared" ca="1" si="81"/>
        <v>1</v>
      </c>
      <c r="AJ259" s="47">
        <f t="shared" ca="1" si="82"/>
        <v>90460.202864082938</v>
      </c>
      <c r="AK259">
        <f t="shared" ca="1" si="83"/>
        <v>154118.21991107718</v>
      </c>
    </row>
    <row r="260" spans="2:37" x14ac:dyDescent="0.2">
      <c r="B260">
        <f ca="1">Inputs!B12+(Inputs!D12-Inputs!B12)*BETAINV(RAND(),Model!H6,Model!I6)</f>
        <v>3.3583572343987083</v>
      </c>
      <c r="C260">
        <f ca="1">Inputs!E12+(Inputs!G12-Inputs!E12)*BETAINV(RAND(),Model!J6,Model!K6)</f>
        <v>0.3161384163981667</v>
      </c>
      <c r="D260">
        <f ca="1">(Inputs!H12+(Inputs!J12-Inputs!H12)*BETAINV(RAND(),Model!L6,Model!M6))*Inputs!$C$6</f>
        <v>35976.119641722769</v>
      </c>
      <c r="E260">
        <f t="shared" ca="1" si="63"/>
        <v>1.0617057377821344</v>
      </c>
      <c r="F260">
        <f t="shared" ca="1" si="64"/>
        <v>0.27622099513553278</v>
      </c>
      <c r="G260">
        <f t="shared" ca="1" si="65"/>
        <v>0</v>
      </c>
      <c r="H260" s="47">
        <f t="shared" ca="1" si="66"/>
        <v>0</v>
      </c>
      <c r="I260">
        <f ca="1">Inputs!B13+(Inputs!D13-Inputs!B13)*BETAINV(RAND(),Model!H7,Model!I7)</f>
        <v>2.1603729355629948</v>
      </c>
      <c r="J260">
        <f ca="1">Inputs!E13+(Inputs!G13-Inputs!E13)*BETAINV(RAND(),Model!J7,Model!K7)</f>
        <v>0.32510846003515803</v>
      </c>
      <c r="K260">
        <f ca="1">(Inputs!H13+(Inputs!J13-Inputs!H13)*BETAINV(RAND(),Model!L7,Model!M7))*Inputs!$C$6</f>
        <v>62257.784090356719</v>
      </c>
      <c r="L260">
        <f t="shared" ca="1" si="67"/>
        <v>0.70235551818251896</v>
      </c>
      <c r="M260">
        <f t="shared" ca="1" si="68"/>
        <v>0.60764507183219163</v>
      </c>
      <c r="N260">
        <f t="shared" ca="1" si="69"/>
        <v>1</v>
      </c>
      <c r="O260" s="47">
        <f t="shared" ca="1" si="70"/>
        <v>62257.784090356719</v>
      </c>
      <c r="P260">
        <f ca="1">Inputs!B14+(Inputs!D14-Inputs!B14)*BETAINV(RAND(),Model!H8,Model!I8)</f>
        <v>0.28733596101255576</v>
      </c>
      <c r="Q260">
        <f ca="1">Inputs!E14+(Inputs!G14-Inputs!E14)*BETAINV(RAND(),Model!J8,Model!K8)</f>
        <v>0.64982957406908115</v>
      </c>
      <c r="R260">
        <f ca="1">(Inputs!H14+(Inputs!J14-Inputs!H14)*BETAINV(RAND(),Model!L8,Model!M8))*Inputs!$C$6</f>
        <v>479129.71701862558</v>
      </c>
      <c r="S260">
        <f t="shared" ca="1" si="71"/>
        <v>0.18671940515951921</v>
      </c>
      <c r="T260">
        <f t="shared" ca="1" si="72"/>
        <v>0.20762882810381877</v>
      </c>
      <c r="U260">
        <f t="shared" ca="1" si="73"/>
        <v>0</v>
      </c>
      <c r="V260" s="47">
        <f t="shared" ca="1" si="74"/>
        <v>0</v>
      </c>
      <c r="W260">
        <f ca="1">Inputs!B15+(Inputs!D15-Inputs!B15)*BETAINV(RAND(),Model!H9,Model!I9)</f>
        <v>0.83111716203045072</v>
      </c>
      <c r="X260">
        <f ca="1">Inputs!E15+(Inputs!G15-Inputs!E15)*BETAINV(RAND(),Model!J9,Model!K9)</f>
        <v>0.48093365797893206</v>
      </c>
      <c r="Y260">
        <f ca="1">(Inputs!H15+(Inputs!J15-Inputs!H15)*BETAINV(RAND(),Model!L9,Model!M9))*Inputs!$C$6</f>
        <v>19723.772595577018</v>
      </c>
      <c r="Z260">
        <f t="shared" ca="1" si="75"/>
        <v>0.39971221694437342</v>
      </c>
      <c r="AA260">
        <f t="shared" ca="1" si="76"/>
        <v>0.69414054872484354</v>
      </c>
      <c r="AB260">
        <f t="shared" ca="1" si="77"/>
        <v>1</v>
      </c>
      <c r="AC260" s="47">
        <f t="shared" ca="1" si="78"/>
        <v>19723.772595577018</v>
      </c>
      <c r="AD260">
        <f ca="1">Inputs!B16+(Inputs!D16-Inputs!B16)*BETAINV(RAND(),Model!H10,Model!I10)</f>
        <v>1.1511047545421516</v>
      </c>
      <c r="AE260">
        <f ca="1">Inputs!E16+(Inputs!G16-Inputs!E16)*BETAINV(RAND(),Model!J10,Model!K10)</f>
        <v>0.62042212730241375</v>
      </c>
      <c r="AF260">
        <f ca="1">(Inputs!H16+(Inputs!J16-Inputs!H16)*BETAINV(RAND(),Model!L10,Model!M10))*Inputs!$C$6</f>
        <v>58457.083068400214</v>
      </c>
      <c r="AG260">
        <f t="shared" ca="1" si="79"/>
        <v>0.71417086056096446</v>
      </c>
      <c r="AH260">
        <f t="shared" ca="1" si="80"/>
        <v>0.65544382530382628</v>
      </c>
      <c r="AI260">
        <f t="shared" ca="1" si="81"/>
        <v>1</v>
      </c>
      <c r="AJ260" s="47">
        <f t="shared" ca="1" si="82"/>
        <v>58457.083068400214</v>
      </c>
      <c r="AK260">
        <f t="shared" ca="1" si="83"/>
        <v>140438.63975433394</v>
      </c>
    </row>
    <row r="261" spans="2:37" x14ac:dyDescent="0.2">
      <c r="B261">
        <f ca="1">Inputs!B12+(Inputs!D12-Inputs!B12)*BETAINV(RAND(),Model!H6,Model!I6)</f>
        <v>3.0890976745460064</v>
      </c>
      <c r="C261">
        <f ca="1">Inputs!E12+(Inputs!G12-Inputs!E12)*BETAINV(RAND(),Model!J6,Model!K6)</f>
        <v>0.33080860999758183</v>
      </c>
      <c r="D261">
        <f ca="1">(Inputs!H12+(Inputs!J12-Inputs!H12)*BETAINV(RAND(),Model!L6,Model!M6))*Inputs!$C$6</f>
        <v>8237.1186173960432</v>
      </c>
      <c r="E261">
        <f t="shared" ca="1" si="63"/>
        <v>1.0219001078633267</v>
      </c>
      <c r="F261">
        <f t="shared" ca="1" si="64"/>
        <v>0.48085780389819544</v>
      </c>
      <c r="G261">
        <f t="shared" ca="1" si="65"/>
        <v>1</v>
      </c>
      <c r="H261" s="47">
        <f t="shared" ca="1" si="66"/>
        <v>8237.1186173960432</v>
      </c>
      <c r="I261">
        <f ca="1">Inputs!B13+(Inputs!D13-Inputs!B13)*BETAINV(RAND(),Model!H7,Model!I7)</f>
        <v>1.3464157484821091</v>
      </c>
      <c r="J261">
        <f ca="1">Inputs!E13+(Inputs!G13-Inputs!E13)*BETAINV(RAND(),Model!J7,Model!K7)</f>
        <v>0.16522100992783878</v>
      </c>
      <c r="K261">
        <f ca="1">(Inputs!H13+(Inputs!J13-Inputs!H13)*BETAINV(RAND(),Model!L7,Model!M7))*Inputs!$C$6</f>
        <v>27397.587318582871</v>
      </c>
      <c r="L261">
        <f t="shared" ca="1" si="67"/>
        <v>0.22245616974696103</v>
      </c>
      <c r="M261">
        <f t="shared" ca="1" si="68"/>
        <v>0.49627406059193724</v>
      </c>
      <c r="N261">
        <f t="shared" ca="1" si="69"/>
        <v>0</v>
      </c>
      <c r="O261" s="47">
        <f t="shared" ca="1" si="70"/>
        <v>0</v>
      </c>
      <c r="P261">
        <f ca="1">Inputs!B14+(Inputs!D14-Inputs!B14)*BETAINV(RAND(),Model!H8,Model!I8)</f>
        <v>0.3376003801216656</v>
      </c>
      <c r="Q261">
        <f ca="1">Inputs!E14+(Inputs!G14-Inputs!E14)*BETAINV(RAND(),Model!J8,Model!K8)</f>
        <v>0.70892999889754826</v>
      </c>
      <c r="R261">
        <f ca="1">(Inputs!H14+(Inputs!J14-Inputs!H14)*BETAINV(RAND(),Model!L8,Model!M8))*Inputs!$C$6</f>
        <v>275781.59759141254</v>
      </c>
      <c r="S261">
        <f t="shared" ca="1" si="71"/>
        <v>0.23933503710746426</v>
      </c>
      <c r="T261">
        <f t="shared" ca="1" si="72"/>
        <v>0.48546126684396929</v>
      </c>
      <c r="U261">
        <f t="shared" ca="1" si="73"/>
        <v>0</v>
      </c>
      <c r="V261" s="47">
        <f t="shared" ca="1" si="74"/>
        <v>0</v>
      </c>
      <c r="W261">
        <f ca="1">Inputs!B15+(Inputs!D15-Inputs!B15)*BETAINV(RAND(),Model!H9,Model!I9)</f>
        <v>1.0853477681926627</v>
      </c>
      <c r="X261">
        <f ca="1">Inputs!E15+(Inputs!G15-Inputs!E15)*BETAINV(RAND(),Model!J9,Model!K9)</f>
        <v>0.54318347990896387</v>
      </c>
      <c r="Y261">
        <f ca="1">(Inputs!H15+(Inputs!J15-Inputs!H15)*BETAINV(RAND(),Model!L9,Model!M9))*Inputs!$C$6</f>
        <v>37373.395846450803</v>
      </c>
      <c r="Z261">
        <f t="shared" ca="1" si="75"/>
        <v>0.58954297763831798</v>
      </c>
      <c r="AA261">
        <f t="shared" ca="1" si="76"/>
        <v>0.37486474356870281</v>
      </c>
      <c r="AB261">
        <f t="shared" ca="1" si="77"/>
        <v>0</v>
      </c>
      <c r="AC261" s="47">
        <f t="shared" ca="1" si="78"/>
        <v>0</v>
      </c>
      <c r="AD261">
        <f ca="1">Inputs!B16+(Inputs!D16-Inputs!B16)*BETAINV(RAND(),Model!H10,Model!I10)</f>
        <v>0.81587789897709206</v>
      </c>
      <c r="AE261">
        <f ca="1">Inputs!E16+(Inputs!G16-Inputs!E16)*BETAINV(RAND(),Model!J10,Model!K10)</f>
        <v>0.47124518537499904</v>
      </c>
      <c r="AF261">
        <f ca="1">(Inputs!H16+(Inputs!J16-Inputs!H16)*BETAINV(RAND(),Model!L10,Model!M10))*Inputs!$C$6</f>
        <v>106360.90580330817</v>
      </c>
      <c r="AG261">
        <f t="shared" ca="1" si="79"/>
        <v>0.3844785317468245</v>
      </c>
      <c r="AH261">
        <f t="shared" ca="1" si="80"/>
        <v>0.96447257476552839</v>
      </c>
      <c r="AI261">
        <f t="shared" ca="1" si="81"/>
        <v>2</v>
      </c>
      <c r="AJ261" s="47">
        <f t="shared" ca="1" si="82"/>
        <v>212721.81160661633</v>
      </c>
      <c r="AK261">
        <f t="shared" ca="1" si="83"/>
        <v>220958.93022401238</v>
      </c>
    </row>
    <row r="262" spans="2:37" x14ac:dyDescent="0.2">
      <c r="B262">
        <f ca="1">Inputs!B12+(Inputs!D12-Inputs!B12)*BETAINV(RAND(),Model!H6,Model!I6)</f>
        <v>2.7873163424951533</v>
      </c>
      <c r="C262">
        <f ca="1">Inputs!E12+(Inputs!G12-Inputs!E12)*BETAINV(RAND(),Model!J6,Model!K6)</f>
        <v>0.33571811994586176</v>
      </c>
      <c r="D262">
        <f ca="1">(Inputs!H12+(Inputs!J12-Inputs!H12)*BETAINV(RAND(),Model!L6,Model!M6))*Inputs!$C$6</f>
        <v>33313.351568472986</v>
      </c>
      <c r="E262">
        <f t="shared" ca="1" si="63"/>
        <v>0.93575260219684853</v>
      </c>
      <c r="F262">
        <f t="shared" ca="1" si="64"/>
        <v>0.93490382814234041</v>
      </c>
      <c r="G262">
        <f t="shared" ca="1" si="65"/>
        <v>3</v>
      </c>
      <c r="H262" s="47">
        <f t="shared" ca="1" si="66"/>
        <v>99940.054705418966</v>
      </c>
      <c r="I262">
        <f ca="1">Inputs!B13+(Inputs!D13-Inputs!B13)*BETAINV(RAND(),Model!H7,Model!I7)</f>
        <v>2.2153415196206936</v>
      </c>
      <c r="J262">
        <f ca="1">Inputs!E13+(Inputs!G13-Inputs!E13)*BETAINV(RAND(),Model!J7,Model!K7)</f>
        <v>0.36197378562506677</v>
      </c>
      <c r="K262">
        <f ca="1">(Inputs!H13+(Inputs!J13-Inputs!H13)*BETAINV(RAND(),Model!L7,Model!M7))*Inputs!$C$6</f>
        <v>71220.465591705128</v>
      </c>
      <c r="L262">
        <f t="shared" ca="1" si="67"/>
        <v>0.80189555630949061</v>
      </c>
      <c r="M262">
        <f t="shared" ca="1" si="68"/>
        <v>0.13741519858326356</v>
      </c>
      <c r="N262">
        <f t="shared" ca="1" si="69"/>
        <v>0</v>
      </c>
      <c r="O262" s="47">
        <f t="shared" ca="1" si="70"/>
        <v>0</v>
      </c>
      <c r="P262">
        <f ca="1">Inputs!B14+(Inputs!D14-Inputs!B14)*BETAINV(RAND(),Model!H8,Model!I8)</f>
        <v>0.53456747585134012</v>
      </c>
      <c r="Q262">
        <f ca="1">Inputs!E14+(Inputs!G14-Inputs!E14)*BETAINV(RAND(),Model!J8,Model!K8)</f>
        <v>0.75547676799410679</v>
      </c>
      <c r="R262">
        <f ca="1">(Inputs!H14+(Inputs!J14-Inputs!H14)*BETAINV(RAND(),Model!L8,Model!M8))*Inputs!$C$6</f>
        <v>526423.79517723992</v>
      </c>
      <c r="S262">
        <f t="shared" ca="1" si="71"/>
        <v>0.40385330893093818</v>
      </c>
      <c r="T262">
        <f t="shared" ca="1" si="72"/>
        <v>0.16700556739281747</v>
      </c>
      <c r="U262">
        <f t="shared" ca="1" si="73"/>
        <v>0</v>
      </c>
      <c r="V262" s="47">
        <f t="shared" ca="1" si="74"/>
        <v>0</v>
      </c>
      <c r="W262">
        <f ca="1">Inputs!B15+(Inputs!D15-Inputs!B15)*BETAINV(RAND(),Model!H9,Model!I9)</f>
        <v>1.8065480766179136</v>
      </c>
      <c r="X262">
        <f ca="1">Inputs!E15+(Inputs!G15-Inputs!E15)*BETAINV(RAND(),Model!J9,Model!K9)</f>
        <v>0.40059851589233564</v>
      </c>
      <c r="Y262">
        <f ca="1">(Inputs!H15+(Inputs!J15-Inputs!H15)*BETAINV(RAND(),Model!L9,Model!M9))*Inputs!$C$6</f>
        <v>45466.262628093093</v>
      </c>
      <c r="Z262">
        <f t="shared" ca="1" si="75"/>
        <v>0.72370047838128959</v>
      </c>
      <c r="AA262">
        <f t="shared" ca="1" si="76"/>
        <v>0.72003790974472981</v>
      </c>
      <c r="AB262">
        <f t="shared" ca="1" si="77"/>
        <v>1</v>
      </c>
      <c r="AC262" s="47">
        <f t="shared" ca="1" si="78"/>
        <v>45466.262628093093</v>
      </c>
      <c r="AD262">
        <f ca="1">Inputs!B16+(Inputs!D16-Inputs!B16)*BETAINV(RAND(),Model!H10,Model!I10)</f>
        <v>0.45478800950880577</v>
      </c>
      <c r="AE262">
        <f ca="1">Inputs!E16+(Inputs!G16-Inputs!E16)*BETAINV(RAND(),Model!J10,Model!K10)</f>
        <v>0.67432875228355538</v>
      </c>
      <c r="AF262">
        <f ca="1">(Inputs!H16+(Inputs!J16-Inputs!H16)*BETAINV(RAND(),Model!L10,Model!M10))*Inputs!$C$6</f>
        <v>79102.275445794861</v>
      </c>
      <c r="AG262">
        <f t="shared" ca="1" si="79"/>
        <v>0.30667663100559472</v>
      </c>
      <c r="AH262">
        <f t="shared" ca="1" si="80"/>
        <v>0.70026569174987241</v>
      </c>
      <c r="AI262">
        <f t="shared" ca="1" si="81"/>
        <v>0</v>
      </c>
      <c r="AJ262" s="47">
        <f t="shared" ca="1" si="82"/>
        <v>0</v>
      </c>
      <c r="AK262">
        <f t="shared" ca="1" si="83"/>
        <v>145406.31733351207</v>
      </c>
    </row>
    <row r="263" spans="2:37" x14ac:dyDescent="0.2">
      <c r="B263">
        <f ca="1">Inputs!B12+(Inputs!D12-Inputs!B12)*BETAINV(RAND(),Model!H6,Model!I6)</f>
        <v>2.9176778368672429</v>
      </c>
      <c r="C263">
        <f ca="1">Inputs!E12+(Inputs!G12-Inputs!E12)*BETAINV(RAND(),Model!J6,Model!K6)</f>
        <v>0.25577792938019822</v>
      </c>
      <c r="D263">
        <f ca="1">(Inputs!H12+(Inputs!J12-Inputs!H12)*BETAINV(RAND(),Model!L6,Model!M6))*Inputs!$C$6</f>
        <v>32406.613019915487</v>
      </c>
      <c r="E263">
        <f t="shared" ca="1" si="63"/>
        <v>0.74627759571239916</v>
      </c>
      <c r="F263">
        <f t="shared" ca="1" si="64"/>
        <v>0.18001499125488385</v>
      </c>
      <c r="G263">
        <f t="shared" ca="1" si="65"/>
        <v>0</v>
      </c>
      <c r="H263" s="47">
        <f t="shared" ca="1" si="66"/>
        <v>0</v>
      </c>
      <c r="I263">
        <f ca="1">Inputs!B13+(Inputs!D13-Inputs!B13)*BETAINV(RAND(),Model!H7,Model!I7)</f>
        <v>1.426624504211631</v>
      </c>
      <c r="J263">
        <f ca="1">Inputs!E13+(Inputs!G13-Inputs!E13)*BETAINV(RAND(),Model!J7,Model!K7)</f>
        <v>0.22918726303878437</v>
      </c>
      <c r="K263">
        <f ca="1">(Inputs!H13+(Inputs!J13-Inputs!H13)*BETAINV(RAND(),Model!L7,Model!M7))*Inputs!$C$6</f>
        <v>24562.790736807925</v>
      </c>
      <c r="L263">
        <f t="shared" ca="1" si="67"/>
        <v>0.32696416550432639</v>
      </c>
      <c r="M263">
        <f t="shared" ca="1" si="68"/>
        <v>0.71922143118034898</v>
      </c>
      <c r="N263">
        <f t="shared" ca="1" si="69"/>
        <v>0</v>
      </c>
      <c r="O263" s="47">
        <f t="shared" ca="1" si="70"/>
        <v>0</v>
      </c>
      <c r="P263">
        <f ca="1">Inputs!B14+(Inputs!D14-Inputs!B14)*BETAINV(RAND(),Model!H8,Model!I8)</f>
        <v>0.23271368976701379</v>
      </c>
      <c r="Q263">
        <f ca="1">Inputs!E14+(Inputs!G14-Inputs!E14)*BETAINV(RAND(),Model!J8,Model!K8)</f>
        <v>0.77684866389443186</v>
      </c>
      <c r="R263">
        <f ca="1">(Inputs!H14+(Inputs!J14-Inputs!H14)*BETAINV(RAND(),Model!L8,Model!M8))*Inputs!$C$6</f>
        <v>594528.13707469439</v>
      </c>
      <c r="S263">
        <f t="shared" ca="1" si="71"/>
        <v>0.18078331896544797</v>
      </c>
      <c r="T263">
        <f t="shared" ca="1" si="72"/>
        <v>0.56286919140700764</v>
      </c>
      <c r="U263">
        <f t="shared" ca="1" si="73"/>
        <v>0</v>
      </c>
      <c r="V263" s="47">
        <f t="shared" ca="1" si="74"/>
        <v>0</v>
      </c>
      <c r="W263">
        <f ca="1">Inputs!B15+(Inputs!D15-Inputs!B15)*BETAINV(RAND(),Model!H9,Model!I9)</f>
        <v>0.97835708185383274</v>
      </c>
      <c r="X263">
        <f ca="1">Inputs!E15+(Inputs!G15-Inputs!E15)*BETAINV(RAND(),Model!J9,Model!K9)</f>
        <v>0.35657135920364202</v>
      </c>
      <c r="Y263">
        <f ca="1">(Inputs!H15+(Inputs!J15-Inputs!H15)*BETAINV(RAND(),Model!L9,Model!M9))*Inputs!$C$6</f>
        <v>25524.058426927138</v>
      </c>
      <c r="Z263">
        <f t="shared" ca="1" si="75"/>
        <v>0.34885411446312997</v>
      </c>
      <c r="AA263">
        <f t="shared" ca="1" si="76"/>
        <v>0.73567081845426885</v>
      </c>
      <c r="AB263">
        <f t="shared" ca="1" si="77"/>
        <v>1</v>
      </c>
      <c r="AC263" s="47">
        <f t="shared" ca="1" si="78"/>
        <v>25524.058426927138</v>
      </c>
      <c r="AD263">
        <f ca="1">Inputs!B16+(Inputs!D16-Inputs!B16)*BETAINV(RAND(),Model!H10,Model!I10)</f>
        <v>0.65211738535867625</v>
      </c>
      <c r="AE263">
        <f ca="1">Inputs!E16+(Inputs!G16-Inputs!E16)*BETAINV(RAND(),Model!J10,Model!K10)</f>
        <v>0.74869513955849132</v>
      </c>
      <c r="AF263">
        <f ca="1">(Inputs!H16+(Inputs!J16-Inputs!H16)*BETAINV(RAND(),Model!L10,Model!M10))*Inputs!$C$6</f>
        <v>179771.25558334799</v>
      </c>
      <c r="AG263">
        <f t="shared" ca="1" si="79"/>
        <v>0.48823711683963256</v>
      </c>
      <c r="AH263">
        <f t="shared" ca="1" si="80"/>
        <v>0.12413583398671102</v>
      </c>
      <c r="AI263">
        <f t="shared" ca="1" si="81"/>
        <v>0</v>
      </c>
      <c r="AJ263" s="47">
        <f t="shared" ca="1" si="82"/>
        <v>0</v>
      </c>
      <c r="AK263">
        <f t="shared" ca="1" si="83"/>
        <v>25524.058426927138</v>
      </c>
    </row>
    <row r="264" spans="2:37" x14ac:dyDescent="0.2">
      <c r="B264">
        <f ca="1">Inputs!B12+(Inputs!D12-Inputs!B12)*BETAINV(RAND(),Model!H6,Model!I6)</f>
        <v>1.8988031630381932</v>
      </c>
      <c r="C264">
        <f ca="1">Inputs!E12+(Inputs!G12-Inputs!E12)*BETAINV(RAND(),Model!J6,Model!K6)</f>
        <v>0.36280773947891426</v>
      </c>
      <c r="D264">
        <f ca="1">(Inputs!H12+(Inputs!J12-Inputs!H12)*BETAINV(RAND(),Model!L6,Model!M6))*Inputs!$C$6</f>
        <v>23363.13782036991</v>
      </c>
      <c r="E264">
        <f t="shared" ca="1" si="63"/>
        <v>0.68890048329729914</v>
      </c>
      <c r="F264">
        <f t="shared" ca="1" si="64"/>
        <v>0.58570522020308124</v>
      </c>
      <c r="G264">
        <f t="shared" ca="1" si="65"/>
        <v>1</v>
      </c>
      <c r="H264" s="47">
        <f t="shared" ca="1" si="66"/>
        <v>23363.13782036991</v>
      </c>
      <c r="I264">
        <f ca="1">Inputs!B13+(Inputs!D13-Inputs!B13)*BETAINV(RAND(),Model!H7,Model!I7)</f>
        <v>1.5639771209826017</v>
      </c>
      <c r="J264">
        <f ca="1">Inputs!E13+(Inputs!G13-Inputs!E13)*BETAINV(RAND(),Model!J7,Model!K7)</f>
        <v>0.40608068405206599</v>
      </c>
      <c r="K264">
        <f ca="1">(Inputs!H13+(Inputs!J13-Inputs!H13)*BETAINV(RAND(),Model!L7,Model!M7))*Inputs!$C$6</f>
        <v>26024.460130665611</v>
      </c>
      <c r="L264">
        <f t="shared" ca="1" si="67"/>
        <v>0.63510089913039569</v>
      </c>
      <c r="M264">
        <f t="shared" ca="1" si="68"/>
        <v>7.8621297889559516E-2</v>
      </c>
      <c r="N264">
        <f t="shared" ca="1" si="69"/>
        <v>0</v>
      </c>
      <c r="O264" s="47">
        <f t="shared" ca="1" si="70"/>
        <v>0</v>
      </c>
      <c r="P264">
        <f ca="1">Inputs!B14+(Inputs!D14-Inputs!B14)*BETAINV(RAND(),Model!H8,Model!I8)</f>
        <v>0.25948684237936603</v>
      </c>
      <c r="Q264">
        <f ca="1">Inputs!E14+(Inputs!G14-Inputs!E14)*BETAINV(RAND(),Model!J8,Model!K8)</f>
        <v>0.48871910643161109</v>
      </c>
      <c r="R264">
        <f ca="1">(Inputs!H14+(Inputs!J14-Inputs!H14)*BETAINV(RAND(),Model!L8,Model!M8))*Inputs!$C$6</f>
        <v>495248.13080291345</v>
      </c>
      <c r="S264">
        <f t="shared" ca="1" si="71"/>
        <v>0.12681617773840409</v>
      </c>
      <c r="T264">
        <f t="shared" ca="1" si="72"/>
        <v>1.8877126995760718E-2</v>
      </c>
      <c r="U264">
        <f t="shared" ca="1" si="73"/>
        <v>0</v>
      </c>
      <c r="V264" s="47">
        <f t="shared" ca="1" si="74"/>
        <v>0</v>
      </c>
      <c r="W264">
        <f ca="1">Inputs!B15+(Inputs!D15-Inputs!B15)*BETAINV(RAND(),Model!H9,Model!I9)</f>
        <v>0.84976781838075222</v>
      </c>
      <c r="X264">
        <f ca="1">Inputs!E15+(Inputs!G15-Inputs!E15)*BETAINV(RAND(),Model!J9,Model!K9)</f>
        <v>0.33662819481401429</v>
      </c>
      <c r="Y264">
        <f ca="1">(Inputs!H15+(Inputs!J15-Inputs!H15)*BETAINV(RAND(),Model!L9,Model!M9))*Inputs!$C$6</f>
        <v>58392.99907711245</v>
      </c>
      <c r="Z264">
        <f t="shared" ca="1" si="75"/>
        <v>0.28605580671255576</v>
      </c>
      <c r="AA264">
        <f t="shared" ca="1" si="76"/>
        <v>0.40966801043269707</v>
      </c>
      <c r="AB264">
        <f t="shared" ca="1" si="77"/>
        <v>0</v>
      </c>
      <c r="AC264" s="47">
        <f t="shared" ca="1" si="78"/>
        <v>0</v>
      </c>
      <c r="AD264">
        <f ca="1">Inputs!B16+(Inputs!D16-Inputs!B16)*BETAINV(RAND(),Model!H10,Model!I10)</f>
        <v>0.74862579284452302</v>
      </c>
      <c r="AE264">
        <f ca="1">Inputs!E16+(Inputs!G16-Inputs!E16)*BETAINV(RAND(),Model!J10,Model!K10)</f>
        <v>0.6522349617183254</v>
      </c>
      <c r="AF264">
        <f ca="1">(Inputs!H16+(Inputs!J16-Inputs!H16)*BETAINV(RAND(),Model!L10,Model!M10))*Inputs!$C$6</f>
        <v>131466.20352328898</v>
      </c>
      <c r="AG264">
        <f t="shared" ca="1" si="79"/>
        <v>0.48827991533729848</v>
      </c>
      <c r="AH264">
        <f t="shared" ca="1" si="80"/>
        <v>0.56742687378297918</v>
      </c>
      <c r="AI264">
        <f t="shared" ca="1" si="81"/>
        <v>0</v>
      </c>
      <c r="AJ264" s="47">
        <f t="shared" ca="1" si="82"/>
        <v>0</v>
      </c>
      <c r="AK264">
        <f t="shared" ca="1" si="83"/>
        <v>23363.13782036991</v>
      </c>
    </row>
    <row r="265" spans="2:37" x14ac:dyDescent="0.2">
      <c r="B265">
        <f ca="1">Inputs!B12+(Inputs!D12-Inputs!B12)*BETAINV(RAND(),Model!H6,Model!I6)</f>
        <v>2.7053924580951176</v>
      </c>
      <c r="C265">
        <f ca="1">Inputs!E12+(Inputs!G12-Inputs!E12)*BETAINV(RAND(),Model!J6,Model!K6)</f>
        <v>0.29744834421316879</v>
      </c>
      <c r="D265">
        <f ca="1">(Inputs!H12+(Inputs!J12-Inputs!H12)*BETAINV(RAND(),Model!L6,Model!M6))*Inputs!$C$6</f>
        <v>20115.807312893816</v>
      </c>
      <c r="E265">
        <f t="shared" ca="1" si="63"/>
        <v>0.80471450710718739</v>
      </c>
      <c r="F265">
        <f t="shared" ca="1" si="64"/>
        <v>0.41657090923807027</v>
      </c>
      <c r="G265">
        <f t="shared" ca="1" si="65"/>
        <v>0</v>
      </c>
      <c r="H265" s="47">
        <f t="shared" ca="1" si="66"/>
        <v>0</v>
      </c>
      <c r="I265">
        <f ca="1">Inputs!B13+(Inputs!D13-Inputs!B13)*BETAINV(RAND(),Model!H7,Model!I7)</f>
        <v>1.2737420770896479</v>
      </c>
      <c r="J265">
        <f ca="1">Inputs!E13+(Inputs!G13-Inputs!E13)*BETAINV(RAND(),Model!J7,Model!K7)</f>
        <v>0.16061781796602487</v>
      </c>
      <c r="K265">
        <f ca="1">(Inputs!H13+(Inputs!J13-Inputs!H13)*BETAINV(RAND(),Model!L7,Model!M7))*Inputs!$C$6</f>
        <v>27499.595681515431</v>
      </c>
      <c r="L265">
        <f t="shared" ca="1" si="67"/>
        <v>0.2045856730736515</v>
      </c>
      <c r="M265">
        <f t="shared" ca="1" si="68"/>
        <v>0.595909485448743</v>
      </c>
      <c r="N265">
        <f t="shared" ca="1" si="69"/>
        <v>0</v>
      </c>
      <c r="O265" s="47">
        <f t="shared" ca="1" si="70"/>
        <v>0</v>
      </c>
      <c r="P265">
        <f ca="1">Inputs!B14+(Inputs!D14-Inputs!B14)*BETAINV(RAND(),Model!H8,Model!I8)</f>
        <v>0.24735699426538882</v>
      </c>
      <c r="Q265">
        <f ca="1">Inputs!E14+(Inputs!G14-Inputs!E14)*BETAINV(RAND(),Model!J8,Model!K8)</f>
        <v>0.69073918660011513</v>
      </c>
      <c r="R265">
        <f ca="1">(Inputs!H14+(Inputs!J14-Inputs!H14)*BETAINV(RAND(),Model!L8,Model!M8))*Inputs!$C$6</f>
        <v>473933.22120441613</v>
      </c>
      <c r="S265">
        <f t="shared" ca="1" si="71"/>
        <v>0.17085916901872403</v>
      </c>
      <c r="T265">
        <f t="shared" ca="1" si="72"/>
        <v>0.59216412991977507</v>
      </c>
      <c r="U265">
        <f t="shared" ca="1" si="73"/>
        <v>0</v>
      </c>
      <c r="V265" s="47">
        <f t="shared" ca="1" si="74"/>
        <v>0</v>
      </c>
      <c r="W265">
        <f ca="1">Inputs!B15+(Inputs!D15-Inputs!B15)*BETAINV(RAND(),Model!H9,Model!I9)</f>
        <v>2.0190771420902989</v>
      </c>
      <c r="X265">
        <f ca="1">Inputs!E15+(Inputs!G15-Inputs!E15)*BETAINV(RAND(),Model!J9,Model!K9)</f>
        <v>0.39224096067687991</v>
      </c>
      <c r="Y265">
        <f ca="1">(Inputs!H15+(Inputs!J15-Inputs!H15)*BETAINV(RAND(),Model!L9,Model!M9))*Inputs!$C$6</f>
        <v>55239.327967295016</v>
      </c>
      <c r="Z265">
        <f t="shared" ca="1" si="75"/>
        <v>0.79196475789422804</v>
      </c>
      <c r="AA265">
        <f t="shared" ca="1" si="76"/>
        <v>0.42345868693384536</v>
      </c>
      <c r="AB265">
        <f t="shared" ca="1" si="77"/>
        <v>0</v>
      </c>
      <c r="AC265" s="47">
        <f t="shared" ca="1" si="78"/>
        <v>0</v>
      </c>
      <c r="AD265">
        <f ca="1">Inputs!B16+(Inputs!D16-Inputs!B16)*BETAINV(RAND(),Model!H10,Model!I10)</f>
        <v>0.82028366559081678</v>
      </c>
      <c r="AE265">
        <f ca="1">Inputs!E16+(Inputs!G16-Inputs!E16)*BETAINV(RAND(),Model!J10,Model!K10)</f>
        <v>0.79464071705845907</v>
      </c>
      <c r="AF265">
        <f ca="1">(Inputs!H16+(Inputs!J16-Inputs!H16)*BETAINV(RAND(),Model!L10,Model!M10))*Inputs!$C$6</f>
        <v>81159.039964876996</v>
      </c>
      <c r="AG265">
        <f t="shared" ca="1" si="79"/>
        <v>0.65183080021642792</v>
      </c>
      <c r="AH265">
        <f t="shared" ca="1" si="80"/>
        <v>0.36737709571793431</v>
      </c>
      <c r="AI265">
        <f t="shared" ca="1" si="81"/>
        <v>0</v>
      </c>
      <c r="AJ265" s="47">
        <f t="shared" ca="1" si="82"/>
        <v>0</v>
      </c>
      <c r="AK265">
        <f t="shared" ca="1" si="83"/>
        <v>0</v>
      </c>
    </row>
    <row r="266" spans="2:37" x14ac:dyDescent="0.2">
      <c r="B266">
        <f ca="1">Inputs!B12+(Inputs!D12-Inputs!B12)*BETAINV(RAND(),Model!H6,Model!I6)</f>
        <v>2.6259375081234015</v>
      </c>
      <c r="C266">
        <f ca="1">Inputs!E12+(Inputs!G12-Inputs!E12)*BETAINV(RAND(),Model!J6,Model!K6)</f>
        <v>0.28675108147835116</v>
      </c>
      <c r="D266">
        <f ca="1">(Inputs!H12+(Inputs!J12-Inputs!H12)*BETAINV(RAND(),Model!L6,Model!M6))*Inputs!$C$6</f>
        <v>32239.520078058889</v>
      </c>
      <c r="E266">
        <f t="shared" ca="1" si="63"/>
        <v>0.75299042034895192</v>
      </c>
      <c r="F266">
        <f t="shared" ca="1" si="64"/>
        <v>0.75397003836053023</v>
      </c>
      <c r="G266">
        <f t="shared" ca="1" si="65"/>
        <v>1</v>
      </c>
      <c r="H266" s="47">
        <f t="shared" ca="1" si="66"/>
        <v>32239.520078058889</v>
      </c>
      <c r="I266">
        <f ca="1">Inputs!B13+(Inputs!D13-Inputs!B13)*BETAINV(RAND(),Model!H7,Model!I7)</f>
        <v>2.8076970717603449</v>
      </c>
      <c r="J266">
        <f ca="1">Inputs!E13+(Inputs!G13-Inputs!E13)*BETAINV(RAND(),Model!J7,Model!K7)</f>
        <v>0.21974121662002602</v>
      </c>
      <c r="K266">
        <f ca="1">(Inputs!H13+(Inputs!J13-Inputs!H13)*BETAINV(RAND(),Model!L7,Model!M7))*Inputs!$C$6</f>
        <v>58144.424584763983</v>
      </c>
      <c r="L266">
        <f t="shared" ca="1" si="67"/>
        <v>0.61696677044910264</v>
      </c>
      <c r="M266">
        <f t="shared" ca="1" si="68"/>
        <v>0.41974484316454286</v>
      </c>
      <c r="N266">
        <f t="shared" ca="1" si="69"/>
        <v>0</v>
      </c>
      <c r="O266" s="47">
        <f t="shared" ca="1" si="70"/>
        <v>0</v>
      </c>
      <c r="P266">
        <f ca="1">Inputs!B14+(Inputs!D14-Inputs!B14)*BETAINV(RAND(),Model!H8,Model!I8)</f>
        <v>0.5311055856630289</v>
      </c>
      <c r="Q266">
        <f ca="1">Inputs!E14+(Inputs!G14-Inputs!E14)*BETAINV(RAND(),Model!J8,Model!K8)</f>
        <v>0.58071643462057754</v>
      </c>
      <c r="R266">
        <f ca="1">(Inputs!H14+(Inputs!J14-Inputs!H14)*BETAINV(RAND(),Model!L8,Model!M8))*Inputs!$C$6</f>
        <v>513209.6701092975</v>
      </c>
      <c r="S266">
        <f t="shared" ca="1" si="71"/>
        <v>0.30842174211330786</v>
      </c>
      <c r="T266">
        <f t="shared" ca="1" si="72"/>
        <v>0.40198777050210455</v>
      </c>
      <c r="U266">
        <f t="shared" ca="1" si="73"/>
        <v>0</v>
      </c>
      <c r="V266" s="47">
        <f t="shared" ca="1" si="74"/>
        <v>0</v>
      </c>
      <c r="W266">
        <f ca="1">Inputs!B15+(Inputs!D15-Inputs!B15)*BETAINV(RAND(),Model!H9,Model!I9)</f>
        <v>1.6423706396743771</v>
      </c>
      <c r="X266">
        <f ca="1">Inputs!E15+(Inputs!G15-Inputs!E15)*BETAINV(RAND(),Model!J9,Model!K9)</f>
        <v>0.37321411735199561</v>
      </c>
      <c r="Y266">
        <f ca="1">(Inputs!H15+(Inputs!J15-Inputs!H15)*BETAINV(RAND(),Model!L9,Model!M9))*Inputs!$C$6</f>
        <v>33204.136981595417</v>
      </c>
      <c r="Z266">
        <f t="shared" ca="1" si="75"/>
        <v>0.6129559086509051</v>
      </c>
      <c r="AA266">
        <f t="shared" ca="1" si="76"/>
        <v>0.69321668861024455</v>
      </c>
      <c r="AB266">
        <f t="shared" ca="1" si="77"/>
        <v>1</v>
      </c>
      <c r="AC266" s="47">
        <f t="shared" ca="1" si="78"/>
        <v>33204.136981595417</v>
      </c>
      <c r="AD266">
        <f ca="1">Inputs!B16+(Inputs!D16-Inputs!B16)*BETAINV(RAND(),Model!H10,Model!I10)</f>
        <v>0.49879432071085811</v>
      </c>
      <c r="AE266">
        <f ca="1">Inputs!E16+(Inputs!G16-Inputs!E16)*BETAINV(RAND(),Model!J10,Model!K10)</f>
        <v>0.47373175826598357</v>
      </c>
      <c r="AF266">
        <f ca="1">(Inputs!H16+(Inputs!J16-Inputs!H16)*BETAINV(RAND(),Model!L10,Model!M10))*Inputs!$C$6</f>
        <v>63502.907002770771</v>
      </c>
      <c r="AG266">
        <f t="shared" ca="1" si="79"/>
        <v>0.23629471056344173</v>
      </c>
      <c r="AH266">
        <f t="shared" ca="1" si="80"/>
        <v>0.3210427022907637</v>
      </c>
      <c r="AI266">
        <f t="shared" ca="1" si="81"/>
        <v>0</v>
      </c>
      <c r="AJ266" s="47">
        <f t="shared" ca="1" si="82"/>
        <v>0</v>
      </c>
      <c r="AK266">
        <f t="shared" ca="1" si="83"/>
        <v>65443.657059654302</v>
      </c>
    </row>
    <row r="267" spans="2:37" x14ac:dyDescent="0.2">
      <c r="B267">
        <f ca="1">Inputs!B12+(Inputs!D12-Inputs!B12)*BETAINV(RAND(),Model!H6,Model!I6)</f>
        <v>4.3629536163057026</v>
      </c>
      <c r="C267">
        <f ca="1">Inputs!E12+(Inputs!G12-Inputs!E12)*BETAINV(RAND(),Model!J6,Model!K6)</f>
        <v>0.23615092424667414</v>
      </c>
      <c r="D267">
        <f ca="1">(Inputs!H12+(Inputs!J12-Inputs!H12)*BETAINV(RAND(),Model!L6,Model!M6))*Inputs!$C$6</f>
        <v>37111.922037932178</v>
      </c>
      <c r="E267">
        <f t="shared" ca="1" si="63"/>
        <v>1.0303155289359609</v>
      </c>
      <c r="F267">
        <f t="shared" ca="1" si="64"/>
        <v>0.58802532331730173</v>
      </c>
      <c r="G267">
        <f t="shared" ca="1" si="65"/>
        <v>1</v>
      </c>
      <c r="H267" s="47">
        <f t="shared" ca="1" si="66"/>
        <v>37111.922037932178</v>
      </c>
      <c r="I267">
        <f ca="1">Inputs!B13+(Inputs!D13-Inputs!B13)*BETAINV(RAND(),Model!H7,Model!I7)</f>
        <v>2.5909329373060457</v>
      </c>
      <c r="J267">
        <f ca="1">Inputs!E13+(Inputs!G13-Inputs!E13)*BETAINV(RAND(),Model!J7,Model!K7)</f>
        <v>0.28291786867313551</v>
      </c>
      <c r="K267">
        <f ca="1">(Inputs!H13+(Inputs!J13-Inputs!H13)*BETAINV(RAND(),Model!L7,Model!M7))*Inputs!$C$6</f>
        <v>48251.129794035187</v>
      </c>
      <c r="L267">
        <f t="shared" ca="1" si="67"/>
        <v>0.73302122449765306</v>
      </c>
      <c r="M267">
        <f t="shared" ca="1" si="68"/>
        <v>0.29376960692435972</v>
      </c>
      <c r="N267">
        <f t="shared" ca="1" si="69"/>
        <v>0</v>
      </c>
      <c r="O267" s="47">
        <f t="shared" ca="1" si="70"/>
        <v>0</v>
      </c>
      <c r="P267">
        <f ca="1">Inputs!B14+(Inputs!D14-Inputs!B14)*BETAINV(RAND(),Model!H8,Model!I8)</f>
        <v>0.34316014220821878</v>
      </c>
      <c r="Q267">
        <f ca="1">Inputs!E14+(Inputs!G14-Inputs!E14)*BETAINV(RAND(),Model!J8,Model!K8)</f>
        <v>0.78705554177461057</v>
      </c>
      <c r="R267">
        <f ca="1">(Inputs!H14+(Inputs!J14-Inputs!H14)*BETAINV(RAND(),Model!L8,Model!M8))*Inputs!$C$6</f>
        <v>587027.86997773754</v>
      </c>
      <c r="S267">
        <f t="shared" ca="1" si="71"/>
        <v>0.27008609164114206</v>
      </c>
      <c r="T267">
        <f t="shared" ca="1" si="72"/>
        <v>0.66838101788984583</v>
      </c>
      <c r="U267">
        <f t="shared" ca="1" si="73"/>
        <v>0</v>
      </c>
      <c r="V267" s="47">
        <f t="shared" ca="1" si="74"/>
        <v>0</v>
      </c>
      <c r="W267">
        <f ca="1">Inputs!B15+(Inputs!D15-Inputs!B15)*BETAINV(RAND(),Model!H9,Model!I9)</f>
        <v>1.2885044911723029</v>
      </c>
      <c r="X267">
        <f ca="1">Inputs!E15+(Inputs!G15-Inputs!E15)*BETAINV(RAND(),Model!J9,Model!K9)</f>
        <v>0.44729332719160264</v>
      </c>
      <c r="Y267">
        <f ca="1">(Inputs!H15+(Inputs!J15-Inputs!H15)*BETAINV(RAND(),Model!L9,Model!M9))*Inputs!$C$6</f>
        <v>26586.949040018375</v>
      </c>
      <c r="Z267">
        <f t="shared" ca="1" si="75"/>
        <v>0.57633946095778232</v>
      </c>
      <c r="AA267">
        <f t="shared" ca="1" si="76"/>
        <v>0.94190542662577958</v>
      </c>
      <c r="AB267">
        <f t="shared" ca="1" si="77"/>
        <v>2</v>
      </c>
      <c r="AC267" s="47">
        <f t="shared" ca="1" si="78"/>
        <v>53173.89808003675</v>
      </c>
      <c r="AD267">
        <f ca="1">Inputs!B16+(Inputs!D16-Inputs!B16)*BETAINV(RAND(),Model!H10,Model!I10)</f>
        <v>0.94277031841715586</v>
      </c>
      <c r="AE267">
        <f ca="1">Inputs!E16+(Inputs!G16-Inputs!E16)*BETAINV(RAND(),Model!J10,Model!K10)</f>
        <v>0.4669536562699903</v>
      </c>
      <c r="AF267">
        <f ca="1">(Inputs!H16+(Inputs!J16-Inputs!H16)*BETAINV(RAND(),Model!L10,Model!M10))*Inputs!$C$6</f>
        <v>91797.659089543478</v>
      </c>
      <c r="AG267">
        <f t="shared" ca="1" si="79"/>
        <v>0.44023004720771391</v>
      </c>
      <c r="AH267">
        <f t="shared" ca="1" si="80"/>
        <v>0.42257578909239824</v>
      </c>
      <c r="AI267">
        <f t="shared" ca="1" si="81"/>
        <v>0</v>
      </c>
      <c r="AJ267" s="47">
        <f t="shared" ca="1" si="82"/>
        <v>0</v>
      </c>
      <c r="AK267">
        <f t="shared" ca="1" si="83"/>
        <v>90285.82011796892</v>
      </c>
    </row>
    <row r="268" spans="2:37" x14ac:dyDescent="0.2">
      <c r="B268">
        <f ca="1">Inputs!B12+(Inputs!D12-Inputs!B12)*BETAINV(RAND(),Model!H6,Model!I6)</f>
        <v>2.7099155683321916</v>
      </c>
      <c r="C268">
        <f ca="1">Inputs!E12+(Inputs!G12-Inputs!E12)*BETAINV(RAND(),Model!J6,Model!K6)</f>
        <v>0.2895427659243669</v>
      </c>
      <c r="D268">
        <f ca="1">(Inputs!H12+(Inputs!J12-Inputs!H12)*BETAINV(RAND(),Model!L6,Model!M6))*Inputs!$C$6</f>
        <v>40043.397268471905</v>
      </c>
      <c r="E268">
        <f t="shared" ref="E268:E331" ca="1" si="84">B268*C268</f>
        <v>0.7846364490764054</v>
      </c>
      <c r="F268">
        <f t="shared" ref="F268:F331" ca="1" si="85">RAND()</f>
        <v>0.51383423324796451</v>
      </c>
      <c r="G268">
        <f t="shared" ref="G268:G331" ca="1" si="86">IF(F268&lt;EXP(-E268),0,IF(F268&lt;EXP(-E268)*(1+E268),1,IF(F268&lt;EXP(-E268)*(1+E268+E268^2/2),2,IF(F268&lt;EXP(-E268)*(1+E268+E268^2/2+E268^3/6),3,4))))</f>
        <v>1</v>
      </c>
      <c r="H268" s="47">
        <f t="shared" ref="H268:H331" ca="1" si="87">G268*D268</f>
        <v>40043.397268471905</v>
      </c>
      <c r="I268">
        <f ca="1">Inputs!B13+(Inputs!D13-Inputs!B13)*BETAINV(RAND(),Model!H7,Model!I7)</f>
        <v>3.5669926544726853</v>
      </c>
      <c r="J268">
        <f ca="1">Inputs!E13+(Inputs!G13-Inputs!E13)*BETAINV(RAND(),Model!J7,Model!K7)</f>
        <v>0.24385491745406171</v>
      </c>
      <c r="K268">
        <f ca="1">(Inputs!H13+(Inputs!J13-Inputs!H13)*BETAINV(RAND(),Model!L7,Model!M7))*Inputs!$C$6</f>
        <v>26796.471252901578</v>
      </c>
      <c r="L268">
        <f t="shared" ref="L268:L331" ca="1" si="88">I268*J268</f>
        <v>0.86982869931568119</v>
      </c>
      <c r="M268">
        <f t="shared" ref="M268:M331" ca="1" si="89">RAND()</f>
        <v>0.17583986249244865</v>
      </c>
      <c r="N268">
        <f t="shared" ref="N268:N331" ca="1" si="90">IF(M268&lt;EXP(-L268),0,IF(M268&lt;EXP(-L268)*(1+L268),1,IF(M268&lt;EXP(-L268)*(1+L268+L268^2/2),2,IF(M268&lt;EXP(-L268)*(1+L268+L268^2/2+L268^3/6),3,4))))</f>
        <v>0</v>
      </c>
      <c r="O268" s="47">
        <f t="shared" ref="O268:O331" ca="1" si="91">N268*K268</f>
        <v>0</v>
      </c>
      <c r="P268">
        <f ca="1">Inputs!B14+(Inputs!D14-Inputs!B14)*BETAINV(RAND(),Model!H8,Model!I8)</f>
        <v>0.20350664214830627</v>
      </c>
      <c r="Q268">
        <f ca="1">Inputs!E14+(Inputs!G14-Inputs!E14)*BETAINV(RAND(),Model!J8,Model!K8)</f>
        <v>0.7350165362185197</v>
      </c>
      <c r="R268">
        <f ca="1">(Inputs!H14+(Inputs!J14-Inputs!H14)*BETAINV(RAND(),Model!L8,Model!M8))*Inputs!$C$6</f>
        <v>391855.29686339264</v>
      </c>
      <c r="S268">
        <f t="shared" ref="S268:S331" ca="1" si="92">P268*Q268</f>
        <v>0.14958074720930989</v>
      </c>
      <c r="T268">
        <f t="shared" ref="T268:T331" ca="1" si="93">RAND()</f>
        <v>0.84024930076555593</v>
      </c>
      <c r="U268">
        <f t="shared" ref="U268:U331" ca="1" si="94">IF(T268&lt;EXP(-S268),0,IF(T268&lt;EXP(-S268)*(1+S268),1,IF(T268&lt;EXP(-S268)*(1+S268+S268^2/2),2,IF(T268&lt;EXP(-S268)*(1+S268+S268^2/2+S268^3/6),3,4))))</f>
        <v>0</v>
      </c>
      <c r="V268" s="47">
        <f t="shared" ref="V268:V331" ca="1" si="95">U268*R268</f>
        <v>0</v>
      </c>
      <c r="W268">
        <f ca="1">Inputs!B15+(Inputs!D15-Inputs!B15)*BETAINV(RAND(),Model!H9,Model!I9)</f>
        <v>1.2526538179151432</v>
      </c>
      <c r="X268">
        <f ca="1">Inputs!E15+(Inputs!G15-Inputs!E15)*BETAINV(RAND(),Model!J9,Model!K9)</f>
        <v>0.28288393924043137</v>
      </c>
      <c r="Y268">
        <f ca="1">(Inputs!H15+(Inputs!J15-Inputs!H15)*BETAINV(RAND(),Model!L9,Model!M9))*Inputs!$C$6</f>
        <v>39182.027735336858</v>
      </c>
      <c r="Z268">
        <f t="shared" ref="Z268:Z331" ca="1" si="96">W268*X268</f>
        <v>0.35435564651640172</v>
      </c>
      <c r="AA268">
        <f t="shared" ref="AA268:AA331" ca="1" si="97">RAND()</f>
        <v>0.63268240192202352</v>
      </c>
      <c r="AB268">
        <f t="shared" ref="AB268:AB331" ca="1" si="98">IF(AA268&lt;EXP(-Z268),0,IF(AA268&lt;EXP(-Z268)*(1+Z268),1,IF(AA268&lt;EXP(-Z268)*(1+Z268+Z268^2/2),2,IF(AA268&lt;EXP(-Z268)*(1+Z268+Z268^2/2+Z268^3/6),3,4))))</f>
        <v>0</v>
      </c>
      <c r="AC268" s="47">
        <f t="shared" ref="AC268:AC331" ca="1" si="99">AB268*Y268</f>
        <v>0</v>
      </c>
      <c r="AD268">
        <f ca="1">Inputs!B16+(Inputs!D16-Inputs!B16)*BETAINV(RAND(),Model!H10,Model!I10)</f>
        <v>0.67981219205505861</v>
      </c>
      <c r="AE268">
        <f ca="1">Inputs!E16+(Inputs!G16-Inputs!E16)*BETAINV(RAND(),Model!J10,Model!K10)</f>
        <v>0.59172842364488687</v>
      </c>
      <c r="AF268">
        <f ca="1">(Inputs!H16+(Inputs!J16-Inputs!H16)*BETAINV(RAND(),Model!L10,Model!M10))*Inputs!$C$6</f>
        <v>124862.52410825965</v>
      </c>
      <c r="AG268">
        <f t="shared" ref="AG268:AG331" ca="1" si="100">AD268*AE268</f>
        <v>0.40226419677931491</v>
      </c>
      <c r="AH268">
        <f t="shared" ref="AH268:AH331" ca="1" si="101">RAND()</f>
        <v>0.81235609699206934</v>
      </c>
      <c r="AI268">
        <f t="shared" ref="AI268:AI331" ca="1" si="102">IF(AH268&lt;EXP(-AG268),0,IF(AH268&lt;EXP(-AG268)*(1+AG268),1,IF(AH268&lt;EXP(-AG268)*(1+AG268+AG268^2/2),2,IF(AH268&lt;EXP(-AG268)*(1+AG268+AG268^2/2+AG268^3/6),3,4))))</f>
        <v>1</v>
      </c>
      <c r="AJ268" s="47">
        <f t="shared" ref="AJ268:AJ331" ca="1" si="103">AI268*AF268</f>
        <v>124862.52410825965</v>
      </c>
      <c r="AK268">
        <f t="shared" ref="AK268:AK331" ca="1" si="104">H268+O268+V268+AC268+AJ268</f>
        <v>164905.92137673154</v>
      </c>
    </row>
    <row r="269" spans="2:37" x14ac:dyDescent="0.2">
      <c r="B269">
        <f ca="1">Inputs!B12+(Inputs!D12-Inputs!B12)*BETAINV(RAND(),Model!H6,Model!I6)</f>
        <v>2.0509089405351353</v>
      </c>
      <c r="C269">
        <f ca="1">Inputs!E12+(Inputs!G12-Inputs!E12)*BETAINV(RAND(),Model!J6,Model!K6)</f>
        <v>0.32697758121514431</v>
      </c>
      <c r="D269">
        <f ca="1">(Inputs!H12+(Inputs!J12-Inputs!H12)*BETAINV(RAND(),Model!L6,Model!M6))*Inputs!$C$6</f>
        <v>17185.663935675373</v>
      </c>
      <c r="E269">
        <f t="shared" ca="1" si="84"/>
        <v>0.67060124466869275</v>
      </c>
      <c r="F269">
        <f t="shared" ca="1" si="85"/>
        <v>0.71533369591866902</v>
      </c>
      <c r="G269">
        <f t="shared" ca="1" si="86"/>
        <v>1</v>
      </c>
      <c r="H269" s="47">
        <f t="shared" ca="1" si="87"/>
        <v>17185.663935675373</v>
      </c>
      <c r="I269">
        <f ca="1">Inputs!B13+(Inputs!D13-Inputs!B13)*BETAINV(RAND(),Model!H7,Model!I7)</f>
        <v>3.3944059985678385</v>
      </c>
      <c r="J269">
        <f ca="1">Inputs!E13+(Inputs!G13-Inputs!E13)*BETAINV(RAND(),Model!J7,Model!K7)</f>
        <v>0.38906609394335889</v>
      </c>
      <c r="K269">
        <f ca="1">(Inputs!H13+(Inputs!J13-Inputs!H13)*BETAINV(RAND(),Model!L7,Model!M7))*Inputs!$C$6</f>
        <v>57448.258166199412</v>
      </c>
      <c r="L269">
        <f t="shared" ca="1" si="88"/>
        <v>1.3206482831206956</v>
      </c>
      <c r="M269">
        <f t="shared" ca="1" si="89"/>
        <v>0.53782331087286683</v>
      </c>
      <c r="N269">
        <f t="shared" ca="1" si="90"/>
        <v>1</v>
      </c>
      <c r="O269" s="47">
        <f t="shared" ca="1" si="91"/>
        <v>57448.258166199412</v>
      </c>
      <c r="P269">
        <f ca="1">Inputs!B14+(Inputs!D14-Inputs!B14)*BETAINV(RAND(),Model!H8,Model!I8)</f>
        <v>0.13042754217092892</v>
      </c>
      <c r="Q269">
        <f ca="1">Inputs!E14+(Inputs!G14-Inputs!E14)*BETAINV(RAND(),Model!J8,Model!K8)</f>
        <v>0.40280977878912938</v>
      </c>
      <c r="R269">
        <f ca="1">(Inputs!H14+(Inputs!J14-Inputs!H14)*BETAINV(RAND(),Model!L8,Model!M8))*Inputs!$C$6</f>
        <v>284381.44681802648</v>
      </c>
      <c r="S269">
        <f t="shared" ca="1" si="92"/>
        <v>5.2537489409881719E-2</v>
      </c>
      <c r="T269">
        <f t="shared" ca="1" si="93"/>
        <v>0.49882349689024319</v>
      </c>
      <c r="U269">
        <f t="shared" ca="1" si="94"/>
        <v>0</v>
      </c>
      <c r="V269" s="47">
        <f t="shared" ca="1" si="95"/>
        <v>0</v>
      </c>
      <c r="W269">
        <f ca="1">Inputs!B15+(Inputs!D15-Inputs!B15)*BETAINV(RAND(),Model!H9,Model!I9)</f>
        <v>1.3972550953128597</v>
      </c>
      <c r="X269">
        <f ca="1">Inputs!E15+(Inputs!G15-Inputs!E15)*BETAINV(RAND(),Model!J9,Model!K9)</f>
        <v>0.35777375425923374</v>
      </c>
      <c r="Y269">
        <f ca="1">(Inputs!H15+(Inputs!J15-Inputs!H15)*BETAINV(RAND(),Model!L9,Model!M9))*Inputs!$C$6</f>
        <v>12107.256417164932</v>
      </c>
      <c r="Z269">
        <f t="shared" ca="1" si="96"/>
        <v>0.4999012011079253</v>
      </c>
      <c r="AA269">
        <f t="shared" ca="1" si="97"/>
        <v>0.4302653813034033</v>
      </c>
      <c r="AB269">
        <f t="shared" ca="1" si="98"/>
        <v>0</v>
      </c>
      <c r="AC269" s="47">
        <f t="shared" ca="1" si="99"/>
        <v>0</v>
      </c>
      <c r="AD269">
        <f ca="1">Inputs!B16+(Inputs!D16-Inputs!B16)*BETAINV(RAND(),Model!H10,Model!I10)</f>
        <v>0.5893779629384126</v>
      </c>
      <c r="AE269">
        <f ca="1">Inputs!E16+(Inputs!G16-Inputs!E16)*BETAINV(RAND(),Model!J10,Model!K10)</f>
        <v>0.60036869873072796</v>
      </c>
      <c r="AF269">
        <f ca="1">(Inputs!H16+(Inputs!J16-Inputs!H16)*BETAINV(RAND(),Model!L10,Model!M10))*Inputs!$C$6</f>
        <v>94345.803590035881</v>
      </c>
      <c r="AG269">
        <f t="shared" ca="1" si="100"/>
        <v>0.35384408066990197</v>
      </c>
      <c r="AH269">
        <f t="shared" ca="1" si="101"/>
        <v>0.26973968980618901</v>
      </c>
      <c r="AI269">
        <f t="shared" ca="1" si="102"/>
        <v>0</v>
      </c>
      <c r="AJ269" s="47">
        <f t="shared" ca="1" si="103"/>
        <v>0</v>
      </c>
      <c r="AK269">
        <f t="shared" ca="1" si="104"/>
        <v>74633.922101874778</v>
      </c>
    </row>
    <row r="270" spans="2:37" x14ac:dyDescent="0.2">
      <c r="B270">
        <f ca="1">Inputs!B12+(Inputs!D12-Inputs!B12)*BETAINV(RAND(),Model!H6,Model!I6)</f>
        <v>3.6569132975747052</v>
      </c>
      <c r="C270">
        <f ca="1">Inputs!E12+(Inputs!G12-Inputs!E12)*BETAINV(RAND(),Model!J6,Model!K6)</f>
        <v>0.23046892065229299</v>
      </c>
      <c r="D270">
        <f ca="1">(Inputs!H12+(Inputs!J12-Inputs!H12)*BETAINV(RAND(),Model!L6,Model!M6))*Inputs!$C$6</f>
        <v>33233.066862520136</v>
      </c>
      <c r="E270">
        <f t="shared" ca="1" si="84"/>
        <v>0.84280486061105986</v>
      </c>
      <c r="F270">
        <f t="shared" ca="1" si="85"/>
        <v>0.18880511572000314</v>
      </c>
      <c r="G270">
        <f t="shared" ca="1" si="86"/>
        <v>0</v>
      </c>
      <c r="H270" s="47">
        <f t="shared" ca="1" si="87"/>
        <v>0</v>
      </c>
      <c r="I270">
        <f ca="1">Inputs!B13+(Inputs!D13-Inputs!B13)*BETAINV(RAND(),Model!H7,Model!I7)</f>
        <v>2.1988371300815253</v>
      </c>
      <c r="J270">
        <f ca="1">Inputs!E13+(Inputs!G13-Inputs!E13)*BETAINV(RAND(),Model!J7,Model!K7)</f>
        <v>0.19011548481381532</v>
      </c>
      <c r="K270">
        <f ca="1">(Inputs!H13+(Inputs!J13-Inputs!H13)*BETAINV(RAND(),Model!L7,Model!M7))*Inputs!$C$6</f>
        <v>26233.716397826593</v>
      </c>
      <c r="L270">
        <f t="shared" ca="1" si="88"/>
        <v>0.41803298701206748</v>
      </c>
      <c r="M270">
        <f t="shared" ca="1" si="89"/>
        <v>0.99718808117335767</v>
      </c>
      <c r="N270">
        <f t="shared" ca="1" si="90"/>
        <v>3</v>
      </c>
      <c r="O270" s="47">
        <f t="shared" ca="1" si="91"/>
        <v>78701.149193479781</v>
      </c>
      <c r="P270">
        <f ca="1">Inputs!B14+(Inputs!D14-Inputs!B14)*BETAINV(RAND(),Model!H8,Model!I8)</f>
        <v>0.32088950423104001</v>
      </c>
      <c r="Q270">
        <f ca="1">Inputs!E14+(Inputs!G14-Inputs!E14)*BETAINV(RAND(),Model!J8,Model!K8)</f>
        <v>0.49929650975418771</v>
      </c>
      <c r="R270">
        <f ca="1">(Inputs!H14+(Inputs!J14-Inputs!H14)*BETAINV(RAND(),Model!L8,Model!M8))*Inputs!$C$6</f>
        <v>327098.16766556504</v>
      </c>
      <c r="S270">
        <f t="shared" ca="1" si="92"/>
        <v>0.16021900947930992</v>
      </c>
      <c r="T270">
        <f t="shared" ca="1" si="93"/>
        <v>0.24427112617112379</v>
      </c>
      <c r="U270">
        <f t="shared" ca="1" si="94"/>
        <v>0</v>
      </c>
      <c r="V270" s="47">
        <f t="shared" ca="1" si="95"/>
        <v>0</v>
      </c>
      <c r="W270">
        <f ca="1">Inputs!B15+(Inputs!D15-Inputs!B15)*BETAINV(RAND(),Model!H9,Model!I9)</f>
        <v>0.92606021874355693</v>
      </c>
      <c r="X270">
        <f ca="1">Inputs!E15+(Inputs!G15-Inputs!E15)*BETAINV(RAND(),Model!J9,Model!K9)</f>
        <v>0.34309831352115444</v>
      </c>
      <c r="Y270">
        <f ca="1">(Inputs!H15+(Inputs!J15-Inputs!H15)*BETAINV(RAND(),Model!L9,Model!M9))*Inputs!$C$6</f>
        <v>24979.167068167426</v>
      </c>
      <c r="Z270">
        <f t="shared" ca="1" si="96"/>
        <v>0.31772969926994576</v>
      </c>
      <c r="AA270">
        <f t="shared" ca="1" si="97"/>
        <v>0.42320438934004445</v>
      </c>
      <c r="AB270">
        <f t="shared" ca="1" si="98"/>
        <v>0</v>
      </c>
      <c r="AC270" s="47">
        <f t="shared" ca="1" si="99"/>
        <v>0</v>
      </c>
      <c r="AD270">
        <f ca="1">Inputs!B16+(Inputs!D16-Inputs!B16)*BETAINV(RAND(),Model!H10,Model!I10)</f>
        <v>1.0236265010987113</v>
      </c>
      <c r="AE270">
        <f ca="1">Inputs!E16+(Inputs!G16-Inputs!E16)*BETAINV(RAND(),Model!J10,Model!K10)</f>
        <v>0.6769632544805898</v>
      </c>
      <c r="AF270">
        <f ca="1">(Inputs!H16+(Inputs!J16-Inputs!H16)*BETAINV(RAND(),Model!L10,Model!M10))*Inputs!$C$6</f>
        <v>91423.708917242664</v>
      </c>
      <c r="AG270">
        <f t="shared" ca="1" si="100"/>
        <v>0.69295752755636264</v>
      </c>
      <c r="AH270">
        <f t="shared" ca="1" si="101"/>
        <v>0.94825044904820677</v>
      </c>
      <c r="AI270">
        <f t="shared" ca="1" si="102"/>
        <v>2</v>
      </c>
      <c r="AJ270" s="47">
        <f t="shared" ca="1" si="103"/>
        <v>182847.41783448533</v>
      </c>
      <c r="AK270">
        <f t="shared" ca="1" si="104"/>
        <v>261548.56702796509</v>
      </c>
    </row>
    <row r="271" spans="2:37" x14ac:dyDescent="0.2">
      <c r="B271">
        <f ca="1">Inputs!B12+(Inputs!D12-Inputs!B12)*BETAINV(RAND(),Model!H6,Model!I6)</f>
        <v>3.6233055740653146</v>
      </c>
      <c r="C271">
        <f ca="1">Inputs!E12+(Inputs!G12-Inputs!E12)*BETAINV(RAND(),Model!J6,Model!K6)</f>
        <v>0.29666128849583978</v>
      </c>
      <c r="D271">
        <f ca="1">(Inputs!H12+(Inputs!J12-Inputs!H12)*BETAINV(RAND(),Model!L6,Model!M6))*Inputs!$C$6</f>
        <v>37193.860119497178</v>
      </c>
      <c r="E271">
        <f t="shared" ca="1" si="84"/>
        <v>1.0748945002163748</v>
      </c>
      <c r="F271">
        <f t="shared" ca="1" si="85"/>
        <v>0.67116160907362965</v>
      </c>
      <c r="G271">
        <f t="shared" ca="1" si="86"/>
        <v>1</v>
      </c>
      <c r="H271" s="47">
        <f t="shared" ca="1" si="87"/>
        <v>37193.860119497178</v>
      </c>
      <c r="I271">
        <f ca="1">Inputs!B13+(Inputs!D13-Inputs!B13)*BETAINV(RAND(),Model!H7,Model!I7)</f>
        <v>1.2696975823287984</v>
      </c>
      <c r="J271">
        <f ca="1">Inputs!E13+(Inputs!G13-Inputs!E13)*BETAINV(RAND(),Model!J7,Model!K7)</f>
        <v>0.16891947844492344</v>
      </c>
      <c r="K271">
        <f ca="1">(Inputs!H13+(Inputs!J13-Inputs!H13)*BETAINV(RAND(),Model!L7,Model!M7))*Inputs!$C$6</f>
        <v>24684.345301766138</v>
      </c>
      <c r="L271">
        <f t="shared" ca="1" si="88"/>
        <v>0.21447665338976085</v>
      </c>
      <c r="M271">
        <f t="shared" ca="1" si="89"/>
        <v>0.65750978287311401</v>
      </c>
      <c r="N271">
        <f t="shared" ca="1" si="90"/>
        <v>0</v>
      </c>
      <c r="O271" s="47">
        <f t="shared" ca="1" si="91"/>
        <v>0</v>
      </c>
      <c r="P271">
        <f ca="1">Inputs!B14+(Inputs!D14-Inputs!B14)*BETAINV(RAND(),Model!H8,Model!I8)</f>
        <v>0.52992449050938317</v>
      </c>
      <c r="Q271">
        <f ca="1">Inputs!E14+(Inputs!G14-Inputs!E14)*BETAINV(RAND(),Model!J8,Model!K8)</f>
        <v>0.59300570801295283</v>
      </c>
      <c r="R271">
        <f ca="1">(Inputs!H14+(Inputs!J14-Inputs!H14)*BETAINV(RAND(),Model!L8,Model!M8))*Inputs!$C$6</f>
        <v>316487.49464203353</v>
      </c>
      <c r="S271">
        <f t="shared" ca="1" si="92"/>
        <v>0.31424824768792009</v>
      </c>
      <c r="T271">
        <f t="shared" ca="1" si="93"/>
        <v>0.45475128624308592</v>
      </c>
      <c r="U271">
        <f t="shared" ca="1" si="94"/>
        <v>0</v>
      </c>
      <c r="V271" s="47">
        <f t="shared" ca="1" si="95"/>
        <v>0</v>
      </c>
      <c r="W271">
        <f ca="1">Inputs!B15+(Inputs!D15-Inputs!B15)*BETAINV(RAND(),Model!H9,Model!I9)</f>
        <v>0.96251718523725982</v>
      </c>
      <c r="X271">
        <f ca="1">Inputs!E15+(Inputs!G15-Inputs!E15)*BETAINV(RAND(),Model!J9,Model!K9)</f>
        <v>0.23668802046090609</v>
      </c>
      <c r="Y271">
        <f ca="1">(Inputs!H15+(Inputs!J15-Inputs!H15)*BETAINV(RAND(),Model!L9,Model!M9))*Inputs!$C$6</f>
        <v>30327.191942630008</v>
      </c>
      <c r="Z271">
        <f t="shared" ca="1" si="96"/>
        <v>0.2278162872334103</v>
      </c>
      <c r="AA271">
        <f t="shared" ca="1" si="97"/>
        <v>0.94673943363526858</v>
      </c>
      <c r="AB271">
        <f t="shared" ca="1" si="98"/>
        <v>1</v>
      </c>
      <c r="AC271" s="47">
        <f t="shared" ca="1" si="99"/>
        <v>30327.191942630008</v>
      </c>
      <c r="AD271">
        <f ca="1">Inputs!B16+(Inputs!D16-Inputs!B16)*BETAINV(RAND(),Model!H10,Model!I10)</f>
        <v>0.23735584951899194</v>
      </c>
      <c r="AE271">
        <f ca="1">Inputs!E16+(Inputs!G16-Inputs!E16)*BETAINV(RAND(),Model!J10,Model!K10)</f>
        <v>0.60889929600364479</v>
      </c>
      <c r="AF271">
        <f ca="1">(Inputs!H16+(Inputs!J16-Inputs!H16)*BETAINV(RAND(),Model!L10,Model!M10))*Inputs!$C$6</f>
        <v>68459.828428904511</v>
      </c>
      <c r="AG271">
        <f t="shared" ca="1" si="100"/>
        <v>0.14452580967446124</v>
      </c>
      <c r="AH271">
        <f t="shared" ca="1" si="101"/>
        <v>0.6195993873749015</v>
      </c>
      <c r="AI271">
        <f t="shared" ca="1" si="102"/>
        <v>0</v>
      </c>
      <c r="AJ271" s="47">
        <f t="shared" ca="1" si="103"/>
        <v>0</v>
      </c>
      <c r="AK271">
        <f t="shared" ca="1" si="104"/>
        <v>67521.052062127186</v>
      </c>
    </row>
    <row r="272" spans="2:37" x14ac:dyDescent="0.2">
      <c r="B272">
        <f ca="1">Inputs!B12+(Inputs!D12-Inputs!B12)*BETAINV(RAND(),Model!H6,Model!I6)</f>
        <v>4.3155553520993779</v>
      </c>
      <c r="C272">
        <f ca="1">Inputs!E12+(Inputs!G12-Inputs!E12)*BETAINV(RAND(),Model!J6,Model!K6)</f>
        <v>0.26887204931421893</v>
      </c>
      <c r="D272">
        <f ca="1">(Inputs!H12+(Inputs!J12-Inputs!H12)*BETAINV(RAND(),Model!L6,Model!M6))*Inputs!$C$6</f>
        <v>15073.237903575893</v>
      </c>
      <c r="E272">
        <f t="shared" ca="1" si="84"/>
        <v>1.1603322114479053</v>
      </c>
      <c r="F272">
        <f t="shared" ca="1" si="85"/>
        <v>0.86836630856280905</v>
      </c>
      <c r="G272">
        <f t="shared" ca="1" si="86"/>
        <v>2</v>
      </c>
      <c r="H272" s="47">
        <f t="shared" ca="1" si="87"/>
        <v>30146.475807151786</v>
      </c>
      <c r="I272">
        <f ca="1">Inputs!B13+(Inputs!D13-Inputs!B13)*BETAINV(RAND(),Model!H7,Model!I7)</f>
        <v>2.3733471587463049</v>
      </c>
      <c r="J272">
        <f ca="1">Inputs!E13+(Inputs!G13-Inputs!E13)*BETAINV(RAND(),Model!J7,Model!K7)</f>
        <v>0.23512536734008838</v>
      </c>
      <c r="K272">
        <f ca="1">(Inputs!H13+(Inputs!J13-Inputs!H13)*BETAINV(RAND(),Model!L7,Model!M7))*Inputs!$C$6</f>
        <v>30393.172756245396</v>
      </c>
      <c r="L272">
        <f t="shared" ca="1" si="88"/>
        <v>0.55803412252578</v>
      </c>
      <c r="M272">
        <f t="shared" ca="1" si="89"/>
        <v>0.31588615944187926</v>
      </c>
      <c r="N272">
        <f t="shared" ca="1" si="90"/>
        <v>0</v>
      </c>
      <c r="O272" s="47">
        <f t="shared" ca="1" si="91"/>
        <v>0</v>
      </c>
      <c r="P272">
        <f ca="1">Inputs!B14+(Inputs!D14-Inputs!B14)*BETAINV(RAND(),Model!H8,Model!I8)</f>
        <v>0.29242904842025408</v>
      </c>
      <c r="Q272">
        <f ca="1">Inputs!E14+(Inputs!G14-Inputs!E14)*BETAINV(RAND(),Model!J8,Model!K8)</f>
        <v>0.69718228634335455</v>
      </c>
      <c r="R272">
        <f ca="1">(Inputs!H14+(Inputs!J14-Inputs!H14)*BETAINV(RAND(),Model!L8,Model!M8))*Inputs!$C$6</f>
        <v>227434.04857562121</v>
      </c>
      <c r="S272">
        <f t="shared" ca="1" si="92"/>
        <v>0.20387635257084427</v>
      </c>
      <c r="T272">
        <f t="shared" ca="1" si="93"/>
        <v>0.35392216253206832</v>
      </c>
      <c r="U272">
        <f t="shared" ca="1" si="94"/>
        <v>0</v>
      </c>
      <c r="V272" s="47">
        <f t="shared" ca="1" si="95"/>
        <v>0</v>
      </c>
      <c r="W272">
        <f ca="1">Inputs!B15+(Inputs!D15-Inputs!B15)*BETAINV(RAND(),Model!H9,Model!I9)</f>
        <v>0.61445673459892425</v>
      </c>
      <c r="X272">
        <f ca="1">Inputs!E15+(Inputs!G15-Inputs!E15)*BETAINV(RAND(),Model!J9,Model!K9)</f>
        <v>0.47356132832102926</v>
      </c>
      <c r="Y272">
        <f ca="1">(Inputs!H15+(Inputs!J15-Inputs!H15)*BETAINV(RAND(),Model!L9,Model!M9))*Inputs!$C$6</f>
        <v>32405.984551379264</v>
      </c>
      <c r="Z272">
        <f t="shared" ca="1" si="96"/>
        <v>0.29098294743246872</v>
      </c>
      <c r="AA272">
        <f t="shared" ca="1" si="97"/>
        <v>0.52662844058471325</v>
      </c>
      <c r="AB272">
        <f t="shared" ca="1" si="98"/>
        <v>0</v>
      </c>
      <c r="AC272" s="47">
        <f t="shared" ca="1" si="99"/>
        <v>0</v>
      </c>
      <c r="AD272">
        <f ca="1">Inputs!B16+(Inputs!D16-Inputs!B16)*BETAINV(RAND(),Model!H10,Model!I10)</f>
        <v>0.80530492806705878</v>
      </c>
      <c r="AE272">
        <f ca="1">Inputs!E16+(Inputs!G16-Inputs!E16)*BETAINV(RAND(),Model!J10,Model!K10)</f>
        <v>0.71123344963622437</v>
      </c>
      <c r="AF272">
        <f ca="1">(Inputs!H16+(Inputs!J16-Inputs!H16)*BETAINV(RAND(),Model!L10,Model!M10))*Inputs!$C$6</f>
        <v>77514.586542317367</v>
      </c>
      <c r="AG272">
        <f t="shared" ca="1" si="100"/>
        <v>0.57275980199818577</v>
      </c>
      <c r="AH272">
        <f t="shared" ca="1" si="101"/>
        <v>0.53681270402004444</v>
      </c>
      <c r="AI272">
        <f t="shared" ca="1" si="102"/>
        <v>0</v>
      </c>
      <c r="AJ272" s="47">
        <f t="shared" ca="1" si="103"/>
        <v>0</v>
      </c>
      <c r="AK272">
        <f t="shared" ca="1" si="104"/>
        <v>30146.475807151786</v>
      </c>
    </row>
    <row r="273" spans="2:37" x14ac:dyDescent="0.2">
      <c r="B273">
        <f ca="1">Inputs!B12+(Inputs!D12-Inputs!B12)*BETAINV(RAND(),Model!H6,Model!I6)</f>
        <v>4.5126108903435629</v>
      </c>
      <c r="C273">
        <f ca="1">Inputs!E12+(Inputs!G12-Inputs!E12)*BETAINV(RAND(),Model!J6,Model!K6)</f>
        <v>0.39788773533153843</v>
      </c>
      <c r="D273">
        <f ca="1">(Inputs!H12+(Inputs!J12-Inputs!H12)*BETAINV(RAND(),Model!L6,Model!M6))*Inputs!$C$6</f>
        <v>14654.099709846247</v>
      </c>
      <c r="E273">
        <f t="shared" ca="1" si="84"/>
        <v>1.7955125275912376</v>
      </c>
      <c r="F273">
        <f t="shared" ca="1" si="85"/>
        <v>0.79102895607839951</v>
      </c>
      <c r="G273">
        <f t="shared" ca="1" si="86"/>
        <v>3</v>
      </c>
      <c r="H273" s="47">
        <f t="shared" ca="1" si="87"/>
        <v>43962.29912953874</v>
      </c>
      <c r="I273">
        <f ca="1">Inputs!B13+(Inputs!D13-Inputs!B13)*BETAINV(RAND(),Model!H7,Model!I7)</f>
        <v>1.4952523287087938</v>
      </c>
      <c r="J273">
        <f ca="1">Inputs!E13+(Inputs!G13-Inputs!E13)*BETAINV(RAND(),Model!J7,Model!K7)</f>
        <v>0.34957819652808964</v>
      </c>
      <c r="K273">
        <f ca="1">(Inputs!H13+(Inputs!J13-Inputs!H13)*BETAINV(RAND(),Model!L7,Model!M7))*Inputs!$C$6</f>
        <v>43974.30525790016</v>
      </c>
      <c r="L273">
        <f t="shared" ca="1" si="88"/>
        <v>0.52270761242444641</v>
      </c>
      <c r="M273">
        <f t="shared" ca="1" si="89"/>
        <v>0.42672661739341955</v>
      </c>
      <c r="N273">
        <f t="shared" ca="1" si="90"/>
        <v>0</v>
      </c>
      <c r="O273" s="47">
        <f t="shared" ca="1" si="91"/>
        <v>0</v>
      </c>
      <c r="P273">
        <f ca="1">Inputs!B14+(Inputs!D14-Inputs!B14)*BETAINV(RAND(),Model!H8,Model!I8)</f>
        <v>0.45074471104865266</v>
      </c>
      <c r="Q273">
        <f ca="1">Inputs!E14+(Inputs!G14-Inputs!E14)*BETAINV(RAND(),Model!J8,Model!K8)</f>
        <v>0.6305539160295397</v>
      </c>
      <c r="R273">
        <f ca="1">(Inputs!H14+(Inputs!J14-Inputs!H14)*BETAINV(RAND(),Model!L8,Model!M8))*Inputs!$C$6</f>
        <v>319581.4723780537</v>
      </c>
      <c r="S273">
        <f t="shared" ca="1" si="92"/>
        <v>0.28421884268133124</v>
      </c>
      <c r="T273">
        <f t="shared" ca="1" si="93"/>
        <v>0.83668011679453935</v>
      </c>
      <c r="U273">
        <f t="shared" ca="1" si="94"/>
        <v>1</v>
      </c>
      <c r="V273" s="47">
        <f t="shared" ca="1" si="95"/>
        <v>319581.4723780537</v>
      </c>
      <c r="W273">
        <f ca="1">Inputs!B15+(Inputs!D15-Inputs!B15)*BETAINV(RAND(),Model!H9,Model!I9)</f>
        <v>1.8464616666213567</v>
      </c>
      <c r="X273">
        <f ca="1">Inputs!E15+(Inputs!G15-Inputs!E15)*BETAINV(RAND(),Model!J9,Model!K9)</f>
        <v>0.51590638710735393</v>
      </c>
      <c r="Y273">
        <f ca="1">(Inputs!H15+(Inputs!J15-Inputs!H15)*BETAINV(RAND(),Model!L9,Model!M9))*Inputs!$C$6</f>
        <v>14093.396415910973</v>
      </c>
      <c r="Z273">
        <f t="shared" ca="1" si="96"/>
        <v>0.95260136735884748</v>
      </c>
      <c r="AA273">
        <f t="shared" ca="1" si="97"/>
        <v>0.83263171178288964</v>
      </c>
      <c r="AB273">
        <f t="shared" ca="1" si="98"/>
        <v>2</v>
      </c>
      <c r="AC273" s="47">
        <f t="shared" ca="1" si="99"/>
        <v>28186.792831821946</v>
      </c>
      <c r="AD273">
        <f ca="1">Inputs!B16+(Inputs!D16-Inputs!B16)*BETAINV(RAND(),Model!H10,Model!I10)</f>
        <v>0.90774040396562361</v>
      </c>
      <c r="AE273">
        <f ca="1">Inputs!E16+(Inputs!G16-Inputs!E16)*BETAINV(RAND(),Model!J10,Model!K10)</f>
        <v>0.72634343096727982</v>
      </c>
      <c r="AF273">
        <f ca="1">(Inputs!H16+(Inputs!J16-Inputs!H16)*BETAINV(RAND(),Model!L10,Model!M10))*Inputs!$C$6</f>
        <v>117103.02531889877</v>
      </c>
      <c r="AG273">
        <f t="shared" ca="1" si="100"/>
        <v>0.65933127944401559</v>
      </c>
      <c r="AH273">
        <f t="shared" ca="1" si="101"/>
        <v>0.708416708883708</v>
      </c>
      <c r="AI273">
        <f t="shared" ca="1" si="102"/>
        <v>1</v>
      </c>
      <c r="AJ273" s="47">
        <f t="shared" ca="1" si="103"/>
        <v>117103.02531889877</v>
      </c>
      <c r="AK273">
        <f t="shared" ca="1" si="104"/>
        <v>508833.5896583132</v>
      </c>
    </row>
    <row r="274" spans="2:37" x14ac:dyDescent="0.2">
      <c r="B274">
        <f ca="1">Inputs!B12+(Inputs!D12-Inputs!B12)*BETAINV(RAND(),Model!H6,Model!I6)</f>
        <v>2.4506331868018272</v>
      </c>
      <c r="C274">
        <f ca="1">Inputs!E12+(Inputs!G12-Inputs!E12)*BETAINV(RAND(),Model!J6,Model!K6)</f>
        <v>0.26619261299351621</v>
      </c>
      <c r="D274">
        <f ca="1">(Inputs!H12+(Inputs!J12-Inputs!H12)*BETAINV(RAND(),Model!L6,Model!M6))*Inputs!$C$6</f>
        <v>11624.828607177256</v>
      </c>
      <c r="E274">
        <f t="shared" ca="1" si="84"/>
        <v>0.65234045148340614</v>
      </c>
      <c r="F274">
        <f t="shared" ca="1" si="85"/>
        <v>0.84963653596092847</v>
      </c>
      <c r="G274">
        <f t="shared" ca="1" si="86"/>
        <v>1</v>
      </c>
      <c r="H274" s="47">
        <f t="shared" ca="1" si="87"/>
        <v>11624.828607177256</v>
      </c>
      <c r="I274">
        <f ca="1">Inputs!B13+(Inputs!D13-Inputs!B13)*BETAINV(RAND(),Model!H7,Model!I7)</f>
        <v>1.3972412631623605</v>
      </c>
      <c r="J274">
        <f ca="1">Inputs!E13+(Inputs!G13-Inputs!E13)*BETAINV(RAND(),Model!J7,Model!K7)</f>
        <v>0.31595820290038545</v>
      </c>
      <c r="K274">
        <f ca="1">(Inputs!H13+(Inputs!J13-Inputs!H13)*BETAINV(RAND(),Model!L7,Model!M7))*Inputs!$C$6</f>
        <v>37695.912926051307</v>
      </c>
      <c r="L274">
        <f t="shared" ca="1" si="88"/>
        <v>0.44146983852704397</v>
      </c>
      <c r="M274">
        <f t="shared" ca="1" si="89"/>
        <v>0.14470395535971003</v>
      </c>
      <c r="N274">
        <f t="shared" ca="1" si="90"/>
        <v>0</v>
      </c>
      <c r="O274" s="47">
        <f t="shared" ca="1" si="91"/>
        <v>0</v>
      </c>
      <c r="P274">
        <f ca="1">Inputs!B14+(Inputs!D14-Inputs!B14)*BETAINV(RAND(),Model!H8,Model!I8)</f>
        <v>0.1559413364890298</v>
      </c>
      <c r="Q274">
        <f ca="1">Inputs!E14+(Inputs!G14-Inputs!E14)*BETAINV(RAND(),Model!J8,Model!K8)</f>
        <v>0.66302092512154642</v>
      </c>
      <c r="R274">
        <f ca="1">(Inputs!H14+(Inputs!J14-Inputs!H14)*BETAINV(RAND(),Model!L8,Model!M8))*Inputs!$C$6</f>
        <v>440169.34711418196</v>
      </c>
      <c r="S274">
        <f t="shared" ca="1" si="92"/>
        <v>0.1033923691836469</v>
      </c>
      <c r="T274">
        <f t="shared" ca="1" si="93"/>
        <v>0.46711178753913152</v>
      </c>
      <c r="U274">
        <f t="shared" ca="1" si="94"/>
        <v>0</v>
      </c>
      <c r="V274" s="47">
        <f t="shared" ca="1" si="95"/>
        <v>0</v>
      </c>
      <c r="W274">
        <f ca="1">Inputs!B15+(Inputs!D15-Inputs!B15)*BETAINV(RAND(),Model!H9,Model!I9)</f>
        <v>2.262587182465817</v>
      </c>
      <c r="X274">
        <f ca="1">Inputs!E15+(Inputs!G15-Inputs!E15)*BETAINV(RAND(),Model!J9,Model!K9)</f>
        <v>0.42121553929165023</v>
      </c>
      <c r="Y274">
        <f ca="1">(Inputs!H15+(Inputs!J15-Inputs!H15)*BETAINV(RAND(),Model!L9,Model!M9))*Inputs!$C$6</f>
        <v>26456.205966808608</v>
      </c>
      <c r="Z274">
        <f t="shared" ca="1" si="96"/>
        <v>0.95303688025671451</v>
      </c>
      <c r="AA274">
        <f t="shared" ca="1" si="97"/>
        <v>6.0606202376268126E-2</v>
      </c>
      <c r="AB274">
        <f t="shared" ca="1" si="98"/>
        <v>0</v>
      </c>
      <c r="AC274" s="47">
        <f t="shared" ca="1" si="99"/>
        <v>0</v>
      </c>
      <c r="AD274">
        <f ca="1">Inputs!B16+(Inputs!D16-Inputs!B16)*BETAINV(RAND(),Model!H10,Model!I10)</f>
        <v>0.73547027022272204</v>
      </c>
      <c r="AE274">
        <f ca="1">Inputs!E16+(Inputs!G16-Inputs!E16)*BETAINV(RAND(),Model!J10,Model!K10)</f>
        <v>0.63916872813106795</v>
      </c>
      <c r="AF274">
        <f ca="1">(Inputs!H16+(Inputs!J16-Inputs!H16)*BETAINV(RAND(),Model!L10,Model!M10))*Inputs!$C$6</f>
        <v>51198.631527154299</v>
      </c>
      <c r="AG274">
        <f t="shared" ca="1" si="100"/>
        <v>0.47008959719647009</v>
      </c>
      <c r="AH274">
        <f t="shared" ca="1" si="101"/>
        <v>0.61907893087846044</v>
      </c>
      <c r="AI274">
        <f t="shared" ca="1" si="102"/>
        <v>0</v>
      </c>
      <c r="AJ274" s="47">
        <f t="shared" ca="1" si="103"/>
        <v>0</v>
      </c>
      <c r="AK274">
        <f t="shared" ca="1" si="104"/>
        <v>11624.828607177256</v>
      </c>
    </row>
    <row r="275" spans="2:37" x14ac:dyDescent="0.2">
      <c r="B275">
        <f ca="1">Inputs!B12+(Inputs!D12-Inputs!B12)*BETAINV(RAND(),Model!H6,Model!I6)</f>
        <v>5.2495477556142589</v>
      </c>
      <c r="C275">
        <f ca="1">Inputs!E12+(Inputs!G12-Inputs!E12)*BETAINV(RAND(),Model!J6,Model!K6)</f>
        <v>0.29684068309477429</v>
      </c>
      <c r="D275">
        <f ca="1">(Inputs!H12+(Inputs!J12-Inputs!H12)*BETAINV(RAND(),Model!L6,Model!M6))*Inputs!$C$6</f>
        <v>23718.259804470221</v>
      </c>
      <c r="E275">
        <f t="shared" ca="1" si="84"/>
        <v>1.5582793417151759</v>
      </c>
      <c r="F275">
        <f t="shared" ca="1" si="85"/>
        <v>0.76261476464961331</v>
      </c>
      <c r="G275">
        <f t="shared" ca="1" si="86"/>
        <v>2</v>
      </c>
      <c r="H275" s="47">
        <f t="shared" ca="1" si="87"/>
        <v>47436.519608940442</v>
      </c>
      <c r="I275">
        <f ca="1">Inputs!B13+(Inputs!D13-Inputs!B13)*BETAINV(RAND(),Model!H7,Model!I7)</f>
        <v>2.144942410974426</v>
      </c>
      <c r="J275">
        <f ca="1">Inputs!E13+(Inputs!G13-Inputs!E13)*BETAINV(RAND(),Model!J7,Model!K7)</f>
        <v>0.2097248969757359</v>
      </c>
      <c r="K275">
        <f ca="1">(Inputs!H13+(Inputs!J13-Inputs!H13)*BETAINV(RAND(),Model!L7,Model!M7))*Inputs!$C$6</f>
        <v>28621.187625063689</v>
      </c>
      <c r="L275">
        <f t="shared" ca="1" si="88"/>
        <v>0.44984782616049807</v>
      </c>
      <c r="M275">
        <f t="shared" ca="1" si="89"/>
        <v>0.11778265320384917</v>
      </c>
      <c r="N275">
        <f t="shared" ca="1" si="90"/>
        <v>0</v>
      </c>
      <c r="O275" s="47">
        <f t="shared" ca="1" si="91"/>
        <v>0</v>
      </c>
      <c r="P275">
        <f ca="1">Inputs!B14+(Inputs!D14-Inputs!B14)*BETAINV(RAND(),Model!H8,Model!I8)</f>
        <v>0.17704475454232599</v>
      </c>
      <c r="Q275">
        <f ca="1">Inputs!E14+(Inputs!G14-Inputs!E14)*BETAINV(RAND(),Model!J8,Model!K8)</f>
        <v>0.55413728011591501</v>
      </c>
      <c r="R275">
        <f ca="1">(Inputs!H14+(Inputs!J14-Inputs!H14)*BETAINV(RAND(),Model!L8,Model!M8))*Inputs!$C$6</f>
        <v>517440.94648926088</v>
      </c>
      <c r="S275">
        <f t="shared" ca="1" si="92"/>
        <v>9.810709874087431E-2</v>
      </c>
      <c r="T275">
        <f t="shared" ca="1" si="93"/>
        <v>0.66107848255560131</v>
      </c>
      <c r="U275">
        <f t="shared" ca="1" si="94"/>
        <v>0</v>
      </c>
      <c r="V275" s="47">
        <f t="shared" ca="1" si="95"/>
        <v>0</v>
      </c>
      <c r="W275">
        <f ca="1">Inputs!B15+(Inputs!D15-Inputs!B15)*BETAINV(RAND(),Model!H9,Model!I9)</f>
        <v>0.49810292098144737</v>
      </c>
      <c r="X275">
        <f ca="1">Inputs!E15+(Inputs!G15-Inputs!E15)*BETAINV(RAND(),Model!J9,Model!K9)</f>
        <v>0.53267285341681614</v>
      </c>
      <c r="Y275">
        <f ca="1">(Inputs!H15+(Inputs!J15-Inputs!H15)*BETAINV(RAND(),Model!L9,Model!M9))*Inputs!$C$6</f>
        <v>21049.368537143528</v>
      </c>
      <c r="Z275">
        <f t="shared" ca="1" si="96"/>
        <v>0.26532590421443847</v>
      </c>
      <c r="AA275">
        <f t="shared" ca="1" si="97"/>
        <v>0.31571315401889066</v>
      </c>
      <c r="AB275">
        <f t="shared" ca="1" si="98"/>
        <v>0</v>
      </c>
      <c r="AC275" s="47">
        <f t="shared" ca="1" si="99"/>
        <v>0</v>
      </c>
      <c r="AD275">
        <f ca="1">Inputs!B16+(Inputs!D16-Inputs!B16)*BETAINV(RAND(),Model!H10,Model!I10)</f>
        <v>1.1687788871603004</v>
      </c>
      <c r="AE275">
        <f ca="1">Inputs!E16+(Inputs!G16-Inputs!E16)*BETAINV(RAND(),Model!J10,Model!K10)</f>
        <v>0.58170964682886606</v>
      </c>
      <c r="AF275">
        <f ca="1">(Inputs!H16+(Inputs!J16-Inputs!H16)*BETAINV(RAND(),Model!L10,Model!M10))*Inputs!$C$6</f>
        <v>70670.744759756984</v>
      </c>
      <c r="AG275">
        <f t="shared" ca="1" si="100"/>
        <v>0.67988995367105343</v>
      </c>
      <c r="AH275">
        <f t="shared" ca="1" si="101"/>
        <v>0.35351177557138935</v>
      </c>
      <c r="AI275">
        <f t="shared" ca="1" si="102"/>
        <v>0</v>
      </c>
      <c r="AJ275" s="47">
        <f t="shared" ca="1" si="103"/>
        <v>0</v>
      </c>
      <c r="AK275">
        <f t="shared" ca="1" si="104"/>
        <v>47436.519608940442</v>
      </c>
    </row>
    <row r="276" spans="2:37" x14ac:dyDescent="0.2">
      <c r="B276">
        <f ca="1">Inputs!B12+(Inputs!D12-Inputs!B12)*BETAINV(RAND(),Model!H6,Model!I6)</f>
        <v>3.6957294547067212</v>
      </c>
      <c r="C276">
        <f ca="1">Inputs!E12+(Inputs!G12-Inputs!E12)*BETAINV(RAND(),Model!J6,Model!K6)</f>
        <v>0.28429585430022747</v>
      </c>
      <c r="D276">
        <f ca="1">(Inputs!H12+(Inputs!J12-Inputs!H12)*BETAINV(RAND(),Model!L6,Model!M6))*Inputs!$C$6</f>
        <v>12695.953850252999</v>
      </c>
      <c r="E276">
        <f t="shared" ca="1" si="84"/>
        <v>1.0506805625883611</v>
      </c>
      <c r="F276">
        <f t="shared" ca="1" si="85"/>
        <v>0.50807459682934542</v>
      </c>
      <c r="G276">
        <f t="shared" ca="1" si="86"/>
        <v>1</v>
      </c>
      <c r="H276" s="47">
        <f t="shared" ca="1" si="87"/>
        <v>12695.953850252999</v>
      </c>
      <c r="I276">
        <f ca="1">Inputs!B13+(Inputs!D13-Inputs!B13)*BETAINV(RAND(),Model!H7,Model!I7)</f>
        <v>1.6287512568596751</v>
      </c>
      <c r="J276">
        <f ca="1">Inputs!E13+(Inputs!G13-Inputs!E13)*BETAINV(RAND(),Model!J7,Model!K7)</f>
        <v>0.2836561220216709</v>
      </c>
      <c r="K276">
        <f ca="1">(Inputs!H13+(Inputs!J13-Inputs!H13)*BETAINV(RAND(),Model!L7,Model!M7))*Inputs!$C$6</f>
        <v>28827.975409768624</v>
      </c>
      <c r="L276">
        <f t="shared" ca="1" si="88"/>
        <v>0.46200526525873786</v>
      </c>
      <c r="M276">
        <f t="shared" ca="1" si="89"/>
        <v>0.76774420886992467</v>
      </c>
      <c r="N276">
        <f t="shared" ca="1" si="90"/>
        <v>1</v>
      </c>
      <c r="O276" s="47">
        <f t="shared" ca="1" si="91"/>
        <v>28827.975409768624</v>
      </c>
      <c r="P276">
        <f ca="1">Inputs!B14+(Inputs!D14-Inputs!B14)*BETAINV(RAND(),Model!H8,Model!I8)</f>
        <v>0.26379702245438524</v>
      </c>
      <c r="Q276">
        <f ca="1">Inputs!E14+(Inputs!G14-Inputs!E14)*BETAINV(RAND(),Model!J8,Model!K8)</f>
        <v>0.61060363945053031</v>
      </c>
      <c r="R276">
        <f ca="1">(Inputs!H14+(Inputs!J14-Inputs!H14)*BETAINV(RAND(),Model!L8,Model!M8))*Inputs!$C$6</f>
        <v>257824.6806162482</v>
      </c>
      <c r="S276">
        <f t="shared" ca="1" si="92"/>
        <v>0.16107542198686089</v>
      </c>
      <c r="T276">
        <f t="shared" ca="1" si="93"/>
        <v>0.97646622542536465</v>
      </c>
      <c r="U276">
        <f t="shared" ca="1" si="94"/>
        <v>1</v>
      </c>
      <c r="V276" s="47">
        <f t="shared" ca="1" si="95"/>
        <v>257824.6806162482</v>
      </c>
      <c r="W276">
        <f ca="1">Inputs!B15+(Inputs!D15-Inputs!B15)*BETAINV(RAND(),Model!H9,Model!I9)</f>
        <v>2.0497822281081355</v>
      </c>
      <c r="X276">
        <f ca="1">Inputs!E15+(Inputs!G15-Inputs!E15)*BETAINV(RAND(),Model!J9,Model!K9)</f>
        <v>0.4403520815820311</v>
      </c>
      <c r="Y276">
        <f ca="1">(Inputs!H15+(Inputs!J15-Inputs!H15)*BETAINV(RAND(),Model!L9,Model!M9))*Inputs!$C$6</f>
        <v>11206.906160368093</v>
      </c>
      <c r="Z276">
        <f t="shared" ca="1" si="96"/>
        <v>0.9026258709372712</v>
      </c>
      <c r="AA276">
        <f t="shared" ca="1" si="97"/>
        <v>0.15938347839471323</v>
      </c>
      <c r="AB276">
        <f t="shared" ca="1" si="98"/>
        <v>0</v>
      </c>
      <c r="AC276" s="47">
        <f t="shared" ca="1" si="99"/>
        <v>0</v>
      </c>
      <c r="AD276">
        <f ca="1">Inputs!B16+(Inputs!D16-Inputs!B16)*BETAINV(RAND(),Model!H10,Model!I10)</f>
        <v>0.59132839927715319</v>
      </c>
      <c r="AE276">
        <f ca="1">Inputs!E16+(Inputs!G16-Inputs!E16)*BETAINV(RAND(),Model!J10,Model!K10)</f>
        <v>0.44877139328598714</v>
      </c>
      <c r="AF276">
        <f ca="1">(Inputs!H16+(Inputs!J16-Inputs!H16)*BETAINV(RAND(),Model!L10,Model!M10))*Inputs!$C$6</f>
        <v>49879.086140117834</v>
      </c>
      <c r="AG276">
        <f t="shared" ca="1" si="100"/>
        <v>0.26537126963318053</v>
      </c>
      <c r="AH276">
        <f t="shared" ca="1" si="101"/>
        <v>0.54602187453606899</v>
      </c>
      <c r="AI276">
        <f t="shared" ca="1" si="102"/>
        <v>0</v>
      </c>
      <c r="AJ276" s="47">
        <f t="shared" ca="1" si="103"/>
        <v>0</v>
      </c>
      <c r="AK276">
        <f t="shared" ca="1" si="104"/>
        <v>299348.60987626982</v>
      </c>
    </row>
    <row r="277" spans="2:37" x14ac:dyDescent="0.2">
      <c r="B277">
        <f ca="1">Inputs!B12+(Inputs!D12-Inputs!B12)*BETAINV(RAND(),Model!H6,Model!I6)</f>
        <v>3.5396600635868665</v>
      </c>
      <c r="C277">
        <f ca="1">Inputs!E12+(Inputs!G12-Inputs!E12)*BETAINV(RAND(),Model!J6,Model!K6)</f>
        <v>0.44138752105106127</v>
      </c>
      <c r="D277">
        <f ca="1">(Inputs!H12+(Inputs!J12-Inputs!H12)*BETAINV(RAND(),Model!L6,Model!M6))*Inputs!$C$6</f>
        <v>20155.097581706385</v>
      </c>
      <c r="E277">
        <f t="shared" ca="1" si="84"/>
        <v>1.562361780830049</v>
      </c>
      <c r="F277">
        <f t="shared" ca="1" si="85"/>
        <v>0.34050812692153387</v>
      </c>
      <c r="G277">
        <f t="shared" ca="1" si="86"/>
        <v>1</v>
      </c>
      <c r="H277" s="47">
        <f t="shared" ca="1" si="87"/>
        <v>20155.097581706385</v>
      </c>
      <c r="I277">
        <f ca="1">Inputs!B13+(Inputs!D13-Inputs!B13)*BETAINV(RAND(),Model!H7,Model!I7)</f>
        <v>3.5620715702929919</v>
      </c>
      <c r="J277">
        <f ca="1">Inputs!E13+(Inputs!G13-Inputs!E13)*BETAINV(RAND(),Model!J7,Model!K7)</f>
        <v>0.19364701825799852</v>
      </c>
      <c r="K277">
        <f ca="1">(Inputs!H13+(Inputs!J13-Inputs!H13)*BETAINV(RAND(),Model!L7,Model!M7))*Inputs!$C$6</f>
        <v>26935.732455267214</v>
      </c>
      <c r="L277">
        <f t="shared" ca="1" si="88"/>
        <v>0.68978453840882448</v>
      </c>
      <c r="M277">
        <f t="shared" ca="1" si="89"/>
        <v>0.86110650265971089</v>
      </c>
      <c r="N277">
        <f t="shared" ca="1" si="90"/>
        <v>2</v>
      </c>
      <c r="O277" s="47">
        <f t="shared" ca="1" si="91"/>
        <v>53871.464910534429</v>
      </c>
      <c r="P277">
        <f ca="1">Inputs!B14+(Inputs!D14-Inputs!B14)*BETAINV(RAND(),Model!H8,Model!I8)</f>
        <v>0.19127811080565874</v>
      </c>
      <c r="Q277">
        <f ca="1">Inputs!E14+(Inputs!G14-Inputs!E14)*BETAINV(RAND(),Model!J8,Model!K8)</f>
        <v>0.40849573694090979</v>
      </c>
      <c r="R277">
        <f ca="1">(Inputs!H14+(Inputs!J14-Inputs!H14)*BETAINV(RAND(),Model!L8,Model!M8))*Inputs!$C$6</f>
        <v>303253.82881126727</v>
      </c>
      <c r="S277">
        <f t="shared" ca="1" si="92"/>
        <v>7.8136292834222562E-2</v>
      </c>
      <c r="T277">
        <f t="shared" ca="1" si="93"/>
        <v>0.96635588655500815</v>
      </c>
      <c r="U277">
        <f t="shared" ca="1" si="94"/>
        <v>1</v>
      </c>
      <c r="V277" s="47">
        <f t="shared" ca="1" si="95"/>
        <v>303253.82881126727</v>
      </c>
      <c r="W277">
        <f ca="1">Inputs!B15+(Inputs!D15-Inputs!B15)*BETAINV(RAND(),Model!H9,Model!I9)</f>
        <v>1.4202110683863571</v>
      </c>
      <c r="X277">
        <f ca="1">Inputs!E15+(Inputs!G15-Inputs!E15)*BETAINV(RAND(),Model!J9,Model!K9)</f>
        <v>0.41344491686934592</v>
      </c>
      <c r="Y277">
        <f ca="1">(Inputs!H15+(Inputs!J15-Inputs!H15)*BETAINV(RAND(),Model!L9,Model!M9))*Inputs!$C$6</f>
        <v>25669.751481168598</v>
      </c>
      <c r="Z277">
        <f t="shared" ca="1" si="96"/>
        <v>0.58717904710592239</v>
      </c>
      <c r="AA277">
        <f t="shared" ca="1" si="97"/>
        <v>0.56025223639057109</v>
      </c>
      <c r="AB277">
        <f t="shared" ca="1" si="98"/>
        <v>1</v>
      </c>
      <c r="AC277" s="47">
        <f t="shared" ca="1" si="99"/>
        <v>25669.751481168598</v>
      </c>
      <c r="AD277">
        <f ca="1">Inputs!B16+(Inputs!D16-Inputs!B16)*BETAINV(RAND(),Model!H10,Model!I10)</f>
        <v>0.73628232008125227</v>
      </c>
      <c r="AE277">
        <f ca="1">Inputs!E16+(Inputs!G16-Inputs!E16)*BETAINV(RAND(),Model!J10,Model!K10)</f>
        <v>0.55068546663371887</v>
      </c>
      <c r="AF277">
        <f ca="1">(Inputs!H16+(Inputs!J16-Inputs!H16)*BETAINV(RAND(),Model!L10,Model!M10))*Inputs!$C$6</f>
        <v>74133.342700428097</v>
      </c>
      <c r="AG277">
        <f t="shared" ca="1" si="100"/>
        <v>0.40545997300810155</v>
      </c>
      <c r="AH277">
        <f t="shared" ca="1" si="101"/>
        <v>0.13255451703389598</v>
      </c>
      <c r="AI277">
        <f t="shared" ca="1" si="102"/>
        <v>0</v>
      </c>
      <c r="AJ277" s="47">
        <f t="shared" ca="1" si="103"/>
        <v>0</v>
      </c>
      <c r="AK277">
        <f t="shared" ca="1" si="104"/>
        <v>402950.14278467669</v>
      </c>
    </row>
    <row r="278" spans="2:37" x14ac:dyDescent="0.2">
      <c r="B278">
        <f ca="1">Inputs!B12+(Inputs!D12-Inputs!B12)*BETAINV(RAND(),Model!H6,Model!I6)</f>
        <v>4.1738540753636073</v>
      </c>
      <c r="C278">
        <f ca="1">Inputs!E12+(Inputs!G12-Inputs!E12)*BETAINV(RAND(),Model!J6,Model!K6)</f>
        <v>0.25890224886887853</v>
      </c>
      <c r="D278">
        <f ca="1">(Inputs!H12+(Inputs!J12-Inputs!H12)*BETAINV(RAND(),Model!L6,Model!M6))*Inputs!$C$6</f>
        <v>10009.207343373007</v>
      </c>
      <c r="E278">
        <f t="shared" ca="1" si="84"/>
        <v>1.0806202065621715</v>
      </c>
      <c r="F278">
        <f t="shared" ca="1" si="85"/>
        <v>0.28199115058520885</v>
      </c>
      <c r="G278">
        <f t="shared" ca="1" si="86"/>
        <v>0</v>
      </c>
      <c r="H278" s="47">
        <f t="shared" ca="1" si="87"/>
        <v>0</v>
      </c>
      <c r="I278">
        <f ca="1">Inputs!B13+(Inputs!D13-Inputs!B13)*BETAINV(RAND(),Model!H7,Model!I7)</f>
        <v>1.8797084199846004</v>
      </c>
      <c r="J278">
        <f ca="1">Inputs!E13+(Inputs!G13-Inputs!E13)*BETAINV(RAND(),Model!J7,Model!K7)</f>
        <v>0.26382068451535484</v>
      </c>
      <c r="K278">
        <f ca="1">(Inputs!H13+(Inputs!J13-Inputs!H13)*BETAINV(RAND(),Model!L7,Model!M7))*Inputs!$C$6</f>
        <v>42139.976741345927</v>
      </c>
      <c r="L278">
        <f t="shared" ca="1" si="88"/>
        <v>0.49590596204961335</v>
      </c>
      <c r="M278">
        <f t="shared" ca="1" si="89"/>
        <v>0.21710405658885634</v>
      </c>
      <c r="N278">
        <f t="shared" ca="1" si="90"/>
        <v>0</v>
      </c>
      <c r="O278" s="47">
        <f t="shared" ca="1" si="91"/>
        <v>0</v>
      </c>
      <c r="P278">
        <f ca="1">Inputs!B14+(Inputs!D14-Inputs!B14)*BETAINV(RAND(),Model!H8,Model!I8)</f>
        <v>0.43645889402005822</v>
      </c>
      <c r="Q278">
        <f ca="1">Inputs!E14+(Inputs!G14-Inputs!E14)*BETAINV(RAND(),Model!J8,Model!K8)</f>
        <v>0.74165434756685611</v>
      </c>
      <c r="R278">
        <f ca="1">(Inputs!H14+(Inputs!J14-Inputs!H14)*BETAINV(RAND(),Model!L8,Model!M8))*Inputs!$C$6</f>
        <v>303539.35742973437</v>
      </c>
      <c r="S278">
        <f t="shared" ca="1" si="92"/>
        <v>0.32370163628419785</v>
      </c>
      <c r="T278">
        <f t="shared" ca="1" si="93"/>
        <v>0.63722229712074341</v>
      </c>
      <c r="U278">
        <f t="shared" ca="1" si="94"/>
        <v>0</v>
      </c>
      <c r="V278" s="47">
        <f t="shared" ca="1" si="95"/>
        <v>0</v>
      </c>
      <c r="W278">
        <f ca="1">Inputs!B15+(Inputs!D15-Inputs!B15)*BETAINV(RAND(),Model!H9,Model!I9)</f>
        <v>0.44361452917713168</v>
      </c>
      <c r="X278">
        <f ca="1">Inputs!E15+(Inputs!G15-Inputs!E15)*BETAINV(RAND(),Model!J9,Model!K9)</f>
        <v>0.39684846696461357</v>
      </c>
      <c r="Y278">
        <f ca="1">(Inputs!H15+(Inputs!J15-Inputs!H15)*BETAINV(RAND(),Model!L9,Model!M9))*Inputs!$C$6</f>
        <v>8666.8171611430953</v>
      </c>
      <c r="Z278">
        <f t="shared" ca="1" si="96"/>
        <v>0.17604774582717353</v>
      </c>
      <c r="AA278">
        <f t="shared" ca="1" si="97"/>
        <v>0.99411204427970212</v>
      </c>
      <c r="AB278">
        <f t="shared" ca="1" si="98"/>
        <v>2</v>
      </c>
      <c r="AC278" s="47">
        <f t="shared" ca="1" si="99"/>
        <v>17333.634322286191</v>
      </c>
      <c r="AD278">
        <f ca="1">Inputs!B16+(Inputs!D16-Inputs!B16)*BETAINV(RAND(),Model!H10,Model!I10)</f>
        <v>1.0904984999587599</v>
      </c>
      <c r="AE278">
        <f ca="1">Inputs!E16+(Inputs!G16-Inputs!E16)*BETAINV(RAND(),Model!J10,Model!K10)</f>
        <v>0.60775469460553955</v>
      </c>
      <c r="AF278">
        <f ca="1">(Inputs!H16+(Inputs!J16-Inputs!H16)*BETAINV(RAND(),Model!L10,Model!M10))*Inputs!$C$6</f>
        <v>107353.77612485744</v>
      </c>
      <c r="AG278">
        <f t="shared" ca="1" si="100"/>
        <v>0.66275558281023517</v>
      </c>
      <c r="AH278">
        <f t="shared" ca="1" si="101"/>
        <v>0.77179658370530313</v>
      </c>
      <c r="AI278">
        <f t="shared" ca="1" si="102"/>
        <v>1</v>
      </c>
      <c r="AJ278" s="47">
        <f t="shared" ca="1" si="103"/>
        <v>107353.77612485744</v>
      </c>
      <c r="AK278">
        <f t="shared" ca="1" si="104"/>
        <v>124687.41044714363</v>
      </c>
    </row>
    <row r="279" spans="2:37" x14ac:dyDescent="0.2">
      <c r="B279">
        <f ca="1">Inputs!B12+(Inputs!D12-Inputs!B12)*BETAINV(RAND(),Model!H6,Model!I6)</f>
        <v>4.3024331740019885</v>
      </c>
      <c r="C279">
        <f ca="1">Inputs!E12+(Inputs!G12-Inputs!E12)*BETAINV(RAND(),Model!J6,Model!K6)</f>
        <v>0.3367039221762006</v>
      </c>
      <c r="D279">
        <f ca="1">(Inputs!H12+(Inputs!J12-Inputs!H12)*BETAINV(RAND(),Model!L6,Model!M6))*Inputs!$C$6</f>
        <v>33886.387341046611</v>
      </c>
      <c r="E279">
        <f t="shared" ca="1" si="84"/>
        <v>1.4486461245874693</v>
      </c>
      <c r="F279">
        <f t="shared" ca="1" si="85"/>
        <v>0.13463133811719941</v>
      </c>
      <c r="G279">
        <f t="shared" ca="1" si="86"/>
        <v>0</v>
      </c>
      <c r="H279" s="47">
        <f t="shared" ca="1" si="87"/>
        <v>0</v>
      </c>
      <c r="I279">
        <f ca="1">Inputs!B13+(Inputs!D13-Inputs!B13)*BETAINV(RAND(),Model!H7,Model!I7)</f>
        <v>0.9541144963886371</v>
      </c>
      <c r="J279">
        <f ca="1">Inputs!E13+(Inputs!G13-Inputs!E13)*BETAINV(RAND(),Model!J7,Model!K7)</f>
        <v>0.42782455562710531</v>
      </c>
      <c r="K279">
        <f ca="1">(Inputs!H13+(Inputs!J13-Inputs!H13)*BETAINV(RAND(),Model!L7,Model!M7))*Inputs!$C$6</f>
        <v>41983.677206209642</v>
      </c>
      <c r="L279">
        <f t="shared" ca="1" si="88"/>
        <v>0.40819361043484803</v>
      </c>
      <c r="M279">
        <f t="shared" ca="1" si="89"/>
        <v>0.66403844358695341</v>
      </c>
      <c r="N279">
        <f t="shared" ca="1" si="90"/>
        <v>0</v>
      </c>
      <c r="O279" s="47">
        <f t="shared" ca="1" si="91"/>
        <v>0</v>
      </c>
      <c r="P279">
        <f ca="1">Inputs!B14+(Inputs!D14-Inputs!B14)*BETAINV(RAND(),Model!H8,Model!I8)</f>
        <v>0.26547665170255752</v>
      </c>
      <c r="Q279">
        <f ca="1">Inputs!E14+(Inputs!G14-Inputs!E14)*BETAINV(RAND(),Model!J8,Model!K8)</f>
        <v>0.52025612105149255</v>
      </c>
      <c r="R279">
        <f ca="1">(Inputs!H14+(Inputs!J14-Inputs!H14)*BETAINV(RAND(),Model!L8,Model!M8))*Inputs!$C$6</f>
        <v>400732.33064478927</v>
      </c>
      <c r="S279">
        <f t="shared" ca="1" si="92"/>
        <v>0.13811585304451068</v>
      </c>
      <c r="T279">
        <f t="shared" ca="1" si="93"/>
        <v>0.7121012024917629</v>
      </c>
      <c r="U279">
        <f t="shared" ca="1" si="94"/>
        <v>0</v>
      </c>
      <c r="V279" s="47">
        <f t="shared" ca="1" si="95"/>
        <v>0</v>
      </c>
      <c r="W279">
        <f ca="1">Inputs!B15+(Inputs!D15-Inputs!B15)*BETAINV(RAND(),Model!H9,Model!I9)</f>
        <v>1.8483748487895684</v>
      </c>
      <c r="X279">
        <f ca="1">Inputs!E15+(Inputs!G15-Inputs!E15)*BETAINV(RAND(),Model!J9,Model!K9)</f>
        <v>0.32516190905638576</v>
      </c>
      <c r="Y279">
        <f ca="1">(Inputs!H15+(Inputs!J15-Inputs!H15)*BETAINV(RAND(),Model!L9,Model!M9))*Inputs!$C$6</f>
        <v>16058.455769225409</v>
      </c>
      <c r="Z279">
        <f t="shared" ca="1" si="96"/>
        <v>0.60102109448422436</v>
      </c>
      <c r="AA279">
        <f t="shared" ca="1" si="97"/>
        <v>0.12170632669219594</v>
      </c>
      <c r="AB279">
        <f t="shared" ca="1" si="98"/>
        <v>0</v>
      </c>
      <c r="AC279" s="47">
        <f t="shared" ca="1" si="99"/>
        <v>0</v>
      </c>
      <c r="AD279">
        <f ca="1">Inputs!B16+(Inputs!D16-Inputs!B16)*BETAINV(RAND(),Model!H10,Model!I10)</f>
        <v>0.41134567891352725</v>
      </c>
      <c r="AE279">
        <f ca="1">Inputs!E16+(Inputs!G16-Inputs!E16)*BETAINV(RAND(),Model!J10,Model!K10)</f>
        <v>0.56282254260605902</v>
      </c>
      <c r="AF279">
        <f ca="1">(Inputs!H16+(Inputs!J16-Inputs!H16)*BETAINV(RAND(),Model!L10,Model!M10))*Inputs!$C$6</f>
        <v>66008.415126005959</v>
      </c>
      <c r="AG279">
        <f t="shared" ca="1" si="100"/>
        <v>0.23151462089612695</v>
      </c>
      <c r="AH279">
        <f t="shared" ca="1" si="101"/>
        <v>0.49130565552977346</v>
      </c>
      <c r="AI279">
        <f t="shared" ca="1" si="102"/>
        <v>0</v>
      </c>
      <c r="AJ279" s="47">
        <f t="shared" ca="1" si="103"/>
        <v>0</v>
      </c>
      <c r="AK279">
        <f t="shared" ca="1" si="104"/>
        <v>0</v>
      </c>
    </row>
    <row r="280" spans="2:37" x14ac:dyDescent="0.2">
      <c r="B280">
        <f ca="1">Inputs!B12+(Inputs!D12-Inputs!B12)*BETAINV(RAND(),Model!H6,Model!I6)</f>
        <v>1.9631076348313881</v>
      </c>
      <c r="C280">
        <f ca="1">Inputs!E12+(Inputs!G12-Inputs!E12)*BETAINV(RAND(),Model!J6,Model!K6)</f>
        <v>0.34834082003384476</v>
      </c>
      <c r="D280">
        <f ca="1">(Inputs!H12+(Inputs!J12-Inputs!H12)*BETAINV(RAND(),Model!L6,Model!M6))*Inputs!$C$6</f>
        <v>27773.425374413469</v>
      </c>
      <c r="E280">
        <f t="shared" ca="1" si="84"/>
        <v>0.68383052333186722</v>
      </c>
      <c r="F280">
        <f t="shared" ca="1" si="85"/>
        <v>0.5786957977965147</v>
      </c>
      <c r="G280">
        <f t="shared" ca="1" si="86"/>
        <v>1</v>
      </c>
      <c r="H280" s="47">
        <f t="shared" ca="1" si="87"/>
        <v>27773.425374413469</v>
      </c>
      <c r="I280">
        <f ca="1">Inputs!B13+(Inputs!D13-Inputs!B13)*BETAINV(RAND(),Model!H7,Model!I7)</f>
        <v>2.1786197255286699</v>
      </c>
      <c r="J280">
        <f ca="1">Inputs!E13+(Inputs!G13-Inputs!E13)*BETAINV(RAND(),Model!J7,Model!K7)</f>
        <v>0.28634586313252852</v>
      </c>
      <c r="K280">
        <f ca="1">(Inputs!H13+(Inputs!J13-Inputs!H13)*BETAINV(RAND(),Model!L7,Model!M7))*Inputs!$C$6</f>
        <v>11881.716527437591</v>
      </c>
      <c r="L280">
        <f t="shared" ca="1" si="88"/>
        <v>0.6238387457440594</v>
      </c>
      <c r="M280">
        <f t="shared" ca="1" si="89"/>
        <v>0.3731620615994834</v>
      </c>
      <c r="N280">
        <f t="shared" ca="1" si="90"/>
        <v>0</v>
      </c>
      <c r="O280" s="47">
        <f t="shared" ca="1" si="91"/>
        <v>0</v>
      </c>
      <c r="P280">
        <f ca="1">Inputs!B14+(Inputs!D14-Inputs!B14)*BETAINV(RAND(),Model!H8,Model!I8)</f>
        <v>0.16147571838320879</v>
      </c>
      <c r="Q280">
        <f ca="1">Inputs!E14+(Inputs!G14-Inputs!E14)*BETAINV(RAND(),Model!J8,Model!K8)</f>
        <v>0.62057124820034737</v>
      </c>
      <c r="R280">
        <f ca="1">(Inputs!H14+(Inputs!J14-Inputs!H14)*BETAINV(RAND(),Model!L8,Model!M8))*Inputs!$C$6</f>
        <v>394051.22954938258</v>
      </c>
      <c r="S280">
        <f t="shared" ca="1" si="92"/>
        <v>0.10020718811111566</v>
      </c>
      <c r="T280">
        <f t="shared" ca="1" si="93"/>
        <v>0.33987202233613656</v>
      </c>
      <c r="U280">
        <f t="shared" ca="1" si="94"/>
        <v>0</v>
      </c>
      <c r="V280" s="47">
        <f t="shared" ca="1" si="95"/>
        <v>0</v>
      </c>
      <c r="W280">
        <f ca="1">Inputs!B15+(Inputs!D15-Inputs!B15)*BETAINV(RAND(),Model!H9,Model!I9)</f>
        <v>0.73328869323371837</v>
      </c>
      <c r="X280">
        <f ca="1">Inputs!E15+(Inputs!G15-Inputs!E15)*BETAINV(RAND(),Model!J9,Model!K9)</f>
        <v>0.5604743548573371</v>
      </c>
      <c r="Y280">
        <f ca="1">(Inputs!H15+(Inputs!J15-Inputs!H15)*BETAINV(RAND(),Model!L9,Model!M9))*Inputs!$C$6</f>
        <v>27493.139210107893</v>
      </c>
      <c r="Z280">
        <f t="shared" ca="1" si="96"/>
        <v>0.41098950726434808</v>
      </c>
      <c r="AA280">
        <f t="shared" ca="1" si="97"/>
        <v>0.57082913953829995</v>
      </c>
      <c r="AB280">
        <f t="shared" ca="1" si="98"/>
        <v>0</v>
      </c>
      <c r="AC280" s="47">
        <f t="shared" ca="1" si="99"/>
        <v>0</v>
      </c>
      <c r="AD280">
        <f ca="1">Inputs!B16+(Inputs!D16-Inputs!B16)*BETAINV(RAND(),Model!H10,Model!I10)</f>
        <v>0.3346582869813452</v>
      </c>
      <c r="AE280">
        <f ca="1">Inputs!E16+(Inputs!G16-Inputs!E16)*BETAINV(RAND(),Model!J10,Model!K10)</f>
        <v>0.52536582022780931</v>
      </c>
      <c r="AF280">
        <f ca="1">(Inputs!H16+(Inputs!J16-Inputs!H16)*BETAINV(RAND(),Model!L10,Model!M10))*Inputs!$C$6</f>
        <v>113578.50651141122</v>
      </c>
      <c r="AG280">
        <f t="shared" ca="1" si="100"/>
        <v>0.17581802543598801</v>
      </c>
      <c r="AH280">
        <f t="shared" ca="1" si="101"/>
        <v>0.35153325491775478</v>
      </c>
      <c r="AI280">
        <f t="shared" ca="1" si="102"/>
        <v>0</v>
      </c>
      <c r="AJ280" s="47">
        <f t="shared" ca="1" si="103"/>
        <v>0</v>
      </c>
      <c r="AK280">
        <f t="shared" ca="1" si="104"/>
        <v>27773.425374413469</v>
      </c>
    </row>
    <row r="281" spans="2:37" x14ac:dyDescent="0.2">
      <c r="B281">
        <f ca="1">Inputs!B12+(Inputs!D12-Inputs!B12)*BETAINV(RAND(),Model!H6,Model!I6)</f>
        <v>4.2438152642447635</v>
      </c>
      <c r="C281">
        <f ca="1">Inputs!E12+(Inputs!G12-Inputs!E12)*BETAINV(RAND(),Model!J6,Model!K6)</f>
        <v>0.38581516677864802</v>
      </c>
      <c r="D281">
        <f ca="1">(Inputs!H12+(Inputs!J12-Inputs!H12)*BETAINV(RAND(),Model!L6,Model!M6))*Inputs!$C$6</f>
        <v>44566.115684207944</v>
      </c>
      <c r="E281">
        <f t="shared" ca="1" si="84"/>
        <v>1.6373282939523657</v>
      </c>
      <c r="F281">
        <f t="shared" ca="1" si="85"/>
        <v>4.5326992263058918E-2</v>
      </c>
      <c r="G281">
        <f t="shared" ca="1" si="86"/>
        <v>0</v>
      </c>
      <c r="H281" s="47">
        <f t="shared" ca="1" si="87"/>
        <v>0</v>
      </c>
      <c r="I281">
        <f ca="1">Inputs!B13+(Inputs!D13-Inputs!B13)*BETAINV(RAND(),Model!H7,Model!I7)</f>
        <v>1.8128514024761349</v>
      </c>
      <c r="J281">
        <f ca="1">Inputs!E13+(Inputs!G13-Inputs!E13)*BETAINV(RAND(),Model!J7,Model!K7)</f>
        <v>0.21392704418727246</v>
      </c>
      <c r="K281">
        <f ca="1">(Inputs!H13+(Inputs!J13-Inputs!H13)*BETAINV(RAND(),Model!L7,Model!M7))*Inputs!$C$6</f>
        <v>69522.678697143361</v>
      </c>
      <c r="L281">
        <f t="shared" ca="1" si="88"/>
        <v>0.38781794208247095</v>
      </c>
      <c r="M281">
        <f t="shared" ca="1" si="89"/>
        <v>0.30852518308740573</v>
      </c>
      <c r="N281">
        <f t="shared" ca="1" si="90"/>
        <v>0</v>
      </c>
      <c r="O281" s="47">
        <f t="shared" ca="1" si="91"/>
        <v>0</v>
      </c>
      <c r="P281">
        <f ca="1">Inputs!B14+(Inputs!D14-Inputs!B14)*BETAINV(RAND(),Model!H8,Model!I8)</f>
        <v>0.44625874110887354</v>
      </c>
      <c r="Q281">
        <f ca="1">Inputs!E14+(Inputs!G14-Inputs!E14)*BETAINV(RAND(),Model!J8,Model!K8)</f>
        <v>0.77022314081324617</v>
      </c>
      <c r="R281">
        <f ca="1">(Inputs!H14+(Inputs!J14-Inputs!H14)*BETAINV(RAND(),Model!L8,Model!M8))*Inputs!$C$6</f>
        <v>347682.1990851693</v>
      </c>
      <c r="S281">
        <f t="shared" ca="1" si="92"/>
        <v>0.34371880919224185</v>
      </c>
      <c r="T281">
        <f t="shared" ca="1" si="93"/>
        <v>0.37717728533043626</v>
      </c>
      <c r="U281">
        <f t="shared" ca="1" si="94"/>
        <v>0</v>
      </c>
      <c r="V281" s="47">
        <f t="shared" ca="1" si="95"/>
        <v>0</v>
      </c>
      <c r="W281">
        <f ca="1">Inputs!B15+(Inputs!D15-Inputs!B15)*BETAINV(RAND(),Model!H9,Model!I9)</f>
        <v>1.6739303171644739</v>
      </c>
      <c r="X281">
        <f ca="1">Inputs!E15+(Inputs!G15-Inputs!E15)*BETAINV(RAND(),Model!J9,Model!K9)</f>
        <v>0.44303640897130281</v>
      </c>
      <c r="Y281">
        <f ca="1">(Inputs!H15+(Inputs!J15-Inputs!H15)*BETAINV(RAND(),Model!L9,Model!M9))*Inputs!$C$6</f>
        <v>45479.957986165944</v>
      </c>
      <c r="Z281">
        <f t="shared" ca="1" si="96"/>
        <v>0.74161207658474249</v>
      </c>
      <c r="AA281">
        <f t="shared" ca="1" si="97"/>
        <v>0.7791969903445799</v>
      </c>
      <c r="AB281">
        <f t="shared" ca="1" si="98"/>
        <v>1</v>
      </c>
      <c r="AC281" s="47">
        <f t="shared" ca="1" si="99"/>
        <v>45479.957986165944</v>
      </c>
      <c r="AD281">
        <f ca="1">Inputs!B16+(Inputs!D16-Inputs!B16)*BETAINV(RAND(),Model!H10,Model!I10)</f>
        <v>0.59446180162322637</v>
      </c>
      <c r="AE281">
        <f ca="1">Inputs!E16+(Inputs!G16-Inputs!E16)*BETAINV(RAND(),Model!J10,Model!K10)</f>
        <v>0.54462068097727823</v>
      </c>
      <c r="AF281">
        <f ca="1">(Inputs!H16+(Inputs!J16-Inputs!H16)*BETAINV(RAND(),Model!L10,Model!M10))*Inputs!$C$6</f>
        <v>46737.220633650613</v>
      </c>
      <c r="AG281">
        <f t="shared" ca="1" si="100"/>
        <v>0.32375619121502125</v>
      </c>
      <c r="AH281">
        <f t="shared" ca="1" si="101"/>
        <v>0.63322481287608112</v>
      </c>
      <c r="AI281">
        <f t="shared" ca="1" si="102"/>
        <v>0</v>
      </c>
      <c r="AJ281" s="47">
        <f t="shared" ca="1" si="103"/>
        <v>0</v>
      </c>
      <c r="AK281">
        <f t="shared" ca="1" si="104"/>
        <v>45479.957986165944</v>
      </c>
    </row>
    <row r="282" spans="2:37" x14ac:dyDescent="0.2">
      <c r="B282">
        <f ca="1">Inputs!B12+(Inputs!D12-Inputs!B12)*BETAINV(RAND(),Model!H6,Model!I6)</f>
        <v>4.0582966507989857</v>
      </c>
      <c r="C282">
        <f ca="1">Inputs!E12+(Inputs!G12-Inputs!E12)*BETAINV(RAND(),Model!J6,Model!K6)</f>
        <v>0.24463747284646997</v>
      </c>
      <c r="D282">
        <f ca="1">(Inputs!H12+(Inputs!J12-Inputs!H12)*BETAINV(RAND(),Model!L6,Model!M6))*Inputs!$C$6</f>
        <v>15124.553569389118</v>
      </c>
      <c r="E282">
        <f t="shared" ca="1" si="84"/>
        <v>0.99281143671275685</v>
      </c>
      <c r="F282">
        <f t="shared" ca="1" si="85"/>
        <v>0.70203295109692609</v>
      </c>
      <c r="G282">
        <f t="shared" ca="1" si="86"/>
        <v>1</v>
      </c>
      <c r="H282" s="47">
        <f t="shared" ca="1" si="87"/>
        <v>15124.553569389118</v>
      </c>
      <c r="I282">
        <f ca="1">Inputs!B13+(Inputs!D13-Inputs!B13)*BETAINV(RAND(),Model!H7,Model!I7)</f>
        <v>1.80745603333918</v>
      </c>
      <c r="J282">
        <f ca="1">Inputs!E13+(Inputs!G13-Inputs!E13)*BETAINV(RAND(),Model!J7,Model!K7)</f>
        <v>0.14302543332785242</v>
      </c>
      <c r="K282">
        <f ca="1">(Inputs!H13+(Inputs!J13-Inputs!H13)*BETAINV(RAND(),Model!L7,Model!M7))*Inputs!$C$6</f>
        <v>21752.584802976369</v>
      </c>
      <c r="L282">
        <f t="shared" ca="1" si="88"/>
        <v>0.25851218238937751</v>
      </c>
      <c r="M282">
        <f t="shared" ca="1" si="89"/>
        <v>0.62320729182514145</v>
      </c>
      <c r="N282">
        <f t="shared" ca="1" si="90"/>
        <v>0</v>
      </c>
      <c r="O282" s="47">
        <f t="shared" ca="1" si="91"/>
        <v>0</v>
      </c>
      <c r="P282">
        <f ca="1">Inputs!B14+(Inputs!D14-Inputs!B14)*BETAINV(RAND(),Model!H8,Model!I8)</f>
        <v>0.29907341892158124</v>
      </c>
      <c r="Q282">
        <f ca="1">Inputs!E14+(Inputs!G14-Inputs!E14)*BETAINV(RAND(),Model!J8,Model!K8)</f>
        <v>0.531889941847971</v>
      </c>
      <c r="R282">
        <f ca="1">(Inputs!H14+(Inputs!J14-Inputs!H14)*BETAINV(RAND(),Model!L8,Model!M8))*Inputs!$C$6</f>
        <v>254159.89427139252</v>
      </c>
      <c r="S282">
        <f t="shared" ca="1" si="92"/>
        <v>0.15907414339847373</v>
      </c>
      <c r="T282">
        <f t="shared" ca="1" si="93"/>
        <v>6.3450262153054271E-2</v>
      </c>
      <c r="U282">
        <f t="shared" ca="1" si="94"/>
        <v>0</v>
      </c>
      <c r="V282" s="47">
        <f t="shared" ca="1" si="95"/>
        <v>0</v>
      </c>
      <c r="W282">
        <f ca="1">Inputs!B15+(Inputs!D15-Inputs!B15)*BETAINV(RAND(),Model!H9,Model!I9)</f>
        <v>1.5383923787590135</v>
      </c>
      <c r="X282">
        <f ca="1">Inputs!E15+(Inputs!G15-Inputs!E15)*BETAINV(RAND(),Model!J9,Model!K9)</f>
        <v>0.37365398764787505</v>
      </c>
      <c r="Y282">
        <f ca="1">(Inputs!H15+(Inputs!J15-Inputs!H15)*BETAINV(RAND(),Model!L9,Model!M9))*Inputs!$C$6</f>
        <v>9438.3698296956027</v>
      </c>
      <c r="Z282">
        <f t="shared" ca="1" si="96"/>
        <v>0.57482644689040552</v>
      </c>
      <c r="AA282">
        <f t="shared" ca="1" si="97"/>
        <v>0.6284787767995178</v>
      </c>
      <c r="AB282">
        <f t="shared" ca="1" si="98"/>
        <v>1</v>
      </c>
      <c r="AC282" s="47">
        <f t="shared" ca="1" si="99"/>
        <v>9438.3698296956027</v>
      </c>
      <c r="AD282">
        <f ca="1">Inputs!B16+(Inputs!D16-Inputs!B16)*BETAINV(RAND(),Model!H10,Model!I10)</f>
        <v>0.66272852723190567</v>
      </c>
      <c r="AE282">
        <f ca="1">Inputs!E16+(Inputs!G16-Inputs!E16)*BETAINV(RAND(),Model!J10,Model!K10)</f>
        <v>0.73947667640016301</v>
      </c>
      <c r="AF282">
        <f ca="1">(Inputs!H16+(Inputs!J16-Inputs!H16)*BETAINV(RAND(),Model!L10,Model!M10))*Inputs!$C$6</f>
        <v>109891.29125930252</v>
      </c>
      <c r="AG282">
        <f t="shared" ca="1" si="100"/>
        <v>0.49007228867302455</v>
      </c>
      <c r="AH282">
        <f t="shared" ca="1" si="101"/>
        <v>0.89236192023878669</v>
      </c>
      <c r="AI282">
        <f t="shared" ca="1" si="102"/>
        <v>1</v>
      </c>
      <c r="AJ282" s="47">
        <f t="shared" ca="1" si="103"/>
        <v>109891.29125930252</v>
      </c>
      <c r="AK282">
        <f t="shared" ca="1" si="104"/>
        <v>134454.21465838724</v>
      </c>
    </row>
    <row r="283" spans="2:37" x14ac:dyDescent="0.2">
      <c r="B283">
        <f ca="1">Inputs!B12+(Inputs!D12-Inputs!B12)*BETAINV(RAND(),Model!H6,Model!I6)</f>
        <v>3.8255972749531106</v>
      </c>
      <c r="C283">
        <f ca="1">Inputs!E12+(Inputs!G12-Inputs!E12)*BETAINV(RAND(),Model!J6,Model!K6)</f>
        <v>0.23706617758786019</v>
      </c>
      <c r="D283">
        <f ca="1">(Inputs!H12+(Inputs!J12-Inputs!H12)*BETAINV(RAND(),Model!L6,Model!M6))*Inputs!$C$6</f>
        <v>27423.142362304283</v>
      </c>
      <c r="E283">
        <f t="shared" ca="1" si="84"/>
        <v>0.90691972296366818</v>
      </c>
      <c r="F283">
        <f t="shared" ca="1" si="85"/>
        <v>0.91104590776914207</v>
      </c>
      <c r="G283">
        <f t="shared" ca="1" si="86"/>
        <v>2</v>
      </c>
      <c r="H283" s="47">
        <f t="shared" ca="1" si="87"/>
        <v>54846.284724608566</v>
      </c>
      <c r="I283">
        <f ca="1">Inputs!B13+(Inputs!D13-Inputs!B13)*BETAINV(RAND(),Model!H7,Model!I7)</f>
        <v>0.86423202161645296</v>
      </c>
      <c r="J283">
        <f ca="1">Inputs!E13+(Inputs!G13-Inputs!E13)*BETAINV(RAND(),Model!J7,Model!K7)</f>
        <v>0.15956047616605948</v>
      </c>
      <c r="K283">
        <f ca="1">(Inputs!H13+(Inputs!J13-Inputs!H13)*BETAINV(RAND(),Model!L7,Model!M7))*Inputs!$C$6</f>
        <v>95322.673665399678</v>
      </c>
      <c r="L283">
        <f t="shared" ca="1" si="88"/>
        <v>0.13789727288707745</v>
      </c>
      <c r="M283">
        <f t="shared" ca="1" si="89"/>
        <v>0.26032190011113265</v>
      </c>
      <c r="N283">
        <f t="shared" ca="1" si="90"/>
        <v>0</v>
      </c>
      <c r="O283" s="47">
        <f t="shared" ca="1" si="91"/>
        <v>0</v>
      </c>
      <c r="P283">
        <f ca="1">Inputs!B14+(Inputs!D14-Inputs!B14)*BETAINV(RAND(),Model!H8,Model!I8)</f>
        <v>0.43753922457144911</v>
      </c>
      <c r="Q283">
        <f ca="1">Inputs!E14+(Inputs!G14-Inputs!E14)*BETAINV(RAND(),Model!J8,Model!K8)</f>
        <v>0.65273004841112647</v>
      </c>
      <c r="R283">
        <f ca="1">(Inputs!H14+(Inputs!J14-Inputs!H14)*BETAINV(RAND(),Model!L8,Model!M8))*Inputs!$C$6</f>
        <v>303791.4843705814</v>
      </c>
      <c r="S283">
        <f t="shared" ca="1" si="92"/>
        <v>0.28559499923628873</v>
      </c>
      <c r="T283">
        <f t="shared" ca="1" si="93"/>
        <v>0.38695005948232042</v>
      </c>
      <c r="U283">
        <f t="shared" ca="1" si="94"/>
        <v>0</v>
      </c>
      <c r="V283" s="47">
        <f t="shared" ca="1" si="95"/>
        <v>0</v>
      </c>
      <c r="W283">
        <f ca="1">Inputs!B15+(Inputs!D15-Inputs!B15)*BETAINV(RAND(),Model!H9,Model!I9)</f>
        <v>1.074688231669541</v>
      </c>
      <c r="X283">
        <f ca="1">Inputs!E15+(Inputs!G15-Inputs!E15)*BETAINV(RAND(),Model!J9,Model!K9)</f>
        <v>0.48789573772351125</v>
      </c>
      <c r="Y283">
        <f ca="1">(Inputs!H15+(Inputs!J15-Inputs!H15)*BETAINV(RAND(),Model!L9,Model!M9))*Inputs!$C$6</f>
        <v>47926.285224158753</v>
      </c>
      <c r="Z283">
        <f t="shared" ca="1" si="96"/>
        <v>0.52433580761318643</v>
      </c>
      <c r="AA283">
        <f t="shared" ca="1" si="97"/>
        <v>0.44851311310061559</v>
      </c>
      <c r="AB283">
        <f t="shared" ca="1" si="98"/>
        <v>0</v>
      </c>
      <c r="AC283" s="47">
        <f t="shared" ca="1" si="99"/>
        <v>0</v>
      </c>
      <c r="AD283">
        <f ca="1">Inputs!B16+(Inputs!D16-Inputs!B16)*BETAINV(RAND(),Model!H10,Model!I10)</f>
        <v>0.5192650969478223</v>
      </c>
      <c r="AE283">
        <f ca="1">Inputs!E16+(Inputs!G16-Inputs!E16)*BETAINV(RAND(),Model!J10,Model!K10)</f>
        <v>0.65230625478995374</v>
      </c>
      <c r="AF283">
        <f ca="1">(Inputs!H16+(Inputs!J16-Inputs!H16)*BETAINV(RAND(),Model!L10,Model!M10))*Inputs!$C$6</f>
        <v>81340.499048327198</v>
      </c>
      <c r="AG283">
        <f t="shared" ca="1" si="100"/>
        <v>0.33871987063317621</v>
      </c>
      <c r="AH283">
        <f t="shared" ca="1" si="101"/>
        <v>0.85911734889914815</v>
      </c>
      <c r="AI283">
        <f t="shared" ca="1" si="102"/>
        <v>1</v>
      </c>
      <c r="AJ283" s="47">
        <f t="shared" ca="1" si="103"/>
        <v>81340.499048327198</v>
      </c>
      <c r="AK283">
        <f t="shared" ca="1" si="104"/>
        <v>136186.78377293577</v>
      </c>
    </row>
    <row r="284" spans="2:37" x14ac:dyDescent="0.2">
      <c r="B284">
        <f ca="1">Inputs!B12+(Inputs!D12-Inputs!B12)*BETAINV(RAND(),Model!H6,Model!I6)</f>
        <v>2.240932433700241</v>
      </c>
      <c r="C284">
        <f ca="1">Inputs!E12+(Inputs!G12-Inputs!E12)*BETAINV(RAND(),Model!J6,Model!K6)</f>
        <v>0.30426100158060349</v>
      </c>
      <c r="D284">
        <f ca="1">(Inputs!H12+(Inputs!J12-Inputs!H12)*BETAINV(RAND(),Model!L6,Model!M6))*Inputs!$C$6</f>
        <v>23342.764215612184</v>
      </c>
      <c r="E284">
        <f t="shared" ca="1" si="84"/>
        <v>0.68182834675209458</v>
      </c>
      <c r="F284">
        <f t="shared" ca="1" si="85"/>
        <v>0.57303129898546679</v>
      </c>
      <c r="G284">
        <f t="shared" ca="1" si="86"/>
        <v>1</v>
      </c>
      <c r="H284" s="47">
        <f t="shared" ca="1" si="87"/>
        <v>23342.764215612184</v>
      </c>
      <c r="I284">
        <f ca="1">Inputs!B13+(Inputs!D13-Inputs!B13)*BETAINV(RAND(),Model!H7,Model!I7)</f>
        <v>2.1468903236858292</v>
      </c>
      <c r="J284">
        <f ca="1">Inputs!E13+(Inputs!G13-Inputs!E13)*BETAINV(RAND(),Model!J7,Model!K7)</f>
        <v>0.30835206648173707</v>
      </c>
      <c r="K284">
        <f ca="1">(Inputs!H13+(Inputs!J13-Inputs!H13)*BETAINV(RAND(),Model!L7,Model!M7))*Inputs!$C$6</f>
        <v>18728.244940203676</v>
      </c>
      <c r="L284">
        <f t="shared" ca="1" si="88"/>
        <v>0.66199806781817083</v>
      </c>
      <c r="M284">
        <f t="shared" ca="1" si="89"/>
        <v>0.49442409241809659</v>
      </c>
      <c r="N284">
        <f t="shared" ca="1" si="90"/>
        <v>0</v>
      </c>
      <c r="O284" s="47">
        <f t="shared" ca="1" si="91"/>
        <v>0</v>
      </c>
      <c r="P284">
        <f ca="1">Inputs!B14+(Inputs!D14-Inputs!B14)*BETAINV(RAND(),Model!H8,Model!I8)</f>
        <v>0.30229833849999427</v>
      </c>
      <c r="Q284">
        <f ca="1">Inputs!E14+(Inputs!G14-Inputs!E14)*BETAINV(RAND(),Model!J8,Model!K8)</f>
        <v>0.50754842160244018</v>
      </c>
      <c r="R284">
        <f ca="1">(Inputs!H14+(Inputs!J14-Inputs!H14)*BETAINV(RAND(),Model!L8,Model!M8))*Inputs!$C$6</f>
        <v>401888.93091739353</v>
      </c>
      <c r="S284">
        <f t="shared" ca="1" si="92"/>
        <v>0.15343104455871226</v>
      </c>
      <c r="T284">
        <f t="shared" ca="1" si="93"/>
        <v>0.54128705881469075</v>
      </c>
      <c r="U284">
        <f t="shared" ca="1" si="94"/>
        <v>0</v>
      </c>
      <c r="V284" s="47">
        <f t="shared" ca="1" si="95"/>
        <v>0</v>
      </c>
      <c r="W284">
        <f ca="1">Inputs!B15+(Inputs!D15-Inputs!B15)*BETAINV(RAND(),Model!H9,Model!I9)</f>
        <v>1.6471019873923838</v>
      </c>
      <c r="X284">
        <f ca="1">Inputs!E15+(Inputs!G15-Inputs!E15)*BETAINV(RAND(),Model!J9,Model!K9)</f>
        <v>0.44488307751302514</v>
      </c>
      <c r="Y284">
        <f ca="1">(Inputs!H15+(Inputs!J15-Inputs!H15)*BETAINV(RAND(),Model!L9,Model!M9))*Inputs!$C$6</f>
        <v>38708.540032315046</v>
      </c>
      <c r="Z284">
        <f t="shared" ca="1" si="96"/>
        <v>0.73276780112894357</v>
      </c>
      <c r="AA284">
        <f t="shared" ca="1" si="97"/>
        <v>0.26664839683624864</v>
      </c>
      <c r="AB284">
        <f t="shared" ca="1" si="98"/>
        <v>0</v>
      </c>
      <c r="AC284" s="47">
        <f t="shared" ca="1" si="99"/>
        <v>0</v>
      </c>
      <c r="AD284">
        <f ca="1">Inputs!B16+(Inputs!D16-Inputs!B16)*BETAINV(RAND(),Model!H10,Model!I10)</f>
        <v>0.31919367613296157</v>
      </c>
      <c r="AE284">
        <f ca="1">Inputs!E16+(Inputs!G16-Inputs!E16)*BETAINV(RAND(),Model!J10,Model!K10)</f>
        <v>0.59515635790222654</v>
      </c>
      <c r="AF284">
        <f ca="1">(Inputs!H16+(Inputs!J16-Inputs!H16)*BETAINV(RAND(),Model!L10,Model!M10))*Inputs!$C$6</f>
        <v>127575.05923756721</v>
      </c>
      <c r="AG284">
        <f t="shared" ca="1" si="100"/>
        <v>0.18997014575271626</v>
      </c>
      <c r="AH284">
        <f t="shared" ca="1" si="101"/>
        <v>0.15987338825573094</v>
      </c>
      <c r="AI284">
        <f t="shared" ca="1" si="102"/>
        <v>0</v>
      </c>
      <c r="AJ284" s="47">
        <f t="shared" ca="1" si="103"/>
        <v>0</v>
      </c>
      <c r="AK284">
        <f t="shared" ca="1" si="104"/>
        <v>23342.764215612184</v>
      </c>
    </row>
    <row r="285" spans="2:37" x14ac:dyDescent="0.2">
      <c r="B285">
        <f ca="1">Inputs!B12+(Inputs!D12-Inputs!B12)*BETAINV(RAND(),Model!H6,Model!I6)</f>
        <v>3.4526877919535366</v>
      </c>
      <c r="C285">
        <f ca="1">Inputs!E12+(Inputs!G12-Inputs!E12)*BETAINV(RAND(),Model!J6,Model!K6)</f>
        <v>0.30935042275153174</v>
      </c>
      <c r="D285">
        <f ca="1">(Inputs!H12+(Inputs!J12-Inputs!H12)*BETAINV(RAND(),Model!L6,Model!M6))*Inputs!$C$6</f>
        <v>42271.809081468309</v>
      </c>
      <c r="E285">
        <f t="shared" ca="1" si="84"/>
        <v>1.0680904280698793</v>
      </c>
      <c r="F285">
        <f t="shared" ca="1" si="85"/>
        <v>0.87773915493366161</v>
      </c>
      <c r="G285">
        <f t="shared" ca="1" si="86"/>
        <v>2</v>
      </c>
      <c r="H285" s="47">
        <f t="shared" ca="1" si="87"/>
        <v>84543.618162936618</v>
      </c>
      <c r="I285">
        <f ca="1">Inputs!B13+(Inputs!D13-Inputs!B13)*BETAINV(RAND(),Model!H7,Model!I7)</f>
        <v>3.4622117081886548</v>
      </c>
      <c r="J285">
        <f ca="1">Inputs!E13+(Inputs!G13-Inputs!E13)*BETAINV(RAND(),Model!J7,Model!K7)</f>
        <v>0.26249424064259275</v>
      </c>
      <c r="K285">
        <f ca="1">(Inputs!H13+(Inputs!J13-Inputs!H13)*BETAINV(RAND(),Model!L7,Model!M7))*Inputs!$C$6</f>
        <v>32909.734646295132</v>
      </c>
      <c r="L285">
        <f t="shared" ca="1" si="88"/>
        <v>0.90881063328487488</v>
      </c>
      <c r="M285">
        <f t="shared" ca="1" si="89"/>
        <v>0.8931349722927735</v>
      </c>
      <c r="N285">
        <f t="shared" ca="1" si="90"/>
        <v>2</v>
      </c>
      <c r="O285" s="47">
        <f t="shared" ca="1" si="91"/>
        <v>65819.469292590264</v>
      </c>
      <c r="P285">
        <f ca="1">Inputs!B14+(Inputs!D14-Inputs!B14)*BETAINV(RAND(),Model!H8,Model!I8)</f>
        <v>0.24729074602838635</v>
      </c>
      <c r="Q285">
        <f ca="1">Inputs!E14+(Inputs!G14-Inputs!E14)*BETAINV(RAND(),Model!J8,Model!K8)</f>
        <v>0.51945264413303416</v>
      </c>
      <c r="R285">
        <f ca="1">(Inputs!H14+(Inputs!J14-Inputs!H14)*BETAINV(RAND(),Model!L8,Model!M8))*Inputs!$C$6</f>
        <v>560117.91724216472</v>
      </c>
      <c r="S285">
        <f t="shared" ca="1" si="92"/>
        <v>0.12845583189407592</v>
      </c>
      <c r="T285">
        <f t="shared" ca="1" si="93"/>
        <v>0.68093201403151205</v>
      </c>
      <c r="U285">
        <f t="shared" ca="1" si="94"/>
        <v>0</v>
      </c>
      <c r="V285" s="47">
        <f t="shared" ca="1" si="95"/>
        <v>0</v>
      </c>
      <c r="W285">
        <f ca="1">Inputs!B15+(Inputs!D15-Inputs!B15)*BETAINV(RAND(),Model!H9,Model!I9)</f>
        <v>0.60988330035604599</v>
      </c>
      <c r="X285">
        <f ca="1">Inputs!E15+(Inputs!G15-Inputs!E15)*BETAINV(RAND(),Model!J9,Model!K9)</f>
        <v>0.4797342693829455</v>
      </c>
      <c r="Y285">
        <f ca="1">(Inputs!H15+(Inputs!J15-Inputs!H15)*BETAINV(RAND(),Model!L9,Model!M9))*Inputs!$C$6</f>
        <v>11056.31743567161</v>
      </c>
      <c r="Z285">
        <f t="shared" ca="1" si="96"/>
        <v>0.29258191950516721</v>
      </c>
      <c r="AA285">
        <f t="shared" ca="1" si="97"/>
        <v>0.36672616660056834</v>
      </c>
      <c r="AB285">
        <f t="shared" ca="1" si="98"/>
        <v>0</v>
      </c>
      <c r="AC285" s="47">
        <f t="shared" ca="1" si="99"/>
        <v>0</v>
      </c>
      <c r="AD285">
        <f ca="1">Inputs!B16+(Inputs!D16-Inputs!B16)*BETAINV(RAND(),Model!H10,Model!I10)</f>
        <v>0.35147431747894731</v>
      </c>
      <c r="AE285">
        <f ca="1">Inputs!E16+(Inputs!G16-Inputs!E16)*BETAINV(RAND(),Model!J10,Model!K10)</f>
        <v>0.74384660390795232</v>
      </c>
      <c r="AF285">
        <f ca="1">(Inputs!H16+(Inputs!J16-Inputs!H16)*BETAINV(RAND(),Model!L10,Model!M10))*Inputs!$C$6</f>
        <v>79151.285497418532</v>
      </c>
      <c r="AG285">
        <f t="shared" ca="1" si="100"/>
        <v>0.26144297741758038</v>
      </c>
      <c r="AH285">
        <f t="shared" ca="1" si="101"/>
        <v>0.1955702792927857</v>
      </c>
      <c r="AI285">
        <f t="shared" ca="1" si="102"/>
        <v>0</v>
      </c>
      <c r="AJ285" s="47">
        <f t="shared" ca="1" si="103"/>
        <v>0</v>
      </c>
      <c r="AK285">
        <f t="shared" ca="1" si="104"/>
        <v>150363.08745552687</v>
      </c>
    </row>
    <row r="286" spans="2:37" x14ac:dyDescent="0.2">
      <c r="B286">
        <f ca="1">Inputs!B12+(Inputs!D12-Inputs!B12)*BETAINV(RAND(),Model!H6,Model!I6)</f>
        <v>2.3761037479596148</v>
      </c>
      <c r="C286">
        <f ca="1">Inputs!E12+(Inputs!G12-Inputs!E12)*BETAINV(RAND(),Model!J6,Model!K6)</f>
        <v>0.2976624912529891</v>
      </c>
      <c r="D286">
        <f ca="1">(Inputs!H12+(Inputs!J12-Inputs!H12)*BETAINV(RAND(),Model!L6,Model!M6))*Inputs!$C$6</f>
        <v>24109.101801685723</v>
      </c>
      <c r="E286">
        <f t="shared" ca="1" si="84"/>
        <v>0.70727696109322347</v>
      </c>
      <c r="F286">
        <f t="shared" ca="1" si="85"/>
        <v>0.27445809056622661</v>
      </c>
      <c r="G286">
        <f t="shared" ca="1" si="86"/>
        <v>0</v>
      </c>
      <c r="H286" s="47">
        <f t="shared" ca="1" si="87"/>
        <v>0</v>
      </c>
      <c r="I286">
        <f ca="1">Inputs!B13+(Inputs!D13-Inputs!B13)*BETAINV(RAND(),Model!H7,Model!I7)</f>
        <v>2.9312998224408942</v>
      </c>
      <c r="J286">
        <f ca="1">Inputs!E13+(Inputs!G13-Inputs!E13)*BETAINV(RAND(),Model!J7,Model!K7)</f>
        <v>0.44817938400889201</v>
      </c>
      <c r="K286">
        <f ca="1">(Inputs!H13+(Inputs!J13-Inputs!H13)*BETAINV(RAND(),Model!L7,Model!M7))*Inputs!$C$6</f>
        <v>33456.235675520416</v>
      </c>
      <c r="L286">
        <f t="shared" ca="1" si="88"/>
        <v>1.3137481487669345</v>
      </c>
      <c r="M286">
        <f t="shared" ca="1" si="89"/>
        <v>0.19064666177650491</v>
      </c>
      <c r="N286">
        <f t="shared" ca="1" si="90"/>
        <v>0</v>
      </c>
      <c r="O286" s="47">
        <f t="shared" ca="1" si="91"/>
        <v>0</v>
      </c>
      <c r="P286">
        <f ca="1">Inputs!B14+(Inputs!D14-Inputs!B14)*BETAINV(RAND(),Model!H8,Model!I8)</f>
        <v>0.28987893028630218</v>
      </c>
      <c r="Q286">
        <f ca="1">Inputs!E14+(Inputs!G14-Inputs!E14)*BETAINV(RAND(),Model!J8,Model!K8)</f>
        <v>0.72593974637096359</v>
      </c>
      <c r="R286">
        <f ca="1">(Inputs!H14+(Inputs!J14-Inputs!H14)*BETAINV(RAND(),Model!L8,Model!M8))*Inputs!$C$6</f>
        <v>385789.37623947719</v>
      </c>
      <c r="S286">
        <f t="shared" ca="1" si="92"/>
        <v>0.21043463713032445</v>
      </c>
      <c r="T286">
        <f t="shared" ca="1" si="93"/>
        <v>0.24241603828448666</v>
      </c>
      <c r="U286">
        <f t="shared" ca="1" si="94"/>
        <v>0</v>
      </c>
      <c r="V286" s="47">
        <f t="shared" ca="1" si="95"/>
        <v>0</v>
      </c>
      <c r="W286">
        <f ca="1">Inputs!B15+(Inputs!D15-Inputs!B15)*BETAINV(RAND(),Model!H9,Model!I9)</f>
        <v>0.72704631600409297</v>
      </c>
      <c r="X286">
        <f ca="1">Inputs!E15+(Inputs!G15-Inputs!E15)*BETAINV(RAND(),Model!J9,Model!K9)</f>
        <v>0.46230430676323642</v>
      </c>
      <c r="Y286">
        <f ca="1">(Inputs!H15+(Inputs!J15-Inputs!H15)*BETAINV(RAND(),Model!L9,Model!M9))*Inputs!$C$6</f>
        <v>20946.592103036208</v>
      </c>
      <c r="Z286">
        <f t="shared" ca="1" si="96"/>
        <v>0.33611664310503714</v>
      </c>
      <c r="AA286">
        <f t="shared" ca="1" si="97"/>
        <v>0.98639822390027532</v>
      </c>
      <c r="AB286">
        <f t="shared" ca="1" si="98"/>
        <v>2</v>
      </c>
      <c r="AC286" s="47">
        <f t="shared" ca="1" si="99"/>
        <v>41893.184206072416</v>
      </c>
      <c r="AD286">
        <f ca="1">Inputs!B16+(Inputs!D16-Inputs!B16)*BETAINV(RAND(),Model!H10,Model!I10)</f>
        <v>0.83510951932324962</v>
      </c>
      <c r="AE286">
        <f ca="1">Inputs!E16+(Inputs!G16-Inputs!E16)*BETAINV(RAND(),Model!J10,Model!K10)</f>
        <v>0.57276706955169143</v>
      </c>
      <c r="AF286">
        <f ca="1">(Inputs!H16+(Inputs!J16-Inputs!H16)*BETAINV(RAND(),Model!L10,Model!M10))*Inputs!$C$6</f>
        <v>121562.78092773711</v>
      </c>
      <c r="AG286">
        <f t="shared" ca="1" si="100"/>
        <v>0.47832323213749933</v>
      </c>
      <c r="AH286">
        <f t="shared" ca="1" si="101"/>
        <v>0.41724132959136551</v>
      </c>
      <c r="AI286">
        <f t="shared" ca="1" si="102"/>
        <v>0</v>
      </c>
      <c r="AJ286" s="47">
        <f t="shared" ca="1" si="103"/>
        <v>0</v>
      </c>
      <c r="AK286">
        <f t="shared" ca="1" si="104"/>
        <v>41893.184206072416</v>
      </c>
    </row>
    <row r="287" spans="2:37" x14ac:dyDescent="0.2">
      <c r="B287">
        <f ca="1">Inputs!B12+(Inputs!D12-Inputs!B12)*BETAINV(RAND(),Model!H6,Model!I6)</f>
        <v>4.0058203914851935</v>
      </c>
      <c r="C287">
        <f ca="1">Inputs!E12+(Inputs!G12-Inputs!E12)*BETAINV(RAND(),Model!J6,Model!K6)</f>
        <v>0.35468283761621644</v>
      </c>
      <c r="D287">
        <f ca="1">(Inputs!H12+(Inputs!J12-Inputs!H12)*BETAINV(RAND(),Model!L6,Model!M6))*Inputs!$C$6</f>
        <v>28622.401709489619</v>
      </c>
      <c r="E287">
        <f t="shared" ca="1" si="84"/>
        <v>1.4207957434328715</v>
      </c>
      <c r="F287">
        <f t="shared" ca="1" si="85"/>
        <v>7.9805609641510067E-2</v>
      </c>
      <c r="G287">
        <f t="shared" ca="1" si="86"/>
        <v>0</v>
      </c>
      <c r="H287" s="47">
        <f t="shared" ca="1" si="87"/>
        <v>0</v>
      </c>
      <c r="I287">
        <f ca="1">Inputs!B13+(Inputs!D13-Inputs!B13)*BETAINV(RAND(),Model!H7,Model!I7)</f>
        <v>0.99215945181785858</v>
      </c>
      <c r="J287">
        <f ca="1">Inputs!E13+(Inputs!G13-Inputs!E13)*BETAINV(RAND(),Model!J7,Model!K7)</f>
        <v>0.24994412517783568</v>
      </c>
      <c r="K287">
        <f ca="1">(Inputs!H13+(Inputs!J13-Inputs!H13)*BETAINV(RAND(),Model!L7,Model!M7))*Inputs!$C$6</f>
        <v>68070.161899912695</v>
      </c>
      <c r="L287">
        <f t="shared" ca="1" si="88"/>
        <v>0.24798442622153569</v>
      </c>
      <c r="M287">
        <f t="shared" ca="1" si="89"/>
        <v>0.11701485090934327</v>
      </c>
      <c r="N287">
        <f t="shared" ca="1" si="90"/>
        <v>0</v>
      </c>
      <c r="O287" s="47">
        <f t="shared" ca="1" si="91"/>
        <v>0</v>
      </c>
      <c r="P287">
        <f ca="1">Inputs!B14+(Inputs!D14-Inputs!B14)*BETAINV(RAND(),Model!H8,Model!I8)</f>
        <v>0.15039595275383663</v>
      </c>
      <c r="Q287">
        <f ca="1">Inputs!E14+(Inputs!G14-Inputs!E14)*BETAINV(RAND(),Model!J8,Model!K8)</f>
        <v>0.50961790036448806</v>
      </c>
      <c r="R287">
        <f ca="1">(Inputs!H14+(Inputs!J14-Inputs!H14)*BETAINV(RAND(),Model!L8,Model!M8))*Inputs!$C$6</f>
        <v>374190.89579314622</v>
      </c>
      <c r="S287">
        <f t="shared" ca="1" si="92"/>
        <v>7.6644469665726966E-2</v>
      </c>
      <c r="T287">
        <f t="shared" ca="1" si="93"/>
        <v>0.16491383714805674</v>
      </c>
      <c r="U287">
        <f t="shared" ca="1" si="94"/>
        <v>0</v>
      </c>
      <c r="V287" s="47">
        <f t="shared" ca="1" si="95"/>
        <v>0</v>
      </c>
      <c r="W287">
        <f ca="1">Inputs!B15+(Inputs!D15-Inputs!B15)*BETAINV(RAND(),Model!H9,Model!I9)</f>
        <v>1.1584277209537517</v>
      </c>
      <c r="X287">
        <f ca="1">Inputs!E15+(Inputs!G15-Inputs!E15)*BETAINV(RAND(),Model!J9,Model!K9)</f>
        <v>0.40553548445692972</v>
      </c>
      <c r="Y287">
        <f ca="1">(Inputs!H15+(Inputs!J15-Inputs!H15)*BETAINV(RAND(),Model!L9,Model!M9))*Inputs!$C$6</f>
        <v>18104.61670822831</v>
      </c>
      <c r="Z287">
        <f t="shared" ca="1" si="96"/>
        <v>0.46978354702531666</v>
      </c>
      <c r="AA287">
        <f t="shared" ca="1" si="97"/>
        <v>0.46749303800941622</v>
      </c>
      <c r="AB287">
        <f t="shared" ca="1" si="98"/>
        <v>0</v>
      </c>
      <c r="AC287" s="47">
        <f t="shared" ca="1" si="99"/>
        <v>0</v>
      </c>
      <c r="AD287">
        <f ca="1">Inputs!B16+(Inputs!D16-Inputs!B16)*BETAINV(RAND(),Model!H10,Model!I10)</f>
        <v>0.68934340344921874</v>
      </c>
      <c r="AE287">
        <f ca="1">Inputs!E16+(Inputs!G16-Inputs!E16)*BETAINV(RAND(),Model!J10,Model!K10)</f>
        <v>0.56564627253050592</v>
      </c>
      <c r="AF287">
        <f ca="1">(Inputs!H16+(Inputs!J16-Inputs!H16)*BETAINV(RAND(),Model!L10,Model!M10))*Inputs!$C$6</f>
        <v>91516.710292266696</v>
      </c>
      <c r="AG287">
        <f t="shared" ca="1" si="100"/>
        <v>0.3899245266545433</v>
      </c>
      <c r="AH287">
        <f t="shared" ca="1" si="101"/>
        <v>0.50907946179979191</v>
      </c>
      <c r="AI287">
        <f t="shared" ca="1" si="102"/>
        <v>0</v>
      </c>
      <c r="AJ287" s="47">
        <f t="shared" ca="1" si="103"/>
        <v>0</v>
      </c>
      <c r="AK287">
        <f t="shared" ca="1" si="104"/>
        <v>0</v>
      </c>
    </row>
    <row r="288" spans="2:37" x14ac:dyDescent="0.2">
      <c r="B288">
        <f ca="1">Inputs!B12+(Inputs!D12-Inputs!B12)*BETAINV(RAND(),Model!H6,Model!I6)</f>
        <v>4.7032382445742016</v>
      </c>
      <c r="C288">
        <f ca="1">Inputs!E12+(Inputs!G12-Inputs!E12)*BETAINV(RAND(),Model!J6,Model!K6)</f>
        <v>0.43076311346540064</v>
      </c>
      <c r="D288">
        <f ca="1">(Inputs!H12+(Inputs!J12-Inputs!H12)*BETAINV(RAND(),Model!L6,Model!M6))*Inputs!$C$6</f>
        <v>25763.267090268342</v>
      </c>
      <c r="E288">
        <f t="shared" ca="1" si="84"/>
        <v>2.0259815496023283</v>
      </c>
      <c r="F288">
        <f t="shared" ca="1" si="85"/>
        <v>0.98135724283570214</v>
      </c>
      <c r="G288">
        <f t="shared" ca="1" si="86"/>
        <v>4</v>
      </c>
      <c r="H288" s="47">
        <f t="shared" ca="1" si="87"/>
        <v>103053.06836107337</v>
      </c>
      <c r="I288">
        <f ca="1">Inputs!B13+(Inputs!D13-Inputs!B13)*BETAINV(RAND(),Model!H7,Model!I7)</f>
        <v>1.464156964115328</v>
      </c>
      <c r="J288">
        <f ca="1">Inputs!E13+(Inputs!G13-Inputs!E13)*BETAINV(RAND(),Model!J7,Model!K7)</f>
        <v>0.13131012832143824</v>
      </c>
      <c r="K288">
        <f ca="1">(Inputs!H13+(Inputs!J13-Inputs!H13)*BETAINV(RAND(),Model!L7,Model!M7))*Inputs!$C$6</f>
        <v>57425.7788492533</v>
      </c>
      <c r="L288">
        <f t="shared" ca="1" si="88"/>
        <v>0.19225863884071115</v>
      </c>
      <c r="M288">
        <f t="shared" ca="1" si="89"/>
        <v>0.58504938900659842</v>
      </c>
      <c r="N288">
        <f t="shared" ca="1" si="90"/>
        <v>0</v>
      </c>
      <c r="O288" s="47">
        <f t="shared" ca="1" si="91"/>
        <v>0</v>
      </c>
      <c r="P288">
        <f ca="1">Inputs!B14+(Inputs!D14-Inputs!B14)*BETAINV(RAND(),Model!H8,Model!I8)</f>
        <v>0.36502582545362716</v>
      </c>
      <c r="Q288">
        <f ca="1">Inputs!E14+(Inputs!G14-Inputs!E14)*BETAINV(RAND(),Model!J8,Model!K8)</f>
        <v>0.412779536563327</v>
      </c>
      <c r="R288">
        <f ca="1">(Inputs!H14+(Inputs!J14-Inputs!H14)*BETAINV(RAND(),Model!L8,Model!M8))*Inputs!$C$6</f>
        <v>269962.32864152355</v>
      </c>
      <c r="S288">
        <f t="shared" ca="1" si="92"/>
        <v>0.15067519106439412</v>
      </c>
      <c r="T288">
        <f t="shared" ca="1" si="93"/>
        <v>0.1804360705067396</v>
      </c>
      <c r="U288">
        <f t="shared" ca="1" si="94"/>
        <v>0</v>
      </c>
      <c r="V288" s="47">
        <f t="shared" ca="1" si="95"/>
        <v>0</v>
      </c>
      <c r="W288">
        <f ca="1">Inputs!B15+(Inputs!D15-Inputs!B15)*BETAINV(RAND(),Model!H9,Model!I9)</f>
        <v>1.420092274798582</v>
      </c>
      <c r="X288">
        <f ca="1">Inputs!E15+(Inputs!G15-Inputs!E15)*BETAINV(RAND(),Model!J9,Model!K9)</f>
        <v>0.43896383032316266</v>
      </c>
      <c r="Y288">
        <f ca="1">(Inputs!H15+(Inputs!J15-Inputs!H15)*BETAINV(RAND(),Model!L9,Model!M9))*Inputs!$C$6</f>
        <v>24556.239521445979</v>
      </c>
      <c r="Z288">
        <f t="shared" ca="1" si="96"/>
        <v>0.62336914435791879</v>
      </c>
      <c r="AA288">
        <f t="shared" ca="1" si="97"/>
        <v>0.62864304263420601</v>
      </c>
      <c r="AB288">
        <f t="shared" ca="1" si="98"/>
        <v>1</v>
      </c>
      <c r="AC288" s="47">
        <f t="shared" ca="1" si="99"/>
        <v>24556.239521445979</v>
      </c>
      <c r="AD288">
        <f ca="1">Inputs!B16+(Inputs!D16-Inputs!B16)*BETAINV(RAND(),Model!H10,Model!I10)</f>
        <v>0.44780585301457776</v>
      </c>
      <c r="AE288">
        <f ca="1">Inputs!E16+(Inputs!G16-Inputs!E16)*BETAINV(RAND(),Model!J10,Model!K10)</f>
        <v>0.62903280037902531</v>
      </c>
      <c r="AF288">
        <f ca="1">(Inputs!H16+(Inputs!J16-Inputs!H16)*BETAINV(RAND(),Model!L10,Model!M10))*Inputs!$C$6</f>
        <v>105809.27305667638</v>
      </c>
      <c r="AG288">
        <f t="shared" ca="1" si="100"/>
        <v>0.28168456974787803</v>
      </c>
      <c r="AH288">
        <f t="shared" ca="1" si="101"/>
        <v>0.64239567692878108</v>
      </c>
      <c r="AI288">
        <f t="shared" ca="1" si="102"/>
        <v>0</v>
      </c>
      <c r="AJ288" s="47">
        <f t="shared" ca="1" si="103"/>
        <v>0</v>
      </c>
      <c r="AK288">
        <f t="shared" ca="1" si="104"/>
        <v>127609.30788251935</v>
      </c>
    </row>
    <row r="289" spans="2:37" x14ac:dyDescent="0.2">
      <c r="B289">
        <f ca="1">Inputs!B12+(Inputs!D12-Inputs!B12)*BETAINV(RAND(),Model!H6,Model!I6)</f>
        <v>5.195872379379229</v>
      </c>
      <c r="C289">
        <f ca="1">Inputs!E12+(Inputs!G12-Inputs!E12)*BETAINV(RAND(),Model!J6,Model!K6)</f>
        <v>0.31354530612006748</v>
      </c>
      <c r="D289">
        <f ca="1">(Inputs!H12+(Inputs!J12-Inputs!H12)*BETAINV(RAND(),Model!L6,Model!M6))*Inputs!$C$6</f>
        <v>30644.81609303091</v>
      </c>
      <c r="E289">
        <f t="shared" ca="1" si="84"/>
        <v>1.6291413957532637</v>
      </c>
      <c r="F289">
        <f t="shared" ca="1" si="85"/>
        <v>2.9500776177828869E-2</v>
      </c>
      <c r="G289">
        <f t="shared" ca="1" si="86"/>
        <v>0</v>
      </c>
      <c r="H289" s="47">
        <f t="shared" ca="1" si="87"/>
        <v>0</v>
      </c>
      <c r="I289">
        <f ca="1">Inputs!B13+(Inputs!D13-Inputs!B13)*BETAINV(RAND(),Model!H7,Model!I7)</f>
        <v>1.9086797901168553</v>
      </c>
      <c r="J289">
        <f ca="1">Inputs!E13+(Inputs!G13-Inputs!E13)*BETAINV(RAND(),Model!J7,Model!K7)</f>
        <v>0.33734780697756739</v>
      </c>
      <c r="K289">
        <f ca="1">(Inputs!H13+(Inputs!J13-Inputs!H13)*BETAINV(RAND(),Model!L7,Model!M7))*Inputs!$C$6</f>
        <v>64463.917613021564</v>
      </c>
      <c r="L289">
        <f t="shared" ca="1" si="88"/>
        <v>0.64388894141832476</v>
      </c>
      <c r="M289">
        <f t="shared" ca="1" si="89"/>
        <v>0.63704872529937162</v>
      </c>
      <c r="N289">
        <f t="shared" ca="1" si="90"/>
        <v>1</v>
      </c>
      <c r="O289" s="47">
        <f t="shared" ca="1" si="91"/>
        <v>64463.917613021564</v>
      </c>
      <c r="P289">
        <f ca="1">Inputs!B14+(Inputs!D14-Inputs!B14)*BETAINV(RAND(),Model!H8,Model!I8)</f>
        <v>0.2458009610505815</v>
      </c>
      <c r="Q289">
        <f ca="1">Inputs!E14+(Inputs!G14-Inputs!E14)*BETAINV(RAND(),Model!J8,Model!K8)</f>
        <v>0.60964791248955152</v>
      </c>
      <c r="R289">
        <f ca="1">(Inputs!H14+(Inputs!J14-Inputs!H14)*BETAINV(RAND(),Model!L8,Model!M8))*Inputs!$C$6</f>
        <v>409432.52336648363</v>
      </c>
      <c r="S289">
        <f t="shared" ca="1" si="92"/>
        <v>0.14985204279241257</v>
      </c>
      <c r="T289">
        <f t="shared" ca="1" si="93"/>
        <v>0.85556550852178159</v>
      </c>
      <c r="U289">
        <f t="shared" ca="1" si="94"/>
        <v>0</v>
      </c>
      <c r="V289" s="47">
        <f t="shared" ca="1" si="95"/>
        <v>0</v>
      </c>
      <c r="W289">
        <f ca="1">Inputs!B15+(Inputs!D15-Inputs!B15)*BETAINV(RAND(),Model!H9,Model!I9)</f>
        <v>1.9966297331157112</v>
      </c>
      <c r="X289">
        <f ca="1">Inputs!E15+(Inputs!G15-Inputs!E15)*BETAINV(RAND(),Model!J9,Model!K9)</f>
        <v>0.35132756283262645</v>
      </c>
      <c r="Y289">
        <f ca="1">(Inputs!H15+(Inputs!J15-Inputs!H15)*BETAINV(RAND(),Model!L9,Model!M9))*Inputs!$C$6</f>
        <v>59557.730860000112</v>
      </c>
      <c r="Z289">
        <f t="shared" ca="1" si="96"/>
        <v>0.70147105801470022</v>
      </c>
      <c r="AA289">
        <f t="shared" ca="1" si="97"/>
        <v>0.85554166597495118</v>
      </c>
      <c r="AB289">
        <f t="shared" ca="1" si="98"/>
        <v>2</v>
      </c>
      <c r="AC289" s="47">
        <f t="shared" ca="1" si="99"/>
        <v>119115.46172000022</v>
      </c>
      <c r="AD289">
        <f ca="1">Inputs!B16+(Inputs!D16-Inputs!B16)*BETAINV(RAND(),Model!H10,Model!I10)</f>
        <v>0.50996681292548962</v>
      </c>
      <c r="AE289">
        <f ca="1">Inputs!E16+(Inputs!G16-Inputs!E16)*BETAINV(RAND(),Model!J10,Model!K10)</f>
        <v>0.61885430703485078</v>
      </c>
      <c r="AF289">
        <f ca="1">(Inputs!H16+(Inputs!J16-Inputs!H16)*BETAINV(RAND(),Model!L10,Model!M10))*Inputs!$C$6</f>
        <v>102441.0932975746</v>
      </c>
      <c r="AG289">
        <f t="shared" ca="1" si="100"/>
        <v>0.31559515862377524</v>
      </c>
      <c r="AH289">
        <f t="shared" ca="1" si="101"/>
        <v>0.59841884357110264</v>
      </c>
      <c r="AI289">
        <f t="shared" ca="1" si="102"/>
        <v>0</v>
      </c>
      <c r="AJ289" s="47">
        <f t="shared" ca="1" si="103"/>
        <v>0</v>
      </c>
      <c r="AK289">
        <f t="shared" ca="1" si="104"/>
        <v>183579.37933302179</v>
      </c>
    </row>
    <row r="290" spans="2:37" x14ac:dyDescent="0.2">
      <c r="B290">
        <f ca="1">Inputs!B12+(Inputs!D12-Inputs!B12)*BETAINV(RAND(),Model!H6,Model!I6)</f>
        <v>2.81662788418293</v>
      </c>
      <c r="C290">
        <f ca="1">Inputs!E12+(Inputs!G12-Inputs!E12)*BETAINV(RAND(),Model!J6,Model!K6)</f>
        <v>0.36820057763530722</v>
      </c>
      <c r="D290">
        <f ca="1">(Inputs!H12+(Inputs!J12-Inputs!H12)*BETAINV(RAND(),Model!L6,Model!M6))*Inputs!$C$6</f>
        <v>38337.197542382521</v>
      </c>
      <c r="E290">
        <f t="shared" ca="1" si="84"/>
        <v>1.037084013939868</v>
      </c>
      <c r="F290">
        <f t="shared" ca="1" si="85"/>
        <v>0.8470861535775962</v>
      </c>
      <c r="G290">
        <f t="shared" ca="1" si="86"/>
        <v>2</v>
      </c>
      <c r="H290" s="47">
        <f t="shared" ca="1" si="87"/>
        <v>76674.395084765041</v>
      </c>
      <c r="I290">
        <f ca="1">Inputs!B13+(Inputs!D13-Inputs!B13)*BETAINV(RAND(),Model!H7,Model!I7)</f>
        <v>1.926137610180918</v>
      </c>
      <c r="J290">
        <f ca="1">Inputs!E13+(Inputs!G13-Inputs!E13)*BETAINV(RAND(),Model!J7,Model!K7)</f>
        <v>0.28769078628095113</v>
      </c>
      <c r="K290">
        <f ca="1">(Inputs!H13+(Inputs!J13-Inputs!H13)*BETAINV(RAND(),Model!L7,Model!M7))*Inputs!$C$6</f>
        <v>23946.77095127057</v>
      </c>
      <c r="L290">
        <f t="shared" ca="1" si="88"/>
        <v>0.5541320435582604</v>
      </c>
      <c r="M290">
        <f t="shared" ca="1" si="89"/>
        <v>0.5617514399094119</v>
      </c>
      <c r="N290">
        <f t="shared" ca="1" si="90"/>
        <v>0</v>
      </c>
      <c r="O290" s="47">
        <f t="shared" ca="1" si="91"/>
        <v>0</v>
      </c>
      <c r="P290">
        <f ca="1">Inputs!B14+(Inputs!D14-Inputs!B14)*BETAINV(RAND(),Model!H8,Model!I8)</f>
        <v>0.22305476009648773</v>
      </c>
      <c r="Q290">
        <f ca="1">Inputs!E14+(Inputs!G14-Inputs!E14)*BETAINV(RAND(),Model!J8,Model!K8)</f>
        <v>0.75591701980687587</v>
      </c>
      <c r="R290">
        <f ca="1">(Inputs!H14+(Inputs!J14-Inputs!H14)*BETAINV(RAND(),Model!L8,Model!M8))*Inputs!$C$6</f>
        <v>337532.07309016818</v>
      </c>
      <c r="S290">
        <f t="shared" ca="1" si="92"/>
        <v>0.16861088950587466</v>
      </c>
      <c r="T290">
        <f t="shared" ca="1" si="93"/>
        <v>0.9035616832609763</v>
      </c>
      <c r="U290">
        <f t="shared" ca="1" si="94"/>
        <v>1</v>
      </c>
      <c r="V290" s="47">
        <f t="shared" ca="1" si="95"/>
        <v>337532.07309016818</v>
      </c>
      <c r="W290">
        <f ca="1">Inputs!B15+(Inputs!D15-Inputs!B15)*BETAINV(RAND(),Model!H9,Model!I9)</f>
        <v>1.9449984096954294</v>
      </c>
      <c r="X290">
        <f ca="1">Inputs!E15+(Inputs!G15-Inputs!E15)*BETAINV(RAND(),Model!J9,Model!K9)</f>
        <v>0.42409401997007634</v>
      </c>
      <c r="Y290">
        <f ca="1">(Inputs!H15+(Inputs!J15-Inputs!H15)*BETAINV(RAND(),Model!L9,Model!M9))*Inputs!$C$6</f>
        <v>17131.600018821933</v>
      </c>
      <c r="Z290">
        <f t="shared" ca="1" si="96"/>
        <v>0.82486219440314013</v>
      </c>
      <c r="AA290">
        <f t="shared" ca="1" si="97"/>
        <v>0.20222458445492042</v>
      </c>
      <c r="AB290">
        <f t="shared" ca="1" si="98"/>
        <v>0</v>
      </c>
      <c r="AC290" s="47">
        <f t="shared" ca="1" si="99"/>
        <v>0</v>
      </c>
      <c r="AD290">
        <f ca="1">Inputs!B16+(Inputs!D16-Inputs!B16)*BETAINV(RAND(),Model!H10,Model!I10)</f>
        <v>0.38007176295812467</v>
      </c>
      <c r="AE290">
        <f ca="1">Inputs!E16+(Inputs!G16-Inputs!E16)*BETAINV(RAND(),Model!J10,Model!K10)</f>
        <v>0.55272212134865217</v>
      </c>
      <c r="AF290">
        <f ca="1">(Inputs!H16+(Inputs!J16-Inputs!H16)*BETAINV(RAND(),Model!L10,Model!M10))*Inputs!$C$6</f>
        <v>79914.679104629948</v>
      </c>
      <c r="AG290">
        <f t="shared" ca="1" si="100"/>
        <v>0.21007407108693674</v>
      </c>
      <c r="AH290">
        <f t="shared" ca="1" si="101"/>
        <v>0.24086101752143341</v>
      </c>
      <c r="AI290">
        <f t="shared" ca="1" si="102"/>
        <v>0</v>
      </c>
      <c r="AJ290" s="47">
        <f t="shared" ca="1" si="103"/>
        <v>0</v>
      </c>
      <c r="AK290">
        <f t="shared" ca="1" si="104"/>
        <v>414206.46817493322</v>
      </c>
    </row>
    <row r="291" spans="2:37" x14ac:dyDescent="0.2">
      <c r="B291">
        <f ca="1">Inputs!B12+(Inputs!D12-Inputs!B12)*BETAINV(RAND(),Model!H6,Model!I6)</f>
        <v>3.5614464765156377</v>
      </c>
      <c r="C291">
        <f ca="1">Inputs!E12+(Inputs!G12-Inputs!E12)*BETAINV(RAND(),Model!J6,Model!K6)</f>
        <v>0.23436613209646961</v>
      </c>
      <c r="D291">
        <f ca="1">(Inputs!H12+(Inputs!J12-Inputs!H12)*BETAINV(RAND(),Model!L6,Model!M6))*Inputs!$C$6</f>
        <v>18346.817326513865</v>
      </c>
      <c r="E291">
        <f t="shared" ca="1" si="84"/>
        <v>0.83468243536957021</v>
      </c>
      <c r="F291">
        <f t="shared" ca="1" si="85"/>
        <v>0.2341439125891932</v>
      </c>
      <c r="G291">
        <f t="shared" ca="1" si="86"/>
        <v>0</v>
      </c>
      <c r="H291" s="47">
        <f t="shared" ca="1" si="87"/>
        <v>0</v>
      </c>
      <c r="I291">
        <f ca="1">Inputs!B13+(Inputs!D13-Inputs!B13)*BETAINV(RAND(),Model!H7,Model!I7)</f>
        <v>1.3689563401777376</v>
      </c>
      <c r="J291">
        <f ca="1">Inputs!E13+(Inputs!G13-Inputs!E13)*BETAINV(RAND(),Model!J7,Model!K7)</f>
        <v>0.27372716540313646</v>
      </c>
      <c r="K291">
        <f ca="1">(Inputs!H13+(Inputs!J13-Inputs!H13)*BETAINV(RAND(),Model!L7,Model!M7))*Inputs!$C$6</f>
        <v>27412.57668453722</v>
      </c>
      <c r="L291">
        <f t="shared" ca="1" si="88"/>
        <v>0.37472053855750392</v>
      </c>
      <c r="M291">
        <f t="shared" ca="1" si="89"/>
        <v>8.8993374255460722E-2</v>
      </c>
      <c r="N291">
        <f t="shared" ca="1" si="90"/>
        <v>0</v>
      </c>
      <c r="O291" s="47">
        <f t="shared" ca="1" si="91"/>
        <v>0</v>
      </c>
      <c r="P291">
        <f ca="1">Inputs!B14+(Inputs!D14-Inputs!B14)*BETAINV(RAND(),Model!H8,Model!I8)</f>
        <v>0.35067360835401074</v>
      </c>
      <c r="Q291">
        <f ca="1">Inputs!E14+(Inputs!G14-Inputs!E14)*BETAINV(RAND(),Model!J8,Model!K8)</f>
        <v>0.62559340194328084</v>
      </c>
      <c r="R291">
        <f ca="1">(Inputs!H14+(Inputs!J14-Inputs!H14)*BETAINV(RAND(),Model!L8,Model!M8))*Inputs!$C$6</f>
        <v>354253.31008419639</v>
      </c>
      <c r="S291">
        <f t="shared" ca="1" si="92"/>
        <v>0.21937909562191127</v>
      </c>
      <c r="T291">
        <f t="shared" ca="1" si="93"/>
        <v>0.97767648526236817</v>
      </c>
      <c r="U291">
        <f t="shared" ca="1" si="94"/>
        <v>1</v>
      </c>
      <c r="V291" s="47">
        <f t="shared" ca="1" si="95"/>
        <v>354253.31008419639</v>
      </c>
      <c r="W291">
        <f ca="1">Inputs!B15+(Inputs!D15-Inputs!B15)*BETAINV(RAND(),Model!H9,Model!I9)</f>
        <v>2.1322677792699807</v>
      </c>
      <c r="X291">
        <f ca="1">Inputs!E15+(Inputs!G15-Inputs!E15)*BETAINV(RAND(),Model!J9,Model!K9)</f>
        <v>0.41792561989457033</v>
      </c>
      <c r="Y291">
        <f ca="1">(Inputs!H15+(Inputs!J15-Inputs!H15)*BETAINV(RAND(),Model!L9,Model!M9))*Inputs!$C$6</f>
        <v>17085.503286165811</v>
      </c>
      <c r="Z291">
        <f t="shared" ca="1" si="96"/>
        <v>0.89112933343262557</v>
      </c>
      <c r="AA291">
        <f t="shared" ca="1" si="97"/>
        <v>0.78405766561912626</v>
      </c>
      <c r="AB291">
        <f t="shared" ca="1" si="98"/>
        <v>2</v>
      </c>
      <c r="AC291" s="47">
        <f t="shared" ca="1" si="99"/>
        <v>34171.006572331622</v>
      </c>
      <c r="AD291">
        <f ca="1">Inputs!B16+(Inputs!D16-Inputs!B16)*BETAINV(RAND(),Model!H10,Model!I10)</f>
        <v>0.87379311639847579</v>
      </c>
      <c r="AE291">
        <f ca="1">Inputs!E16+(Inputs!G16-Inputs!E16)*BETAINV(RAND(),Model!J10,Model!K10)</f>
        <v>0.50694613031304381</v>
      </c>
      <c r="AF291">
        <f ca="1">(Inputs!H16+(Inputs!J16-Inputs!H16)*BETAINV(RAND(),Model!L10,Model!M10))*Inputs!$C$6</f>
        <v>75777.512776969364</v>
      </c>
      <c r="AG291">
        <f t="shared" ca="1" si="100"/>
        <v>0.44296603905238235</v>
      </c>
      <c r="AH291">
        <f t="shared" ca="1" si="101"/>
        <v>0.14398660308310518</v>
      </c>
      <c r="AI291">
        <f t="shared" ca="1" si="102"/>
        <v>0</v>
      </c>
      <c r="AJ291" s="47">
        <f t="shared" ca="1" si="103"/>
        <v>0</v>
      </c>
      <c r="AK291">
        <f t="shared" ca="1" si="104"/>
        <v>388424.31665652804</v>
      </c>
    </row>
    <row r="292" spans="2:37" x14ac:dyDescent="0.2">
      <c r="B292">
        <f ca="1">Inputs!B12+(Inputs!D12-Inputs!B12)*BETAINV(RAND(),Model!H6,Model!I6)</f>
        <v>3.6179647294513897</v>
      </c>
      <c r="C292">
        <f ca="1">Inputs!E12+(Inputs!G12-Inputs!E12)*BETAINV(RAND(),Model!J6,Model!K6)</f>
        <v>0.25327221854620702</v>
      </c>
      <c r="D292">
        <f ca="1">(Inputs!H12+(Inputs!J12-Inputs!H12)*BETAINV(RAND(),Model!L6,Model!M6))*Inputs!$C$6</f>
        <v>28135.679038068698</v>
      </c>
      <c r="E292">
        <f t="shared" ca="1" si="84"/>
        <v>0.91632995365008107</v>
      </c>
      <c r="F292">
        <f t="shared" ca="1" si="85"/>
        <v>0.41302430657548839</v>
      </c>
      <c r="G292">
        <f t="shared" ca="1" si="86"/>
        <v>1</v>
      </c>
      <c r="H292" s="47">
        <f t="shared" ca="1" si="87"/>
        <v>28135.679038068698</v>
      </c>
      <c r="I292">
        <f ca="1">Inputs!B13+(Inputs!D13-Inputs!B13)*BETAINV(RAND(),Model!H7,Model!I7)</f>
        <v>1.9648956776801847</v>
      </c>
      <c r="J292">
        <f ca="1">Inputs!E13+(Inputs!G13-Inputs!E13)*BETAINV(RAND(),Model!J7,Model!K7)</f>
        <v>0.30213771459942451</v>
      </c>
      <c r="K292">
        <f ca="1">(Inputs!H13+(Inputs!J13-Inputs!H13)*BETAINV(RAND(),Model!L7,Model!M7))*Inputs!$C$6</f>
        <v>50007.436885096038</v>
      </c>
      <c r="L292">
        <f t="shared" ca="1" si="88"/>
        <v>0.5936690894805785</v>
      </c>
      <c r="M292">
        <f t="shared" ca="1" si="89"/>
        <v>0.16874863983079114</v>
      </c>
      <c r="N292">
        <f t="shared" ca="1" si="90"/>
        <v>0</v>
      </c>
      <c r="O292" s="47">
        <f t="shared" ca="1" si="91"/>
        <v>0</v>
      </c>
      <c r="P292">
        <f ca="1">Inputs!B14+(Inputs!D14-Inputs!B14)*BETAINV(RAND(),Model!H8,Model!I8)</f>
        <v>0.44863998936597382</v>
      </c>
      <c r="Q292">
        <f ca="1">Inputs!E14+(Inputs!G14-Inputs!E14)*BETAINV(RAND(),Model!J8,Model!K8)</f>
        <v>0.53040442772520668</v>
      </c>
      <c r="R292">
        <f ca="1">(Inputs!H14+(Inputs!J14-Inputs!H14)*BETAINV(RAND(),Model!L8,Model!M8))*Inputs!$C$6</f>
        <v>345900.50937077036</v>
      </c>
      <c r="S292">
        <f t="shared" ca="1" si="92"/>
        <v>0.23796063681430216</v>
      </c>
      <c r="T292">
        <f t="shared" ca="1" si="93"/>
        <v>0.5540186110794959</v>
      </c>
      <c r="U292">
        <f t="shared" ca="1" si="94"/>
        <v>0</v>
      </c>
      <c r="V292" s="47">
        <f t="shared" ca="1" si="95"/>
        <v>0</v>
      </c>
      <c r="W292">
        <f ca="1">Inputs!B15+(Inputs!D15-Inputs!B15)*BETAINV(RAND(),Model!H9,Model!I9)</f>
        <v>0.60505344756102675</v>
      </c>
      <c r="X292">
        <f ca="1">Inputs!E15+(Inputs!G15-Inputs!E15)*BETAINV(RAND(),Model!J9,Model!K9)</f>
        <v>0.29501219880352786</v>
      </c>
      <c r="Y292">
        <f ca="1">(Inputs!H15+(Inputs!J15-Inputs!H15)*BETAINV(RAND(),Model!L9,Model!M9))*Inputs!$C$6</f>
        <v>11510.027772997399</v>
      </c>
      <c r="Z292">
        <f t="shared" ca="1" si="96"/>
        <v>0.17849814795863353</v>
      </c>
      <c r="AA292">
        <f t="shared" ca="1" si="97"/>
        <v>0.80969301172321617</v>
      </c>
      <c r="AB292">
        <f t="shared" ca="1" si="98"/>
        <v>0</v>
      </c>
      <c r="AC292" s="47">
        <f t="shared" ca="1" si="99"/>
        <v>0</v>
      </c>
      <c r="AD292">
        <f ca="1">Inputs!B16+(Inputs!D16-Inputs!B16)*BETAINV(RAND(),Model!H10,Model!I10)</f>
        <v>0.27732551746657186</v>
      </c>
      <c r="AE292">
        <f ca="1">Inputs!E16+(Inputs!G16-Inputs!E16)*BETAINV(RAND(),Model!J10,Model!K10)</f>
        <v>0.55784841542272434</v>
      </c>
      <c r="AF292">
        <f ca="1">(Inputs!H16+(Inputs!J16-Inputs!H16)*BETAINV(RAND(),Model!L10,Model!M10))*Inputs!$C$6</f>
        <v>52224.494789179771</v>
      </c>
      <c r="AG292">
        <f t="shared" ca="1" si="100"/>
        <v>0.15470560047501417</v>
      </c>
      <c r="AH292">
        <f t="shared" ca="1" si="101"/>
        <v>0.49427725343065232</v>
      </c>
      <c r="AI292">
        <f t="shared" ca="1" si="102"/>
        <v>0</v>
      </c>
      <c r="AJ292" s="47">
        <f t="shared" ca="1" si="103"/>
        <v>0</v>
      </c>
      <c r="AK292">
        <f t="shared" ca="1" si="104"/>
        <v>28135.679038068698</v>
      </c>
    </row>
    <row r="293" spans="2:37" x14ac:dyDescent="0.2">
      <c r="B293">
        <f ca="1">Inputs!B12+(Inputs!D12-Inputs!B12)*BETAINV(RAND(),Model!H6,Model!I6)</f>
        <v>2.8406666645342336</v>
      </c>
      <c r="C293">
        <f ca="1">Inputs!E12+(Inputs!G12-Inputs!E12)*BETAINV(RAND(),Model!J6,Model!K6)</f>
        <v>0.34341638219257409</v>
      </c>
      <c r="D293">
        <f ca="1">(Inputs!H12+(Inputs!J12-Inputs!H12)*BETAINV(RAND(),Model!L6,Model!M6))*Inputs!$C$6</f>
        <v>18247.940634160994</v>
      </c>
      <c r="E293">
        <f t="shared" ca="1" si="84"/>
        <v>0.97553146894939302</v>
      </c>
      <c r="F293">
        <f t="shared" ca="1" si="85"/>
        <v>0.9653036322992794</v>
      </c>
      <c r="G293">
        <f t="shared" ca="1" si="86"/>
        <v>3</v>
      </c>
      <c r="H293" s="47">
        <f t="shared" ca="1" si="87"/>
        <v>54743.821902482981</v>
      </c>
      <c r="I293">
        <f ca="1">Inputs!B13+(Inputs!D13-Inputs!B13)*BETAINV(RAND(),Model!H7,Model!I7)</f>
        <v>2.0683790204033081</v>
      </c>
      <c r="J293">
        <f ca="1">Inputs!E13+(Inputs!G13-Inputs!E13)*BETAINV(RAND(),Model!J7,Model!K7)</f>
        <v>0.36180708878638512</v>
      </c>
      <c r="K293">
        <f ca="1">(Inputs!H13+(Inputs!J13-Inputs!H13)*BETAINV(RAND(),Model!L7,Model!M7))*Inputs!$C$6</f>
        <v>42029.367256705104</v>
      </c>
      <c r="L293">
        <f t="shared" ca="1" si="88"/>
        <v>0.74835419187895602</v>
      </c>
      <c r="M293">
        <f t="shared" ca="1" si="89"/>
        <v>0.33394354860170494</v>
      </c>
      <c r="N293">
        <f t="shared" ca="1" si="90"/>
        <v>0</v>
      </c>
      <c r="O293" s="47">
        <f t="shared" ca="1" si="91"/>
        <v>0</v>
      </c>
      <c r="P293">
        <f ca="1">Inputs!B14+(Inputs!D14-Inputs!B14)*BETAINV(RAND(),Model!H8,Model!I8)</f>
        <v>0.51534108546173141</v>
      </c>
      <c r="Q293">
        <f ca="1">Inputs!E14+(Inputs!G14-Inputs!E14)*BETAINV(RAND(),Model!J8,Model!K8)</f>
        <v>0.49086331362235036</v>
      </c>
      <c r="R293">
        <f ca="1">(Inputs!H14+(Inputs!J14-Inputs!H14)*BETAINV(RAND(),Model!L8,Model!M8))*Inputs!$C$6</f>
        <v>455667.40563227946</v>
      </c>
      <c r="S293">
        <f t="shared" ca="1" si="92"/>
        <v>0.2529620328554843</v>
      </c>
      <c r="T293">
        <f t="shared" ca="1" si="93"/>
        <v>0.92653374155208534</v>
      </c>
      <c r="U293">
        <f t="shared" ca="1" si="94"/>
        <v>1</v>
      </c>
      <c r="V293" s="47">
        <f t="shared" ca="1" si="95"/>
        <v>455667.40563227946</v>
      </c>
      <c r="W293">
        <f ca="1">Inputs!B15+(Inputs!D15-Inputs!B15)*BETAINV(RAND(),Model!H9,Model!I9)</f>
        <v>1.848346716597572</v>
      </c>
      <c r="X293">
        <f ca="1">Inputs!E15+(Inputs!G15-Inputs!E15)*BETAINV(RAND(),Model!J9,Model!K9)</f>
        <v>0.524999364743446</v>
      </c>
      <c r="Y293">
        <f ca="1">(Inputs!H15+(Inputs!J15-Inputs!H15)*BETAINV(RAND(),Model!L9,Model!M9))*Inputs!$C$6</f>
        <v>20359.113132551342</v>
      </c>
      <c r="Z293">
        <f t="shared" ca="1" si="96"/>
        <v>0.97038085203935953</v>
      </c>
      <c r="AA293">
        <f t="shared" ca="1" si="97"/>
        <v>0.3441504759638907</v>
      </c>
      <c r="AB293">
        <f t="shared" ca="1" si="98"/>
        <v>0</v>
      </c>
      <c r="AC293" s="47">
        <f t="shared" ca="1" si="99"/>
        <v>0</v>
      </c>
      <c r="AD293">
        <f ca="1">Inputs!B16+(Inputs!D16-Inputs!B16)*BETAINV(RAND(),Model!H10,Model!I10)</f>
        <v>0.7301254960042427</v>
      </c>
      <c r="AE293">
        <f ca="1">Inputs!E16+(Inputs!G16-Inputs!E16)*BETAINV(RAND(),Model!J10,Model!K10)</f>
        <v>0.62613755781863267</v>
      </c>
      <c r="AF293">
        <f ca="1">(Inputs!H16+(Inputs!J16-Inputs!H16)*BETAINV(RAND(),Model!L10,Model!M10))*Inputs!$C$6</f>
        <v>150174.27168059981</v>
      </c>
      <c r="AG293">
        <f t="shared" ca="1" si="100"/>
        <v>0.45715899496921436</v>
      </c>
      <c r="AH293">
        <f t="shared" ca="1" si="101"/>
        <v>0.4832970471061836</v>
      </c>
      <c r="AI293">
        <f t="shared" ca="1" si="102"/>
        <v>0</v>
      </c>
      <c r="AJ293" s="47">
        <f t="shared" ca="1" si="103"/>
        <v>0</v>
      </c>
      <c r="AK293">
        <f t="shared" ca="1" si="104"/>
        <v>510411.22753476247</v>
      </c>
    </row>
    <row r="294" spans="2:37" x14ac:dyDescent="0.2">
      <c r="B294">
        <f ca="1">Inputs!B12+(Inputs!D12-Inputs!B12)*BETAINV(RAND(),Model!H6,Model!I6)</f>
        <v>3.4090899187294177</v>
      </c>
      <c r="C294">
        <f ca="1">Inputs!E12+(Inputs!G12-Inputs!E12)*BETAINV(RAND(),Model!J6,Model!K6)</f>
        <v>0.25113289498083008</v>
      </c>
      <c r="D294">
        <f ca="1">(Inputs!H12+(Inputs!J12-Inputs!H12)*BETAINV(RAND(),Model!L6,Model!M6))*Inputs!$C$6</f>
        <v>11704.934801169045</v>
      </c>
      <c r="E294">
        <f t="shared" ca="1" si="84"/>
        <v>0.85613462054048139</v>
      </c>
      <c r="F294">
        <f t="shared" ca="1" si="85"/>
        <v>0.20612185818249107</v>
      </c>
      <c r="G294">
        <f t="shared" ca="1" si="86"/>
        <v>0</v>
      </c>
      <c r="H294" s="47">
        <f t="shared" ca="1" si="87"/>
        <v>0</v>
      </c>
      <c r="I294">
        <f ca="1">Inputs!B13+(Inputs!D13-Inputs!B13)*BETAINV(RAND(),Model!H7,Model!I7)</f>
        <v>1.5724837235559974</v>
      </c>
      <c r="J294">
        <f ca="1">Inputs!E13+(Inputs!G13-Inputs!E13)*BETAINV(RAND(),Model!J7,Model!K7)</f>
        <v>0.222126904081381</v>
      </c>
      <c r="K294">
        <f ca="1">(Inputs!H13+(Inputs!J13-Inputs!H13)*BETAINV(RAND(),Model!L7,Model!M7))*Inputs!$C$6</f>
        <v>79740.724766975269</v>
      </c>
      <c r="L294">
        <f t="shared" ca="1" si="88"/>
        <v>0.34929094123185589</v>
      </c>
      <c r="M294">
        <f t="shared" ca="1" si="89"/>
        <v>0.63783976972326062</v>
      </c>
      <c r="N294">
        <f t="shared" ca="1" si="90"/>
        <v>0</v>
      </c>
      <c r="O294" s="47">
        <f t="shared" ca="1" si="91"/>
        <v>0</v>
      </c>
      <c r="P294">
        <f ca="1">Inputs!B14+(Inputs!D14-Inputs!B14)*BETAINV(RAND(),Model!H8,Model!I8)</f>
        <v>0.26678325967241745</v>
      </c>
      <c r="Q294">
        <f ca="1">Inputs!E14+(Inputs!G14-Inputs!E14)*BETAINV(RAND(),Model!J8,Model!K8)</f>
        <v>0.77582916769724808</v>
      </c>
      <c r="R294">
        <f ca="1">(Inputs!H14+(Inputs!J14-Inputs!H14)*BETAINV(RAND(),Model!L8,Model!M8))*Inputs!$C$6</f>
        <v>452093.87075649126</v>
      </c>
      <c r="S294">
        <f t="shared" ca="1" si="92"/>
        <v>0.20697823430721043</v>
      </c>
      <c r="T294">
        <f t="shared" ca="1" si="93"/>
        <v>0.89550643279020825</v>
      </c>
      <c r="U294">
        <f t="shared" ca="1" si="94"/>
        <v>1</v>
      </c>
      <c r="V294" s="47">
        <f t="shared" ca="1" si="95"/>
        <v>452093.87075649126</v>
      </c>
      <c r="W294">
        <f ca="1">Inputs!B15+(Inputs!D15-Inputs!B15)*BETAINV(RAND(),Model!H9,Model!I9)</f>
        <v>1.1559219646203789</v>
      </c>
      <c r="X294">
        <f ca="1">Inputs!E15+(Inputs!G15-Inputs!E15)*BETAINV(RAND(),Model!J9,Model!K9)</f>
        <v>0.24442189033625958</v>
      </c>
      <c r="Y294">
        <f ca="1">(Inputs!H15+(Inputs!J15-Inputs!H15)*BETAINV(RAND(),Model!L9,Model!M9))*Inputs!$C$6</f>
        <v>44365.052931434388</v>
      </c>
      <c r="Z294">
        <f t="shared" ca="1" si="96"/>
        <v>0.28253263167371595</v>
      </c>
      <c r="AA294">
        <f t="shared" ca="1" si="97"/>
        <v>0.78796321661567004</v>
      </c>
      <c r="AB294">
        <f t="shared" ca="1" si="98"/>
        <v>1</v>
      </c>
      <c r="AC294" s="47">
        <f t="shared" ca="1" si="99"/>
        <v>44365.052931434388</v>
      </c>
      <c r="AD294">
        <f ca="1">Inputs!B16+(Inputs!D16-Inputs!B16)*BETAINV(RAND(),Model!H10,Model!I10)</f>
        <v>0.87060128160459982</v>
      </c>
      <c r="AE294">
        <f ca="1">Inputs!E16+(Inputs!G16-Inputs!E16)*BETAINV(RAND(),Model!J10,Model!K10)</f>
        <v>0.79099345485937633</v>
      </c>
      <c r="AF294">
        <f ca="1">(Inputs!H16+(Inputs!J16-Inputs!H16)*BETAINV(RAND(),Model!L10,Model!M10))*Inputs!$C$6</f>
        <v>79524.29112737246</v>
      </c>
      <c r="AG294">
        <f t="shared" ca="1" si="100"/>
        <v>0.68863991554142323</v>
      </c>
      <c r="AH294">
        <f t="shared" ca="1" si="101"/>
        <v>0.35519070878598613</v>
      </c>
      <c r="AI294">
        <f t="shared" ca="1" si="102"/>
        <v>0</v>
      </c>
      <c r="AJ294" s="47">
        <f t="shared" ca="1" si="103"/>
        <v>0</v>
      </c>
      <c r="AK294">
        <f t="shared" ca="1" si="104"/>
        <v>496458.92368792568</v>
      </c>
    </row>
    <row r="295" spans="2:37" x14ac:dyDescent="0.2">
      <c r="B295">
        <f ca="1">Inputs!B12+(Inputs!D12-Inputs!B12)*BETAINV(RAND(),Model!H6,Model!I6)</f>
        <v>2.9974208806960072</v>
      </c>
      <c r="C295">
        <f ca="1">Inputs!E12+(Inputs!G12-Inputs!E12)*BETAINV(RAND(),Model!J6,Model!K6)</f>
        <v>0.48269160765666363</v>
      </c>
      <c r="D295">
        <f ca="1">(Inputs!H12+(Inputs!J12-Inputs!H12)*BETAINV(RAND(),Model!L6,Model!M6))*Inputs!$C$6</f>
        <v>30557.765317005898</v>
      </c>
      <c r="E295">
        <f t="shared" ca="1" si="84"/>
        <v>1.4468299037268082</v>
      </c>
      <c r="F295">
        <f t="shared" ca="1" si="85"/>
        <v>0.8707894664156427</v>
      </c>
      <c r="G295">
        <f t="shared" ca="1" si="86"/>
        <v>3</v>
      </c>
      <c r="H295" s="47">
        <f t="shared" ca="1" si="87"/>
        <v>91673.295951017702</v>
      </c>
      <c r="I295">
        <f ca="1">Inputs!B13+(Inputs!D13-Inputs!B13)*BETAINV(RAND(),Model!H7,Model!I7)</f>
        <v>1.3347603737721041</v>
      </c>
      <c r="J295">
        <f ca="1">Inputs!E13+(Inputs!G13-Inputs!E13)*BETAINV(RAND(),Model!J7,Model!K7)</f>
        <v>0.38829821900935346</v>
      </c>
      <c r="K295">
        <f ca="1">(Inputs!H13+(Inputs!J13-Inputs!H13)*BETAINV(RAND(),Model!L7,Model!M7))*Inputs!$C$6</f>
        <v>26821.706729304093</v>
      </c>
      <c r="L295">
        <f t="shared" ca="1" si="88"/>
        <v>0.51828507593996698</v>
      </c>
      <c r="M295">
        <f t="shared" ca="1" si="89"/>
        <v>0.58634962970190674</v>
      </c>
      <c r="N295">
        <f t="shared" ca="1" si="90"/>
        <v>0</v>
      </c>
      <c r="O295" s="47">
        <f t="shared" ca="1" si="91"/>
        <v>0</v>
      </c>
      <c r="P295">
        <f ca="1">Inputs!B14+(Inputs!D14-Inputs!B14)*BETAINV(RAND(),Model!H8,Model!I8)</f>
        <v>0.1232889313394999</v>
      </c>
      <c r="Q295">
        <f ca="1">Inputs!E14+(Inputs!G14-Inputs!E14)*BETAINV(RAND(),Model!J8,Model!K8)</f>
        <v>0.69362297728253519</v>
      </c>
      <c r="R295">
        <f ca="1">(Inputs!H14+(Inputs!J14-Inputs!H14)*BETAINV(RAND(),Model!L8,Model!M8))*Inputs!$C$6</f>
        <v>416141.65499151789</v>
      </c>
      <c r="S295">
        <f t="shared" ca="1" si="92"/>
        <v>8.5516035621685985E-2</v>
      </c>
      <c r="T295">
        <f t="shared" ca="1" si="93"/>
        <v>1.4137480485348464E-2</v>
      </c>
      <c r="U295">
        <f t="shared" ca="1" si="94"/>
        <v>0</v>
      </c>
      <c r="V295" s="47">
        <f t="shared" ca="1" si="95"/>
        <v>0</v>
      </c>
      <c r="W295">
        <f ca="1">Inputs!B15+(Inputs!D15-Inputs!B15)*BETAINV(RAND(),Model!H9,Model!I9)</f>
        <v>1.9964113078564247</v>
      </c>
      <c r="X295">
        <f ca="1">Inputs!E15+(Inputs!G15-Inputs!E15)*BETAINV(RAND(),Model!J9,Model!K9)</f>
        <v>0.27086788120192262</v>
      </c>
      <c r="Y295">
        <f ca="1">(Inputs!H15+(Inputs!J15-Inputs!H15)*BETAINV(RAND(),Model!L9,Model!M9))*Inputs!$C$6</f>
        <v>32469.329844573931</v>
      </c>
      <c r="Z295">
        <f t="shared" ca="1" si="96"/>
        <v>0.54076370096662907</v>
      </c>
      <c r="AA295">
        <f t="shared" ca="1" si="97"/>
        <v>0.56708016802089223</v>
      </c>
      <c r="AB295">
        <f t="shared" ca="1" si="98"/>
        <v>0</v>
      </c>
      <c r="AC295" s="47">
        <f t="shared" ca="1" si="99"/>
        <v>0</v>
      </c>
      <c r="AD295">
        <f ca="1">Inputs!B16+(Inputs!D16-Inputs!B16)*BETAINV(RAND(),Model!H10,Model!I10)</f>
        <v>0.93278111834802657</v>
      </c>
      <c r="AE295">
        <f ca="1">Inputs!E16+(Inputs!G16-Inputs!E16)*BETAINV(RAND(),Model!J10,Model!K10)</f>
        <v>0.53618596382322536</v>
      </c>
      <c r="AF295">
        <f ca="1">(Inputs!H16+(Inputs!J16-Inputs!H16)*BETAINV(RAND(),Model!L10,Model!M10))*Inputs!$C$6</f>
        <v>54655.88201703201</v>
      </c>
      <c r="AG295">
        <f t="shared" ca="1" si="100"/>
        <v>0.50014414297754273</v>
      </c>
      <c r="AH295">
        <f t="shared" ca="1" si="101"/>
        <v>0.22571130698072439</v>
      </c>
      <c r="AI295">
        <f t="shared" ca="1" si="102"/>
        <v>0</v>
      </c>
      <c r="AJ295" s="47">
        <f t="shared" ca="1" si="103"/>
        <v>0</v>
      </c>
      <c r="AK295">
        <f t="shared" ca="1" si="104"/>
        <v>91673.295951017702</v>
      </c>
    </row>
    <row r="296" spans="2:37" x14ac:dyDescent="0.2">
      <c r="B296">
        <f ca="1">Inputs!B12+(Inputs!D12-Inputs!B12)*BETAINV(RAND(),Model!H6,Model!I6)</f>
        <v>3.9823431591601528</v>
      </c>
      <c r="C296">
        <f ca="1">Inputs!E12+(Inputs!G12-Inputs!E12)*BETAINV(RAND(),Model!J6,Model!K6)</f>
        <v>0.27739097881309571</v>
      </c>
      <c r="D296">
        <f ca="1">(Inputs!H12+(Inputs!J12-Inputs!H12)*BETAINV(RAND(),Model!L6,Model!M6))*Inputs!$C$6</f>
        <v>21124.056337480462</v>
      </c>
      <c r="E296">
        <f t="shared" ca="1" si="84"/>
        <v>1.1046660668890707</v>
      </c>
      <c r="F296">
        <f t="shared" ca="1" si="85"/>
        <v>0.62974881592152265</v>
      </c>
      <c r="G296">
        <f t="shared" ca="1" si="86"/>
        <v>1</v>
      </c>
      <c r="H296" s="47">
        <f t="shared" ca="1" si="87"/>
        <v>21124.056337480462</v>
      </c>
      <c r="I296">
        <f ca="1">Inputs!B13+(Inputs!D13-Inputs!B13)*BETAINV(RAND(),Model!H7,Model!I7)</f>
        <v>2.7469352910639131</v>
      </c>
      <c r="J296">
        <f ca="1">Inputs!E13+(Inputs!G13-Inputs!E13)*BETAINV(RAND(),Model!J7,Model!K7)</f>
        <v>0.21254726128101054</v>
      </c>
      <c r="K296">
        <f ca="1">(Inputs!H13+(Inputs!J13-Inputs!H13)*BETAINV(RAND(),Model!L7,Model!M7))*Inputs!$C$6</f>
        <v>23085.399366811598</v>
      </c>
      <c r="L296">
        <f t="shared" ca="1" si="88"/>
        <v>0.58385357303179031</v>
      </c>
      <c r="M296">
        <f t="shared" ca="1" si="89"/>
        <v>0.90441426675233461</v>
      </c>
      <c r="N296">
        <f t="shared" ca="1" si="90"/>
        <v>2</v>
      </c>
      <c r="O296" s="47">
        <f t="shared" ca="1" si="91"/>
        <v>46170.798733623196</v>
      </c>
      <c r="P296">
        <f ca="1">Inputs!B14+(Inputs!D14-Inputs!B14)*BETAINV(RAND(),Model!H8,Model!I8)</f>
        <v>0.48976460538665567</v>
      </c>
      <c r="Q296">
        <f ca="1">Inputs!E14+(Inputs!G14-Inputs!E14)*BETAINV(RAND(),Model!J8,Model!K8)</f>
        <v>0.43470533341261874</v>
      </c>
      <c r="R296">
        <f ca="1">(Inputs!H14+(Inputs!J14-Inputs!H14)*BETAINV(RAND(),Model!L8,Model!M8))*Inputs!$C$6</f>
        <v>405821.59783278982</v>
      </c>
      <c r="S296">
        <f t="shared" ca="1" si="92"/>
        <v>0.2129032860783058</v>
      </c>
      <c r="T296">
        <f t="shared" ca="1" si="93"/>
        <v>0.58591519552774307</v>
      </c>
      <c r="U296">
        <f t="shared" ca="1" si="94"/>
        <v>0</v>
      </c>
      <c r="V296" s="47">
        <f t="shared" ca="1" si="95"/>
        <v>0</v>
      </c>
      <c r="W296">
        <f ca="1">Inputs!B15+(Inputs!D15-Inputs!B15)*BETAINV(RAND(),Model!H9,Model!I9)</f>
        <v>1.060859317789653</v>
      </c>
      <c r="X296">
        <f ca="1">Inputs!E15+(Inputs!G15-Inputs!E15)*BETAINV(RAND(),Model!J9,Model!K9)</f>
        <v>0.37675023719011702</v>
      </c>
      <c r="Y296">
        <f ca="1">(Inputs!H15+(Inputs!J15-Inputs!H15)*BETAINV(RAND(),Model!L9,Model!M9))*Inputs!$C$6</f>
        <v>34986.309241689407</v>
      </c>
      <c r="Z296">
        <f t="shared" ca="1" si="96"/>
        <v>0.39967899960259751</v>
      </c>
      <c r="AA296">
        <f t="shared" ca="1" si="97"/>
        <v>0.13773151838111919</v>
      </c>
      <c r="AB296">
        <f t="shared" ca="1" si="98"/>
        <v>0</v>
      </c>
      <c r="AC296" s="47">
        <f t="shared" ca="1" si="99"/>
        <v>0</v>
      </c>
      <c r="AD296">
        <f ca="1">Inputs!B16+(Inputs!D16-Inputs!B16)*BETAINV(RAND(),Model!H10,Model!I10)</f>
        <v>0.46193435932312527</v>
      </c>
      <c r="AE296">
        <f ca="1">Inputs!E16+(Inputs!G16-Inputs!E16)*BETAINV(RAND(),Model!J10,Model!K10)</f>
        <v>0.47028435358155701</v>
      </c>
      <c r="AF296">
        <f ca="1">(Inputs!H16+(Inputs!J16-Inputs!H16)*BETAINV(RAND(),Model!L10,Model!M10))*Inputs!$C$6</f>
        <v>64391.917330240038</v>
      </c>
      <c r="AG296">
        <f t="shared" ca="1" si="100"/>
        <v>0.21724050157138666</v>
      </c>
      <c r="AH296">
        <f t="shared" ca="1" si="101"/>
        <v>0.59392578934164342</v>
      </c>
      <c r="AI296">
        <f t="shared" ca="1" si="102"/>
        <v>0</v>
      </c>
      <c r="AJ296" s="47">
        <f t="shared" ca="1" si="103"/>
        <v>0</v>
      </c>
      <c r="AK296">
        <f t="shared" ca="1" si="104"/>
        <v>67294.855071103666</v>
      </c>
    </row>
    <row r="297" spans="2:37" x14ac:dyDescent="0.2">
      <c r="B297">
        <f ca="1">Inputs!B12+(Inputs!D12-Inputs!B12)*BETAINV(RAND(),Model!H6,Model!I6)</f>
        <v>1.811531322631263</v>
      </c>
      <c r="C297">
        <f ca="1">Inputs!E12+(Inputs!G12-Inputs!E12)*BETAINV(RAND(),Model!J6,Model!K6)</f>
        <v>0.27256310426997488</v>
      </c>
      <c r="D297">
        <f ca="1">(Inputs!H12+(Inputs!J12-Inputs!H12)*BETAINV(RAND(),Model!L6,Model!M6))*Inputs!$C$6</f>
        <v>45976.887319801441</v>
      </c>
      <c r="E297">
        <f t="shared" ca="1" si="84"/>
        <v>0.49375660077867045</v>
      </c>
      <c r="F297">
        <f t="shared" ca="1" si="85"/>
        <v>0.12681934611242029</v>
      </c>
      <c r="G297">
        <f t="shared" ca="1" si="86"/>
        <v>0</v>
      </c>
      <c r="H297" s="47">
        <f t="shared" ca="1" si="87"/>
        <v>0</v>
      </c>
      <c r="I297">
        <f ca="1">Inputs!B13+(Inputs!D13-Inputs!B13)*BETAINV(RAND(),Model!H7,Model!I7)</f>
        <v>2.5458037656965291</v>
      </c>
      <c r="J297">
        <f ca="1">Inputs!E13+(Inputs!G13-Inputs!E13)*BETAINV(RAND(),Model!J7,Model!K7)</f>
        <v>0.27564036471409026</v>
      </c>
      <c r="K297">
        <f ca="1">(Inputs!H13+(Inputs!J13-Inputs!H13)*BETAINV(RAND(),Model!L7,Model!M7))*Inputs!$C$6</f>
        <v>50504.260557353264</v>
      </c>
      <c r="L297">
        <f t="shared" ca="1" si="88"/>
        <v>0.70172627846709568</v>
      </c>
      <c r="M297">
        <f t="shared" ca="1" si="89"/>
        <v>0.37205558087609747</v>
      </c>
      <c r="N297">
        <f t="shared" ca="1" si="90"/>
        <v>0</v>
      </c>
      <c r="O297" s="47">
        <f t="shared" ca="1" si="91"/>
        <v>0</v>
      </c>
      <c r="P297">
        <f ca="1">Inputs!B14+(Inputs!D14-Inputs!B14)*BETAINV(RAND(),Model!H8,Model!I8)</f>
        <v>0.22970302934274145</v>
      </c>
      <c r="Q297">
        <f ca="1">Inputs!E14+(Inputs!G14-Inputs!E14)*BETAINV(RAND(),Model!J8,Model!K8)</f>
        <v>0.6168154424708876</v>
      </c>
      <c r="R297">
        <f ca="1">(Inputs!H14+(Inputs!J14-Inputs!H14)*BETAINV(RAND(),Model!L8,Model!M8))*Inputs!$C$6</f>
        <v>365793.70724213438</v>
      </c>
      <c r="S297">
        <f t="shared" ca="1" si="92"/>
        <v>0.14168437568094636</v>
      </c>
      <c r="T297">
        <f t="shared" ca="1" si="93"/>
        <v>0.63940825210143704</v>
      </c>
      <c r="U297">
        <f t="shared" ca="1" si="94"/>
        <v>0</v>
      </c>
      <c r="V297" s="47">
        <f t="shared" ca="1" si="95"/>
        <v>0</v>
      </c>
      <c r="W297">
        <f ca="1">Inputs!B15+(Inputs!D15-Inputs!B15)*BETAINV(RAND(),Model!H9,Model!I9)</f>
        <v>1.1726197183561355</v>
      </c>
      <c r="X297">
        <f ca="1">Inputs!E15+(Inputs!G15-Inputs!E15)*BETAINV(RAND(),Model!J9,Model!K9)</f>
        <v>0.45522076103946607</v>
      </c>
      <c r="Y297">
        <f ca="1">(Inputs!H15+(Inputs!J15-Inputs!H15)*BETAINV(RAND(),Model!L9,Model!M9))*Inputs!$C$6</f>
        <v>35823.37877120803</v>
      </c>
      <c r="Z297">
        <f t="shared" ca="1" si="96"/>
        <v>0.53380084059996435</v>
      </c>
      <c r="AA297">
        <f t="shared" ca="1" si="97"/>
        <v>9.2911909550279059E-2</v>
      </c>
      <c r="AB297">
        <f t="shared" ca="1" si="98"/>
        <v>0</v>
      </c>
      <c r="AC297" s="47">
        <f t="shared" ca="1" si="99"/>
        <v>0</v>
      </c>
      <c r="AD297">
        <f ca="1">Inputs!B16+(Inputs!D16-Inputs!B16)*BETAINV(RAND(),Model!H10,Model!I10)</f>
        <v>0.98021594948262303</v>
      </c>
      <c r="AE297">
        <f ca="1">Inputs!E16+(Inputs!G16-Inputs!E16)*BETAINV(RAND(),Model!J10,Model!K10)</f>
        <v>0.6758496365385499</v>
      </c>
      <c r="AF297">
        <f ca="1">(Inputs!H16+(Inputs!J16-Inputs!H16)*BETAINV(RAND(),Model!L10,Model!M10))*Inputs!$C$6</f>
        <v>93115.652580587994</v>
      </c>
      <c r="AG297">
        <f t="shared" ca="1" si="100"/>
        <v>0.66247859318712032</v>
      </c>
      <c r="AH297">
        <f t="shared" ca="1" si="101"/>
        <v>1.6409918631464571E-2</v>
      </c>
      <c r="AI297">
        <f t="shared" ca="1" si="102"/>
        <v>0</v>
      </c>
      <c r="AJ297" s="47">
        <f t="shared" ca="1" si="103"/>
        <v>0</v>
      </c>
      <c r="AK297">
        <f t="shared" ca="1" si="104"/>
        <v>0</v>
      </c>
    </row>
    <row r="298" spans="2:37" x14ac:dyDescent="0.2">
      <c r="B298">
        <f ca="1">Inputs!B12+(Inputs!D12-Inputs!B12)*BETAINV(RAND(),Model!H6,Model!I6)</f>
        <v>1.9505629684521282</v>
      </c>
      <c r="C298">
        <f ca="1">Inputs!E12+(Inputs!G12-Inputs!E12)*BETAINV(RAND(),Model!J6,Model!K6)</f>
        <v>0.39609602614633671</v>
      </c>
      <c r="D298">
        <f ca="1">(Inputs!H12+(Inputs!J12-Inputs!H12)*BETAINV(RAND(),Model!L6,Model!M6))*Inputs!$C$6</f>
        <v>58780.610073760239</v>
      </c>
      <c r="E298">
        <f t="shared" ca="1" si="84"/>
        <v>0.77261024055209027</v>
      </c>
      <c r="F298">
        <f t="shared" ca="1" si="85"/>
        <v>0.76674360076839465</v>
      </c>
      <c r="G298">
        <f t="shared" ca="1" si="86"/>
        <v>1</v>
      </c>
      <c r="H298" s="47">
        <f t="shared" ca="1" si="87"/>
        <v>58780.610073760239</v>
      </c>
      <c r="I298">
        <f ca="1">Inputs!B13+(Inputs!D13-Inputs!B13)*BETAINV(RAND(),Model!H7,Model!I7)</f>
        <v>3.561024324830663</v>
      </c>
      <c r="J298">
        <f ca="1">Inputs!E13+(Inputs!G13-Inputs!E13)*BETAINV(RAND(),Model!J7,Model!K7)</f>
        <v>0.30282347248621366</v>
      </c>
      <c r="K298">
        <f ca="1">(Inputs!H13+(Inputs!J13-Inputs!H13)*BETAINV(RAND(),Model!L7,Model!M7))*Inputs!$C$6</f>
        <v>57000.568092107271</v>
      </c>
      <c r="L298">
        <f t="shared" ca="1" si="88"/>
        <v>1.0783617516530959</v>
      </c>
      <c r="M298">
        <f t="shared" ca="1" si="89"/>
        <v>0.3464251647854768</v>
      </c>
      <c r="N298">
        <f t="shared" ca="1" si="90"/>
        <v>1</v>
      </c>
      <c r="O298" s="47">
        <f t="shared" ca="1" si="91"/>
        <v>57000.568092107271</v>
      </c>
      <c r="P298">
        <f ca="1">Inputs!B14+(Inputs!D14-Inputs!B14)*BETAINV(RAND(),Model!H8,Model!I8)</f>
        <v>0.45936841395253059</v>
      </c>
      <c r="Q298">
        <f ca="1">Inputs!E14+(Inputs!G14-Inputs!E14)*BETAINV(RAND(),Model!J8,Model!K8)</f>
        <v>0.44043693205380463</v>
      </c>
      <c r="R298">
        <f ca="1">(Inputs!H14+(Inputs!J14-Inputs!H14)*BETAINV(RAND(),Model!L8,Model!M8))*Inputs!$C$6</f>
        <v>194289.42244380701</v>
      </c>
      <c r="S298">
        <f t="shared" ca="1" si="92"/>
        <v>0.20232281492367471</v>
      </c>
      <c r="T298">
        <f t="shared" ca="1" si="93"/>
        <v>0.32710880140732967</v>
      </c>
      <c r="U298">
        <f t="shared" ca="1" si="94"/>
        <v>0</v>
      </c>
      <c r="V298" s="47">
        <f t="shared" ca="1" si="95"/>
        <v>0</v>
      </c>
      <c r="W298">
        <f ca="1">Inputs!B15+(Inputs!D15-Inputs!B15)*BETAINV(RAND(),Model!H9,Model!I9)</f>
        <v>1.2121707301972884</v>
      </c>
      <c r="X298">
        <f ca="1">Inputs!E15+(Inputs!G15-Inputs!E15)*BETAINV(RAND(),Model!J9,Model!K9)</f>
        <v>0.55092694060832503</v>
      </c>
      <c r="Y298">
        <f ca="1">(Inputs!H15+(Inputs!J15-Inputs!H15)*BETAINV(RAND(),Model!L9,Model!M9))*Inputs!$C$6</f>
        <v>38771.195632369105</v>
      </c>
      <c r="Z298">
        <f t="shared" ca="1" si="96"/>
        <v>0.66781751188255145</v>
      </c>
      <c r="AA298">
        <f t="shared" ca="1" si="97"/>
        <v>0.94391005417346474</v>
      </c>
      <c r="AB298">
        <f t="shared" ca="1" si="98"/>
        <v>2</v>
      </c>
      <c r="AC298" s="47">
        <f t="shared" ca="1" si="99"/>
        <v>77542.391264738209</v>
      </c>
      <c r="AD298">
        <f ca="1">Inputs!B16+(Inputs!D16-Inputs!B16)*BETAINV(RAND(),Model!H10,Model!I10)</f>
        <v>0.50401767045952295</v>
      </c>
      <c r="AE298">
        <f ca="1">Inputs!E16+(Inputs!G16-Inputs!E16)*BETAINV(RAND(),Model!J10,Model!K10)</f>
        <v>0.44830433165096567</v>
      </c>
      <c r="AF298">
        <f ca="1">(Inputs!H16+(Inputs!J16-Inputs!H16)*BETAINV(RAND(),Model!L10,Model!M10))*Inputs!$C$6</f>
        <v>112385.53430903099</v>
      </c>
      <c r="AG298">
        <f t="shared" ca="1" si="100"/>
        <v>0.22595330489563309</v>
      </c>
      <c r="AH298">
        <f t="shared" ca="1" si="101"/>
        <v>4.0436884054781297E-2</v>
      </c>
      <c r="AI298">
        <f t="shared" ca="1" si="102"/>
        <v>0</v>
      </c>
      <c r="AJ298" s="47">
        <f t="shared" ca="1" si="103"/>
        <v>0</v>
      </c>
      <c r="AK298">
        <f t="shared" ca="1" si="104"/>
        <v>193323.56943060574</v>
      </c>
    </row>
    <row r="299" spans="2:37" x14ac:dyDescent="0.2">
      <c r="B299">
        <f ca="1">Inputs!B12+(Inputs!D12-Inputs!B12)*BETAINV(RAND(),Model!H6,Model!I6)</f>
        <v>2.3454570090102891</v>
      </c>
      <c r="C299">
        <f ca="1">Inputs!E12+(Inputs!G12-Inputs!E12)*BETAINV(RAND(),Model!J6,Model!K6)</f>
        <v>0.38045199400291829</v>
      </c>
      <c r="D299">
        <f ca="1">(Inputs!H12+(Inputs!J12-Inputs!H12)*BETAINV(RAND(),Model!L6,Model!M6))*Inputs!$C$6</f>
        <v>10060.30868898992</v>
      </c>
      <c r="E299">
        <f t="shared" ca="1" si="84"/>
        <v>0.89233379592608519</v>
      </c>
      <c r="F299">
        <f t="shared" ca="1" si="85"/>
        <v>0.7385611162943525</v>
      </c>
      <c r="G299">
        <f t="shared" ca="1" si="86"/>
        <v>1</v>
      </c>
      <c r="H299" s="47">
        <f t="shared" ca="1" si="87"/>
        <v>10060.30868898992</v>
      </c>
      <c r="I299">
        <f ca="1">Inputs!B13+(Inputs!D13-Inputs!B13)*BETAINV(RAND(),Model!H7,Model!I7)</f>
        <v>1.6897545829313176</v>
      </c>
      <c r="J299">
        <f ca="1">Inputs!E13+(Inputs!G13-Inputs!E13)*BETAINV(RAND(),Model!J7,Model!K7)</f>
        <v>0.23139674567642657</v>
      </c>
      <c r="K299">
        <f ca="1">(Inputs!H13+(Inputs!J13-Inputs!H13)*BETAINV(RAND(),Model!L7,Model!M7))*Inputs!$C$6</f>
        <v>21723.15903806391</v>
      </c>
      <c r="L299">
        <f t="shared" ca="1" si="88"/>
        <v>0.39100371148213436</v>
      </c>
      <c r="M299">
        <f t="shared" ca="1" si="89"/>
        <v>0.31051997347362437</v>
      </c>
      <c r="N299">
        <f t="shared" ca="1" si="90"/>
        <v>0</v>
      </c>
      <c r="O299" s="47">
        <f t="shared" ca="1" si="91"/>
        <v>0</v>
      </c>
      <c r="P299">
        <f ca="1">Inputs!B14+(Inputs!D14-Inputs!B14)*BETAINV(RAND(),Model!H8,Model!I8)</f>
        <v>0.15639255520275719</v>
      </c>
      <c r="Q299">
        <f ca="1">Inputs!E14+(Inputs!G14-Inputs!E14)*BETAINV(RAND(),Model!J8,Model!K8)</f>
        <v>0.57160601403695388</v>
      </c>
      <c r="R299">
        <f ca="1">(Inputs!H14+(Inputs!J14-Inputs!H14)*BETAINV(RAND(),Model!L8,Model!M8))*Inputs!$C$6</f>
        <v>178025.98252472395</v>
      </c>
      <c r="S299">
        <f t="shared" ca="1" si="92"/>
        <v>8.939492510450231E-2</v>
      </c>
      <c r="T299">
        <f t="shared" ca="1" si="93"/>
        <v>0.2924478734954058</v>
      </c>
      <c r="U299">
        <f t="shared" ca="1" si="94"/>
        <v>0</v>
      </c>
      <c r="V299" s="47">
        <f t="shared" ca="1" si="95"/>
        <v>0</v>
      </c>
      <c r="W299">
        <f ca="1">Inputs!B15+(Inputs!D15-Inputs!B15)*BETAINV(RAND(),Model!H9,Model!I9)</f>
        <v>1.0159764425411346</v>
      </c>
      <c r="X299">
        <f ca="1">Inputs!E15+(Inputs!G15-Inputs!E15)*BETAINV(RAND(),Model!J9,Model!K9)</f>
        <v>0.39295512893929235</v>
      </c>
      <c r="Y299">
        <f ca="1">(Inputs!H15+(Inputs!J15-Inputs!H15)*BETAINV(RAND(),Model!L9,Model!M9))*Inputs!$C$6</f>
        <v>24280.582069536598</v>
      </c>
      <c r="Z299">
        <f t="shared" ca="1" si="96"/>
        <v>0.3992331539780351</v>
      </c>
      <c r="AA299">
        <f t="shared" ca="1" si="97"/>
        <v>0.52201421937916703</v>
      </c>
      <c r="AB299">
        <f t="shared" ca="1" si="98"/>
        <v>0</v>
      </c>
      <c r="AC299" s="47">
        <f t="shared" ca="1" si="99"/>
        <v>0</v>
      </c>
      <c r="AD299">
        <f ca="1">Inputs!B16+(Inputs!D16-Inputs!B16)*BETAINV(RAND(),Model!H10,Model!I10)</f>
        <v>0.68980490386540227</v>
      </c>
      <c r="AE299">
        <f ca="1">Inputs!E16+(Inputs!G16-Inputs!E16)*BETAINV(RAND(),Model!J10,Model!K10)</f>
        <v>0.68539919353907663</v>
      </c>
      <c r="AF299">
        <f ca="1">(Inputs!H16+(Inputs!J16-Inputs!H16)*BETAINV(RAND(),Model!L10,Model!M10))*Inputs!$C$6</f>
        <v>141515.74456975897</v>
      </c>
      <c r="AG299">
        <f t="shared" ca="1" si="100"/>
        <v>0.47279172480864701</v>
      </c>
      <c r="AH299">
        <f t="shared" ca="1" si="101"/>
        <v>0.7090774713679</v>
      </c>
      <c r="AI299">
        <f t="shared" ca="1" si="102"/>
        <v>1</v>
      </c>
      <c r="AJ299" s="47">
        <f t="shared" ca="1" si="103"/>
        <v>141515.74456975897</v>
      </c>
      <c r="AK299">
        <f t="shared" ca="1" si="104"/>
        <v>151576.0532587489</v>
      </c>
    </row>
    <row r="300" spans="2:37" x14ac:dyDescent="0.2">
      <c r="B300">
        <f ca="1">Inputs!B12+(Inputs!D12-Inputs!B12)*BETAINV(RAND(),Model!H6,Model!I6)</f>
        <v>3.7085296501128835</v>
      </c>
      <c r="C300">
        <f ca="1">Inputs!E12+(Inputs!G12-Inputs!E12)*BETAINV(RAND(),Model!J6,Model!K6)</f>
        <v>0.30087563463064132</v>
      </c>
      <c r="D300">
        <f ca="1">(Inputs!H12+(Inputs!J12-Inputs!H12)*BETAINV(RAND(),Model!L6,Model!M6))*Inputs!$C$6</f>
        <v>28777.721968414658</v>
      </c>
      <c r="E300">
        <f t="shared" ca="1" si="84"/>
        <v>1.115806212024264</v>
      </c>
      <c r="F300">
        <f t="shared" ca="1" si="85"/>
        <v>0.82612607707593044</v>
      </c>
      <c r="G300">
        <f t="shared" ca="1" si="86"/>
        <v>2</v>
      </c>
      <c r="H300" s="47">
        <f t="shared" ca="1" si="87"/>
        <v>57555.443936829317</v>
      </c>
      <c r="I300">
        <f ca="1">Inputs!B13+(Inputs!D13-Inputs!B13)*BETAINV(RAND(),Model!H7,Model!I7)</f>
        <v>1.4406159973272441</v>
      </c>
      <c r="J300">
        <f ca="1">Inputs!E13+(Inputs!G13-Inputs!E13)*BETAINV(RAND(),Model!J7,Model!K7)</f>
        <v>0.3110315193038431</v>
      </c>
      <c r="K300">
        <f ca="1">(Inputs!H13+(Inputs!J13-Inputs!H13)*BETAINV(RAND(),Model!L7,Model!M7))*Inputs!$C$6</f>
        <v>11237.216309105637</v>
      </c>
      <c r="L300">
        <f t="shared" ca="1" si="88"/>
        <v>0.44807698238211391</v>
      </c>
      <c r="M300">
        <f t="shared" ca="1" si="89"/>
        <v>0.778722028160589</v>
      </c>
      <c r="N300">
        <f t="shared" ca="1" si="90"/>
        <v>1</v>
      </c>
      <c r="O300" s="47">
        <f t="shared" ca="1" si="91"/>
        <v>11237.216309105637</v>
      </c>
      <c r="P300">
        <f ca="1">Inputs!B14+(Inputs!D14-Inputs!B14)*BETAINV(RAND(),Model!H8,Model!I8)</f>
        <v>0.29699749137626807</v>
      </c>
      <c r="Q300">
        <f ca="1">Inputs!E14+(Inputs!G14-Inputs!E14)*BETAINV(RAND(),Model!J8,Model!K8)</f>
        <v>0.7933078742294134</v>
      </c>
      <c r="R300">
        <f ca="1">(Inputs!H14+(Inputs!J14-Inputs!H14)*BETAINV(RAND(),Model!L8,Model!M8))*Inputs!$C$6</f>
        <v>219258.92954548242</v>
      </c>
      <c r="S300">
        <f t="shared" ca="1" si="92"/>
        <v>0.23561044853517576</v>
      </c>
      <c r="T300">
        <f t="shared" ca="1" si="93"/>
        <v>2.346037712506821E-2</v>
      </c>
      <c r="U300">
        <f t="shared" ca="1" si="94"/>
        <v>0</v>
      </c>
      <c r="V300" s="47">
        <f t="shared" ca="1" si="95"/>
        <v>0</v>
      </c>
      <c r="W300">
        <f ca="1">Inputs!B15+(Inputs!D15-Inputs!B15)*BETAINV(RAND(),Model!H9,Model!I9)</f>
        <v>1.0892532470431149</v>
      </c>
      <c r="X300">
        <f ca="1">Inputs!E15+(Inputs!G15-Inputs!E15)*BETAINV(RAND(),Model!J9,Model!K9)</f>
        <v>0.36619834591726286</v>
      </c>
      <c r="Y300">
        <f ca="1">(Inputs!H15+(Inputs!J15-Inputs!H15)*BETAINV(RAND(),Model!L9,Model!M9))*Inputs!$C$6</f>
        <v>54531.033126519207</v>
      </c>
      <c r="Z300">
        <f t="shared" ca="1" si="96"/>
        <v>0.39888273735219637</v>
      </c>
      <c r="AA300">
        <f t="shared" ca="1" si="97"/>
        <v>0.62237915032256141</v>
      </c>
      <c r="AB300">
        <f t="shared" ca="1" si="98"/>
        <v>0</v>
      </c>
      <c r="AC300" s="47">
        <f t="shared" ca="1" si="99"/>
        <v>0</v>
      </c>
      <c r="AD300">
        <f ca="1">Inputs!B16+(Inputs!D16-Inputs!B16)*BETAINV(RAND(),Model!H10,Model!I10)</f>
        <v>0.90794708265557955</v>
      </c>
      <c r="AE300">
        <f ca="1">Inputs!E16+(Inputs!G16-Inputs!E16)*BETAINV(RAND(),Model!J10,Model!K10)</f>
        <v>0.6196249820854598</v>
      </c>
      <c r="AF300">
        <f ca="1">(Inputs!H16+(Inputs!J16-Inputs!H16)*BETAINV(RAND(),Model!L10,Model!M10))*Inputs!$C$6</f>
        <v>41777.1386291694</v>
      </c>
      <c r="AG300">
        <f t="shared" ca="1" si="100"/>
        <v>0.562586694825009</v>
      </c>
      <c r="AH300">
        <f t="shared" ca="1" si="101"/>
        <v>0.32099875260279886</v>
      </c>
      <c r="AI300">
        <f t="shared" ca="1" si="102"/>
        <v>0</v>
      </c>
      <c r="AJ300" s="47">
        <f t="shared" ca="1" si="103"/>
        <v>0</v>
      </c>
      <c r="AK300">
        <f t="shared" ca="1" si="104"/>
        <v>68792.660245934952</v>
      </c>
    </row>
    <row r="301" spans="2:37" x14ac:dyDescent="0.2">
      <c r="B301">
        <f ca="1">Inputs!B12+(Inputs!D12-Inputs!B12)*BETAINV(RAND(),Model!H6,Model!I6)</f>
        <v>4.3506366382880834</v>
      </c>
      <c r="C301">
        <f ca="1">Inputs!E12+(Inputs!G12-Inputs!E12)*BETAINV(RAND(),Model!J6,Model!K6)</f>
        <v>0.18671888300637191</v>
      </c>
      <c r="D301">
        <f ca="1">(Inputs!H12+(Inputs!J12-Inputs!H12)*BETAINV(RAND(),Model!L6,Model!M6))*Inputs!$C$6</f>
        <v>26926.193972726145</v>
      </c>
      <c r="E301">
        <f t="shared" ca="1" si="84"/>
        <v>0.81234601346774782</v>
      </c>
      <c r="F301">
        <f t="shared" ca="1" si="85"/>
        <v>0.17069861878591575</v>
      </c>
      <c r="G301">
        <f t="shared" ca="1" si="86"/>
        <v>0</v>
      </c>
      <c r="H301" s="47">
        <f t="shared" ca="1" si="87"/>
        <v>0</v>
      </c>
      <c r="I301">
        <f ca="1">Inputs!B13+(Inputs!D13-Inputs!B13)*BETAINV(RAND(),Model!H7,Model!I7)</f>
        <v>1.0133562118085928</v>
      </c>
      <c r="J301">
        <f ca="1">Inputs!E13+(Inputs!G13-Inputs!E13)*BETAINV(RAND(),Model!J7,Model!K7)</f>
        <v>0.26061645192446115</v>
      </c>
      <c r="K301">
        <f ca="1">(Inputs!H13+(Inputs!J13-Inputs!H13)*BETAINV(RAND(),Model!L7,Model!M7))*Inputs!$C$6</f>
        <v>35312.706894445255</v>
      </c>
      <c r="L301">
        <f t="shared" ca="1" si="88"/>
        <v>0.26409730045716817</v>
      </c>
      <c r="M301">
        <f t="shared" ca="1" si="89"/>
        <v>0.64933532491030888</v>
      </c>
      <c r="N301">
        <f t="shared" ca="1" si="90"/>
        <v>0</v>
      </c>
      <c r="O301" s="47">
        <f t="shared" ca="1" si="91"/>
        <v>0</v>
      </c>
      <c r="P301">
        <f ca="1">Inputs!B14+(Inputs!D14-Inputs!B14)*BETAINV(RAND(),Model!H8,Model!I8)</f>
        <v>0.52834709989410666</v>
      </c>
      <c r="Q301">
        <f ca="1">Inputs!E14+(Inputs!G14-Inputs!E14)*BETAINV(RAND(),Model!J8,Model!K8)</f>
        <v>0.56424226696676993</v>
      </c>
      <c r="R301">
        <f ca="1">(Inputs!H14+(Inputs!J14-Inputs!H14)*BETAINV(RAND(),Model!L8,Model!M8))*Inputs!$C$6</f>
        <v>488603.47712906892</v>
      </c>
      <c r="S301">
        <f t="shared" ca="1" si="92"/>
        <v>0.29811576538956919</v>
      </c>
      <c r="T301">
        <f t="shared" ca="1" si="93"/>
        <v>0.92040073163930924</v>
      </c>
      <c r="U301">
        <f t="shared" ca="1" si="94"/>
        <v>1</v>
      </c>
      <c r="V301" s="47">
        <f t="shared" ca="1" si="95"/>
        <v>488603.47712906892</v>
      </c>
      <c r="W301">
        <f ca="1">Inputs!B15+(Inputs!D15-Inputs!B15)*BETAINV(RAND(),Model!H9,Model!I9)</f>
        <v>0.98740559603134281</v>
      </c>
      <c r="X301">
        <f ca="1">Inputs!E15+(Inputs!G15-Inputs!E15)*BETAINV(RAND(),Model!J9,Model!K9)</f>
        <v>0.36081527271356717</v>
      </c>
      <c r="Y301">
        <f ca="1">(Inputs!H15+(Inputs!J15-Inputs!H15)*BETAINV(RAND(),Model!L9,Model!M9))*Inputs!$C$6</f>
        <v>17576.404924839619</v>
      </c>
      <c r="Z301">
        <f t="shared" ca="1" si="96"/>
        <v>0.3562710194109513</v>
      </c>
      <c r="AA301">
        <f t="shared" ca="1" si="97"/>
        <v>0.35850372357204929</v>
      </c>
      <c r="AB301">
        <f t="shared" ca="1" si="98"/>
        <v>0</v>
      </c>
      <c r="AC301" s="47">
        <f t="shared" ca="1" si="99"/>
        <v>0</v>
      </c>
      <c r="AD301">
        <f ca="1">Inputs!B16+(Inputs!D16-Inputs!B16)*BETAINV(RAND(),Model!H10,Model!I10)</f>
        <v>0.3688917638818936</v>
      </c>
      <c r="AE301">
        <f ca="1">Inputs!E16+(Inputs!G16-Inputs!E16)*BETAINV(RAND(),Model!J10,Model!K10)</f>
        <v>0.60189402930955005</v>
      </c>
      <c r="AF301">
        <f ca="1">(Inputs!H16+(Inputs!J16-Inputs!H16)*BETAINV(RAND(),Model!L10,Model!M10))*Inputs!$C$6</f>
        <v>64269.716443147867</v>
      </c>
      <c r="AG301">
        <f t="shared" ca="1" si="100"/>
        <v>0.22203375014198007</v>
      </c>
      <c r="AH301">
        <f t="shared" ca="1" si="101"/>
        <v>0.26664947391212612</v>
      </c>
      <c r="AI301">
        <f t="shared" ca="1" si="102"/>
        <v>0</v>
      </c>
      <c r="AJ301" s="47">
        <f t="shared" ca="1" si="103"/>
        <v>0</v>
      </c>
      <c r="AK301">
        <f t="shared" ca="1" si="104"/>
        <v>488603.47712906892</v>
      </c>
    </row>
    <row r="302" spans="2:37" x14ac:dyDescent="0.2">
      <c r="B302">
        <f ca="1">Inputs!B12+(Inputs!D12-Inputs!B12)*BETAINV(RAND(),Model!H6,Model!I6)</f>
        <v>3.6189081262934795</v>
      </c>
      <c r="C302">
        <f ca="1">Inputs!E12+(Inputs!G12-Inputs!E12)*BETAINV(RAND(),Model!J6,Model!K6)</f>
        <v>0.33397391003245291</v>
      </c>
      <c r="D302">
        <f ca="1">(Inputs!H12+(Inputs!J12-Inputs!H12)*BETAINV(RAND(),Model!L6,Model!M6))*Inputs!$C$6</f>
        <v>10616.249043742855</v>
      </c>
      <c r="E302">
        <f t="shared" ca="1" si="84"/>
        <v>1.2086208969864514</v>
      </c>
      <c r="F302">
        <f t="shared" ca="1" si="85"/>
        <v>0.65791536508840676</v>
      </c>
      <c r="G302">
        <f t="shared" ca="1" si="86"/>
        <v>1</v>
      </c>
      <c r="H302" s="47">
        <f t="shared" ca="1" si="87"/>
        <v>10616.249043742855</v>
      </c>
      <c r="I302">
        <f ca="1">Inputs!B13+(Inputs!D13-Inputs!B13)*BETAINV(RAND(),Model!H7,Model!I7)</f>
        <v>1.676871237904388</v>
      </c>
      <c r="J302">
        <f ca="1">Inputs!E13+(Inputs!G13-Inputs!E13)*BETAINV(RAND(),Model!J7,Model!K7)</f>
        <v>0.3310059643833585</v>
      </c>
      <c r="K302">
        <f ca="1">(Inputs!H13+(Inputs!J13-Inputs!H13)*BETAINV(RAND(),Model!L7,Model!M7))*Inputs!$C$6</f>
        <v>39564.544913466583</v>
      </c>
      <c r="L302">
        <f t="shared" ca="1" si="88"/>
        <v>0.5550543812492581</v>
      </c>
      <c r="M302">
        <f t="shared" ca="1" si="89"/>
        <v>0.82568913196909488</v>
      </c>
      <c r="N302">
        <f t="shared" ca="1" si="90"/>
        <v>1</v>
      </c>
      <c r="O302" s="47">
        <f t="shared" ca="1" si="91"/>
        <v>39564.544913466583</v>
      </c>
      <c r="P302">
        <f ca="1">Inputs!B14+(Inputs!D14-Inputs!B14)*BETAINV(RAND(),Model!H8,Model!I8)</f>
        <v>0.41361711088712116</v>
      </c>
      <c r="Q302">
        <f ca="1">Inputs!E14+(Inputs!G14-Inputs!E14)*BETAINV(RAND(),Model!J8,Model!K8)</f>
        <v>0.52560314989228107</v>
      </c>
      <c r="R302">
        <f ca="1">(Inputs!H14+(Inputs!J14-Inputs!H14)*BETAINV(RAND(),Model!L8,Model!M8))*Inputs!$C$6</f>
        <v>383617.39272401592</v>
      </c>
      <c r="S302">
        <f t="shared" ca="1" si="92"/>
        <v>0.21739845633161578</v>
      </c>
      <c r="T302">
        <f t="shared" ca="1" si="93"/>
        <v>0.51033494308038985</v>
      </c>
      <c r="U302">
        <f t="shared" ca="1" si="94"/>
        <v>0</v>
      </c>
      <c r="V302" s="47">
        <f t="shared" ca="1" si="95"/>
        <v>0</v>
      </c>
      <c r="W302">
        <f ca="1">Inputs!B15+(Inputs!D15-Inputs!B15)*BETAINV(RAND(),Model!H9,Model!I9)</f>
        <v>0.88063092314464919</v>
      </c>
      <c r="X302">
        <f ca="1">Inputs!E15+(Inputs!G15-Inputs!E15)*BETAINV(RAND(),Model!J9,Model!K9)</f>
        <v>0.42540138546241157</v>
      </c>
      <c r="Y302">
        <f ca="1">(Inputs!H15+(Inputs!J15-Inputs!H15)*BETAINV(RAND(),Model!L9,Model!M9))*Inputs!$C$6</f>
        <v>11394.72100589008</v>
      </c>
      <c r="Z302">
        <f t="shared" ca="1" si="96"/>
        <v>0.37462161478677625</v>
      </c>
      <c r="AA302">
        <f t="shared" ca="1" si="97"/>
        <v>0.6716859353377902</v>
      </c>
      <c r="AB302">
        <f t="shared" ca="1" si="98"/>
        <v>0</v>
      </c>
      <c r="AC302" s="47">
        <f t="shared" ca="1" si="99"/>
        <v>0</v>
      </c>
      <c r="AD302">
        <f ca="1">Inputs!B16+(Inputs!D16-Inputs!B16)*BETAINV(RAND(),Model!H10,Model!I10)</f>
        <v>1.0698550807209422</v>
      </c>
      <c r="AE302">
        <f ca="1">Inputs!E16+(Inputs!G16-Inputs!E16)*BETAINV(RAND(),Model!J10,Model!K10)</f>
        <v>0.70180671274146778</v>
      </c>
      <c r="AF302">
        <f ca="1">(Inputs!H16+(Inputs!J16-Inputs!H16)*BETAINV(RAND(),Model!L10,Model!M10))*Inputs!$C$6</f>
        <v>135302.21611095252</v>
      </c>
      <c r="AG302">
        <f t="shared" ca="1" si="100"/>
        <v>0.75083147731052202</v>
      </c>
      <c r="AH302">
        <f t="shared" ca="1" si="101"/>
        <v>1.4617901095765884E-3</v>
      </c>
      <c r="AI302">
        <f t="shared" ca="1" si="102"/>
        <v>0</v>
      </c>
      <c r="AJ302" s="47">
        <f t="shared" ca="1" si="103"/>
        <v>0</v>
      </c>
      <c r="AK302">
        <f t="shared" ca="1" si="104"/>
        <v>50180.79395720944</v>
      </c>
    </row>
    <row r="303" spans="2:37" x14ac:dyDescent="0.2">
      <c r="B303">
        <f ca="1">Inputs!B12+(Inputs!D12-Inputs!B12)*BETAINV(RAND(),Model!H6,Model!I6)</f>
        <v>2.8251489428364511</v>
      </c>
      <c r="C303">
        <f ca="1">Inputs!E12+(Inputs!G12-Inputs!E12)*BETAINV(RAND(),Model!J6,Model!K6)</f>
        <v>0.24071554356787506</v>
      </c>
      <c r="D303">
        <f ca="1">(Inputs!H12+(Inputs!J12-Inputs!H12)*BETAINV(RAND(),Model!L6,Model!M6))*Inputs!$C$6</f>
        <v>9852.892659471092</v>
      </c>
      <c r="E303">
        <f t="shared" ca="1" si="84"/>
        <v>0.68005726343508388</v>
      </c>
      <c r="F303">
        <f t="shared" ca="1" si="85"/>
        <v>0.46850484446128182</v>
      </c>
      <c r="G303">
        <f t="shared" ca="1" si="86"/>
        <v>0</v>
      </c>
      <c r="H303" s="47">
        <f t="shared" ca="1" si="87"/>
        <v>0</v>
      </c>
      <c r="I303">
        <f ca="1">Inputs!B13+(Inputs!D13-Inputs!B13)*BETAINV(RAND(),Model!H7,Model!I7)</f>
        <v>1.2555976776652678</v>
      </c>
      <c r="J303">
        <f ca="1">Inputs!E13+(Inputs!G13-Inputs!E13)*BETAINV(RAND(),Model!J7,Model!K7)</f>
        <v>0.32516070937611274</v>
      </c>
      <c r="K303">
        <f ca="1">(Inputs!H13+(Inputs!J13-Inputs!H13)*BETAINV(RAND(),Model!L7,Model!M7))*Inputs!$C$6</f>
        <v>13036.393382361124</v>
      </c>
      <c r="L303">
        <f t="shared" ca="1" si="88"/>
        <v>0.40827103156063821</v>
      </c>
      <c r="M303">
        <f t="shared" ca="1" si="89"/>
        <v>0.35422706951993743</v>
      </c>
      <c r="N303">
        <f t="shared" ca="1" si="90"/>
        <v>0</v>
      </c>
      <c r="O303" s="47">
        <f t="shared" ca="1" si="91"/>
        <v>0</v>
      </c>
      <c r="P303">
        <f ca="1">Inputs!B14+(Inputs!D14-Inputs!B14)*BETAINV(RAND(),Model!H8,Model!I8)</f>
        <v>0.31690758345876135</v>
      </c>
      <c r="Q303">
        <f ca="1">Inputs!E14+(Inputs!G14-Inputs!E14)*BETAINV(RAND(),Model!J8,Model!K8)</f>
        <v>0.74625042010634823</v>
      </c>
      <c r="R303">
        <f ca="1">(Inputs!H14+(Inputs!J14-Inputs!H14)*BETAINV(RAND(),Model!L8,Model!M8))*Inputs!$C$6</f>
        <v>378366.11842435994</v>
      </c>
      <c r="S303">
        <f t="shared" ca="1" si="92"/>
        <v>0.23649241729098827</v>
      </c>
      <c r="T303">
        <f t="shared" ca="1" si="93"/>
        <v>0.56100247183357577</v>
      </c>
      <c r="U303">
        <f t="shared" ca="1" si="94"/>
        <v>0</v>
      </c>
      <c r="V303" s="47">
        <f t="shared" ca="1" si="95"/>
        <v>0</v>
      </c>
      <c r="W303">
        <f ca="1">Inputs!B15+(Inputs!D15-Inputs!B15)*BETAINV(RAND(),Model!H9,Model!I9)</f>
        <v>0.48936557428786465</v>
      </c>
      <c r="X303">
        <f ca="1">Inputs!E15+(Inputs!G15-Inputs!E15)*BETAINV(RAND(),Model!J9,Model!K9)</f>
        <v>0.49324388616910914</v>
      </c>
      <c r="Y303">
        <f ca="1">(Inputs!H15+(Inputs!J15-Inputs!H15)*BETAINV(RAND(),Model!L9,Model!M9))*Inputs!$C$6</f>
        <v>17864.428458896989</v>
      </c>
      <c r="Z303">
        <f t="shared" ca="1" si="96"/>
        <v>0.24137657761912423</v>
      </c>
      <c r="AA303">
        <f t="shared" ca="1" si="97"/>
        <v>0.57703062322981657</v>
      </c>
      <c r="AB303">
        <f t="shared" ca="1" si="98"/>
        <v>0</v>
      </c>
      <c r="AC303" s="47">
        <f t="shared" ca="1" si="99"/>
        <v>0</v>
      </c>
      <c r="AD303">
        <f ca="1">Inputs!B16+(Inputs!D16-Inputs!B16)*BETAINV(RAND(),Model!H10,Model!I10)</f>
        <v>0.37592712339003442</v>
      </c>
      <c r="AE303">
        <f ca="1">Inputs!E16+(Inputs!G16-Inputs!E16)*BETAINV(RAND(),Model!J10,Model!K10)</f>
        <v>0.54651661068099022</v>
      </c>
      <c r="AF303">
        <f ca="1">(Inputs!H16+(Inputs!J16-Inputs!H16)*BETAINV(RAND(),Model!L10,Model!M10))*Inputs!$C$6</f>
        <v>58498.216175206995</v>
      </c>
      <c r="AG303">
        <f t="shared" ca="1" si="100"/>
        <v>0.20545041733817601</v>
      </c>
      <c r="AH303">
        <f t="shared" ca="1" si="101"/>
        <v>0.35858060686233639</v>
      </c>
      <c r="AI303">
        <f t="shared" ca="1" si="102"/>
        <v>0</v>
      </c>
      <c r="AJ303" s="47">
        <f t="shared" ca="1" si="103"/>
        <v>0</v>
      </c>
      <c r="AK303">
        <f t="shared" ca="1" si="104"/>
        <v>0</v>
      </c>
    </row>
    <row r="304" spans="2:37" x14ac:dyDescent="0.2">
      <c r="B304">
        <f ca="1">Inputs!B12+(Inputs!D12-Inputs!B12)*BETAINV(RAND(),Model!H6,Model!I6)</f>
        <v>2.781278116817663</v>
      </c>
      <c r="C304">
        <f ca="1">Inputs!E12+(Inputs!G12-Inputs!E12)*BETAINV(RAND(),Model!J6,Model!K6)</f>
        <v>0.33945557221784539</v>
      </c>
      <c r="D304">
        <f ca="1">(Inputs!H12+(Inputs!J12-Inputs!H12)*BETAINV(RAND(),Model!L6,Model!M6))*Inputs!$C$6</f>
        <v>20940.360675150943</v>
      </c>
      <c r="E304">
        <f t="shared" ca="1" si="84"/>
        <v>0.94412035464131128</v>
      </c>
      <c r="F304">
        <f t="shared" ca="1" si="85"/>
        <v>0.72492372875877975</v>
      </c>
      <c r="G304">
        <f t="shared" ca="1" si="86"/>
        <v>1</v>
      </c>
      <c r="H304" s="47">
        <f t="shared" ca="1" si="87"/>
        <v>20940.360675150943</v>
      </c>
      <c r="I304">
        <f ca="1">Inputs!B13+(Inputs!D13-Inputs!B13)*BETAINV(RAND(),Model!H7,Model!I7)</f>
        <v>2.3932163729302718</v>
      </c>
      <c r="J304">
        <f ca="1">Inputs!E13+(Inputs!G13-Inputs!E13)*BETAINV(RAND(),Model!J7,Model!K7)</f>
        <v>0.37218640549511639</v>
      </c>
      <c r="K304">
        <f ca="1">(Inputs!H13+(Inputs!J13-Inputs!H13)*BETAINV(RAND(),Model!L7,Model!M7))*Inputs!$C$6</f>
        <v>48290.615159545137</v>
      </c>
      <c r="L304">
        <f t="shared" ca="1" si="88"/>
        <v>0.89072259941297782</v>
      </c>
      <c r="M304">
        <f t="shared" ca="1" si="89"/>
        <v>0.72491632144483109</v>
      </c>
      <c r="N304">
        <f t="shared" ca="1" si="90"/>
        <v>1</v>
      </c>
      <c r="O304" s="47">
        <f t="shared" ca="1" si="91"/>
        <v>48290.615159545137</v>
      </c>
      <c r="P304">
        <f ca="1">Inputs!B14+(Inputs!D14-Inputs!B14)*BETAINV(RAND(),Model!H8,Model!I8)</f>
        <v>0.50186055237887328</v>
      </c>
      <c r="Q304">
        <f ca="1">Inputs!E14+(Inputs!G14-Inputs!E14)*BETAINV(RAND(),Model!J8,Model!K8)</f>
        <v>0.80887726375076507</v>
      </c>
      <c r="R304">
        <f ca="1">(Inputs!H14+(Inputs!J14-Inputs!H14)*BETAINV(RAND(),Model!L8,Model!M8))*Inputs!$C$6</f>
        <v>397355.39422496752</v>
      </c>
      <c r="S304">
        <f t="shared" ca="1" si="92"/>
        <v>0.40594359039267053</v>
      </c>
      <c r="T304">
        <f t="shared" ca="1" si="93"/>
        <v>0.41139304266646803</v>
      </c>
      <c r="U304">
        <f t="shared" ca="1" si="94"/>
        <v>0</v>
      </c>
      <c r="V304" s="47">
        <f t="shared" ca="1" si="95"/>
        <v>0</v>
      </c>
      <c r="W304">
        <f ca="1">Inputs!B15+(Inputs!D15-Inputs!B15)*BETAINV(RAND(),Model!H9,Model!I9)</f>
        <v>1.2206955612999366</v>
      </c>
      <c r="X304">
        <f ca="1">Inputs!E15+(Inputs!G15-Inputs!E15)*BETAINV(RAND(),Model!J9,Model!K9)</f>
        <v>0.48033651599421312</v>
      </c>
      <c r="Y304">
        <f ca="1">(Inputs!H15+(Inputs!J15-Inputs!H15)*BETAINV(RAND(),Model!L9,Model!M9))*Inputs!$C$6</f>
        <v>22941.510268931583</v>
      </c>
      <c r="Z304">
        <f t="shared" ca="1" si="96"/>
        <v>0.58634465300441196</v>
      </c>
      <c r="AA304">
        <f t="shared" ca="1" si="97"/>
        <v>3.7046799381991513E-2</v>
      </c>
      <c r="AB304">
        <f t="shared" ca="1" si="98"/>
        <v>0</v>
      </c>
      <c r="AC304" s="47">
        <f t="shared" ca="1" si="99"/>
        <v>0</v>
      </c>
      <c r="AD304">
        <f ca="1">Inputs!B16+(Inputs!D16-Inputs!B16)*BETAINV(RAND(),Model!H10,Model!I10)</f>
        <v>0.86723520145403543</v>
      </c>
      <c r="AE304">
        <f ca="1">Inputs!E16+(Inputs!G16-Inputs!E16)*BETAINV(RAND(),Model!J10,Model!K10)</f>
        <v>0.62049075497242101</v>
      </c>
      <c r="AF304">
        <f ca="1">(Inputs!H16+(Inputs!J16-Inputs!H16)*BETAINV(RAND(),Model!L10,Model!M10))*Inputs!$C$6</f>
        <v>76280.822168243161</v>
      </c>
      <c r="AG304">
        <f t="shared" ca="1" si="100"/>
        <v>0.53811142488887409</v>
      </c>
      <c r="AH304">
        <f t="shared" ca="1" si="101"/>
        <v>0.66536123793667734</v>
      </c>
      <c r="AI304">
        <f t="shared" ca="1" si="102"/>
        <v>1</v>
      </c>
      <c r="AJ304" s="47">
        <f t="shared" ca="1" si="103"/>
        <v>76280.822168243161</v>
      </c>
      <c r="AK304">
        <f t="shared" ca="1" si="104"/>
        <v>145511.79800293926</v>
      </c>
    </row>
    <row r="305" spans="2:37" x14ac:dyDescent="0.2">
      <c r="B305">
        <f ca="1">Inputs!B12+(Inputs!D12-Inputs!B12)*BETAINV(RAND(),Model!H6,Model!I6)</f>
        <v>2.2823303402124093</v>
      </c>
      <c r="C305">
        <f ca="1">Inputs!E12+(Inputs!G12-Inputs!E12)*BETAINV(RAND(),Model!J6,Model!K6)</f>
        <v>0.25638970278695483</v>
      </c>
      <c r="D305">
        <f ca="1">(Inputs!H12+(Inputs!J12-Inputs!H12)*BETAINV(RAND(),Model!L6,Model!M6))*Inputs!$C$6</f>
        <v>15788.732002127626</v>
      </c>
      <c r="E305">
        <f t="shared" ca="1" si="84"/>
        <v>0.58516599758870913</v>
      </c>
      <c r="F305">
        <f t="shared" ca="1" si="85"/>
        <v>0.33215994805072824</v>
      </c>
      <c r="G305">
        <f t="shared" ca="1" si="86"/>
        <v>0</v>
      </c>
      <c r="H305" s="47">
        <f t="shared" ca="1" si="87"/>
        <v>0</v>
      </c>
      <c r="I305">
        <f ca="1">Inputs!B13+(Inputs!D13-Inputs!B13)*BETAINV(RAND(),Model!H7,Model!I7)</f>
        <v>3.869624256317667</v>
      </c>
      <c r="J305">
        <f ca="1">Inputs!E13+(Inputs!G13-Inputs!E13)*BETAINV(RAND(),Model!J7,Model!K7)</f>
        <v>0.20094741515319484</v>
      </c>
      <c r="K305">
        <f ca="1">(Inputs!H13+(Inputs!J13-Inputs!H13)*BETAINV(RAND(),Model!L7,Model!M7))*Inputs!$C$6</f>
        <v>11507.917510422114</v>
      </c>
      <c r="L305">
        <f t="shared" ca="1" si="88"/>
        <v>0.77759099192113912</v>
      </c>
      <c r="M305">
        <f t="shared" ca="1" si="89"/>
        <v>0.50928706518085309</v>
      </c>
      <c r="N305">
        <f t="shared" ca="1" si="90"/>
        <v>1</v>
      </c>
      <c r="O305" s="47">
        <f t="shared" ca="1" si="91"/>
        <v>11507.917510422114</v>
      </c>
      <c r="P305">
        <f ca="1">Inputs!B14+(Inputs!D14-Inputs!B14)*BETAINV(RAND(),Model!H8,Model!I8)</f>
        <v>0.23300664646295965</v>
      </c>
      <c r="Q305">
        <f ca="1">Inputs!E14+(Inputs!G14-Inputs!E14)*BETAINV(RAND(),Model!J8,Model!K8)</f>
        <v>0.72840694237962988</v>
      </c>
      <c r="R305">
        <f ca="1">(Inputs!H14+(Inputs!J14-Inputs!H14)*BETAINV(RAND(),Model!L8,Model!M8))*Inputs!$C$6</f>
        <v>277434.75410628528</v>
      </c>
      <c r="S305">
        <f t="shared" ca="1" si="92"/>
        <v>0.16972365890421584</v>
      </c>
      <c r="T305">
        <f t="shared" ca="1" si="93"/>
        <v>0.65159739413683659</v>
      </c>
      <c r="U305">
        <f t="shared" ca="1" si="94"/>
        <v>0</v>
      </c>
      <c r="V305" s="47">
        <f t="shared" ca="1" si="95"/>
        <v>0</v>
      </c>
      <c r="W305">
        <f ca="1">Inputs!B15+(Inputs!D15-Inputs!B15)*BETAINV(RAND(),Model!H9,Model!I9)</f>
        <v>1.1510730496148078</v>
      </c>
      <c r="X305">
        <f ca="1">Inputs!E15+(Inputs!G15-Inputs!E15)*BETAINV(RAND(),Model!J9,Model!K9)</f>
        <v>0.39892054489426665</v>
      </c>
      <c r="Y305">
        <f ca="1">(Inputs!H15+(Inputs!J15-Inputs!H15)*BETAINV(RAND(),Model!L9,Model!M9))*Inputs!$C$6</f>
        <v>24654.569918627687</v>
      </c>
      <c r="Z305">
        <f t="shared" ca="1" si="96"/>
        <v>0.45918668816544439</v>
      </c>
      <c r="AA305">
        <f t="shared" ca="1" si="97"/>
        <v>0.78684046159288534</v>
      </c>
      <c r="AB305">
        <f t="shared" ca="1" si="98"/>
        <v>1</v>
      </c>
      <c r="AC305" s="47">
        <f t="shared" ca="1" si="99"/>
        <v>24654.569918627687</v>
      </c>
      <c r="AD305">
        <f ca="1">Inputs!B16+(Inputs!D16-Inputs!B16)*BETAINV(RAND(),Model!H10,Model!I10)</f>
        <v>0.28526294459247359</v>
      </c>
      <c r="AE305">
        <f ca="1">Inputs!E16+(Inputs!G16-Inputs!E16)*BETAINV(RAND(),Model!J10,Model!K10)</f>
        <v>0.77280731458420038</v>
      </c>
      <c r="AF305">
        <f ca="1">(Inputs!H16+(Inputs!J16-Inputs!H16)*BETAINV(RAND(),Model!L10,Model!M10))*Inputs!$C$6</f>
        <v>78713.522979982896</v>
      </c>
      <c r="AG305">
        <f t="shared" ca="1" si="100"/>
        <v>0.22045329016089105</v>
      </c>
      <c r="AH305">
        <f t="shared" ca="1" si="101"/>
        <v>8.3035948036050966E-3</v>
      </c>
      <c r="AI305">
        <f t="shared" ca="1" si="102"/>
        <v>0</v>
      </c>
      <c r="AJ305" s="47">
        <f t="shared" ca="1" si="103"/>
        <v>0</v>
      </c>
      <c r="AK305">
        <f t="shared" ca="1" si="104"/>
        <v>36162.487429049797</v>
      </c>
    </row>
    <row r="306" spans="2:37" x14ac:dyDescent="0.2">
      <c r="B306">
        <f ca="1">Inputs!B12+(Inputs!D12-Inputs!B12)*BETAINV(RAND(),Model!H6,Model!I6)</f>
        <v>5.4094296430357609</v>
      </c>
      <c r="C306">
        <f ca="1">Inputs!E12+(Inputs!G12-Inputs!E12)*BETAINV(RAND(),Model!J6,Model!K6)</f>
        <v>0.28351727298628771</v>
      </c>
      <c r="D306">
        <f ca="1">(Inputs!H12+(Inputs!J12-Inputs!H12)*BETAINV(RAND(),Model!L6,Model!M6))*Inputs!$C$6</f>
        <v>25670.534106505849</v>
      </c>
      <c r="E306">
        <f t="shared" ca="1" si="84"/>
        <v>1.5336667408046867</v>
      </c>
      <c r="F306">
        <f t="shared" ca="1" si="85"/>
        <v>0.12887641694503138</v>
      </c>
      <c r="G306">
        <f t="shared" ca="1" si="86"/>
        <v>0</v>
      </c>
      <c r="H306" s="47">
        <f t="shared" ca="1" si="87"/>
        <v>0</v>
      </c>
      <c r="I306">
        <f ca="1">Inputs!B13+(Inputs!D13-Inputs!B13)*BETAINV(RAND(),Model!H7,Model!I7)</f>
        <v>2.7444361771966506</v>
      </c>
      <c r="J306">
        <f ca="1">Inputs!E13+(Inputs!G13-Inputs!E13)*BETAINV(RAND(),Model!J7,Model!K7)</f>
        <v>0.28967367824844081</v>
      </c>
      <c r="K306">
        <f ca="1">(Inputs!H13+(Inputs!J13-Inputs!H13)*BETAINV(RAND(),Model!L7,Model!M7))*Inputs!$C$6</f>
        <v>73191.71232452651</v>
      </c>
      <c r="L306">
        <f t="shared" ca="1" si="88"/>
        <v>0.79499092216664347</v>
      </c>
      <c r="M306">
        <f t="shared" ca="1" si="89"/>
        <v>0.10290183530478403</v>
      </c>
      <c r="N306">
        <f t="shared" ca="1" si="90"/>
        <v>0</v>
      </c>
      <c r="O306" s="47">
        <f t="shared" ca="1" si="91"/>
        <v>0</v>
      </c>
      <c r="P306">
        <f ca="1">Inputs!B14+(Inputs!D14-Inputs!B14)*BETAINV(RAND(),Model!H8,Model!I8)</f>
        <v>0.48475761980548515</v>
      </c>
      <c r="Q306">
        <f ca="1">Inputs!E14+(Inputs!G14-Inputs!E14)*BETAINV(RAND(),Model!J8,Model!K8)</f>
        <v>0.45708939396012349</v>
      </c>
      <c r="R306">
        <f ca="1">(Inputs!H14+(Inputs!J14-Inputs!H14)*BETAINV(RAND(),Model!L8,Model!M8))*Inputs!$C$6</f>
        <v>236274.04280082299</v>
      </c>
      <c r="S306">
        <f t="shared" ca="1" si="92"/>
        <v>0.22157756665444117</v>
      </c>
      <c r="T306">
        <f t="shared" ca="1" si="93"/>
        <v>8.3657327948187588E-2</v>
      </c>
      <c r="U306">
        <f t="shared" ca="1" si="94"/>
        <v>0</v>
      </c>
      <c r="V306" s="47">
        <f t="shared" ca="1" si="95"/>
        <v>0</v>
      </c>
      <c r="W306">
        <f ca="1">Inputs!B15+(Inputs!D15-Inputs!B15)*BETAINV(RAND(),Model!H9,Model!I9)</f>
        <v>0.43608915303813156</v>
      </c>
      <c r="X306">
        <f ca="1">Inputs!E15+(Inputs!G15-Inputs!E15)*BETAINV(RAND(),Model!J9,Model!K9)</f>
        <v>0.39631261127472539</v>
      </c>
      <c r="Y306">
        <f ca="1">(Inputs!H15+(Inputs!J15-Inputs!H15)*BETAINV(RAND(),Model!L9,Model!M9))*Inputs!$C$6</f>
        <v>30985.91167811153</v>
      </c>
      <c r="Z306">
        <f t="shared" ca="1" si="96"/>
        <v>0.17282763098912526</v>
      </c>
      <c r="AA306">
        <f t="shared" ca="1" si="97"/>
        <v>0.12901788527472968</v>
      </c>
      <c r="AB306">
        <f t="shared" ca="1" si="98"/>
        <v>0</v>
      </c>
      <c r="AC306" s="47">
        <f t="shared" ca="1" si="99"/>
        <v>0</v>
      </c>
      <c r="AD306">
        <f ca="1">Inputs!B16+(Inputs!D16-Inputs!B16)*BETAINV(RAND(),Model!H10,Model!I10)</f>
        <v>0.76365902221014648</v>
      </c>
      <c r="AE306">
        <f ca="1">Inputs!E16+(Inputs!G16-Inputs!E16)*BETAINV(RAND(),Model!J10,Model!K10)</f>
        <v>0.74585847241910974</v>
      </c>
      <c r="AF306">
        <f ca="1">(Inputs!H16+(Inputs!J16-Inputs!H16)*BETAINV(RAND(),Model!L10,Model!M10))*Inputs!$C$6</f>
        <v>88390.170506161812</v>
      </c>
      <c r="AG306">
        <f t="shared" ca="1" si="100"/>
        <v>0.5695815517547308</v>
      </c>
      <c r="AH306">
        <f t="shared" ca="1" si="101"/>
        <v>0.8183242562113815</v>
      </c>
      <c r="AI306">
        <f t="shared" ca="1" si="102"/>
        <v>1</v>
      </c>
      <c r="AJ306" s="47">
        <f t="shared" ca="1" si="103"/>
        <v>88390.170506161812</v>
      </c>
      <c r="AK306">
        <f t="shared" ca="1" si="104"/>
        <v>88390.170506161812</v>
      </c>
    </row>
    <row r="307" spans="2:37" x14ac:dyDescent="0.2">
      <c r="B307">
        <f ca="1">Inputs!B12+(Inputs!D12-Inputs!B12)*BETAINV(RAND(),Model!H6,Model!I6)</f>
        <v>4.4637340077715084</v>
      </c>
      <c r="C307">
        <f ca="1">Inputs!E12+(Inputs!G12-Inputs!E12)*BETAINV(RAND(),Model!J6,Model!K6)</f>
        <v>0.30575631263678077</v>
      </c>
      <c r="D307">
        <f ca="1">(Inputs!H12+(Inputs!J12-Inputs!H12)*BETAINV(RAND(),Model!L6,Model!M6))*Inputs!$C$6</f>
        <v>17606.216343251497</v>
      </c>
      <c r="E307">
        <f t="shared" ca="1" si="84"/>
        <v>1.3648148508076157</v>
      </c>
      <c r="F307">
        <f t="shared" ca="1" si="85"/>
        <v>0.51472709061484567</v>
      </c>
      <c r="G307">
        <f t="shared" ca="1" si="86"/>
        <v>1</v>
      </c>
      <c r="H307" s="47">
        <f t="shared" ca="1" si="87"/>
        <v>17606.216343251497</v>
      </c>
      <c r="I307">
        <f ca="1">Inputs!B13+(Inputs!D13-Inputs!B13)*BETAINV(RAND(),Model!H7,Model!I7)</f>
        <v>2.8175841507187736</v>
      </c>
      <c r="J307">
        <f ca="1">Inputs!E13+(Inputs!G13-Inputs!E13)*BETAINV(RAND(),Model!J7,Model!K7)</f>
        <v>0.20889651775404905</v>
      </c>
      <c r="K307">
        <f ca="1">(Inputs!H13+(Inputs!J13-Inputs!H13)*BETAINV(RAND(),Model!L7,Model!M7))*Inputs!$C$6</f>
        <v>47389.460457021385</v>
      </c>
      <c r="L307">
        <f t="shared" ca="1" si="88"/>
        <v>0.5885835175641515</v>
      </c>
      <c r="M307">
        <f t="shared" ca="1" si="89"/>
        <v>0.48416870133711953</v>
      </c>
      <c r="N307">
        <f t="shared" ca="1" si="90"/>
        <v>0</v>
      </c>
      <c r="O307" s="47">
        <f t="shared" ca="1" si="91"/>
        <v>0</v>
      </c>
      <c r="P307">
        <f ca="1">Inputs!B14+(Inputs!D14-Inputs!B14)*BETAINV(RAND(),Model!H8,Model!I8)</f>
        <v>0.65172471157514578</v>
      </c>
      <c r="Q307">
        <f ca="1">Inputs!E14+(Inputs!G14-Inputs!E14)*BETAINV(RAND(),Model!J8,Model!K8)</f>
        <v>0.75125126220960181</v>
      </c>
      <c r="R307">
        <f ca="1">(Inputs!H14+(Inputs!J14-Inputs!H14)*BETAINV(RAND(),Model!L8,Model!M8))*Inputs!$C$6</f>
        <v>579984.15172155062</v>
      </c>
      <c r="S307">
        <f t="shared" ca="1" si="92"/>
        <v>0.48960901218401698</v>
      </c>
      <c r="T307">
        <f t="shared" ca="1" si="93"/>
        <v>0.84958066970319446</v>
      </c>
      <c r="U307">
        <f t="shared" ca="1" si="94"/>
        <v>1</v>
      </c>
      <c r="V307" s="47">
        <f t="shared" ca="1" si="95"/>
        <v>579984.15172155062</v>
      </c>
      <c r="W307">
        <f ca="1">Inputs!B15+(Inputs!D15-Inputs!B15)*BETAINV(RAND(),Model!H9,Model!I9)</f>
        <v>1.1058207372209086</v>
      </c>
      <c r="X307">
        <f ca="1">Inputs!E15+(Inputs!G15-Inputs!E15)*BETAINV(RAND(),Model!J9,Model!K9)</f>
        <v>0.45593057046626539</v>
      </c>
      <c r="Y307">
        <f ca="1">(Inputs!H15+(Inputs!J15-Inputs!H15)*BETAINV(RAND(),Model!L9,Model!M9))*Inputs!$C$6</f>
        <v>17764.223113804892</v>
      </c>
      <c r="Z307">
        <f t="shared" ca="1" si="96"/>
        <v>0.50417747955455505</v>
      </c>
      <c r="AA307">
        <f t="shared" ca="1" si="97"/>
        <v>8.6068445670801408E-2</v>
      </c>
      <c r="AB307">
        <f t="shared" ca="1" si="98"/>
        <v>0</v>
      </c>
      <c r="AC307" s="47">
        <f t="shared" ca="1" si="99"/>
        <v>0</v>
      </c>
      <c r="AD307">
        <f ca="1">Inputs!B16+(Inputs!D16-Inputs!B16)*BETAINV(RAND(),Model!H10,Model!I10)</f>
        <v>0.46197508968648249</v>
      </c>
      <c r="AE307">
        <f ca="1">Inputs!E16+(Inputs!G16-Inputs!E16)*BETAINV(RAND(),Model!J10,Model!K10)</f>
        <v>0.5136935604486218</v>
      </c>
      <c r="AF307">
        <f ca="1">(Inputs!H16+(Inputs!J16-Inputs!H16)*BETAINV(RAND(),Model!L10,Model!M10))*Inputs!$C$6</f>
        <v>82864.875169470673</v>
      </c>
      <c r="AG307">
        <f t="shared" ca="1" si="100"/>
        <v>0.23731362865962058</v>
      </c>
      <c r="AH307">
        <f t="shared" ca="1" si="101"/>
        <v>0.60642330400652322</v>
      </c>
      <c r="AI307">
        <f t="shared" ca="1" si="102"/>
        <v>0</v>
      </c>
      <c r="AJ307" s="47">
        <f t="shared" ca="1" si="103"/>
        <v>0</v>
      </c>
      <c r="AK307">
        <f t="shared" ca="1" si="104"/>
        <v>597590.36806480214</v>
      </c>
    </row>
    <row r="308" spans="2:37" x14ac:dyDescent="0.2">
      <c r="B308">
        <f ca="1">Inputs!B12+(Inputs!D12-Inputs!B12)*BETAINV(RAND(),Model!H6,Model!I6)</f>
        <v>2.6033307782731314</v>
      </c>
      <c r="C308">
        <f ca="1">Inputs!E12+(Inputs!G12-Inputs!E12)*BETAINV(RAND(),Model!J6,Model!K6)</f>
        <v>0.42729217825617527</v>
      </c>
      <c r="D308">
        <f ca="1">(Inputs!H12+(Inputs!J12-Inputs!H12)*BETAINV(RAND(),Model!L6,Model!M6))*Inputs!$C$6</f>
        <v>19685.105291574211</v>
      </c>
      <c r="E308">
        <f t="shared" ca="1" si="84"/>
        <v>1.1123828789696704</v>
      </c>
      <c r="F308">
        <f t="shared" ca="1" si="85"/>
        <v>0.70579942039895571</v>
      </c>
      <c r="G308">
        <f t="shared" ca="1" si="86"/>
        <v>2</v>
      </c>
      <c r="H308" s="47">
        <f t="shared" ca="1" si="87"/>
        <v>39370.210583148422</v>
      </c>
      <c r="I308">
        <f ca="1">Inputs!B13+(Inputs!D13-Inputs!B13)*BETAINV(RAND(),Model!H7,Model!I7)</f>
        <v>1.303644652833198</v>
      </c>
      <c r="J308">
        <f ca="1">Inputs!E13+(Inputs!G13-Inputs!E13)*BETAINV(RAND(),Model!J7,Model!K7)</f>
        <v>0.18220789563264611</v>
      </c>
      <c r="K308">
        <f ca="1">(Inputs!H13+(Inputs!J13-Inputs!H13)*BETAINV(RAND(),Model!L7,Model!M7))*Inputs!$C$6</f>
        <v>36928.932619255516</v>
      </c>
      <c r="L308">
        <f t="shared" ca="1" si="88"/>
        <v>0.23753434884548852</v>
      </c>
      <c r="M308">
        <f t="shared" ca="1" si="89"/>
        <v>0.27874006035892784</v>
      </c>
      <c r="N308">
        <f t="shared" ca="1" si="90"/>
        <v>0</v>
      </c>
      <c r="O308" s="47">
        <f t="shared" ca="1" si="91"/>
        <v>0</v>
      </c>
      <c r="P308">
        <f ca="1">Inputs!B14+(Inputs!D14-Inputs!B14)*BETAINV(RAND(),Model!H8,Model!I8)</f>
        <v>0.29067236720905532</v>
      </c>
      <c r="Q308">
        <f ca="1">Inputs!E14+(Inputs!G14-Inputs!E14)*BETAINV(RAND(),Model!J8,Model!K8)</f>
        <v>0.55582423302773298</v>
      </c>
      <c r="R308">
        <f ca="1">(Inputs!H14+(Inputs!J14-Inputs!H14)*BETAINV(RAND(),Model!L8,Model!M8))*Inputs!$C$6</f>
        <v>326992.11484344135</v>
      </c>
      <c r="S308">
        <f t="shared" ca="1" si="92"/>
        <v>0.16156274556632874</v>
      </c>
      <c r="T308">
        <f t="shared" ca="1" si="93"/>
        <v>0.39854700876508609</v>
      </c>
      <c r="U308">
        <f t="shared" ca="1" si="94"/>
        <v>0</v>
      </c>
      <c r="V308" s="47">
        <f t="shared" ca="1" si="95"/>
        <v>0</v>
      </c>
      <c r="W308">
        <f ca="1">Inputs!B15+(Inputs!D15-Inputs!B15)*BETAINV(RAND(),Model!H9,Model!I9)</f>
        <v>0.7775857963339643</v>
      </c>
      <c r="X308">
        <f ca="1">Inputs!E15+(Inputs!G15-Inputs!E15)*BETAINV(RAND(),Model!J9,Model!K9)</f>
        <v>0.58394125521557072</v>
      </c>
      <c r="Y308">
        <f ca="1">(Inputs!H15+(Inputs!J15-Inputs!H15)*BETAINV(RAND(),Model!L9,Model!M9))*Inputs!$C$6</f>
        <v>29695.217122234862</v>
      </c>
      <c r="Z308">
        <f t="shared" ca="1" si="96"/>
        <v>0.45406442594905422</v>
      </c>
      <c r="AA308">
        <f t="shared" ca="1" si="97"/>
        <v>0.99878146316862404</v>
      </c>
      <c r="AB308">
        <f t="shared" ca="1" si="98"/>
        <v>4</v>
      </c>
      <c r="AC308" s="47">
        <f t="shared" ca="1" si="99"/>
        <v>118780.86848893945</v>
      </c>
      <c r="AD308">
        <f ca="1">Inputs!B16+(Inputs!D16-Inputs!B16)*BETAINV(RAND(),Model!H10,Model!I10)</f>
        <v>0.5930407887202418</v>
      </c>
      <c r="AE308">
        <f ca="1">Inputs!E16+(Inputs!G16-Inputs!E16)*BETAINV(RAND(),Model!J10,Model!K10)</f>
        <v>0.65750546677507526</v>
      </c>
      <c r="AF308">
        <f ca="1">(Inputs!H16+(Inputs!J16-Inputs!H16)*BETAINV(RAND(),Model!L10,Model!M10))*Inputs!$C$6</f>
        <v>114214.28966452858</v>
      </c>
      <c r="AG308">
        <f t="shared" ca="1" si="100"/>
        <v>0.38992756060416139</v>
      </c>
      <c r="AH308">
        <f t="shared" ca="1" si="101"/>
        <v>0.38942102727395467</v>
      </c>
      <c r="AI308">
        <f t="shared" ca="1" si="102"/>
        <v>0</v>
      </c>
      <c r="AJ308" s="47">
        <f t="shared" ca="1" si="103"/>
        <v>0</v>
      </c>
      <c r="AK308">
        <f t="shared" ca="1" si="104"/>
        <v>158151.07907208789</v>
      </c>
    </row>
    <row r="309" spans="2:37" x14ac:dyDescent="0.2">
      <c r="B309">
        <f ca="1">Inputs!B12+(Inputs!D12-Inputs!B12)*BETAINV(RAND(),Model!H6,Model!I6)</f>
        <v>3.9927314397091518</v>
      </c>
      <c r="C309">
        <f ca="1">Inputs!E12+(Inputs!G12-Inputs!E12)*BETAINV(RAND(),Model!J6,Model!K6)</f>
        <v>0.36416712318046024</v>
      </c>
      <c r="D309">
        <f ca="1">(Inputs!H12+(Inputs!J12-Inputs!H12)*BETAINV(RAND(),Model!L6,Model!M6))*Inputs!$C$6</f>
        <v>43969.988948711842</v>
      </c>
      <c r="E309">
        <f t="shared" ca="1" si="84"/>
        <v>1.4540215220310591</v>
      </c>
      <c r="F309">
        <f t="shared" ca="1" si="85"/>
        <v>0.52984894392190895</v>
      </c>
      <c r="G309">
        <f t="shared" ca="1" si="86"/>
        <v>1</v>
      </c>
      <c r="H309" s="47">
        <f t="shared" ca="1" si="87"/>
        <v>43969.988948711842</v>
      </c>
      <c r="I309">
        <f ca="1">Inputs!B13+(Inputs!D13-Inputs!B13)*BETAINV(RAND(),Model!H7,Model!I7)</f>
        <v>2.5597473240930935</v>
      </c>
      <c r="J309">
        <f ca="1">Inputs!E13+(Inputs!G13-Inputs!E13)*BETAINV(RAND(),Model!J7,Model!K7)</f>
        <v>0.24423776700903022</v>
      </c>
      <c r="K309">
        <f ca="1">(Inputs!H13+(Inputs!J13-Inputs!H13)*BETAINV(RAND(),Model!L7,Model!M7))*Inputs!$C$6</f>
        <v>19386.876264958039</v>
      </c>
      <c r="L309">
        <f t="shared" ca="1" si="88"/>
        <v>0.62518697054383754</v>
      </c>
      <c r="M309">
        <f t="shared" ca="1" si="89"/>
        <v>0.47007876379588043</v>
      </c>
      <c r="N309">
        <f t="shared" ca="1" si="90"/>
        <v>0</v>
      </c>
      <c r="O309" s="47">
        <f t="shared" ca="1" si="91"/>
        <v>0</v>
      </c>
      <c r="P309">
        <f ca="1">Inputs!B14+(Inputs!D14-Inputs!B14)*BETAINV(RAND(),Model!H8,Model!I8)</f>
        <v>0.15058462153369512</v>
      </c>
      <c r="Q309">
        <f ca="1">Inputs!E14+(Inputs!G14-Inputs!E14)*BETAINV(RAND(),Model!J8,Model!K8)</f>
        <v>0.65920257875274513</v>
      </c>
      <c r="R309">
        <f ca="1">(Inputs!H14+(Inputs!J14-Inputs!H14)*BETAINV(RAND(),Model!L8,Model!M8))*Inputs!$C$6</f>
        <v>315242.24547668255</v>
      </c>
      <c r="S309">
        <f t="shared" ca="1" si="92"/>
        <v>9.9265770835517977E-2</v>
      </c>
      <c r="T309">
        <f t="shared" ca="1" si="93"/>
        <v>2.6164619631016128E-2</v>
      </c>
      <c r="U309">
        <f t="shared" ca="1" si="94"/>
        <v>0</v>
      </c>
      <c r="V309" s="47">
        <f t="shared" ca="1" si="95"/>
        <v>0</v>
      </c>
      <c r="W309">
        <f ca="1">Inputs!B15+(Inputs!D15-Inputs!B15)*BETAINV(RAND(),Model!H9,Model!I9)</f>
        <v>0.81813656947736879</v>
      </c>
      <c r="X309">
        <f ca="1">Inputs!E15+(Inputs!G15-Inputs!E15)*BETAINV(RAND(),Model!J9,Model!K9)</f>
        <v>0.45848381172436803</v>
      </c>
      <c r="Y309">
        <f ca="1">(Inputs!H15+(Inputs!J15-Inputs!H15)*BETAINV(RAND(),Model!L9,Model!M9))*Inputs!$C$6</f>
        <v>31529.076181964807</v>
      </c>
      <c r="Z309">
        <f t="shared" ca="1" si="96"/>
        <v>0.3751023728850823</v>
      </c>
      <c r="AA309">
        <f t="shared" ca="1" si="97"/>
        <v>0.93599814338642495</v>
      </c>
      <c r="AB309">
        <f t="shared" ca="1" si="98"/>
        <v>1</v>
      </c>
      <c r="AC309" s="47">
        <f t="shared" ca="1" si="99"/>
        <v>31529.076181964807</v>
      </c>
      <c r="AD309">
        <f ca="1">Inputs!B16+(Inputs!D16-Inputs!B16)*BETAINV(RAND(),Model!H10,Model!I10)</f>
        <v>0.6649509214683722</v>
      </c>
      <c r="AE309">
        <f ca="1">Inputs!E16+(Inputs!G16-Inputs!E16)*BETAINV(RAND(),Model!J10,Model!K10)</f>
        <v>0.61835768026535765</v>
      </c>
      <c r="AF309">
        <f ca="1">(Inputs!H16+(Inputs!J16-Inputs!H16)*BETAINV(RAND(),Model!L10,Model!M10))*Inputs!$C$6</f>
        <v>45588.116675463178</v>
      </c>
      <c r="AG309">
        <f t="shared" ca="1" si="100"/>
        <v>0.41117750928949465</v>
      </c>
      <c r="AH309">
        <f t="shared" ca="1" si="101"/>
        <v>0.63959810304741904</v>
      </c>
      <c r="AI309">
        <f t="shared" ca="1" si="102"/>
        <v>0</v>
      </c>
      <c r="AJ309" s="47">
        <f t="shared" ca="1" si="103"/>
        <v>0</v>
      </c>
      <c r="AK309">
        <f t="shared" ca="1" si="104"/>
        <v>75499.065130676652</v>
      </c>
    </row>
    <row r="310" spans="2:37" x14ac:dyDescent="0.2">
      <c r="B310">
        <f ca="1">Inputs!B12+(Inputs!D12-Inputs!B12)*BETAINV(RAND(),Model!H6,Model!I6)</f>
        <v>3.7337425429719673</v>
      </c>
      <c r="C310">
        <f ca="1">Inputs!E12+(Inputs!G12-Inputs!E12)*BETAINV(RAND(),Model!J6,Model!K6)</f>
        <v>0.23647400069466723</v>
      </c>
      <c r="D310">
        <f ca="1">(Inputs!H12+(Inputs!J12-Inputs!H12)*BETAINV(RAND(),Model!L6,Model!M6))*Inputs!$C$6</f>
        <v>28801.221123594994</v>
      </c>
      <c r="E310">
        <f t="shared" ca="1" si="84"/>
        <v>0.88293303670046153</v>
      </c>
      <c r="F310">
        <f t="shared" ca="1" si="85"/>
        <v>0.56935303534746307</v>
      </c>
      <c r="G310">
        <f t="shared" ca="1" si="86"/>
        <v>1</v>
      </c>
      <c r="H310" s="47">
        <f t="shared" ca="1" si="87"/>
        <v>28801.221123594994</v>
      </c>
      <c r="I310">
        <f ca="1">Inputs!B13+(Inputs!D13-Inputs!B13)*BETAINV(RAND(),Model!H7,Model!I7)</f>
        <v>2.4032088313549944</v>
      </c>
      <c r="J310">
        <f ca="1">Inputs!E13+(Inputs!G13-Inputs!E13)*BETAINV(RAND(),Model!J7,Model!K7)</f>
        <v>0.28085555147662256</v>
      </c>
      <c r="K310">
        <f ca="1">(Inputs!H13+(Inputs!J13-Inputs!H13)*BETAINV(RAND(),Model!L7,Model!M7))*Inputs!$C$6</f>
        <v>25567.299628701498</v>
      </c>
      <c r="L310">
        <f t="shared" ca="1" si="88"/>
        <v>0.67495454164369661</v>
      </c>
      <c r="M310">
        <f t="shared" ca="1" si="89"/>
        <v>0.67276676640242139</v>
      </c>
      <c r="N310">
        <f t="shared" ca="1" si="90"/>
        <v>1</v>
      </c>
      <c r="O310" s="47">
        <f t="shared" ca="1" si="91"/>
        <v>25567.299628701498</v>
      </c>
      <c r="P310">
        <f ca="1">Inputs!B14+(Inputs!D14-Inputs!B14)*BETAINV(RAND(),Model!H8,Model!I8)</f>
        <v>0.20905008904075545</v>
      </c>
      <c r="Q310">
        <f ca="1">Inputs!E14+(Inputs!G14-Inputs!E14)*BETAINV(RAND(),Model!J8,Model!K8)</f>
        <v>0.60599975066223766</v>
      </c>
      <c r="R310">
        <f ca="1">(Inputs!H14+(Inputs!J14-Inputs!H14)*BETAINV(RAND(),Model!L8,Model!M8))*Inputs!$C$6</f>
        <v>569514.3726265491</v>
      </c>
      <c r="S310">
        <f t="shared" ca="1" si="92"/>
        <v>0.12668430183461638</v>
      </c>
      <c r="T310">
        <f t="shared" ca="1" si="93"/>
        <v>0.69953456757664279</v>
      </c>
      <c r="U310">
        <f t="shared" ca="1" si="94"/>
        <v>0</v>
      </c>
      <c r="V310" s="47">
        <f t="shared" ca="1" si="95"/>
        <v>0</v>
      </c>
      <c r="W310">
        <f ca="1">Inputs!B15+(Inputs!D15-Inputs!B15)*BETAINV(RAND(),Model!H9,Model!I9)</f>
        <v>0.58009136313442</v>
      </c>
      <c r="X310">
        <f ca="1">Inputs!E15+(Inputs!G15-Inputs!E15)*BETAINV(RAND(),Model!J9,Model!K9)</f>
        <v>0.49506452630752185</v>
      </c>
      <c r="Y310">
        <f ca="1">(Inputs!H15+(Inputs!J15-Inputs!H15)*BETAINV(RAND(),Model!L9,Model!M9))*Inputs!$C$6</f>
        <v>20220.13819971486</v>
      </c>
      <c r="Z310">
        <f t="shared" ca="1" si="96"/>
        <v>0.28718265590522629</v>
      </c>
      <c r="AA310">
        <f t="shared" ca="1" si="97"/>
        <v>0.6871291188497668</v>
      </c>
      <c r="AB310">
        <f t="shared" ca="1" si="98"/>
        <v>0</v>
      </c>
      <c r="AC310" s="47">
        <f t="shared" ca="1" si="99"/>
        <v>0</v>
      </c>
      <c r="AD310">
        <f ca="1">Inputs!B16+(Inputs!D16-Inputs!B16)*BETAINV(RAND(),Model!H10,Model!I10)</f>
        <v>0.6843153757134941</v>
      </c>
      <c r="AE310">
        <f ca="1">Inputs!E16+(Inputs!G16-Inputs!E16)*BETAINV(RAND(),Model!J10,Model!K10)</f>
        <v>0.55460424286868448</v>
      </c>
      <c r="AF310">
        <f ca="1">(Inputs!H16+(Inputs!J16-Inputs!H16)*BETAINV(RAND(),Model!L10,Model!M10))*Inputs!$C$6</f>
        <v>63739.631286656841</v>
      </c>
      <c r="AG310">
        <f t="shared" ca="1" si="100"/>
        <v>0.37952421083098176</v>
      </c>
      <c r="AH310">
        <f t="shared" ca="1" si="101"/>
        <v>0.27880400610016076</v>
      </c>
      <c r="AI310">
        <f t="shared" ca="1" si="102"/>
        <v>0</v>
      </c>
      <c r="AJ310" s="47">
        <f t="shared" ca="1" si="103"/>
        <v>0</v>
      </c>
      <c r="AK310">
        <f t="shared" ca="1" si="104"/>
        <v>54368.520752296492</v>
      </c>
    </row>
    <row r="311" spans="2:37" x14ac:dyDescent="0.2">
      <c r="B311">
        <f ca="1">Inputs!B12+(Inputs!D12-Inputs!B12)*BETAINV(RAND(),Model!H6,Model!I6)</f>
        <v>3.2990219017186675</v>
      </c>
      <c r="C311">
        <f ca="1">Inputs!E12+(Inputs!G12-Inputs!E12)*BETAINV(RAND(),Model!J6,Model!K6)</f>
        <v>0.27335044148068016</v>
      </c>
      <c r="D311">
        <f ca="1">(Inputs!H12+(Inputs!J12-Inputs!H12)*BETAINV(RAND(),Model!L6,Model!M6))*Inputs!$C$6</f>
        <v>15509.590073532641</v>
      </c>
      <c r="E311">
        <f t="shared" ca="1" si="84"/>
        <v>0.90178909328923085</v>
      </c>
      <c r="F311">
        <f t="shared" ca="1" si="85"/>
        <v>0.75000787671173574</v>
      </c>
      <c r="G311">
        <f t="shared" ca="1" si="86"/>
        <v>1</v>
      </c>
      <c r="H311" s="47">
        <f t="shared" ca="1" si="87"/>
        <v>15509.590073532641</v>
      </c>
      <c r="I311">
        <f ca="1">Inputs!B13+(Inputs!D13-Inputs!B13)*BETAINV(RAND(),Model!H7,Model!I7)</f>
        <v>1.5634684735678315</v>
      </c>
      <c r="J311">
        <f ca="1">Inputs!E13+(Inputs!G13-Inputs!E13)*BETAINV(RAND(),Model!J7,Model!K7)</f>
        <v>0.43156736186616751</v>
      </c>
      <c r="K311">
        <f ca="1">(Inputs!H13+(Inputs!J13-Inputs!H13)*BETAINV(RAND(),Model!L7,Model!M7))*Inputs!$C$6</f>
        <v>49286.763650868605</v>
      </c>
      <c r="L311">
        <f t="shared" ca="1" si="88"/>
        <v>0.67474196449859292</v>
      </c>
      <c r="M311">
        <f t="shared" ca="1" si="89"/>
        <v>0.51454464029260549</v>
      </c>
      <c r="N311">
        <f t="shared" ca="1" si="90"/>
        <v>1</v>
      </c>
      <c r="O311" s="47">
        <f t="shared" ca="1" si="91"/>
        <v>49286.763650868605</v>
      </c>
      <c r="P311">
        <f ca="1">Inputs!B14+(Inputs!D14-Inputs!B14)*BETAINV(RAND(),Model!H8,Model!I8)</f>
        <v>0.26821644413558987</v>
      </c>
      <c r="Q311">
        <f ca="1">Inputs!E14+(Inputs!G14-Inputs!E14)*BETAINV(RAND(),Model!J8,Model!K8)</f>
        <v>0.7031275613587995</v>
      </c>
      <c r="R311">
        <f ca="1">(Inputs!H14+(Inputs!J14-Inputs!H14)*BETAINV(RAND(),Model!L8,Model!M8))*Inputs!$C$6</f>
        <v>611243.21492084861</v>
      </c>
      <c r="S311">
        <f t="shared" ca="1" si="92"/>
        <v>0.18859037428138598</v>
      </c>
      <c r="T311">
        <f t="shared" ca="1" si="93"/>
        <v>0.41480996772304857</v>
      </c>
      <c r="U311">
        <f t="shared" ca="1" si="94"/>
        <v>0</v>
      </c>
      <c r="V311" s="47">
        <f t="shared" ca="1" si="95"/>
        <v>0</v>
      </c>
      <c r="W311">
        <f ca="1">Inputs!B15+(Inputs!D15-Inputs!B15)*BETAINV(RAND(),Model!H9,Model!I9)</f>
        <v>1.8321250949480803</v>
      </c>
      <c r="X311">
        <f ca="1">Inputs!E15+(Inputs!G15-Inputs!E15)*BETAINV(RAND(),Model!J9,Model!K9)</f>
        <v>0.32247122191596</v>
      </c>
      <c r="Y311">
        <f ca="1">(Inputs!H15+(Inputs!J15-Inputs!H15)*BETAINV(RAND(),Model!L9,Model!M9))*Inputs!$C$6</f>
        <v>35494.328531853265</v>
      </c>
      <c r="Z311">
        <f t="shared" ca="1" si="96"/>
        <v>0.59080761807080173</v>
      </c>
      <c r="AA311">
        <f t="shared" ca="1" si="97"/>
        <v>0.63195382061244876</v>
      </c>
      <c r="AB311">
        <f t="shared" ca="1" si="98"/>
        <v>1</v>
      </c>
      <c r="AC311" s="47">
        <f t="shared" ca="1" si="99"/>
        <v>35494.328531853265</v>
      </c>
      <c r="AD311">
        <f ca="1">Inputs!B16+(Inputs!D16-Inputs!B16)*BETAINV(RAND(),Model!H10,Model!I10)</f>
        <v>1.3206024743200064</v>
      </c>
      <c r="AE311">
        <f ca="1">Inputs!E16+(Inputs!G16-Inputs!E16)*BETAINV(RAND(),Model!J10,Model!K10)</f>
        <v>0.52170665730540278</v>
      </c>
      <c r="AF311">
        <f ca="1">(Inputs!H16+(Inputs!J16-Inputs!H16)*BETAINV(RAND(),Model!L10,Model!M10))*Inputs!$C$6</f>
        <v>126734.68076054539</v>
      </c>
      <c r="AG311">
        <f t="shared" ca="1" si="100"/>
        <v>0.68896710250673454</v>
      </c>
      <c r="AH311">
        <f t="shared" ca="1" si="101"/>
        <v>0.72852451625038206</v>
      </c>
      <c r="AI311">
        <f t="shared" ca="1" si="102"/>
        <v>1</v>
      </c>
      <c r="AJ311" s="47">
        <f t="shared" ca="1" si="103"/>
        <v>126734.68076054539</v>
      </c>
      <c r="AK311">
        <f t="shared" ca="1" si="104"/>
        <v>227025.36301679991</v>
      </c>
    </row>
    <row r="312" spans="2:37" x14ac:dyDescent="0.2">
      <c r="B312">
        <f ca="1">Inputs!B12+(Inputs!D12-Inputs!B12)*BETAINV(RAND(),Model!H6,Model!I6)</f>
        <v>2.6376472187468427</v>
      </c>
      <c r="C312">
        <f ca="1">Inputs!E12+(Inputs!G12-Inputs!E12)*BETAINV(RAND(),Model!J6,Model!K6)</f>
        <v>0.29726703124276699</v>
      </c>
      <c r="D312">
        <f ca="1">(Inputs!H12+(Inputs!J12-Inputs!H12)*BETAINV(RAND(),Model!L6,Model!M6))*Inputs!$C$6</f>
        <v>26169.036749080464</v>
      </c>
      <c r="E312">
        <f t="shared" ca="1" si="84"/>
        <v>0.78408555818261516</v>
      </c>
      <c r="F312">
        <f t="shared" ca="1" si="85"/>
        <v>0.40412275318783863</v>
      </c>
      <c r="G312">
        <f t="shared" ca="1" si="86"/>
        <v>0</v>
      </c>
      <c r="H312" s="47">
        <f t="shared" ca="1" si="87"/>
        <v>0</v>
      </c>
      <c r="I312">
        <f ca="1">Inputs!B13+(Inputs!D13-Inputs!B13)*BETAINV(RAND(),Model!H7,Model!I7)</f>
        <v>1.9815885027439624</v>
      </c>
      <c r="J312">
        <f ca="1">Inputs!E13+(Inputs!G13-Inputs!E13)*BETAINV(RAND(),Model!J7,Model!K7)</f>
        <v>0.33286546654636473</v>
      </c>
      <c r="K312">
        <f ca="1">(Inputs!H13+(Inputs!J13-Inputs!H13)*BETAINV(RAND(),Model!L7,Model!M7))*Inputs!$C$6</f>
        <v>48162.160578052062</v>
      </c>
      <c r="L312">
        <f t="shared" ca="1" si="88"/>
        <v>0.65960238146878136</v>
      </c>
      <c r="M312">
        <f t="shared" ca="1" si="89"/>
        <v>0.39596168386438857</v>
      </c>
      <c r="N312">
        <f t="shared" ca="1" si="90"/>
        <v>0</v>
      </c>
      <c r="O312" s="47">
        <f t="shared" ca="1" si="91"/>
        <v>0</v>
      </c>
      <c r="P312">
        <f ca="1">Inputs!B14+(Inputs!D14-Inputs!B14)*BETAINV(RAND(),Model!H8,Model!I8)</f>
        <v>0.37241878510546678</v>
      </c>
      <c r="Q312">
        <f ca="1">Inputs!E14+(Inputs!G14-Inputs!E14)*BETAINV(RAND(),Model!J8,Model!K8)</f>
        <v>0.6216170813569929</v>
      </c>
      <c r="R312">
        <f ca="1">(Inputs!H14+(Inputs!J14-Inputs!H14)*BETAINV(RAND(),Model!L8,Model!M8))*Inputs!$C$6</f>
        <v>619238.94883315836</v>
      </c>
      <c r="S312">
        <f t="shared" ca="1" si="92"/>
        <v>0.23150187823977739</v>
      </c>
      <c r="T312">
        <f t="shared" ca="1" si="93"/>
        <v>0.22975118649241766</v>
      </c>
      <c r="U312">
        <f t="shared" ca="1" si="94"/>
        <v>0</v>
      </c>
      <c r="V312" s="47">
        <f t="shared" ca="1" si="95"/>
        <v>0</v>
      </c>
      <c r="W312">
        <f ca="1">Inputs!B15+(Inputs!D15-Inputs!B15)*BETAINV(RAND(),Model!H9,Model!I9)</f>
        <v>1.3821651412971481</v>
      </c>
      <c r="X312">
        <f ca="1">Inputs!E15+(Inputs!G15-Inputs!E15)*BETAINV(RAND(),Model!J9,Model!K9)</f>
        <v>0.62927651513186089</v>
      </c>
      <c r="Y312">
        <f ca="1">(Inputs!H15+(Inputs!J15-Inputs!H15)*BETAINV(RAND(),Model!L9,Model!M9))*Inputs!$C$6</f>
        <v>37921.694206666281</v>
      </c>
      <c r="Z312">
        <f t="shared" ca="1" si="96"/>
        <v>0.86976406345220547</v>
      </c>
      <c r="AA312">
        <f t="shared" ca="1" si="97"/>
        <v>0.62605674269060474</v>
      </c>
      <c r="AB312">
        <f t="shared" ca="1" si="98"/>
        <v>1</v>
      </c>
      <c r="AC312" s="47">
        <f t="shared" ca="1" si="99"/>
        <v>37921.694206666281</v>
      </c>
      <c r="AD312">
        <f ca="1">Inputs!B16+(Inputs!D16-Inputs!B16)*BETAINV(RAND(),Model!H10,Model!I10)</f>
        <v>0.82465018908721177</v>
      </c>
      <c r="AE312">
        <f ca="1">Inputs!E16+(Inputs!G16-Inputs!E16)*BETAINV(RAND(),Model!J10,Model!K10)</f>
        <v>0.55333787974551263</v>
      </c>
      <c r="AF312">
        <f ca="1">(Inputs!H16+(Inputs!J16-Inputs!H16)*BETAINV(RAND(),Model!L10,Model!M10))*Inputs!$C$6</f>
        <v>46677.176704957754</v>
      </c>
      <c r="AG312">
        <f t="shared" ca="1" si="100"/>
        <v>0.45631018716125382</v>
      </c>
      <c r="AH312">
        <f t="shared" ca="1" si="101"/>
        <v>6.8462326917826499E-2</v>
      </c>
      <c r="AI312">
        <f t="shared" ca="1" si="102"/>
        <v>0</v>
      </c>
      <c r="AJ312" s="47">
        <f t="shared" ca="1" si="103"/>
        <v>0</v>
      </c>
      <c r="AK312">
        <f t="shared" ca="1" si="104"/>
        <v>37921.694206666281</v>
      </c>
    </row>
    <row r="313" spans="2:37" x14ac:dyDescent="0.2">
      <c r="B313">
        <f ca="1">Inputs!B12+(Inputs!D12-Inputs!B12)*BETAINV(RAND(),Model!H6,Model!I6)</f>
        <v>5.0265086259685736</v>
      </c>
      <c r="C313">
        <f ca="1">Inputs!E12+(Inputs!G12-Inputs!E12)*BETAINV(RAND(),Model!J6,Model!K6)</f>
        <v>0.39726739267545758</v>
      </c>
      <c r="D313">
        <f ca="1">(Inputs!H12+(Inputs!J12-Inputs!H12)*BETAINV(RAND(),Model!L6,Model!M6))*Inputs!$C$6</f>
        <v>27842.570086254775</v>
      </c>
      <c r="E313">
        <f t="shared" ca="1" si="84"/>
        <v>1.9968679760992321</v>
      </c>
      <c r="F313">
        <f t="shared" ca="1" si="85"/>
        <v>0.41843050022659145</v>
      </c>
      <c r="G313">
        <f t="shared" ca="1" si="86"/>
        <v>2</v>
      </c>
      <c r="H313" s="47">
        <f t="shared" ca="1" si="87"/>
        <v>55685.140172509549</v>
      </c>
      <c r="I313">
        <f ca="1">Inputs!B13+(Inputs!D13-Inputs!B13)*BETAINV(RAND(),Model!H7,Model!I7)</f>
        <v>1.4525286802459032</v>
      </c>
      <c r="J313">
        <f ca="1">Inputs!E13+(Inputs!G13-Inputs!E13)*BETAINV(RAND(),Model!J7,Model!K7)</f>
        <v>0.27644175230908019</v>
      </c>
      <c r="K313">
        <f ca="1">(Inputs!H13+(Inputs!J13-Inputs!H13)*BETAINV(RAND(),Model!L7,Model!M7))*Inputs!$C$6</f>
        <v>21172.796191346075</v>
      </c>
      <c r="L313">
        <f t="shared" ca="1" si="88"/>
        <v>0.4015395736463731</v>
      </c>
      <c r="M313">
        <f t="shared" ca="1" si="89"/>
        <v>0.76811078038633607</v>
      </c>
      <c r="N313">
        <f t="shared" ca="1" si="90"/>
        <v>1</v>
      </c>
      <c r="O313" s="47">
        <f t="shared" ca="1" si="91"/>
        <v>21172.796191346075</v>
      </c>
      <c r="P313">
        <f ca="1">Inputs!B14+(Inputs!D14-Inputs!B14)*BETAINV(RAND(),Model!H8,Model!I8)</f>
        <v>0.13611880801318696</v>
      </c>
      <c r="Q313">
        <f ca="1">Inputs!E14+(Inputs!G14-Inputs!E14)*BETAINV(RAND(),Model!J8,Model!K8)</f>
        <v>0.54010533290659402</v>
      </c>
      <c r="R313">
        <f ca="1">(Inputs!H14+(Inputs!J14-Inputs!H14)*BETAINV(RAND(),Model!L8,Model!M8))*Inputs!$C$6</f>
        <v>517193.1372136593</v>
      </c>
      <c r="S313">
        <f t="shared" ca="1" si="92"/>
        <v>7.3518494116811106E-2</v>
      </c>
      <c r="T313">
        <f t="shared" ca="1" si="93"/>
        <v>0.30216600661935133</v>
      </c>
      <c r="U313">
        <f t="shared" ca="1" si="94"/>
        <v>0</v>
      </c>
      <c r="V313" s="47">
        <f t="shared" ca="1" si="95"/>
        <v>0</v>
      </c>
      <c r="W313">
        <f ca="1">Inputs!B15+(Inputs!D15-Inputs!B15)*BETAINV(RAND(),Model!H9,Model!I9)</f>
        <v>0.88589156071826336</v>
      </c>
      <c r="X313">
        <f ca="1">Inputs!E15+(Inputs!G15-Inputs!E15)*BETAINV(RAND(),Model!J9,Model!K9)</f>
        <v>0.37672984746694971</v>
      </c>
      <c r="Y313">
        <f ca="1">(Inputs!H15+(Inputs!J15-Inputs!H15)*BETAINV(RAND(),Model!L9,Model!M9))*Inputs!$C$6</f>
        <v>26025.575640757463</v>
      </c>
      <c r="Z313">
        <f t="shared" ca="1" si="96"/>
        <v>0.33374179254164937</v>
      </c>
      <c r="AA313">
        <f t="shared" ca="1" si="97"/>
        <v>0.15946826590488483</v>
      </c>
      <c r="AB313">
        <f t="shared" ca="1" si="98"/>
        <v>0</v>
      </c>
      <c r="AC313" s="47">
        <f t="shared" ca="1" si="99"/>
        <v>0</v>
      </c>
      <c r="AD313">
        <f ca="1">Inputs!B16+(Inputs!D16-Inputs!B16)*BETAINV(RAND(),Model!H10,Model!I10)</f>
        <v>0.52925523719926337</v>
      </c>
      <c r="AE313">
        <f ca="1">Inputs!E16+(Inputs!G16-Inputs!E16)*BETAINV(RAND(),Model!J10,Model!K10)</f>
        <v>0.63105095747372564</v>
      </c>
      <c r="AF313">
        <f ca="1">(Inputs!H16+(Inputs!J16-Inputs!H16)*BETAINV(RAND(),Model!L10,Model!M10))*Inputs!$C$6</f>
        <v>87078.986563121827</v>
      </c>
      <c r="AG313">
        <f t="shared" ca="1" si="100"/>
        <v>0.33398702418257892</v>
      </c>
      <c r="AH313">
        <f t="shared" ca="1" si="101"/>
        <v>0.17332451106089952</v>
      </c>
      <c r="AI313">
        <f t="shared" ca="1" si="102"/>
        <v>0</v>
      </c>
      <c r="AJ313" s="47">
        <f t="shared" ca="1" si="103"/>
        <v>0</v>
      </c>
      <c r="AK313">
        <f t="shared" ca="1" si="104"/>
        <v>76857.936363855624</v>
      </c>
    </row>
    <row r="314" spans="2:37" x14ac:dyDescent="0.2">
      <c r="B314">
        <f ca="1">Inputs!B12+(Inputs!D12-Inputs!B12)*BETAINV(RAND(),Model!H6,Model!I6)</f>
        <v>4.6051357874355272</v>
      </c>
      <c r="C314">
        <f ca="1">Inputs!E12+(Inputs!G12-Inputs!E12)*BETAINV(RAND(),Model!J6,Model!K6)</f>
        <v>0.2638435616819218</v>
      </c>
      <c r="D314">
        <f ca="1">(Inputs!H12+(Inputs!J12-Inputs!H12)*BETAINV(RAND(),Model!L6,Model!M6))*Inputs!$C$6</f>
        <v>31850.087637380246</v>
      </c>
      <c r="E314">
        <f t="shared" ca="1" si="84"/>
        <v>1.2150354281858711</v>
      </c>
      <c r="F314">
        <f t="shared" ca="1" si="85"/>
        <v>0.92167029962949154</v>
      </c>
      <c r="G314">
        <f t="shared" ca="1" si="86"/>
        <v>3</v>
      </c>
      <c r="H314" s="47">
        <f t="shared" ca="1" si="87"/>
        <v>95550.262912140737</v>
      </c>
      <c r="I314">
        <f ca="1">Inputs!B13+(Inputs!D13-Inputs!B13)*BETAINV(RAND(),Model!H7,Model!I7)</f>
        <v>1.2516434448737477</v>
      </c>
      <c r="J314">
        <f ca="1">Inputs!E13+(Inputs!G13-Inputs!E13)*BETAINV(RAND(),Model!J7,Model!K7)</f>
        <v>0.21390353283096364</v>
      </c>
      <c r="K314">
        <f ca="1">(Inputs!H13+(Inputs!J13-Inputs!H13)*BETAINV(RAND(),Model!L7,Model!M7))*Inputs!$C$6</f>
        <v>29683.635733415438</v>
      </c>
      <c r="L314">
        <f t="shared" ca="1" si="88"/>
        <v>0.26773095470321212</v>
      </c>
      <c r="M314">
        <f t="shared" ca="1" si="89"/>
        <v>0.30473198104649601</v>
      </c>
      <c r="N314">
        <f t="shared" ca="1" si="90"/>
        <v>0</v>
      </c>
      <c r="O314" s="47">
        <f t="shared" ca="1" si="91"/>
        <v>0</v>
      </c>
      <c r="P314">
        <f ca="1">Inputs!B14+(Inputs!D14-Inputs!B14)*BETAINV(RAND(),Model!H8,Model!I8)</f>
        <v>0.25364320106910065</v>
      </c>
      <c r="Q314">
        <f ca="1">Inputs!E14+(Inputs!G14-Inputs!E14)*BETAINV(RAND(),Model!J8,Model!K8)</f>
        <v>0.58672330681982277</v>
      </c>
      <c r="R314">
        <f ca="1">(Inputs!H14+(Inputs!J14-Inputs!H14)*BETAINV(RAND(),Model!L8,Model!M8))*Inputs!$C$6</f>
        <v>571029.82532724901</v>
      </c>
      <c r="S314">
        <f t="shared" ca="1" si="92"/>
        <v>0.14881837768362793</v>
      </c>
      <c r="T314">
        <f t="shared" ca="1" si="93"/>
        <v>0.44955807591715391</v>
      </c>
      <c r="U314">
        <f t="shared" ca="1" si="94"/>
        <v>0</v>
      </c>
      <c r="V314" s="47">
        <f t="shared" ca="1" si="95"/>
        <v>0</v>
      </c>
      <c r="W314">
        <f ca="1">Inputs!B15+(Inputs!D15-Inputs!B15)*BETAINV(RAND(),Model!H9,Model!I9)</f>
        <v>0.50871042910468045</v>
      </c>
      <c r="X314">
        <f ca="1">Inputs!E15+(Inputs!G15-Inputs!E15)*BETAINV(RAND(),Model!J9,Model!K9)</f>
        <v>0.31794423266970534</v>
      </c>
      <c r="Y314">
        <f ca="1">(Inputs!H15+(Inputs!J15-Inputs!H15)*BETAINV(RAND(),Model!L9,Model!M9))*Inputs!$C$6</f>
        <v>32017.818705978483</v>
      </c>
      <c r="Z314">
        <f t="shared" ca="1" si="96"/>
        <v>0.16174154703276417</v>
      </c>
      <c r="AA314">
        <f t="shared" ca="1" si="97"/>
        <v>0.42455458946570312</v>
      </c>
      <c r="AB314">
        <f t="shared" ca="1" si="98"/>
        <v>0</v>
      </c>
      <c r="AC314" s="47">
        <f t="shared" ca="1" si="99"/>
        <v>0</v>
      </c>
      <c r="AD314">
        <f ca="1">Inputs!B16+(Inputs!D16-Inputs!B16)*BETAINV(RAND(),Model!H10,Model!I10)</f>
        <v>0.65424742582159934</v>
      </c>
      <c r="AE314">
        <f ca="1">Inputs!E16+(Inputs!G16-Inputs!E16)*BETAINV(RAND(),Model!J10,Model!K10)</f>
        <v>0.56372365262915336</v>
      </c>
      <c r="AF314">
        <f ca="1">(Inputs!H16+(Inputs!J16-Inputs!H16)*BETAINV(RAND(),Model!L10,Model!M10))*Inputs!$C$6</f>
        <v>36859.791908770996</v>
      </c>
      <c r="AG314">
        <f t="shared" ca="1" si="100"/>
        <v>0.36881474860737307</v>
      </c>
      <c r="AH314">
        <f t="shared" ca="1" si="101"/>
        <v>0.87066006342146773</v>
      </c>
      <c r="AI314">
        <f t="shared" ca="1" si="102"/>
        <v>1</v>
      </c>
      <c r="AJ314" s="47">
        <f t="shared" ca="1" si="103"/>
        <v>36859.791908770996</v>
      </c>
      <c r="AK314">
        <f t="shared" ca="1" si="104"/>
        <v>132410.05482091173</v>
      </c>
    </row>
    <row r="315" spans="2:37" x14ac:dyDescent="0.2">
      <c r="B315">
        <f ca="1">Inputs!B12+(Inputs!D12-Inputs!B12)*BETAINV(RAND(),Model!H6,Model!I6)</f>
        <v>2.6739972901548716</v>
      </c>
      <c r="C315">
        <f ca="1">Inputs!E12+(Inputs!G12-Inputs!E12)*BETAINV(RAND(),Model!J6,Model!K6)</f>
        <v>0.46044237152335443</v>
      </c>
      <c r="D315">
        <f ca="1">(Inputs!H12+(Inputs!J12-Inputs!H12)*BETAINV(RAND(),Model!L6,Model!M6))*Inputs!$C$6</f>
        <v>49025.308475648053</v>
      </c>
      <c r="E315">
        <f t="shared" ca="1" si="84"/>
        <v>1.2312216537259324</v>
      </c>
      <c r="F315">
        <f t="shared" ca="1" si="85"/>
        <v>0.12020751149829567</v>
      </c>
      <c r="G315">
        <f t="shared" ca="1" si="86"/>
        <v>0</v>
      </c>
      <c r="H315" s="47">
        <f t="shared" ca="1" si="87"/>
        <v>0</v>
      </c>
      <c r="I315">
        <f ca="1">Inputs!B13+(Inputs!D13-Inputs!B13)*BETAINV(RAND(),Model!H7,Model!I7)</f>
        <v>1.6163571027447627</v>
      </c>
      <c r="J315">
        <f ca="1">Inputs!E13+(Inputs!G13-Inputs!E13)*BETAINV(RAND(),Model!J7,Model!K7)</f>
        <v>0.39784987524746873</v>
      </c>
      <c r="K315">
        <f ca="1">(Inputs!H13+(Inputs!J13-Inputs!H13)*BETAINV(RAND(),Model!L7,Model!M7))*Inputs!$C$6</f>
        <v>48011.387021355025</v>
      </c>
      <c r="L315">
        <f t="shared" ca="1" si="88"/>
        <v>0.64306747168236389</v>
      </c>
      <c r="M315">
        <f t="shared" ca="1" si="89"/>
        <v>0.84308912455241292</v>
      </c>
      <c r="N315">
        <f t="shared" ca="1" si="90"/>
        <v>1</v>
      </c>
      <c r="O315" s="47">
        <f t="shared" ca="1" si="91"/>
        <v>48011.387021355025</v>
      </c>
      <c r="P315">
        <f ca="1">Inputs!B14+(Inputs!D14-Inputs!B14)*BETAINV(RAND(),Model!H8,Model!I8)</f>
        <v>0.43935605118687138</v>
      </c>
      <c r="Q315">
        <f ca="1">Inputs!E14+(Inputs!G14-Inputs!E14)*BETAINV(RAND(),Model!J8,Model!K8)</f>
        <v>0.53884745740810347</v>
      </c>
      <c r="R315">
        <f ca="1">(Inputs!H14+(Inputs!J14-Inputs!H14)*BETAINV(RAND(),Model!L8,Model!M8))*Inputs!$C$6</f>
        <v>521733.25545292941</v>
      </c>
      <c r="S315">
        <f t="shared" ca="1" si="92"/>
        <v>0.2367458910789102</v>
      </c>
      <c r="T315">
        <f t="shared" ca="1" si="93"/>
        <v>0.52733013306934773</v>
      </c>
      <c r="U315">
        <f t="shared" ca="1" si="94"/>
        <v>0</v>
      </c>
      <c r="V315" s="47">
        <f t="shared" ca="1" si="95"/>
        <v>0</v>
      </c>
      <c r="W315">
        <f ca="1">Inputs!B15+(Inputs!D15-Inputs!B15)*BETAINV(RAND(),Model!H9,Model!I9)</f>
        <v>1.2624161227571415</v>
      </c>
      <c r="X315">
        <f ca="1">Inputs!E15+(Inputs!G15-Inputs!E15)*BETAINV(RAND(),Model!J9,Model!K9)</f>
        <v>0.43559459874299178</v>
      </c>
      <c r="Y315">
        <f ca="1">(Inputs!H15+(Inputs!J15-Inputs!H15)*BETAINV(RAND(),Model!L9,Model!M9))*Inputs!$C$6</f>
        <v>31813.647371375839</v>
      </c>
      <c r="Z315">
        <f t="shared" ca="1" si="96"/>
        <v>0.54990164443908052</v>
      </c>
      <c r="AA315">
        <f t="shared" ca="1" si="97"/>
        <v>0.54980810784109035</v>
      </c>
      <c r="AB315">
        <f t="shared" ca="1" si="98"/>
        <v>0</v>
      </c>
      <c r="AC315" s="47">
        <f t="shared" ca="1" si="99"/>
        <v>0</v>
      </c>
      <c r="AD315">
        <f ca="1">Inputs!B16+(Inputs!D16-Inputs!B16)*BETAINV(RAND(),Model!H10,Model!I10)</f>
        <v>0.7020290991678535</v>
      </c>
      <c r="AE315">
        <f ca="1">Inputs!E16+(Inputs!G16-Inputs!E16)*BETAINV(RAND(),Model!J10,Model!K10)</f>
        <v>0.47740191135189192</v>
      </c>
      <c r="AF315">
        <f ca="1">(Inputs!H16+(Inputs!J16-Inputs!H16)*BETAINV(RAND(),Model!L10,Model!M10))*Inputs!$C$6</f>
        <v>43361.440058893575</v>
      </c>
      <c r="AG315">
        <f t="shared" ca="1" si="100"/>
        <v>0.33515003376738012</v>
      </c>
      <c r="AH315">
        <f t="shared" ca="1" si="101"/>
        <v>0.33037133514521888</v>
      </c>
      <c r="AI315">
        <f t="shared" ca="1" si="102"/>
        <v>0</v>
      </c>
      <c r="AJ315" s="47">
        <f t="shared" ca="1" si="103"/>
        <v>0</v>
      </c>
      <c r="AK315">
        <f t="shared" ca="1" si="104"/>
        <v>48011.387021355025</v>
      </c>
    </row>
    <row r="316" spans="2:37" x14ac:dyDescent="0.2">
      <c r="B316">
        <f ca="1">Inputs!B12+(Inputs!D12-Inputs!B12)*BETAINV(RAND(),Model!H6,Model!I6)</f>
        <v>3.9650793875387107</v>
      </c>
      <c r="C316">
        <f ca="1">Inputs!E12+(Inputs!G12-Inputs!E12)*BETAINV(RAND(),Model!J6,Model!K6)</f>
        <v>0.41951619021383357</v>
      </c>
      <c r="D316">
        <f ca="1">(Inputs!H12+(Inputs!J12-Inputs!H12)*BETAINV(RAND(),Model!L6,Model!M6))*Inputs!$C$6</f>
        <v>37318.471854262243</v>
      </c>
      <c r="E316">
        <f t="shared" ca="1" si="84"/>
        <v>1.6634149985556406</v>
      </c>
      <c r="F316">
        <f t="shared" ca="1" si="85"/>
        <v>9.5332482730730028E-2</v>
      </c>
      <c r="G316">
        <f t="shared" ca="1" si="86"/>
        <v>0</v>
      </c>
      <c r="H316" s="47">
        <f t="shared" ca="1" si="87"/>
        <v>0</v>
      </c>
      <c r="I316">
        <f ca="1">Inputs!B13+(Inputs!D13-Inputs!B13)*BETAINV(RAND(),Model!H7,Model!I7)</f>
        <v>1.3324747742910223</v>
      </c>
      <c r="J316">
        <f ca="1">Inputs!E13+(Inputs!G13-Inputs!E13)*BETAINV(RAND(),Model!J7,Model!K7)</f>
        <v>0.32351524089574224</v>
      </c>
      <c r="K316">
        <f ca="1">(Inputs!H13+(Inputs!J13-Inputs!H13)*BETAINV(RAND(),Model!L7,Model!M7))*Inputs!$C$6</f>
        <v>64109.715900138821</v>
      </c>
      <c r="L316">
        <f t="shared" ca="1" si="88"/>
        <v>0.43107589759225984</v>
      </c>
      <c r="M316">
        <f t="shared" ca="1" si="89"/>
        <v>0.50375414098544191</v>
      </c>
      <c r="N316">
        <f t="shared" ca="1" si="90"/>
        <v>0</v>
      </c>
      <c r="O316" s="47">
        <f t="shared" ca="1" si="91"/>
        <v>0</v>
      </c>
      <c r="P316">
        <f ca="1">Inputs!B14+(Inputs!D14-Inputs!B14)*BETAINV(RAND(),Model!H8,Model!I8)</f>
        <v>0.1351808586746876</v>
      </c>
      <c r="Q316">
        <f ca="1">Inputs!E14+(Inputs!G14-Inputs!E14)*BETAINV(RAND(),Model!J8,Model!K8)</f>
        <v>0.61576871205458517</v>
      </c>
      <c r="R316">
        <f ca="1">(Inputs!H14+(Inputs!J14-Inputs!H14)*BETAINV(RAND(),Model!L8,Model!M8))*Inputs!$C$6</f>
        <v>378305.55712199677</v>
      </c>
      <c r="S316">
        <f t="shared" ca="1" si="92"/>
        <v>8.3240143240545281E-2</v>
      </c>
      <c r="T316">
        <f t="shared" ca="1" si="93"/>
        <v>0.70749957149729303</v>
      </c>
      <c r="U316">
        <f t="shared" ca="1" si="94"/>
        <v>0</v>
      </c>
      <c r="V316" s="47">
        <f t="shared" ca="1" si="95"/>
        <v>0</v>
      </c>
      <c r="W316">
        <f ca="1">Inputs!B15+(Inputs!D15-Inputs!B15)*BETAINV(RAND(),Model!H9,Model!I9)</f>
        <v>0.64192731382573431</v>
      </c>
      <c r="X316">
        <f ca="1">Inputs!E15+(Inputs!G15-Inputs!E15)*BETAINV(RAND(),Model!J9,Model!K9)</f>
        <v>0.46109993229838492</v>
      </c>
      <c r="Y316">
        <f ca="1">(Inputs!H15+(Inputs!J15-Inputs!H15)*BETAINV(RAND(),Model!L9,Model!M9))*Inputs!$C$6</f>
        <v>34162.451414287258</v>
      </c>
      <c r="Z316">
        <f t="shared" ca="1" si="96"/>
        <v>0.29599264094553018</v>
      </c>
      <c r="AA316">
        <f t="shared" ca="1" si="97"/>
        <v>0.23482572565935755</v>
      </c>
      <c r="AB316">
        <f t="shared" ca="1" si="98"/>
        <v>0</v>
      </c>
      <c r="AC316" s="47">
        <f t="shared" ca="1" si="99"/>
        <v>0</v>
      </c>
      <c r="AD316">
        <f ca="1">Inputs!B16+(Inputs!D16-Inputs!B16)*BETAINV(RAND(),Model!H10,Model!I10)</f>
        <v>0.75649559064781946</v>
      </c>
      <c r="AE316">
        <f ca="1">Inputs!E16+(Inputs!G16-Inputs!E16)*BETAINV(RAND(),Model!J10,Model!K10)</f>
        <v>0.52014336160582464</v>
      </c>
      <c r="AF316">
        <f ca="1">(Inputs!H16+(Inputs!J16-Inputs!H16)*BETAINV(RAND(),Model!L10,Model!M10))*Inputs!$C$6</f>
        <v>119522.20286085983</v>
      </c>
      <c r="AG316">
        <f t="shared" ca="1" si="100"/>
        <v>0.39348615955954064</v>
      </c>
      <c r="AH316">
        <f t="shared" ca="1" si="101"/>
        <v>0.34256981388312213</v>
      </c>
      <c r="AI316">
        <f t="shared" ca="1" si="102"/>
        <v>0</v>
      </c>
      <c r="AJ316" s="47">
        <f t="shared" ca="1" si="103"/>
        <v>0</v>
      </c>
      <c r="AK316">
        <f t="shared" ca="1" si="104"/>
        <v>0</v>
      </c>
    </row>
    <row r="317" spans="2:37" x14ac:dyDescent="0.2">
      <c r="B317">
        <f ca="1">Inputs!B12+(Inputs!D12-Inputs!B12)*BETAINV(RAND(),Model!H6,Model!I6)</f>
        <v>3.2704568366691453</v>
      </c>
      <c r="C317">
        <f ca="1">Inputs!E12+(Inputs!G12-Inputs!E12)*BETAINV(RAND(),Model!J6,Model!K6)</f>
        <v>0.23692596624358056</v>
      </c>
      <c r="D317">
        <f ca="1">(Inputs!H12+(Inputs!J12-Inputs!H12)*BETAINV(RAND(),Model!L6,Model!M6))*Inputs!$C$6</f>
        <v>28357.509708522393</v>
      </c>
      <c r="E317">
        <f t="shared" ca="1" si="84"/>
        <v>0.77485614608576114</v>
      </c>
      <c r="F317">
        <f t="shared" ca="1" si="85"/>
        <v>0.22820670640721363</v>
      </c>
      <c r="G317">
        <f t="shared" ca="1" si="86"/>
        <v>0</v>
      </c>
      <c r="H317" s="47">
        <f t="shared" ca="1" si="87"/>
        <v>0</v>
      </c>
      <c r="I317">
        <f ca="1">Inputs!B13+(Inputs!D13-Inputs!B13)*BETAINV(RAND(),Model!H7,Model!I7)</f>
        <v>3.2285432874796425</v>
      </c>
      <c r="J317">
        <f ca="1">Inputs!E13+(Inputs!G13-Inputs!E13)*BETAINV(RAND(),Model!J7,Model!K7)</f>
        <v>0.24420749881422416</v>
      </c>
      <c r="K317">
        <f ca="1">(Inputs!H13+(Inputs!J13-Inputs!H13)*BETAINV(RAND(),Model!L7,Model!M7))*Inputs!$C$6</f>
        <v>60538.033883888173</v>
      </c>
      <c r="L317">
        <f t="shared" ca="1" si="88"/>
        <v>0.78843448104885616</v>
      </c>
      <c r="M317">
        <f t="shared" ca="1" si="89"/>
        <v>0.77018673587683883</v>
      </c>
      <c r="N317">
        <f t="shared" ca="1" si="90"/>
        <v>1</v>
      </c>
      <c r="O317" s="47">
        <f t="shared" ca="1" si="91"/>
        <v>60538.033883888173</v>
      </c>
      <c r="P317">
        <f ca="1">Inputs!B14+(Inputs!D14-Inputs!B14)*BETAINV(RAND(),Model!H8,Model!I8)</f>
        <v>0.53945365364711573</v>
      </c>
      <c r="Q317">
        <f ca="1">Inputs!E14+(Inputs!G14-Inputs!E14)*BETAINV(RAND(),Model!J8,Model!K8)</f>
        <v>0.55488867508756867</v>
      </c>
      <c r="R317">
        <f ca="1">(Inputs!H14+(Inputs!J14-Inputs!H14)*BETAINV(RAND(),Model!L8,Model!M8))*Inputs!$C$6</f>
        <v>359552.82255492592</v>
      </c>
      <c r="S317">
        <f t="shared" ca="1" si="92"/>
        <v>0.29933672314339621</v>
      </c>
      <c r="T317">
        <f t="shared" ca="1" si="93"/>
        <v>0.94120755162009007</v>
      </c>
      <c r="U317">
        <f t="shared" ca="1" si="94"/>
        <v>1</v>
      </c>
      <c r="V317" s="47">
        <f t="shared" ca="1" si="95"/>
        <v>359552.82255492592</v>
      </c>
      <c r="W317">
        <f ca="1">Inputs!B15+(Inputs!D15-Inputs!B15)*BETAINV(RAND(),Model!H9,Model!I9)</f>
        <v>0.57381600801126087</v>
      </c>
      <c r="X317">
        <f ca="1">Inputs!E15+(Inputs!G15-Inputs!E15)*BETAINV(RAND(),Model!J9,Model!K9)</f>
        <v>0.39022512182528946</v>
      </c>
      <c r="Y317">
        <f ca="1">(Inputs!H15+(Inputs!J15-Inputs!H15)*BETAINV(RAND(),Model!L9,Model!M9))*Inputs!$C$6</f>
        <v>32562.73935741141</v>
      </c>
      <c r="Z317">
        <f t="shared" ca="1" si="96"/>
        <v>0.22391742163149556</v>
      </c>
      <c r="AA317">
        <f t="shared" ca="1" si="97"/>
        <v>0.4683341164959044</v>
      </c>
      <c r="AB317">
        <f t="shared" ca="1" si="98"/>
        <v>0</v>
      </c>
      <c r="AC317" s="47">
        <f t="shared" ca="1" si="99"/>
        <v>0</v>
      </c>
      <c r="AD317">
        <f ca="1">Inputs!B16+(Inputs!D16-Inputs!B16)*BETAINV(RAND(),Model!H10,Model!I10)</f>
        <v>0.43635665566035409</v>
      </c>
      <c r="AE317">
        <f ca="1">Inputs!E16+(Inputs!G16-Inputs!E16)*BETAINV(RAND(),Model!J10,Model!K10)</f>
        <v>0.66777688481883679</v>
      </c>
      <c r="AF317">
        <f ca="1">(Inputs!H16+(Inputs!J16-Inputs!H16)*BETAINV(RAND(),Model!L10,Model!M10))*Inputs!$C$6</f>
        <v>80386.753416143634</v>
      </c>
      <c r="AG317">
        <f t="shared" ca="1" si="100"/>
        <v>0.29138888818683711</v>
      </c>
      <c r="AH317">
        <f t="shared" ca="1" si="101"/>
        <v>0.85416199519620706</v>
      </c>
      <c r="AI317">
        <f t="shared" ca="1" si="102"/>
        <v>1</v>
      </c>
      <c r="AJ317" s="47">
        <f t="shared" ca="1" si="103"/>
        <v>80386.753416143634</v>
      </c>
      <c r="AK317">
        <f t="shared" ca="1" si="104"/>
        <v>500477.60985495773</v>
      </c>
    </row>
    <row r="318" spans="2:37" x14ac:dyDescent="0.2">
      <c r="B318">
        <f ca="1">Inputs!B12+(Inputs!D12-Inputs!B12)*BETAINV(RAND(),Model!H6,Model!I6)</f>
        <v>3.4421165256382817</v>
      </c>
      <c r="C318">
        <f ca="1">Inputs!E12+(Inputs!G12-Inputs!E12)*BETAINV(RAND(),Model!J6,Model!K6)</f>
        <v>0.19737526975015349</v>
      </c>
      <c r="D318">
        <f ca="1">(Inputs!H12+(Inputs!J12-Inputs!H12)*BETAINV(RAND(),Model!L6,Model!M6))*Inputs!$C$6</f>
        <v>45158.281622300266</v>
      </c>
      <c r="E318">
        <f t="shared" ca="1" si="84"/>
        <v>0.67938867775931699</v>
      </c>
      <c r="F318">
        <f t="shared" ca="1" si="85"/>
        <v>0.95912502353128726</v>
      </c>
      <c r="G318">
        <f t="shared" ca="1" si="86"/>
        <v>2</v>
      </c>
      <c r="H318" s="47">
        <f t="shared" ca="1" si="87"/>
        <v>90316.563244600533</v>
      </c>
      <c r="I318">
        <f ca="1">Inputs!B13+(Inputs!D13-Inputs!B13)*BETAINV(RAND(),Model!H7,Model!I7)</f>
        <v>2.8400596759228693</v>
      </c>
      <c r="J318">
        <f ca="1">Inputs!E13+(Inputs!G13-Inputs!E13)*BETAINV(RAND(),Model!J7,Model!K7)</f>
        <v>0.22540243321250458</v>
      </c>
      <c r="K318">
        <f ca="1">(Inputs!H13+(Inputs!J13-Inputs!H13)*BETAINV(RAND(),Model!L7,Model!M7))*Inputs!$C$6</f>
        <v>32801.296179534671</v>
      </c>
      <c r="L318">
        <f t="shared" ca="1" si="88"/>
        <v>0.64015636142173193</v>
      </c>
      <c r="M318">
        <f t="shared" ca="1" si="89"/>
        <v>0.59073140879543351</v>
      </c>
      <c r="N318">
        <f t="shared" ca="1" si="90"/>
        <v>1</v>
      </c>
      <c r="O318" s="47">
        <f t="shared" ca="1" si="91"/>
        <v>32801.296179534671</v>
      </c>
      <c r="P318">
        <f ca="1">Inputs!B14+(Inputs!D14-Inputs!B14)*BETAINV(RAND(),Model!H8,Model!I8)</f>
        <v>0.45660737823293229</v>
      </c>
      <c r="Q318">
        <f ca="1">Inputs!E14+(Inputs!G14-Inputs!E14)*BETAINV(RAND(),Model!J8,Model!K8)</f>
        <v>0.83255136363507143</v>
      </c>
      <c r="R318">
        <f ca="1">(Inputs!H14+(Inputs!J14-Inputs!H14)*BETAINV(RAND(),Model!L8,Model!M8))*Inputs!$C$6</f>
        <v>534151.65630304336</v>
      </c>
      <c r="S318">
        <f t="shared" ca="1" si="92"/>
        <v>0.38014909539366259</v>
      </c>
      <c r="T318">
        <f t="shared" ca="1" si="93"/>
        <v>0.90672300302489395</v>
      </c>
      <c r="U318">
        <f t="shared" ca="1" si="94"/>
        <v>1</v>
      </c>
      <c r="V318" s="47">
        <f t="shared" ca="1" si="95"/>
        <v>534151.65630304336</v>
      </c>
      <c r="W318">
        <f ca="1">Inputs!B15+(Inputs!D15-Inputs!B15)*BETAINV(RAND(),Model!H9,Model!I9)</f>
        <v>1.4164135532656017</v>
      </c>
      <c r="X318">
        <f ca="1">Inputs!E15+(Inputs!G15-Inputs!E15)*BETAINV(RAND(),Model!J9,Model!K9)</f>
        <v>0.45408804244714973</v>
      </c>
      <c r="Y318">
        <f ca="1">(Inputs!H15+(Inputs!J15-Inputs!H15)*BETAINV(RAND(),Model!L9,Model!M9))*Inputs!$C$6</f>
        <v>59198.282430656946</v>
      </c>
      <c r="Z318">
        <f t="shared" ca="1" si="96"/>
        <v>0.6431764576979887</v>
      </c>
      <c r="AA318">
        <f t="shared" ca="1" si="97"/>
        <v>7.755307596537675E-2</v>
      </c>
      <c r="AB318">
        <f t="shared" ca="1" si="98"/>
        <v>0</v>
      </c>
      <c r="AC318" s="47">
        <f t="shared" ca="1" si="99"/>
        <v>0</v>
      </c>
      <c r="AD318">
        <f ca="1">Inputs!B16+(Inputs!D16-Inputs!B16)*BETAINV(RAND(),Model!H10,Model!I10)</f>
        <v>0.4552038396622049</v>
      </c>
      <c r="AE318">
        <f ca="1">Inputs!E16+(Inputs!G16-Inputs!E16)*BETAINV(RAND(),Model!J10,Model!K10)</f>
        <v>0.53055677063997164</v>
      </c>
      <c r="AF318">
        <f ca="1">(Inputs!H16+(Inputs!J16-Inputs!H16)*BETAINV(RAND(),Model!L10,Model!M10))*Inputs!$C$6</f>
        <v>151437.72432603256</v>
      </c>
      <c r="AG318">
        <f t="shared" ca="1" si="100"/>
        <v>0.24151147915409488</v>
      </c>
      <c r="AH318">
        <f t="shared" ca="1" si="101"/>
        <v>0.38833211108615118</v>
      </c>
      <c r="AI318">
        <f t="shared" ca="1" si="102"/>
        <v>0</v>
      </c>
      <c r="AJ318" s="47">
        <f t="shared" ca="1" si="103"/>
        <v>0</v>
      </c>
      <c r="AK318">
        <f t="shared" ca="1" si="104"/>
        <v>657269.51572717854</v>
      </c>
    </row>
    <row r="319" spans="2:37" x14ac:dyDescent="0.2">
      <c r="B319">
        <f ca="1">Inputs!B12+(Inputs!D12-Inputs!B12)*BETAINV(RAND(),Model!H6,Model!I6)</f>
        <v>1.4306503688047267</v>
      </c>
      <c r="C319">
        <f ca="1">Inputs!E12+(Inputs!G12-Inputs!E12)*BETAINV(RAND(),Model!J6,Model!K6)</f>
        <v>0.39689027723204173</v>
      </c>
      <c r="D319">
        <f ca="1">(Inputs!H12+(Inputs!J12-Inputs!H12)*BETAINV(RAND(),Model!L6,Model!M6))*Inputs!$C$6</f>
        <v>35650.240847660098</v>
      </c>
      <c r="E319">
        <f t="shared" ca="1" si="84"/>
        <v>0.56781122149703078</v>
      </c>
      <c r="F319">
        <f t="shared" ca="1" si="85"/>
        <v>0.69850370695196662</v>
      </c>
      <c r="G319">
        <f t="shared" ca="1" si="86"/>
        <v>1</v>
      </c>
      <c r="H319" s="47">
        <f t="shared" ca="1" si="87"/>
        <v>35650.240847660098</v>
      </c>
      <c r="I319">
        <f ca="1">Inputs!B13+(Inputs!D13-Inputs!B13)*BETAINV(RAND(),Model!H7,Model!I7)</f>
        <v>2.9858248375999095</v>
      </c>
      <c r="J319">
        <f ca="1">Inputs!E13+(Inputs!G13-Inputs!E13)*BETAINV(RAND(),Model!J7,Model!K7)</f>
        <v>0.14213858326605711</v>
      </c>
      <c r="K319">
        <f ca="1">(Inputs!H13+(Inputs!J13-Inputs!H13)*BETAINV(RAND(),Model!L7,Model!M7))*Inputs!$C$6</f>
        <v>22998.244585475175</v>
      </c>
      <c r="L319">
        <f t="shared" ca="1" si="88"/>
        <v>0.42440091229705618</v>
      </c>
      <c r="M319">
        <f t="shared" ca="1" si="89"/>
        <v>0.71450374230433689</v>
      </c>
      <c r="N319">
        <f t="shared" ca="1" si="90"/>
        <v>1</v>
      </c>
      <c r="O319" s="47">
        <f t="shared" ca="1" si="91"/>
        <v>22998.244585475175</v>
      </c>
      <c r="P319">
        <f ca="1">Inputs!B14+(Inputs!D14-Inputs!B14)*BETAINV(RAND(),Model!H8,Model!I8)</f>
        <v>0.17523850556066931</v>
      </c>
      <c r="Q319">
        <f ca="1">Inputs!E14+(Inputs!G14-Inputs!E14)*BETAINV(RAND(),Model!J8,Model!K8)</f>
        <v>0.64580807337336232</v>
      </c>
      <c r="R319">
        <f ca="1">(Inputs!H14+(Inputs!J14-Inputs!H14)*BETAINV(RAND(),Model!L8,Model!M8))*Inputs!$C$6</f>
        <v>494693.96791321441</v>
      </c>
      <c r="S319">
        <f t="shared" ca="1" si="92"/>
        <v>0.11317044165696308</v>
      </c>
      <c r="T319">
        <f t="shared" ca="1" si="93"/>
        <v>0.65169990571549619</v>
      </c>
      <c r="U319">
        <f t="shared" ca="1" si="94"/>
        <v>0</v>
      </c>
      <c r="V319" s="47">
        <f t="shared" ca="1" si="95"/>
        <v>0</v>
      </c>
      <c r="W319">
        <f ca="1">Inputs!B15+(Inputs!D15-Inputs!B15)*BETAINV(RAND(),Model!H9,Model!I9)</f>
        <v>0.97181949431183634</v>
      </c>
      <c r="X319">
        <f ca="1">Inputs!E15+(Inputs!G15-Inputs!E15)*BETAINV(RAND(),Model!J9,Model!K9)</f>
        <v>0.39372712091820383</v>
      </c>
      <c r="Y319">
        <f ca="1">(Inputs!H15+(Inputs!J15-Inputs!H15)*BETAINV(RAND(),Model!L9,Model!M9))*Inputs!$C$6</f>
        <v>14114.644338858994</v>
      </c>
      <c r="Z319">
        <f t="shared" ca="1" si="96"/>
        <v>0.38263169154758409</v>
      </c>
      <c r="AA319">
        <f t="shared" ca="1" si="97"/>
        <v>0.77676299297478091</v>
      </c>
      <c r="AB319">
        <f t="shared" ca="1" si="98"/>
        <v>1</v>
      </c>
      <c r="AC319" s="47">
        <f t="shared" ca="1" si="99"/>
        <v>14114.644338858994</v>
      </c>
      <c r="AD319">
        <f ca="1">Inputs!B16+(Inputs!D16-Inputs!B16)*BETAINV(RAND(),Model!H10,Model!I10)</f>
        <v>0.84637583772297353</v>
      </c>
      <c r="AE319">
        <f ca="1">Inputs!E16+(Inputs!G16-Inputs!E16)*BETAINV(RAND(),Model!J10,Model!K10)</f>
        <v>0.43799944556088094</v>
      </c>
      <c r="AF319">
        <f ca="1">(Inputs!H16+(Inputs!J16-Inputs!H16)*BETAINV(RAND(),Model!L10,Model!M10))*Inputs!$C$6</f>
        <v>77753.325235576267</v>
      </c>
      <c r="AG319">
        <f t="shared" ca="1" si="100"/>
        <v>0.37071214765878857</v>
      </c>
      <c r="AH319">
        <f t="shared" ca="1" si="101"/>
        <v>0.24780216913042596</v>
      </c>
      <c r="AI319">
        <f t="shared" ca="1" si="102"/>
        <v>0</v>
      </c>
      <c r="AJ319" s="47">
        <f t="shared" ca="1" si="103"/>
        <v>0</v>
      </c>
      <c r="AK319">
        <f t="shared" ca="1" si="104"/>
        <v>72763.129771994267</v>
      </c>
    </row>
    <row r="320" spans="2:37" x14ac:dyDescent="0.2">
      <c r="B320">
        <f ca="1">Inputs!B12+(Inputs!D12-Inputs!B12)*BETAINV(RAND(),Model!H6,Model!I6)</f>
        <v>3.2654684219376562</v>
      </c>
      <c r="C320">
        <f ca="1">Inputs!E12+(Inputs!G12-Inputs!E12)*BETAINV(RAND(),Model!J6,Model!K6)</f>
        <v>0.31068523268882886</v>
      </c>
      <c r="D320">
        <f ca="1">(Inputs!H12+(Inputs!J12-Inputs!H12)*BETAINV(RAND(),Model!L6,Model!M6))*Inputs!$C$6</f>
        <v>35777.563011992541</v>
      </c>
      <c r="E320">
        <f t="shared" ca="1" si="84"/>
        <v>1.0145328165077234</v>
      </c>
      <c r="F320">
        <f t="shared" ca="1" si="85"/>
        <v>0.62073997769323819</v>
      </c>
      <c r="G320">
        <f t="shared" ca="1" si="86"/>
        <v>1</v>
      </c>
      <c r="H320" s="47">
        <f t="shared" ca="1" si="87"/>
        <v>35777.563011992541</v>
      </c>
      <c r="I320">
        <f ca="1">Inputs!B13+(Inputs!D13-Inputs!B13)*BETAINV(RAND(),Model!H7,Model!I7)</f>
        <v>2.862760278153929</v>
      </c>
      <c r="J320">
        <f ca="1">Inputs!E13+(Inputs!G13-Inputs!E13)*BETAINV(RAND(),Model!J7,Model!K7)</f>
        <v>0.12055551446858501</v>
      </c>
      <c r="K320">
        <f ca="1">(Inputs!H13+(Inputs!J13-Inputs!H13)*BETAINV(RAND(),Model!L7,Model!M7))*Inputs!$C$6</f>
        <v>64784.187416504858</v>
      </c>
      <c r="L320">
        <f t="shared" ca="1" si="88"/>
        <v>0.34512153813307644</v>
      </c>
      <c r="M320">
        <f t="shared" ca="1" si="89"/>
        <v>0.49628456263775778</v>
      </c>
      <c r="N320">
        <f t="shared" ca="1" si="90"/>
        <v>0</v>
      </c>
      <c r="O320" s="47">
        <f t="shared" ca="1" si="91"/>
        <v>0</v>
      </c>
      <c r="P320">
        <f ca="1">Inputs!B14+(Inputs!D14-Inputs!B14)*BETAINV(RAND(),Model!H8,Model!I8)</f>
        <v>0.20368737054548519</v>
      </c>
      <c r="Q320">
        <f ca="1">Inputs!E14+(Inputs!G14-Inputs!E14)*BETAINV(RAND(),Model!J8,Model!K8)</f>
        <v>0.55294801509053149</v>
      </c>
      <c r="R320">
        <f ca="1">(Inputs!H14+(Inputs!J14-Inputs!H14)*BETAINV(RAND(),Model!L8,Model!M8))*Inputs!$C$6</f>
        <v>416415.32777491678</v>
      </c>
      <c r="S320">
        <f t="shared" ca="1" si="92"/>
        <v>0.11262852724213562</v>
      </c>
      <c r="T320">
        <f t="shared" ca="1" si="93"/>
        <v>0.53678522278993879</v>
      </c>
      <c r="U320">
        <f t="shared" ca="1" si="94"/>
        <v>0</v>
      </c>
      <c r="V320" s="47">
        <f t="shared" ca="1" si="95"/>
        <v>0</v>
      </c>
      <c r="W320">
        <f ca="1">Inputs!B15+(Inputs!D15-Inputs!B15)*BETAINV(RAND(),Model!H9,Model!I9)</f>
        <v>1.025489476787572</v>
      </c>
      <c r="X320">
        <f ca="1">Inputs!E15+(Inputs!G15-Inputs!E15)*BETAINV(RAND(),Model!J9,Model!K9)</f>
        <v>0.39806790240600892</v>
      </c>
      <c r="Y320">
        <f ca="1">(Inputs!H15+(Inputs!J15-Inputs!H15)*BETAINV(RAND(),Model!L9,Model!M9))*Inputs!$C$6</f>
        <v>28141.348794242978</v>
      </c>
      <c r="Z320">
        <f t="shared" ca="1" si="96"/>
        <v>0.40821444496426434</v>
      </c>
      <c r="AA320">
        <f t="shared" ca="1" si="97"/>
        <v>0.59482749104388077</v>
      </c>
      <c r="AB320">
        <f t="shared" ca="1" si="98"/>
        <v>0</v>
      </c>
      <c r="AC320" s="47">
        <f t="shared" ca="1" si="99"/>
        <v>0</v>
      </c>
      <c r="AD320">
        <f ca="1">Inputs!B16+(Inputs!D16-Inputs!B16)*BETAINV(RAND(),Model!H10,Model!I10)</f>
        <v>0.75865627107023159</v>
      </c>
      <c r="AE320">
        <f ca="1">Inputs!E16+(Inputs!G16-Inputs!E16)*BETAINV(RAND(),Model!J10,Model!K10)</f>
        <v>0.56730601100070777</v>
      </c>
      <c r="AF320">
        <f ca="1">(Inputs!H16+(Inputs!J16-Inputs!H16)*BETAINV(RAND(),Model!L10,Model!M10))*Inputs!$C$6</f>
        <v>95302.524537581936</v>
      </c>
      <c r="AG320">
        <f t="shared" ca="1" si="100"/>
        <v>0.43039026286152476</v>
      </c>
      <c r="AH320">
        <f t="shared" ca="1" si="101"/>
        <v>0.97197753947736532</v>
      </c>
      <c r="AI320">
        <f t="shared" ca="1" si="102"/>
        <v>2</v>
      </c>
      <c r="AJ320" s="47">
        <f t="shared" ca="1" si="103"/>
        <v>190605.04907516387</v>
      </c>
      <c r="AK320">
        <f t="shared" ca="1" si="104"/>
        <v>226382.61208715642</v>
      </c>
    </row>
    <row r="321" spans="2:37" x14ac:dyDescent="0.2">
      <c r="B321">
        <f ca="1">Inputs!B12+(Inputs!D12-Inputs!B12)*BETAINV(RAND(),Model!H6,Model!I6)</f>
        <v>1.9205255639122478</v>
      </c>
      <c r="C321">
        <f ca="1">Inputs!E12+(Inputs!G12-Inputs!E12)*BETAINV(RAND(),Model!J6,Model!K6)</f>
        <v>0.25363183782106841</v>
      </c>
      <c r="D321">
        <f ca="1">(Inputs!H12+(Inputs!J12-Inputs!H12)*BETAINV(RAND(),Model!L6,Model!M6))*Inputs!$C$6</f>
        <v>18442.508765217106</v>
      </c>
      <c r="E321">
        <f t="shared" ca="1" si="84"/>
        <v>0.4871064283574072</v>
      </c>
      <c r="F321">
        <f t="shared" ca="1" si="85"/>
        <v>0.50233062015063934</v>
      </c>
      <c r="G321">
        <f t="shared" ca="1" si="86"/>
        <v>0</v>
      </c>
      <c r="H321" s="47">
        <f t="shared" ca="1" si="87"/>
        <v>0</v>
      </c>
      <c r="I321">
        <f ca="1">Inputs!B13+(Inputs!D13-Inputs!B13)*BETAINV(RAND(),Model!H7,Model!I7)</f>
        <v>2.7995207905995385</v>
      </c>
      <c r="J321">
        <f ca="1">Inputs!E13+(Inputs!G13-Inputs!E13)*BETAINV(RAND(),Model!J7,Model!K7)</f>
        <v>0.44520866561802841</v>
      </c>
      <c r="K321">
        <f ca="1">(Inputs!H13+(Inputs!J13-Inputs!H13)*BETAINV(RAND(),Model!L7,Model!M7))*Inputs!$C$6</f>
        <v>51054.824637832506</v>
      </c>
      <c r="L321">
        <f t="shared" ca="1" si="88"/>
        <v>1.2463709155527485</v>
      </c>
      <c r="M321">
        <f t="shared" ca="1" si="89"/>
        <v>0.81947115127714054</v>
      </c>
      <c r="N321">
        <f t="shared" ca="1" si="90"/>
        <v>2</v>
      </c>
      <c r="O321" s="47">
        <f t="shared" ca="1" si="91"/>
        <v>102109.64927566501</v>
      </c>
      <c r="P321">
        <f ca="1">Inputs!B14+(Inputs!D14-Inputs!B14)*BETAINV(RAND(),Model!H8,Model!I8)</f>
        <v>0.22729246726359378</v>
      </c>
      <c r="Q321">
        <f ca="1">Inputs!E14+(Inputs!G14-Inputs!E14)*BETAINV(RAND(),Model!J8,Model!K8)</f>
        <v>0.42419901189940468</v>
      </c>
      <c r="R321">
        <f ca="1">(Inputs!H14+(Inputs!J14-Inputs!H14)*BETAINV(RAND(),Model!L8,Model!M8))*Inputs!$C$6</f>
        <v>371568.59967876488</v>
      </c>
      <c r="S321">
        <f t="shared" ca="1" si="92"/>
        <v>9.6417240025394271E-2</v>
      </c>
      <c r="T321">
        <f t="shared" ca="1" si="93"/>
        <v>0.84550932441669235</v>
      </c>
      <c r="U321">
        <f t="shared" ca="1" si="94"/>
        <v>0</v>
      </c>
      <c r="V321" s="47">
        <f t="shared" ca="1" si="95"/>
        <v>0</v>
      </c>
      <c r="W321">
        <f ca="1">Inputs!B15+(Inputs!D15-Inputs!B15)*BETAINV(RAND(),Model!H9,Model!I9)</f>
        <v>1.250827748077344</v>
      </c>
      <c r="X321">
        <f ca="1">Inputs!E15+(Inputs!G15-Inputs!E15)*BETAINV(RAND(),Model!J9,Model!K9)</f>
        <v>0.36120573178733423</v>
      </c>
      <c r="Y321">
        <f ca="1">(Inputs!H15+(Inputs!J15-Inputs!H15)*BETAINV(RAND(),Model!L9,Model!M9))*Inputs!$C$6</f>
        <v>71244.785932608807</v>
      </c>
      <c r="Z321">
        <f t="shared" ca="1" si="96"/>
        <v>0.4518061520841804</v>
      </c>
      <c r="AA321">
        <f t="shared" ca="1" si="97"/>
        <v>0.85190749983554992</v>
      </c>
      <c r="AB321">
        <f t="shared" ca="1" si="98"/>
        <v>1</v>
      </c>
      <c r="AC321" s="47">
        <f t="shared" ca="1" si="99"/>
        <v>71244.785932608807</v>
      </c>
      <c r="AD321">
        <f ca="1">Inputs!B16+(Inputs!D16-Inputs!B16)*BETAINV(RAND(),Model!H10,Model!I10)</f>
        <v>0.56151323406597176</v>
      </c>
      <c r="AE321">
        <f ca="1">Inputs!E16+(Inputs!G16-Inputs!E16)*BETAINV(RAND(),Model!J10,Model!K10)</f>
        <v>0.46982224723393079</v>
      </c>
      <c r="AF321">
        <f ca="1">(Inputs!H16+(Inputs!J16-Inputs!H16)*BETAINV(RAND(),Model!L10,Model!M10))*Inputs!$C$6</f>
        <v>77762.819960778987</v>
      </c>
      <c r="AG321">
        <f t="shared" ca="1" si="100"/>
        <v>0.26381140948046705</v>
      </c>
      <c r="AH321">
        <f t="shared" ca="1" si="101"/>
        <v>0.21957116296750212</v>
      </c>
      <c r="AI321">
        <f t="shared" ca="1" si="102"/>
        <v>0</v>
      </c>
      <c r="AJ321" s="47">
        <f t="shared" ca="1" si="103"/>
        <v>0</v>
      </c>
      <c r="AK321">
        <f t="shared" ca="1" si="104"/>
        <v>173354.43520827382</v>
      </c>
    </row>
    <row r="322" spans="2:37" x14ac:dyDescent="0.2">
      <c r="B322">
        <f ca="1">Inputs!B12+(Inputs!D12-Inputs!B12)*BETAINV(RAND(),Model!H6,Model!I6)</f>
        <v>1.9633215698622266</v>
      </c>
      <c r="C322">
        <f ca="1">Inputs!E12+(Inputs!G12-Inputs!E12)*BETAINV(RAND(),Model!J6,Model!K6)</f>
        <v>0.1655601407927148</v>
      </c>
      <c r="D322">
        <f ca="1">(Inputs!H12+(Inputs!J12-Inputs!H12)*BETAINV(RAND(),Model!L6,Model!M6))*Inputs!$C$6</f>
        <v>48226.236839608049</v>
      </c>
      <c r="E322">
        <f t="shared" ca="1" si="84"/>
        <v>0.32504779552776408</v>
      </c>
      <c r="F322">
        <f t="shared" ca="1" si="85"/>
        <v>0.818667146603826</v>
      </c>
      <c r="G322">
        <f t="shared" ca="1" si="86"/>
        <v>1</v>
      </c>
      <c r="H322" s="47">
        <f t="shared" ca="1" si="87"/>
        <v>48226.236839608049</v>
      </c>
      <c r="I322">
        <f ca="1">Inputs!B13+(Inputs!D13-Inputs!B13)*BETAINV(RAND(),Model!H7,Model!I7)</f>
        <v>2.3138543270875043</v>
      </c>
      <c r="J322">
        <f ca="1">Inputs!E13+(Inputs!G13-Inputs!E13)*BETAINV(RAND(),Model!J7,Model!K7)</f>
        <v>0.17117495590520798</v>
      </c>
      <c r="K322">
        <f ca="1">(Inputs!H13+(Inputs!J13-Inputs!H13)*BETAINV(RAND(),Model!L7,Model!M7))*Inputs!$C$6</f>
        <v>84787.241866663782</v>
      </c>
      <c r="L322">
        <f t="shared" ca="1" si="88"/>
        <v>0.39607391241027823</v>
      </c>
      <c r="M322">
        <f t="shared" ca="1" si="89"/>
        <v>0.39118976711008457</v>
      </c>
      <c r="N322">
        <f t="shared" ca="1" si="90"/>
        <v>0</v>
      </c>
      <c r="O322" s="47">
        <f t="shared" ca="1" si="91"/>
        <v>0</v>
      </c>
      <c r="P322">
        <f ca="1">Inputs!B14+(Inputs!D14-Inputs!B14)*BETAINV(RAND(),Model!H8,Model!I8)</f>
        <v>0.52991444267407195</v>
      </c>
      <c r="Q322">
        <f ca="1">Inputs!E14+(Inputs!G14-Inputs!E14)*BETAINV(RAND(),Model!J8,Model!K8)</f>
        <v>0.857689242003427</v>
      </c>
      <c r="R322">
        <f ca="1">(Inputs!H14+(Inputs!J14-Inputs!H14)*BETAINV(RAND(),Model!L8,Model!M8))*Inputs!$C$6</f>
        <v>328730.5396615197</v>
      </c>
      <c r="S322">
        <f t="shared" ca="1" si="92"/>
        <v>0.45450191666379325</v>
      </c>
      <c r="T322">
        <f t="shared" ca="1" si="93"/>
        <v>0.47319650969949023</v>
      </c>
      <c r="U322">
        <f t="shared" ca="1" si="94"/>
        <v>0</v>
      </c>
      <c r="V322" s="47">
        <f t="shared" ca="1" si="95"/>
        <v>0</v>
      </c>
      <c r="W322">
        <f ca="1">Inputs!B15+(Inputs!D15-Inputs!B15)*BETAINV(RAND(),Model!H9,Model!I9)</f>
        <v>1.3092428158335145</v>
      </c>
      <c r="X322">
        <f ca="1">Inputs!E15+(Inputs!G15-Inputs!E15)*BETAINV(RAND(),Model!J9,Model!K9)</f>
        <v>0.3240126103866976</v>
      </c>
      <c r="Y322">
        <f ca="1">(Inputs!H15+(Inputs!J15-Inputs!H15)*BETAINV(RAND(),Model!L9,Model!M9))*Inputs!$C$6</f>
        <v>30832.53486509062</v>
      </c>
      <c r="Z322">
        <f t="shared" ca="1" si="96"/>
        <v>0.4242111823882474</v>
      </c>
      <c r="AA322">
        <f t="shared" ca="1" si="97"/>
        <v>0.3924756633229467</v>
      </c>
      <c r="AB322">
        <f t="shared" ca="1" si="98"/>
        <v>0</v>
      </c>
      <c r="AC322" s="47">
        <f t="shared" ca="1" si="99"/>
        <v>0</v>
      </c>
      <c r="AD322">
        <f ca="1">Inputs!B16+(Inputs!D16-Inputs!B16)*BETAINV(RAND(),Model!H10,Model!I10)</f>
        <v>0.44205814209669009</v>
      </c>
      <c r="AE322">
        <f ca="1">Inputs!E16+(Inputs!G16-Inputs!E16)*BETAINV(RAND(),Model!J10,Model!K10)</f>
        <v>0.6034576819274029</v>
      </c>
      <c r="AF322">
        <f ca="1">(Inputs!H16+(Inputs!J16-Inputs!H16)*BETAINV(RAND(),Model!L10,Model!M10))*Inputs!$C$6</f>
        <v>69248.026689381004</v>
      </c>
      <c r="AG322">
        <f t="shared" ca="1" si="100"/>
        <v>0.26676338170680308</v>
      </c>
      <c r="AH322">
        <f t="shared" ca="1" si="101"/>
        <v>2.8562888445594847E-2</v>
      </c>
      <c r="AI322">
        <f t="shared" ca="1" si="102"/>
        <v>0</v>
      </c>
      <c r="AJ322" s="47">
        <f t="shared" ca="1" si="103"/>
        <v>0</v>
      </c>
      <c r="AK322">
        <f t="shared" ca="1" si="104"/>
        <v>48226.236839608049</v>
      </c>
    </row>
    <row r="323" spans="2:37" x14ac:dyDescent="0.2">
      <c r="B323">
        <f ca="1">Inputs!B12+(Inputs!D12-Inputs!B12)*BETAINV(RAND(),Model!H6,Model!I6)</f>
        <v>3.7946493204951612</v>
      </c>
      <c r="C323">
        <f ca="1">Inputs!E12+(Inputs!G12-Inputs!E12)*BETAINV(RAND(),Model!J6,Model!K6)</f>
        <v>0.2250726151113322</v>
      </c>
      <c r="D323">
        <f ca="1">(Inputs!H12+(Inputs!J12-Inputs!H12)*BETAINV(RAND(),Model!L6,Model!M6))*Inputs!$C$6</f>
        <v>36824.916976530316</v>
      </c>
      <c r="E323">
        <f t="shared" ca="1" si="84"/>
        <v>0.85407164599428564</v>
      </c>
      <c r="F323">
        <f t="shared" ca="1" si="85"/>
        <v>0.81225530297830706</v>
      </c>
      <c r="G323">
        <f t="shared" ca="1" si="86"/>
        <v>2</v>
      </c>
      <c r="H323" s="47">
        <f t="shared" ca="1" si="87"/>
        <v>73649.833953060632</v>
      </c>
      <c r="I323">
        <f ca="1">Inputs!B13+(Inputs!D13-Inputs!B13)*BETAINV(RAND(),Model!H7,Model!I7)</f>
        <v>2.5950249268791805</v>
      </c>
      <c r="J323">
        <f ca="1">Inputs!E13+(Inputs!G13-Inputs!E13)*BETAINV(RAND(),Model!J7,Model!K7)</f>
        <v>0.24333590700839955</v>
      </c>
      <c r="K323">
        <f ca="1">(Inputs!H13+(Inputs!J13-Inputs!H13)*BETAINV(RAND(),Model!L7,Model!M7))*Inputs!$C$6</f>
        <v>27487.591017853596</v>
      </c>
      <c r="L323">
        <f t="shared" ca="1" si="88"/>
        <v>0.63146274429155114</v>
      </c>
      <c r="M323">
        <f t="shared" ca="1" si="89"/>
        <v>0.63151351590129734</v>
      </c>
      <c r="N323">
        <f t="shared" ca="1" si="90"/>
        <v>1</v>
      </c>
      <c r="O323" s="47">
        <f t="shared" ca="1" si="91"/>
        <v>27487.591017853596</v>
      </c>
      <c r="P323">
        <f ca="1">Inputs!B14+(Inputs!D14-Inputs!B14)*BETAINV(RAND(),Model!H8,Model!I8)</f>
        <v>0.57492998736445633</v>
      </c>
      <c r="Q323">
        <f ca="1">Inputs!E14+(Inputs!G14-Inputs!E14)*BETAINV(RAND(),Model!J8,Model!K8)</f>
        <v>0.58841482167539028</v>
      </c>
      <c r="R323">
        <f ca="1">(Inputs!H14+(Inputs!J14-Inputs!H14)*BETAINV(RAND(),Model!L8,Model!M8))*Inputs!$C$6</f>
        <v>441663.882210752</v>
      </c>
      <c r="S323">
        <f t="shared" ca="1" si="92"/>
        <v>0.33829732599089096</v>
      </c>
      <c r="T323">
        <f t="shared" ca="1" si="93"/>
        <v>0.69199458109204348</v>
      </c>
      <c r="U323">
        <f t="shared" ca="1" si="94"/>
        <v>0</v>
      </c>
      <c r="V323" s="47">
        <f t="shared" ca="1" si="95"/>
        <v>0</v>
      </c>
      <c r="W323">
        <f ca="1">Inputs!B15+(Inputs!D15-Inputs!B15)*BETAINV(RAND(),Model!H9,Model!I9)</f>
        <v>0.37705209142180962</v>
      </c>
      <c r="X323">
        <f ca="1">Inputs!E15+(Inputs!G15-Inputs!E15)*BETAINV(RAND(),Model!J9,Model!K9)</f>
        <v>0.34512889852022266</v>
      </c>
      <c r="Y323">
        <f ca="1">(Inputs!H15+(Inputs!J15-Inputs!H15)*BETAINV(RAND(),Model!L9,Model!M9))*Inputs!$C$6</f>
        <v>17409.000102523041</v>
      </c>
      <c r="Z323">
        <f t="shared" ca="1" si="96"/>
        <v>0.13013157299715544</v>
      </c>
      <c r="AA323">
        <f t="shared" ca="1" si="97"/>
        <v>0.24461546676904145</v>
      </c>
      <c r="AB323">
        <f t="shared" ca="1" si="98"/>
        <v>0</v>
      </c>
      <c r="AC323" s="47">
        <f t="shared" ca="1" si="99"/>
        <v>0</v>
      </c>
      <c r="AD323">
        <f ca="1">Inputs!B16+(Inputs!D16-Inputs!B16)*BETAINV(RAND(),Model!H10,Model!I10)</f>
        <v>0.27583056786218968</v>
      </c>
      <c r="AE323">
        <f ca="1">Inputs!E16+(Inputs!G16-Inputs!E16)*BETAINV(RAND(),Model!J10,Model!K10)</f>
        <v>0.6487411292001366</v>
      </c>
      <c r="AF323">
        <f ca="1">(Inputs!H16+(Inputs!J16-Inputs!H16)*BETAINV(RAND(),Model!L10,Model!M10))*Inputs!$C$6</f>
        <v>138633.64678373426</v>
      </c>
      <c r="AG323">
        <f t="shared" ca="1" si="100"/>
        <v>0.17894263406283184</v>
      </c>
      <c r="AH323">
        <f t="shared" ca="1" si="101"/>
        <v>0.73712951631045698</v>
      </c>
      <c r="AI323">
        <f t="shared" ca="1" si="102"/>
        <v>0</v>
      </c>
      <c r="AJ323" s="47">
        <f t="shared" ca="1" si="103"/>
        <v>0</v>
      </c>
      <c r="AK323">
        <f t="shared" ca="1" si="104"/>
        <v>101137.42497091423</v>
      </c>
    </row>
    <row r="324" spans="2:37" x14ac:dyDescent="0.2">
      <c r="B324">
        <f ca="1">Inputs!B12+(Inputs!D12-Inputs!B12)*BETAINV(RAND(),Model!H6,Model!I6)</f>
        <v>2.187941372647531</v>
      </c>
      <c r="C324">
        <f ca="1">Inputs!E12+(Inputs!G12-Inputs!E12)*BETAINV(RAND(),Model!J6,Model!K6)</f>
        <v>0.31752028625838458</v>
      </c>
      <c r="D324">
        <f ca="1">(Inputs!H12+(Inputs!J12-Inputs!H12)*BETAINV(RAND(),Model!L6,Model!M6))*Inputs!$C$6</f>
        <v>23948.263466699889</v>
      </c>
      <c r="E324">
        <f t="shared" ca="1" si="84"/>
        <v>0.6947157709596069</v>
      </c>
      <c r="F324">
        <f t="shared" ca="1" si="85"/>
        <v>0.36052363177952307</v>
      </c>
      <c r="G324">
        <f t="shared" ca="1" si="86"/>
        <v>0</v>
      </c>
      <c r="H324" s="47">
        <f t="shared" ca="1" si="87"/>
        <v>0</v>
      </c>
      <c r="I324">
        <f ca="1">Inputs!B13+(Inputs!D13-Inputs!B13)*BETAINV(RAND(),Model!H7,Model!I7)</f>
        <v>3.3767084837959125</v>
      </c>
      <c r="J324">
        <f ca="1">Inputs!E13+(Inputs!G13-Inputs!E13)*BETAINV(RAND(),Model!J7,Model!K7)</f>
        <v>0.33155793306602394</v>
      </c>
      <c r="K324">
        <f ca="1">(Inputs!H13+(Inputs!J13-Inputs!H13)*BETAINV(RAND(),Model!L7,Model!M7))*Inputs!$C$6</f>
        <v>20384.962480709419</v>
      </c>
      <c r="L324">
        <f t="shared" ca="1" si="88"/>
        <v>1.1195744854538803</v>
      </c>
      <c r="M324">
        <f t="shared" ca="1" si="89"/>
        <v>0.75639516087454395</v>
      </c>
      <c r="N324">
        <f t="shared" ca="1" si="90"/>
        <v>2</v>
      </c>
      <c r="O324" s="47">
        <f t="shared" ca="1" si="91"/>
        <v>40769.924961418837</v>
      </c>
      <c r="P324">
        <f ca="1">Inputs!B14+(Inputs!D14-Inputs!B14)*BETAINV(RAND(),Model!H8,Model!I8)</f>
        <v>0.29784469071228431</v>
      </c>
      <c r="Q324">
        <f ca="1">Inputs!E14+(Inputs!G14-Inputs!E14)*BETAINV(RAND(),Model!J8,Model!K8)</f>
        <v>0.48749611400108439</v>
      </c>
      <c r="R324">
        <f ca="1">(Inputs!H14+(Inputs!J14-Inputs!H14)*BETAINV(RAND(),Model!L8,Model!M8))*Inputs!$C$6</f>
        <v>525838.75620535424</v>
      </c>
      <c r="S324">
        <f t="shared" ca="1" si="92"/>
        <v>0.14519812929809348</v>
      </c>
      <c r="T324">
        <f t="shared" ca="1" si="93"/>
        <v>0.4423443088500767</v>
      </c>
      <c r="U324">
        <f t="shared" ca="1" si="94"/>
        <v>0</v>
      </c>
      <c r="V324" s="47">
        <f t="shared" ca="1" si="95"/>
        <v>0</v>
      </c>
      <c r="W324">
        <f ca="1">Inputs!B15+(Inputs!D15-Inputs!B15)*BETAINV(RAND(),Model!H9,Model!I9)</f>
        <v>1.6511914878939193</v>
      </c>
      <c r="X324">
        <f ca="1">Inputs!E15+(Inputs!G15-Inputs!E15)*BETAINV(RAND(),Model!J9,Model!K9)</f>
        <v>0.30216617155617836</v>
      </c>
      <c r="Y324">
        <f ca="1">(Inputs!H15+(Inputs!J15-Inputs!H15)*BETAINV(RAND(),Model!L9,Model!M9))*Inputs!$C$6</f>
        <v>34826.441331988281</v>
      </c>
      <c r="Z324">
        <f t="shared" ca="1" si="96"/>
        <v>0.49893421040305547</v>
      </c>
      <c r="AA324">
        <f t="shared" ca="1" si="97"/>
        <v>7.9122419127102717E-2</v>
      </c>
      <c r="AB324">
        <f t="shared" ca="1" si="98"/>
        <v>0</v>
      </c>
      <c r="AC324" s="47">
        <f t="shared" ca="1" si="99"/>
        <v>0</v>
      </c>
      <c r="AD324">
        <f ca="1">Inputs!B16+(Inputs!D16-Inputs!B16)*BETAINV(RAND(),Model!H10,Model!I10)</f>
        <v>0.59438244029814613</v>
      </c>
      <c r="AE324">
        <f ca="1">Inputs!E16+(Inputs!G16-Inputs!E16)*BETAINV(RAND(),Model!J10,Model!K10)</f>
        <v>0.65018947586329545</v>
      </c>
      <c r="AF324">
        <f ca="1">(Inputs!H16+(Inputs!J16-Inputs!H16)*BETAINV(RAND(),Model!L10,Model!M10))*Inputs!$C$6</f>
        <v>86127.141247609528</v>
      </c>
      <c r="AG324">
        <f t="shared" ca="1" si="100"/>
        <v>0.38646120731979816</v>
      </c>
      <c r="AH324">
        <f t="shared" ca="1" si="101"/>
        <v>0.59509532592730974</v>
      </c>
      <c r="AI324">
        <f t="shared" ca="1" si="102"/>
        <v>0</v>
      </c>
      <c r="AJ324" s="47">
        <f t="shared" ca="1" si="103"/>
        <v>0</v>
      </c>
      <c r="AK324">
        <f t="shared" ca="1" si="104"/>
        <v>40769.924961418837</v>
      </c>
    </row>
    <row r="325" spans="2:37" x14ac:dyDescent="0.2">
      <c r="B325">
        <f ca="1">Inputs!B12+(Inputs!D12-Inputs!B12)*BETAINV(RAND(),Model!H6,Model!I6)</f>
        <v>3.4526840027382386</v>
      </c>
      <c r="C325">
        <f ca="1">Inputs!E12+(Inputs!G12-Inputs!E12)*BETAINV(RAND(),Model!J6,Model!K6)</f>
        <v>0.19977430720280237</v>
      </c>
      <c r="D325">
        <f ca="1">(Inputs!H12+(Inputs!J12-Inputs!H12)*BETAINV(RAND(),Model!L6,Model!M6))*Inputs!$C$6</f>
        <v>32230.645512754923</v>
      </c>
      <c r="E325">
        <f t="shared" ca="1" si="84"/>
        <v>0.68975755463723021</v>
      </c>
      <c r="F325">
        <f t="shared" ca="1" si="85"/>
        <v>0.56025239994934395</v>
      </c>
      <c r="G325">
        <f t="shared" ca="1" si="86"/>
        <v>1</v>
      </c>
      <c r="H325" s="47">
        <f t="shared" ca="1" si="87"/>
        <v>32230.645512754923</v>
      </c>
      <c r="I325">
        <f ca="1">Inputs!B13+(Inputs!D13-Inputs!B13)*BETAINV(RAND(),Model!H7,Model!I7)</f>
        <v>3.1453059397506871</v>
      </c>
      <c r="J325">
        <f ca="1">Inputs!E13+(Inputs!G13-Inputs!E13)*BETAINV(RAND(),Model!J7,Model!K7)</f>
        <v>0.14491508159893315</v>
      </c>
      <c r="K325">
        <f ca="1">(Inputs!H13+(Inputs!J13-Inputs!H13)*BETAINV(RAND(),Model!L7,Model!M7))*Inputs!$C$6</f>
        <v>45394.807779316448</v>
      </c>
      <c r="L325">
        <f t="shared" ca="1" si="88"/>
        <v>0.45580226691257997</v>
      </c>
      <c r="M325">
        <f t="shared" ca="1" si="89"/>
        <v>0.10478972766068206</v>
      </c>
      <c r="N325">
        <f t="shared" ca="1" si="90"/>
        <v>0</v>
      </c>
      <c r="O325" s="47">
        <f t="shared" ca="1" si="91"/>
        <v>0</v>
      </c>
      <c r="P325">
        <f ca="1">Inputs!B14+(Inputs!D14-Inputs!B14)*BETAINV(RAND(),Model!H8,Model!I8)</f>
        <v>0.19483275303488362</v>
      </c>
      <c r="Q325">
        <f ca="1">Inputs!E14+(Inputs!G14-Inputs!E14)*BETAINV(RAND(),Model!J8,Model!K8)</f>
        <v>0.72242814189332738</v>
      </c>
      <c r="R325">
        <f ca="1">(Inputs!H14+(Inputs!J14-Inputs!H14)*BETAINV(RAND(),Model!L8,Model!M8))*Inputs!$C$6</f>
        <v>313325.1801172042</v>
      </c>
      <c r="S325">
        <f t="shared" ca="1" si="92"/>
        <v>0.14075266375495252</v>
      </c>
      <c r="T325">
        <f t="shared" ca="1" si="93"/>
        <v>0.60797948236719046</v>
      </c>
      <c r="U325">
        <f t="shared" ca="1" si="94"/>
        <v>0</v>
      </c>
      <c r="V325" s="47">
        <f t="shared" ca="1" si="95"/>
        <v>0</v>
      </c>
      <c r="W325">
        <f ca="1">Inputs!B15+(Inputs!D15-Inputs!B15)*BETAINV(RAND(),Model!H9,Model!I9)</f>
        <v>0.95066238114316515</v>
      </c>
      <c r="X325">
        <f ca="1">Inputs!E15+(Inputs!G15-Inputs!E15)*BETAINV(RAND(),Model!J9,Model!K9)</f>
        <v>0.39313030038744246</v>
      </c>
      <c r="Y325">
        <f ca="1">(Inputs!H15+(Inputs!J15-Inputs!H15)*BETAINV(RAND(),Model!L9,Model!M9))*Inputs!$C$6</f>
        <v>25371.265702082157</v>
      </c>
      <c r="Z325">
        <f t="shared" ca="1" si="96"/>
        <v>0.37373418746585385</v>
      </c>
      <c r="AA325">
        <f t="shared" ca="1" si="97"/>
        <v>0.96054088226600642</v>
      </c>
      <c r="AB325">
        <f t="shared" ca="1" si="98"/>
        <v>2</v>
      </c>
      <c r="AC325" s="47">
        <f t="shared" ca="1" si="99"/>
        <v>50742.531404164314</v>
      </c>
      <c r="AD325">
        <f ca="1">Inputs!B16+(Inputs!D16-Inputs!B16)*BETAINV(RAND(),Model!H10,Model!I10)</f>
        <v>0.31766803581675529</v>
      </c>
      <c r="AE325">
        <f ca="1">Inputs!E16+(Inputs!G16-Inputs!E16)*BETAINV(RAND(),Model!J10,Model!K10)</f>
        <v>0.69945005778339064</v>
      </c>
      <c r="AF325">
        <f ca="1">(Inputs!H16+(Inputs!J16-Inputs!H16)*BETAINV(RAND(),Model!L10,Model!M10))*Inputs!$C$6</f>
        <v>57286.872972012105</v>
      </c>
      <c r="AG325">
        <f t="shared" ca="1" si="100"/>
        <v>0.2221929260079657</v>
      </c>
      <c r="AH325">
        <f t="shared" ca="1" si="101"/>
        <v>0.82314614692856392</v>
      </c>
      <c r="AI325">
        <f t="shared" ca="1" si="102"/>
        <v>1</v>
      </c>
      <c r="AJ325" s="47">
        <f t="shared" ca="1" si="103"/>
        <v>57286.872972012105</v>
      </c>
      <c r="AK325">
        <f t="shared" ca="1" si="104"/>
        <v>140260.04988893133</v>
      </c>
    </row>
    <row r="326" spans="2:37" x14ac:dyDescent="0.2">
      <c r="B326">
        <f ca="1">Inputs!B12+(Inputs!D12-Inputs!B12)*BETAINV(RAND(),Model!H6,Model!I6)</f>
        <v>4.3557651887783715</v>
      </c>
      <c r="C326">
        <f ca="1">Inputs!E12+(Inputs!G12-Inputs!E12)*BETAINV(RAND(),Model!J6,Model!K6)</f>
        <v>0.21536262161572006</v>
      </c>
      <c r="D326">
        <f ca="1">(Inputs!H12+(Inputs!J12-Inputs!H12)*BETAINV(RAND(),Model!L6,Model!M6))*Inputs!$C$6</f>
        <v>33674.550764612621</v>
      </c>
      <c r="E326">
        <f t="shared" ca="1" si="84"/>
        <v>0.93806901019780187</v>
      </c>
      <c r="F326">
        <f t="shared" ca="1" si="85"/>
        <v>0.14608168717462944</v>
      </c>
      <c r="G326">
        <f t="shared" ca="1" si="86"/>
        <v>0</v>
      </c>
      <c r="H326" s="47">
        <f t="shared" ca="1" si="87"/>
        <v>0</v>
      </c>
      <c r="I326">
        <f ca="1">Inputs!B13+(Inputs!D13-Inputs!B13)*BETAINV(RAND(),Model!H7,Model!I7)</f>
        <v>0.93591642570248679</v>
      </c>
      <c r="J326">
        <f ca="1">Inputs!E13+(Inputs!G13-Inputs!E13)*BETAINV(RAND(),Model!J7,Model!K7)</f>
        <v>0.17394750678590573</v>
      </c>
      <c r="K326">
        <f ca="1">(Inputs!H13+(Inputs!J13-Inputs!H13)*BETAINV(RAND(),Model!L7,Model!M7))*Inputs!$C$6</f>
        <v>54248.648951781819</v>
      </c>
      <c r="L326">
        <f t="shared" ca="1" si="88"/>
        <v>0.16280032881092396</v>
      </c>
      <c r="M326">
        <f t="shared" ca="1" si="89"/>
        <v>0.33298758271895501</v>
      </c>
      <c r="N326">
        <f t="shared" ca="1" si="90"/>
        <v>0</v>
      </c>
      <c r="O326" s="47">
        <f t="shared" ca="1" si="91"/>
        <v>0</v>
      </c>
      <c r="P326">
        <f ca="1">Inputs!B14+(Inputs!D14-Inputs!B14)*BETAINV(RAND(),Model!H8,Model!I8)</f>
        <v>0.32750452250744089</v>
      </c>
      <c r="Q326">
        <f ca="1">Inputs!E14+(Inputs!G14-Inputs!E14)*BETAINV(RAND(),Model!J8,Model!K8)</f>
        <v>0.69234414062646854</v>
      </c>
      <c r="R326">
        <f ca="1">(Inputs!H14+(Inputs!J14-Inputs!H14)*BETAINV(RAND(),Model!L8,Model!M8))*Inputs!$C$6</f>
        <v>381292.92154905043</v>
      </c>
      <c r="S326">
        <f t="shared" ca="1" si="92"/>
        <v>0.22674583718669608</v>
      </c>
      <c r="T326">
        <f t="shared" ca="1" si="93"/>
        <v>2.5632914573370025E-2</v>
      </c>
      <c r="U326">
        <f t="shared" ca="1" si="94"/>
        <v>0</v>
      </c>
      <c r="V326" s="47">
        <f t="shared" ca="1" si="95"/>
        <v>0</v>
      </c>
      <c r="W326">
        <f ca="1">Inputs!B15+(Inputs!D15-Inputs!B15)*BETAINV(RAND(),Model!H9,Model!I9)</f>
        <v>1.3500337540947633</v>
      </c>
      <c r="X326">
        <f ca="1">Inputs!E15+(Inputs!G15-Inputs!E15)*BETAINV(RAND(),Model!J9,Model!K9)</f>
        <v>0.47873972815359456</v>
      </c>
      <c r="Y326">
        <f ca="1">(Inputs!H15+(Inputs!J15-Inputs!H15)*BETAINV(RAND(),Model!L9,Model!M9))*Inputs!$C$6</f>
        <v>44811.68060881878</v>
      </c>
      <c r="Z326">
        <f t="shared" ca="1" si="96"/>
        <v>0.64631479243350376</v>
      </c>
      <c r="AA326">
        <f t="shared" ca="1" si="97"/>
        <v>0.99716499860046182</v>
      </c>
      <c r="AB326">
        <f t="shared" ca="1" si="98"/>
        <v>4</v>
      </c>
      <c r="AC326" s="47">
        <f t="shared" ca="1" si="99"/>
        <v>179246.72243527512</v>
      </c>
      <c r="AD326">
        <f ca="1">Inputs!B16+(Inputs!D16-Inputs!B16)*BETAINV(RAND(),Model!H10,Model!I10)</f>
        <v>1.1555190774440567</v>
      </c>
      <c r="AE326">
        <f ca="1">Inputs!E16+(Inputs!G16-Inputs!E16)*BETAINV(RAND(),Model!J10,Model!K10)</f>
        <v>0.69342111887055091</v>
      </c>
      <c r="AF326">
        <f ca="1">(Inputs!H16+(Inputs!J16-Inputs!H16)*BETAINV(RAND(),Model!L10,Model!M10))*Inputs!$C$6</f>
        <v>56525.54532318066</v>
      </c>
      <c r="AG326">
        <f t="shared" ca="1" si="100"/>
        <v>0.80126133155752455</v>
      </c>
      <c r="AH326">
        <f t="shared" ca="1" si="101"/>
        <v>0.12936890401599999</v>
      </c>
      <c r="AI326">
        <f t="shared" ca="1" si="102"/>
        <v>0</v>
      </c>
      <c r="AJ326" s="47">
        <f t="shared" ca="1" si="103"/>
        <v>0</v>
      </c>
      <c r="AK326">
        <f t="shared" ca="1" si="104"/>
        <v>179246.72243527512</v>
      </c>
    </row>
    <row r="327" spans="2:37" x14ac:dyDescent="0.2">
      <c r="B327">
        <f ca="1">Inputs!B12+(Inputs!D12-Inputs!B12)*BETAINV(RAND(),Model!H6,Model!I6)</f>
        <v>4.8087572353331955</v>
      </c>
      <c r="C327">
        <f ca="1">Inputs!E12+(Inputs!G12-Inputs!E12)*BETAINV(RAND(),Model!J6,Model!K6)</f>
        <v>0.28881281921917945</v>
      </c>
      <c r="D327">
        <f ca="1">(Inputs!H12+(Inputs!J12-Inputs!H12)*BETAINV(RAND(),Model!L6,Model!M6))*Inputs!$C$6</f>
        <v>30651.613879807421</v>
      </c>
      <c r="E327">
        <f t="shared" ca="1" si="84"/>
        <v>1.3888307340772075</v>
      </c>
      <c r="F327">
        <f t="shared" ca="1" si="85"/>
        <v>0.43929837765167046</v>
      </c>
      <c r="G327">
        <f t="shared" ca="1" si="86"/>
        <v>1</v>
      </c>
      <c r="H327" s="47">
        <f t="shared" ca="1" si="87"/>
        <v>30651.613879807421</v>
      </c>
      <c r="I327">
        <f ca="1">Inputs!B13+(Inputs!D13-Inputs!B13)*BETAINV(RAND(),Model!H7,Model!I7)</f>
        <v>2.4192872275388888</v>
      </c>
      <c r="J327">
        <f ca="1">Inputs!E13+(Inputs!G13-Inputs!E13)*BETAINV(RAND(),Model!J7,Model!K7)</f>
        <v>0.19185430346540799</v>
      </c>
      <c r="K327">
        <f ca="1">(Inputs!H13+(Inputs!J13-Inputs!H13)*BETAINV(RAND(),Model!L7,Model!M7))*Inputs!$C$6</f>
        <v>48983.501744514651</v>
      </c>
      <c r="L327">
        <f t="shared" ca="1" si="88"/>
        <v>0.46415066592223153</v>
      </c>
      <c r="M327">
        <f t="shared" ca="1" si="89"/>
        <v>0.86982585533733525</v>
      </c>
      <c r="N327">
        <f t="shared" ca="1" si="90"/>
        <v>1</v>
      </c>
      <c r="O327" s="47">
        <f t="shared" ca="1" si="91"/>
        <v>48983.501744514651</v>
      </c>
      <c r="P327">
        <f ca="1">Inputs!B14+(Inputs!D14-Inputs!B14)*BETAINV(RAND(),Model!H8,Model!I8)</f>
        <v>0.4284589340353997</v>
      </c>
      <c r="Q327">
        <f ca="1">Inputs!E14+(Inputs!G14-Inputs!E14)*BETAINV(RAND(),Model!J8,Model!K8)</f>
        <v>0.75207490200728699</v>
      </c>
      <c r="R327">
        <f ca="1">(Inputs!H14+(Inputs!J14-Inputs!H14)*BETAINV(RAND(),Model!L8,Model!M8))*Inputs!$C$6</f>
        <v>513827.31230968947</v>
      </c>
      <c r="S327">
        <f t="shared" ca="1" si="92"/>
        <v>0.32223321082881989</v>
      </c>
      <c r="T327">
        <f t="shared" ca="1" si="93"/>
        <v>0.46545478827997255</v>
      </c>
      <c r="U327">
        <f t="shared" ca="1" si="94"/>
        <v>0</v>
      </c>
      <c r="V327" s="47">
        <f t="shared" ca="1" si="95"/>
        <v>0</v>
      </c>
      <c r="W327">
        <f ca="1">Inputs!B15+(Inputs!D15-Inputs!B15)*BETAINV(RAND(),Model!H9,Model!I9)</f>
        <v>1.4478359130075222</v>
      </c>
      <c r="X327">
        <f ca="1">Inputs!E15+(Inputs!G15-Inputs!E15)*BETAINV(RAND(),Model!J9,Model!K9)</f>
        <v>0.46243896071971391</v>
      </c>
      <c r="Y327">
        <f ca="1">(Inputs!H15+(Inputs!J15-Inputs!H15)*BETAINV(RAND(),Model!L9,Model!M9))*Inputs!$C$6</f>
        <v>25683.203043865</v>
      </c>
      <c r="Z327">
        <f t="shared" ca="1" si="96"/>
        <v>0.66953573490387674</v>
      </c>
      <c r="AA327">
        <f t="shared" ca="1" si="97"/>
        <v>0.65753893532203578</v>
      </c>
      <c r="AB327">
        <f t="shared" ca="1" si="98"/>
        <v>1</v>
      </c>
      <c r="AC327" s="47">
        <f t="shared" ca="1" si="99"/>
        <v>25683.203043865</v>
      </c>
      <c r="AD327">
        <f ca="1">Inputs!B16+(Inputs!D16-Inputs!B16)*BETAINV(RAND(),Model!H10,Model!I10)</f>
        <v>0.47285259941956304</v>
      </c>
      <c r="AE327">
        <f ca="1">Inputs!E16+(Inputs!G16-Inputs!E16)*BETAINV(RAND(),Model!J10,Model!K10)</f>
        <v>0.70762471310932851</v>
      </c>
      <c r="AF327">
        <f ca="1">(Inputs!H16+(Inputs!J16-Inputs!H16)*BETAINV(RAND(),Model!L10,Model!M10))*Inputs!$C$6</f>
        <v>120193.36059089471</v>
      </c>
      <c r="AG327">
        <f t="shared" ca="1" si="100"/>
        <v>0.33460218500726852</v>
      </c>
      <c r="AH327">
        <f t="shared" ca="1" si="101"/>
        <v>0.54229623901387336</v>
      </c>
      <c r="AI327">
        <f t="shared" ca="1" si="102"/>
        <v>0</v>
      </c>
      <c r="AJ327" s="47">
        <f t="shared" ca="1" si="103"/>
        <v>0</v>
      </c>
      <c r="AK327">
        <f t="shared" ca="1" si="104"/>
        <v>105318.31866818707</v>
      </c>
    </row>
    <row r="328" spans="2:37" x14ac:dyDescent="0.2">
      <c r="B328">
        <f ca="1">Inputs!B12+(Inputs!D12-Inputs!B12)*BETAINV(RAND(),Model!H6,Model!I6)</f>
        <v>1.760401545918461</v>
      </c>
      <c r="C328">
        <f ca="1">Inputs!E12+(Inputs!G12-Inputs!E12)*BETAINV(RAND(),Model!J6,Model!K6)</f>
        <v>0.31043954333520696</v>
      </c>
      <c r="D328">
        <f ca="1">(Inputs!H12+(Inputs!J12-Inputs!H12)*BETAINV(RAND(),Model!L6,Model!M6))*Inputs!$C$6</f>
        <v>28818.900381595358</v>
      </c>
      <c r="E328">
        <f t="shared" ca="1" si="84"/>
        <v>0.54649825200151936</v>
      </c>
      <c r="F328">
        <f t="shared" ca="1" si="85"/>
        <v>0.50710361301801088</v>
      </c>
      <c r="G328">
        <f t="shared" ca="1" si="86"/>
        <v>0</v>
      </c>
      <c r="H328" s="47">
        <f t="shared" ca="1" si="87"/>
        <v>0</v>
      </c>
      <c r="I328">
        <f ca="1">Inputs!B13+(Inputs!D13-Inputs!B13)*BETAINV(RAND(),Model!H7,Model!I7)</f>
        <v>4.4771558912921217</v>
      </c>
      <c r="J328">
        <f ca="1">Inputs!E13+(Inputs!G13-Inputs!E13)*BETAINV(RAND(),Model!J7,Model!K7)</f>
        <v>0.3744737610713611</v>
      </c>
      <c r="K328">
        <f ca="1">(Inputs!H13+(Inputs!J13-Inputs!H13)*BETAINV(RAND(),Model!L7,Model!M7))*Inputs!$C$6</f>
        <v>18727.835224910628</v>
      </c>
      <c r="L328">
        <f t="shared" ca="1" si="88"/>
        <v>1.6765774055149627</v>
      </c>
      <c r="M328">
        <f t="shared" ca="1" si="89"/>
        <v>0.76321113017981035</v>
      </c>
      <c r="N328">
        <f t="shared" ca="1" si="90"/>
        <v>2</v>
      </c>
      <c r="O328" s="47">
        <f t="shared" ca="1" si="91"/>
        <v>37455.670449821257</v>
      </c>
      <c r="P328">
        <f ca="1">Inputs!B14+(Inputs!D14-Inputs!B14)*BETAINV(RAND(),Model!H8,Model!I8)</f>
        <v>0.1393784109174139</v>
      </c>
      <c r="Q328">
        <f ca="1">Inputs!E14+(Inputs!G14-Inputs!E14)*BETAINV(RAND(),Model!J8,Model!K8)</f>
        <v>0.47106995617811931</v>
      </c>
      <c r="R328">
        <f ca="1">(Inputs!H14+(Inputs!J14-Inputs!H14)*BETAINV(RAND(),Model!L8,Model!M8))*Inputs!$C$6</f>
        <v>483326.54585324263</v>
      </c>
      <c r="S328">
        <f t="shared" ca="1" si="92"/>
        <v>6.5656981923042076E-2</v>
      </c>
      <c r="T328">
        <f t="shared" ca="1" si="93"/>
        <v>0.10080107530638283</v>
      </c>
      <c r="U328">
        <f t="shared" ca="1" si="94"/>
        <v>0</v>
      </c>
      <c r="V328" s="47">
        <f t="shared" ca="1" si="95"/>
        <v>0</v>
      </c>
      <c r="W328">
        <f ca="1">Inputs!B15+(Inputs!D15-Inputs!B15)*BETAINV(RAND(),Model!H9,Model!I9)</f>
        <v>1.412677722905628</v>
      </c>
      <c r="X328">
        <f ca="1">Inputs!E15+(Inputs!G15-Inputs!E15)*BETAINV(RAND(),Model!J9,Model!K9)</f>
        <v>0.33217105031637439</v>
      </c>
      <c r="Y328">
        <f ca="1">(Inputs!H15+(Inputs!J15-Inputs!H15)*BETAINV(RAND(),Model!L9,Model!M9))*Inputs!$C$6</f>
        <v>35097.078243232965</v>
      </c>
      <c r="Z328">
        <f t="shared" ca="1" si="96"/>
        <v>0.46925064297610658</v>
      </c>
      <c r="AA328">
        <f t="shared" ca="1" si="97"/>
        <v>0.48541824192451732</v>
      </c>
      <c r="AB328">
        <f t="shared" ca="1" si="98"/>
        <v>0</v>
      </c>
      <c r="AC328" s="47">
        <f t="shared" ca="1" si="99"/>
        <v>0</v>
      </c>
      <c r="AD328">
        <f ca="1">Inputs!B16+(Inputs!D16-Inputs!B16)*BETAINV(RAND(),Model!H10,Model!I10)</f>
        <v>0.78299932518275273</v>
      </c>
      <c r="AE328">
        <f ca="1">Inputs!E16+(Inputs!G16-Inputs!E16)*BETAINV(RAND(),Model!J10,Model!K10)</f>
        <v>0.61184085722688419</v>
      </c>
      <c r="AF328">
        <f ca="1">(Inputs!H16+(Inputs!J16-Inputs!H16)*BETAINV(RAND(),Model!L10,Model!M10))*Inputs!$C$6</f>
        <v>56450.161110391498</v>
      </c>
      <c r="AG328">
        <f t="shared" ca="1" si="100"/>
        <v>0.47907097832788725</v>
      </c>
      <c r="AH328">
        <f t="shared" ca="1" si="101"/>
        <v>0.69084003264167804</v>
      </c>
      <c r="AI328">
        <f t="shared" ca="1" si="102"/>
        <v>1</v>
      </c>
      <c r="AJ328" s="47">
        <f t="shared" ca="1" si="103"/>
        <v>56450.161110391498</v>
      </c>
      <c r="AK328">
        <f t="shared" ca="1" si="104"/>
        <v>93905.831560212755</v>
      </c>
    </row>
    <row r="329" spans="2:37" x14ac:dyDescent="0.2">
      <c r="B329">
        <f ca="1">Inputs!B12+(Inputs!D12-Inputs!B12)*BETAINV(RAND(),Model!H6,Model!I6)</f>
        <v>3.3089949092344688</v>
      </c>
      <c r="C329">
        <f ca="1">Inputs!E12+(Inputs!G12-Inputs!E12)*BETAINV(RAND(),Model!J6,Model!K6)</f>
        <v>0.33269980484214201</v>
      </c>
      <c r="D329">
        <f ca="1">(Inputs!H12+(Inputs!J12-Inputs!H12)*BETAINV(RAND(),Model!L6,Model!M6))*Inputs!$C$6</f>
        <v>19602.626899533199</v>
      </c>
      <c r="E329">
        <f t="shared" ca="1" si="84"/>
        <v>1.1009019605259491</v>
      </c>
      <c r="F329">
        <f t="shared" ca="1" si="85"/>
        <v>0.79252824096259877</v>
      </c>
      <c r="G329">
        <f t="shared" ca="1" si="86"/>
        <v>2</v>
      </c>
      <c r="H329" s="47">
        <f t="shared" ca="1" si="87"/>
        <v>39205.253799066399</v>
      </c>
      <c r="I329">
        <f ca="1">Inputs!B13+(Inputs!D13-Inputs!B13)*BETAINV(RAND(),Model!H7,Model!I7)</f>
        <v>1.315831706328719</v>
      </c>
      <c r="J329">
        <f ca="1">Inputs!E13+(Inputs!G13-Inputs!E13)*BETAINV(RAND(),Model!J7,Model!K7)</f>
        <v>0.21264851178589983</v>
      </c>
      <c r="K329">
        <f ca="1">(Inputs!H13+(Inputs!J13-Inputs!H13)*BETAINV(RAND(),Model!L7,Model!M7))*Inputs!$C$6</f>
        <v>16142.50841602686</v>
      </c>
      <c r="L329">
        <f t="shared" ca="1" si="88"/>
        <v>0.27980965411150327</v>
      </c>
      <c r="M329">
        <f t="shared" ca="1" si="89"/>
        <v>0.37956252272875268</v>
      </c>
      <c r="N329">
        <f t="shared" ca="1" si="90"/>
        <v>0</v>
      </c>
      <c r="O329" s="47">
        <f t="shared" ca="1" si="91"/>
        <v>0</v>
      </c>
      <c r="P329">
        <f ca="1">Inputs!B14+(Inputs!D14-Inputs!B14)*BETAINV(RAND(),Model!H8,Model!I8)</f>
        <v>0.13451840014053973</v>
      </c>
      <c r="Q329">
        <f ca="1">Inputs!E14+(Inputs!G14-Inputs!E14)*BETAINV(RAND(),Model!J8,Model!K8)</f>
        <v>0.59900919480878456</v>
      </c>
      <c r="R329">
        <f ca="1">(Inputs!H14+(Inputs!J14-Inputs!H14)*BETAINV(RAND(),Model!L8,Model!M8))*Inputs!$C$6</f>
        <v>545423.66409651912</v>
      </c>
      <c r="S329">
        <f t="shared" ca="1" si="92"/>
        <v>8.0577758555150591E-2</v>
      </c>
      <c r="T329">
        <f t="shared" ca="1" si="93"/>
        <v>0.94138463891543533</v>
      </c>
      <c r="U329">
        <f t="shared" ca="1" si="94"/>
        <v>1</v>
      </c>
      <c r="V329" s="47">
        <f t="shared" ca="1" si="95"/>
        <v>545423.66409651912</v>
      </c>
      <c r="W329">
        <f ca="1">Inputs!B15+(Inputs!D15-Inputs!B15)*BETAINV(RAND(),Model!H9,Model!I9)</f>
        <v>0.77823879605994151</v>
      </c>
      <c r="X329">
        <f ca="1">Inputs!E15+(Inputs!G15-Inputs!E15)*BETAINV(RAND(),Model!J9,Model!K9)</f>
        <v>0.59189281644294678</v>
      </c>
      <c r="Y329">
        <f ca="1">(Inputs!H15+(Inputs!J15-Inputs!H15)*BETAINV(RAND(),Model!L9,Model!M9))*Inputs!$C$6</f>
        <v>35208.67589536911</v>
      </c>
      <c r="Z329">
        <f t="shared" ca="1" si="96"/>
        <v>0.46063395286508685</v>
      </c>
      <c r="AA329">
        <f t="shared" ca="1" si="97"/>
        <v>2.5584895606845626E-2</v>
      </c>
      <c r="AB329">
        <f t="shared" ca="1" si="98"/>
        <v>0</v>
      </c>
      <c r="AC329" s="47">
        <f t="shared" ca="1" si="99"/>
        <v>0</v>
      </c>
      <c r="AD329">
        <f ca="1">Inputs!B16+(Inputs!D16-Inputs!B16)*BETAINV(RAND(),Model!H10,Model!I10)</f>
        <v>0.6625897157583388</v>
      </c>
      <c r="AE329">
        <f ca="1">Inputs!E16+(Inputs!G16-Inputs!E16)*BETAINV(RAND(),Model!J10,Model!K10)</f>
        <v>0.66405445628531079</v>
      </c>
      <c r="AF329">
        <f ca="1">(Inputs!H16+(Inputs!J16-Inputs!H16)*BETAINV(RAND(),Model!L10,Model!M10))*Inputs!$C$6</f>
        <v>109653.98487530799</v>
      </c>
      <c r="AG329">
        <f t="shared" ca="1" si="100"/>
        <v>0.43999565343814229</v>
      </c>
      <c r="AH329">
        <f t="shared" ca="1" si="101"/>
        <v>6.1572513394446582E-2</v>
      </c>
      <c r="AI329">
        <f t="shared" ca="1" si="102"/>
        <v>0</v>
      </c>
      <c r="AJ329" s="47">
        <f t="shared" ca="1" si="103"/>
        <v>0</v>
      </c>
      <c r="AK329">
        <f t="shared" ca="1" si="104"/>
        <v>584628.91789558553</v>
      </c>
    </row>
    <row r="330" spans="2:37" x14ac:dyDescent="0.2">
      <c r="B330">
        <f ca="1">Inputs!B12+(Inputs!D12-Inputs!B12)*BETAINV(RAND(),Model!H6,Model!I6)</f>
        <v>5.3147398644517256</v>
      </c>
      <c r="C330">
        <f ca="1">Inputs!E12+(Inputs!G12-Inputs!E12)*BETAINV(RAND(),Model!J6,Model!K6)</f>
        <v>0.34979269772358867</v>
      </c>
      <c r="D330">
        <f ca="1">(Inputs!H12+(Inputs!J12-Inputs!H12)*BETAINV(RAND(),Model!L6,Model!M6))*Inputs!$C$6</f>
        <v>18178.29553896598</v>
      </c>
      <c r="E330">
        <f t="shared" ca="1" si="84"/>
        <v>1.8590571948856691</v>
      </c>
      <c r="F330">
        <f t="shared" ca="1" si="85"/>
        <v>0.16844724755544505</v>
      </c>
      <c r="G330">
        <f t="shared" ca="1" si="86"/>
        <v>1</v>
      </c>
      <c r="H330" s="47">
        <f t="shared" ca="1" si="87"/>
        <v>18178.29553896598</v>
      </c>
      <c r="I330">
        <f ca="1">Inputs!B13+(Inputs!D13-Inputs!B13)*BETAINV(RAND(),Model!H7,Model!I7)</f>
        <v>2.8300162291042859</v>
      </c>
      <c r="J330">
        <f ca="1">Inputs!E13+(Inputs!G13-Inputs!E13)*BETAINV(RAND(),Model!J7,Model!K7)</f>
        <v>0.18783973173796134</v>
      </c>
      <c r="K330">
        <f ca="1">(Inputs!H13+(Inputs!J13-Inputs!H13)*BETAINV(RAND(),Model!L7,Model!M7))*Inputs!$C$6</f>
        <v>29979.119785891475</v>
      </c>
      <c r="L330">
        <f t="shared" ca="1" si="88"/>
        <v>0.53158948928902605</v>
      </c>
      <c r="M330">
        <f t="shared" ca="1" si="89"/>
        <v>0.23823801649225596</v>
      </c>
      <c r="N330">
        <f t="shared" ca="1" si="90"/>
        <v>0</v>
      </c>
      <c r="O330" s="47">
        <f t="shared" ca="1" si="91"/>
        <v>0</v>
      </c>
      <c r="P330">
        <f ca="1">Inputs!B14+(Inputs!D14-Inputs!B14)*BETAINV(RAND(),Model!H8,Model!I8)</f>
        <v>0.57520244642030027</v>
      </c>
      <c r="Q330">
        <f ca="1">Inputs!E14+(Inputs!G14-Inputs!E14)*BETAINV(RAND(),Model!J8,Model!K8)</f>
        <v>0.42403986274572869</v>
      </c>
      <c r="R330">
        <f ca="1">(Inputs!H14+(Inputs!J14-Inputs!H14)*BETAINV(RAND(),Model!L8,Model!M8))*Inputs!$C$6</f>
        <v>461756.47418266023</v>
      </c>
      <c r="S330">
        <f t="shared" ca="1" si="92"/>
        <v>0.24390876643107148</v>
      </c>
      <c r="T330">
        <f t="shared" ca="1" si="93"/>
        <v>0.91615119382955712</v>
      </c>
      <c r="U330">
        <f t="shared" ca="1" si="94"/>
        <v>1</v>
      </c>
      <c r="V330" s="47">
        <f t="shared" ca="1" si="95"/>
        <v>461756.47418266023</v>
      </c>
      <c r="W330">
        <f ca="1">Inputs!B15+(Inputs!D15-Inputs!B15)*BETAINV(RAND(),Model!H9,Model!I9)</f>
        <v>0.95232163277858839</v>
      </c>
      <c r="X330">
        <f ca="1">Inputs!E15+(Inputs!G15-Inputs!E15)*BETAINV(RAND(),Model!J9,Model!K9)</f>
        <v>0.21446526172931757</v>
      </c>
      <c r="Y330">
        <f ca="1">(Inputs!H15+(Inputs!J15-Inputs!H15)*BETAINV(RAND(),Model!L9,Model!M9))*Inputs!$C$6</f>
        <v>37753.298592318621</v>
      </c>
      <c r="Z330">
        <f t="shared" ca="1" si="96"/>
        <v>0.20423990822435101</v>
      </c>
      <c r="AA330">
        <f t="shared" ca="1" si="97"/>
        <v>0.33546758280400724</v>
      </c>
      <c r="AB330">
        <f t="shared" ca="1" si="98"/>
        <v>0</v>
      </c>
      <c r="AC330" s="47">
        <f t="shared" ca="1" si="99"/>
        <v>0</v>
      </c>
      <c r="AD330">
        <f ca="1">Inputs!B16+(Inputs!D16-Inputs!B16)*BETAINV(RAND(),Model!H10,Model!I10)</f>
        <v>0.79358403841007186</v>
      </c>
      <c r="AE330">
        <f ca="1">Inputs!E16+(Inputs!G16-Inputs!E16)*BETAINV(RAND(),Model!J10,Model!K10)</f>
        <v>0.58890894796723403</v>
      </c>
      <c r="AF330">
        <f ca="1">(Inputs!H16+(Inputs!J16-Inputs!H16)*BETAINV(RAND(),Model!L10,Model!M10))*Inputs!$C$6</f>
        <v>121176.21247384265</v>
      </c>
      <c r="AG330">
        <f t="shared" ca="1" si="100"/>
        <v>0.46734874118366448</v>
      </c>
      <c r="AH330">
        <f t="shared" ca="1" si="101"/>
        <v>0.49633496594389148</v>
      </c>
      <c r="AI330">
        <f t="shared" ca="1" si="102"/>
        <v>0</v>
      </c>
      <c r="AJ330" s="47">
        <f t="shared" ca="1" si="103"/>
        <v>0</v>
      </c>
      <c r="AK330">
        <f t="shared" ca="1" si="104"/>
        <v>479934.76972162619</v>
      </c>
    </row>
    <row r="331" spans="2:37" x14ac:dyDescent="0.2">
      <c r="B331">
        <f ca="1">Inputs!B12+(Inputs!D12-Inputs!B12)*BETAINV(RAND(),Model!H6,Model!I6)</f>
        <v>4.7924107047521272</v>
      </c>
      <c r="C331">
        <f ca="1">Inputs!E12+(Inputs!G12-Inputs!E12)*BETAINV(RAND(),Model!J6,Model!K6)</f>
        <v>0.18376359974432502</v>
      </c>
      <c r="D331">
        <f ca="1">(Inputs!H12+(Inputs!J12-Inputs!H12)*BETAINV(RAND(),Model!L6,Model!M6))*Inputs!$C$6</f>
        <v>21474.054612235494</v>
      </c>
      <c r="E331">
        <f t="shared" ca="1" si="84"/>
        <v>0.88067064255848848</v>
      </c>
      <c r="F331">
        <f t="shared" ca="1" si="85"/>
        <v>0.10647753432501028</v>
      </c>
      <c r="G331">
        <f t="shared" ca="1" si="86"/>
        <v>0</v>
      </c>
      <c r="H331" s="47">
        <f t="shared" ca="1" si="87"/>
        <v>0</v>
      </c>
      <c r="I331">
        <f ca="1">Inputs!B13+(Inputs!D13-Inputs!B13)*BETAINV(RAND(),Model!H7,Model!I7)</f>
        <v>3.1513800009541524</v>
      </c>
      <c r="J331">
        <f ca="1">Inputs!E13+(Inputs!G13-Inputs!E13)*BETAINV(RAND(),Model!J7,Model!K7)</f>
        <v>0.36817629510735772</v>
      </c>
      <c r="K331">
        <f ca="1">(Inputs!H13+(Inputs!J13-Inputs!H13)*BETAINV(RAND(),Model!L7,Model!M7))*Inputs!$C$6</f>
        <v>13420.642356391654</v>
      </c>
      <c r="L331">
        <f t="shared" ca="1" si="88"/>
        <v>1.1602634132267213</v>
      </c>
      <c r="M331">
        <f t="shared" ca="1" si="89"/>
        <v>0.40671865010053987</v>
      </c>
      <c r="N331">
        <f t="shared" ca="1" si="90"/>
        <v>1</v>
      </c>
      <c r="O331" s="47">
        <f t="shared" ca="1" si="91"/>
        <v>13420.642356391654</v>
      </c>
      <c r="P331">
        <f ca="1">Inputs!B14+(Inputs!D14-Inputs!B14)*BETAINV(RAND(),Model!H8,Model!I8)</f>
        <v>0.23111388022593757</v>
      </c>
      <c r="Q331">
        <f ca="1">Inputs!E14+(Inputs!G14-Inputs!E14)*BETAINV(RAND(),Model!J8,Model!K8)</f>
        <v>0.47178344505185071</v>
      </c>
      <c r="R331">
        <f ca="1">(Inputs!H14+(Inputs!J14-Inputs!H14)*BETAINV(RAND(),Model!L8,Model!M8))*Inputs!$C$6</f>
        <v>374152.07552040555</v>
      </c>
      <c r="S331">
        <f t="shared" ca="1" si="92"/>
        <v>0.10903570261229363</v>
      </c>
      <c r="T331">
        <f t="shared" ca="1" si="93"/>
        <v>0.26123667302217402</v>
      </c>
      <c r="U331">
        <f t="shared" ca="1" si="94"/>
        <v>0</v>
      </c>
      <c r="V331" s="47">
        <f t="shared" ca="1" si="95"/>
        <v>0</v>
      </c>
      <c r="W331">
        <f ca="1">Inputs!B15+(Inputs!D15-Inputs!B15)*BETAINV(RAND(),Model!H9,Model!I9)</f>
        <v>0.45445246690099422</v>
      </c>
      <c r="X331">
        <f ca="1">Inputs!E15+(Inputs!G15-Inputs!E15)*BETAINV(RAND(),Model!J9,Model!K9)</f>
        <v>0.51050381792408517</v>
      </c>
      <c r="Y331">
        <f ca="1">(Inputs!H15+(Inputs!J15-Inputs!H15)*BETAINV(RAND(),Model!L9,Model!M9))*Inputs!$C$6</f>
        <v>15697.51610634381</v>
      </c>
      <c r="Z331">
        <f t="shared" ca="1" si="96"/>
        <v>0.23199971941797651</v>
      </c>
      <c r="AA331">
        <f t="shared" ca="1" si="97"/>
        <v>0.8252384383965834</v>
      </c>
      <c r="AB331">
        <f t="shared" ca="1" si="98"/>
        <v>1</v>
      </c>
      <c r="AC331" s="47">
        <f t="shared" ca="1" si="99"/>
        <v>15697.51610634381</v>
      </c>
      <c r="AD331">
        <f ca="1">Inputs!B16+(Inputs!D16-Inputs!B16)*BETAINV(RAND(),Model!H10,Model!I10)</f>
        <v>0.36807275339602363</v>
      </c>
      <c r="AE331">
        <f ca="1">Inputs!E16+(Inputs!G16-Inputs!E16)*BETAINV(RAND(),Model!J10,Model!K10)</f>
        <v>0.63979526719262769</v>
      </c>
      <c r="AF331">
        <f ca="1">(Inputs!H16+(Inputs!J16-Inputs!H16)*BETAINV(RAND(),Model!L10,Model!M10))*Inputs!$C$6</f>
        <v>114016.52817910441</v>
      </c>
      <c r="AG331">
        <f t="shared" ca="1" si="100"/>
        <v>0.2354912056053351</v>
      </c>
      <c r="AH331">
        <f t="shared" ca="1" si="101"/>
        <v>0.49740569534513857</v>
      </c>
      <c r="AI331">
        <f t="shared" ca="1" si="102"/>
        <v>0</v>
      </c>
      <c r="AJ331" s="47">
        <f t="shared" ca="1" si="103"/>
        <v>0</v>
      </c>
      <c r="AK331">
        <f t="shared" ca="1" si="104"/>
        <v>29118.158462735464</v>
      </c>
    </row>
    <row r="332" spans="2:37" x14ac:dyDescent="0.2">
      <c r="B332">
        <f ca="1">Inputs!B12+(Inputs!D12-Inputs!B12)*BETAINV(RAND(),Model!H6,Model!I6)</f>
        <v>3.7944813794390151</v>
      </c>
      <c r="C332">
        <f ca="1">Inputs!E12+(Inputs!G12-Inputs!E12)*BETAINV(RAND(),Model!J6,Model!K6)</f>
        <v>0.34675160948208017</v>
      </c>
      <c r="D332">
        <f ca="1">(Inputs!H12+(Inputs!J12-Inputs!H12)*BETAINV(RAND(),Model!L6,Model!M6))*Inputs!$C$6</f>
        <v>14641.49255109763</v>
      </c>
      <c r="E332">
        <f t="shared" ref="E332:E395" ca="1" si="105">B332*C332</f>
        <v>1.3157425254702622</v>
      </c>
      <c r="F332">
        <f t="shared" ref="F332:F395" ca="1" si="106">RAND()</f>
        <v>0.81450615743651911</v>
      </c>
      <c r="G332">
        <f t="shared" ref="G332:G395" ca="1" si="107">IF(F332&lt;EXP(-E332),0,IF(F332&lt;EXP(-E332)*(1+E332),1,IF(F332&lt;EXP(-E332)*(1+E332+E332^2/2),2,IF(F332&lt;EXP(-E332)*(1+E332+E332^2/2+E332^3/6),3,4))))</f>
        <v>2</v>
      </c>
      <c r="H332" s="47">
        <f t="shared" ref="H332:H395" ca="1" si="108">G332*D332</f>
        <v>29282.98510219526</v>
      </c>
      <c r="I332">
        <f ca="1">Inputs!B13+(Inputs!D13-Inputs!B13)*BETAINV(RAND(),Model!H7,Model!I7)</f>
        <v>2.8044911170429323</v>
      </c>
      <c r="J332">
        <f ca="1">Inputs!E13+(Inputs!G13-Inputs!E13)*BETAINV(RAND(),Model!J7,Model!K7)</f>
        <v>0.26418077457060352</v>
      </c>
      <c r="K332">
        <f ca="1">(Inputs!H13+(Inputs!J13-Inputs!H13)*BETAINV(RAND(),Model!L7,Model!M7))*Inputs!$C$6</f>
        <v>9981.2733834430819</v>
      </c>
      <c r="L332">
        <f t="shared" ref="L332:L395" ca="1" si="109">I332*J332</f>
        <v>0.74089263557677898</v>
      </c>
      <c r="M332">
        <f t="shared" ref="M332:M395" ca="1" si="110">RAND()</f>
        <v>7.6210915529228984E-3</v>
      </c>
      <c r="N332">
        <f t="shared" ref="N332:N395" ca="1" si="111">IF(M332&lt;EXP(-L332),0,IF(M332&lt;EXP(-L332)*(1+L332),1,IF(M332&lt;EXP(-L332)*(1+L332+L332^2/2),2,IF(M332&lt;EXP(-L332)*(1+L332+L332^2/2+L332^3/6),3,4))))</f>
        <v>0</v>
      </c>
      <c r="O332" s="47">
        <f t="shared" ref="O332:O395" ca="1" si="112">N332*K332</f>
        <v>0</v>
      </c>
      <c r="P332">
        <f ca="1">Inputs!B14+(Inputs!D14-Inputs!B14)*BETAINV(RAND(),Model!H8,Model!I8)</f>
        <v>0.18177819161659378</v>
      </c>
      <c r="Q332">
        <f ca="1">Inputs!E14+(Inputs!G14-Inputs!E14)*BETAINV(RAND(),Model!J8,Model!K8)</f>
        <v>0.57061207294750549</v>
      </c>
      <c r="R332">
        <f ca="1">(Inputs!H14+(Inputs!J14-Inputs!H14)*BETAINV(RAND(),Model!L8,Model!M8))*Inputs!$C$6</f>
        <v>534672.17230858968</v>
      </c>
      <c r="S332">
        <f t="shared" ref="S332:S395" ca="1" si="113">P332*Q332</f>
        <v>0.10372483073499345</v>
      </c>
      <c r="T332">
        <f t="shared" ref="T332:T395" ca="1" si="114">RAND()</f>
        <v>0.60741073017474789</v>
      </c>
      <c r="U332">
        <f t="shared" ref="U332:U395" ca="1" si="115">IF(T332&lt;EXP(-S332),0,IF(T332&lt;EXP(-S332)*(1+S332),1,IF(T332&lt;EXP(-S332)*(1+S332+S332^2/2),2,IF(T332&lt;EXP(-S332)*(1+S332+S332^2/2+S332^3/6),3,4))))</f>
        <v>0</v>
      </c>
      <c r="V332" s="47">
        <f t="shared" ref="V332:V395" ca="1" si="116">U332*R332</f>
        <v>0</v>
      </c>
      <c r="W332">
        <f ca="1">Inputs!B15+(Inputs!D15-Inputs!B15)*BETAINV(RAND(),Model!H9,Model!I9)</f>
        <v>0.97497862524052237</v>
      </c>
      <c r="X332">
        <f ca="1">Inputs!E15+(Inputs!G15-Inputs!E15)*BETAINV(RAND(),Model!J9,Model!K9)</f>
        <v>0.60001677256567465</v>
      </c>
      <c r="Y332">
        <f ca="1">(Inputs!H15+(Inputs!J15-Inputs!H15)*BETAINV(RAND(),Model!L9,Model!M9))*Inputs!$C$6</f>
        <v>24184.739820133702</v>
      </c>
      <c r="Z332">
        <f t="shared" ref="Z332:Z395" ca="1" si="117">W332*X332</f>
        <v>0.58500352803733668</v>
      </c>
      <c r="AA332">
        <f t="shared" ref="AA332:AA395" ca="1" si="118">RAND()</f>
        <v>0.21853403681954453</v>
      </c>
      <c r="AB332">
        <f t="shared" ref="AB332:AB395" ca="1" si="119">IF(AA332&lt;EXP(-Z332),0,IF(AA332&lt;EXP(-Z332)*(1+Z332),1,IF(AA332&lt;EXP(-Z332)*(1+Z332+Z332^2/2),2,IF(AA332&lt;EXP(-Z332)*(1+Z332+Z332^2/2+Z332^3/6),3,4))))</f>
        <v>0</v>
      </c>
      <c r="AC332" s="47">
        <f t="shared" ref="AC332:AC395" ca="1" si="120">AB332*Y332</f>
        <v>0</v>
      </c>
      <c r="AD332">
        <f ca="1">Inputs!B16+(Inputs!D16-Inputs!B16)*BETAINV(RAND(),Model!H10,Model!I10)</f>
        <v>0.67012729455329101</v>
      </c>
      <c r="AE332">
        <f ca="1">Inputs!E16+(Inputs!G16-Inputs!E16)*BETAINV(RAND(),Model!J10,Model!K10)</f>
        <v>0.46829549136442095</v>
      </c>
      <c r="AF332">
        <f ca="1">(Inputs!H16+(Inputs!J16-Inputs!H16)*BETAINV(RAND(),Model!L10,Model!M10))*Inputs!$C$6</f>
        <v>124816.9680612805</v>
      </c>
      <c r="AG332">
        <f t="shared" ref="AG332:AG395" ca="1" si="121">AD332*AE332</f>
        <v>0.31381759067954346</v>
      </c>
      <c r="AH332">
        <f t="shared" ref="AH332:AH395" ca="1" si="122">RAND()</f>
        <v>0.13387771805213111</v>
      </c>
      <c r="AI332">
        <f t="shared" ref="AI332:AI395" ca="1" si="123">IF(AH332&lt;EXP(-AG332),0,IF(AH332&lt;EXP(-AG332)*(1+AG332),1,IF(AH332&lt;EXP(-AG332)*(1+AG332+AG332^2/2),2,IF(AH332&lt;EXP(-AG332)*(1+AG332+AG332^2/2+AG332^3/6),3,4))))</f>
        <v>0</v>
      </c>
      <c r="AJ332" s="47">
        <f t="shared" ref="AJ332:AJ395" ca="1" si="124">AI332*AF332</f>
        <v>0</v>
      </c>
      <c r="AK332">
        <f t="shared" ref="AK332:AK395" ca="1" si="125">H332+O332+V332+AC332+AJ332</f>
        <v>29282.98510219526</v>
      </c>
    </row>
    <row r="333" spans="2:37" x14ac:dyDescent="0.2">
      <c r="B333">
        <f ca="1">Inputs!B12+(Inputs!D12-Inputs!B12)*BETAINV(RAND(),Model!H6,Model!I6)</f>
        <v>2.5656596416594297</v>
      </c>
      <c r="C333">
        <f ca="1">Inputs!E12+(Inputs!G12-Inputs!E12)*BETAINV(RAND(),Model!J6,Model!K6)</f>
        <v>0.3453051925954409</v>
      </c>
      <c r="D333">
        <f ca="1">(Inputs!H12+(Inputs!J12-Inputs!H12)*BETAINV(RAND(),Model!L6,Model!M6))*Inputs!$C$6</f>
        <v>18979.033291358388</v>
      </c>
      <c r="E333">
        <f t="shared" ca="1" si="105"/>
        <v>0.88593559669755928</v>
      </c>
      <c r="F333">
        <f t="shared" ca="1" si="106"/>
        <v>0.90824459660415346</v>
      </c>
      <c r="G333">
        <f t="shared" ca="1" si="107"/>
        <v>2</v>
      </c>
      <c r="H333" s="47">
        <f t="shared" ca="1" si="108"/>
        <v>37958.066582716776</v>
      </c>
      <c r="I333">
        <f ca="1">Inputs!B13+(Inputs!D13-Inputs!B13)*BETAINV(RAND(),Model!H7,Model!I7)</f>
        <v>1.557626595777466</v>
      </c>
      <c r="J333">
        <f ca="1">Inputs!E13+(Inputs!G13-Inputs!E13)*BETAINV(RAND(),Model!J7,Model!K7)</f>
        <v>0.18699135860292454</v>
      </c>
      <c r="K333">
        <f ca="1">(Inputs!H13+(Inputs!J13-Inputs!H13)*BETAINV(RAND(),Model!L7,Model!M7))*Inputs!$C$6</f>
        <v>19118.031173575251</v>
      </c>
      <c r="L333">
        <f t="shared" ca="1" si="109"/>
        <v>0.29126271334047671</v>
      </c>
      <c r="M333">
        <f t="shared" ca="1" si="110"/>
        <v>0.25851811636455624</v>
      </c>
      <c r="N333">
        <f t="shared" ca="1" si="111"/>
        <v>0</v>
      </c>
      <c r="O333" s="47">
        <f t="shared" ca="1" si="112"/>
        <v>0</v>
      </c>
      <c r="P333">
        <f ca="1">Inputs!B14+(Inputs!D14-Inputs!B14)*BETAINV(RAND(),Model!H8,Model!I8)</f>
        <v>0.24029048243255952</v>
      </c>
      <c r="Q333">
        <f ca="1">Inputs!E14+(Inputs!G14-Inputs!E14)*BETAINV(RAND(),Model!J8,Model!K8)</f>
        <v>0.8388194246301568</v>
      </c>
      <c r="R333">
        <f ca="1">(Inputs!H14+(Inputs!J14-Inputs!H14)*BETAINV(RAND(),Model!L8,Model!M8))*Inputs!$C$6</f>
        <v>597738.37387819483</v>
      </c>
      <c r="S333">
        <f t="shared" ca="1" si="113"/>
        <v>0.20156032421818237</v>
      </c>
      <c r="T333">
        <f t="shared" ca="1" si="114"/>
        <v>0.99775326337234149</v>
      </c>
      <c r="U333">
        <f t="shared" ca="1" si="115"/>
        <v>2</v>
      </c>
      <c r="V333" s="47">
        <f t="shared" ca="1" si="116"/>
        <v>1195476.7477563897</v>
      </c>
      <c r="W333">
        <f ca="1">Inputs!B15+(Inputs!D15-Inputs!B15)*BETAINV(RAND(),Model!H9,Model!I9)</f>
        <v>1.9686654679102003</v>
      </c>
      <c r="X333">
        <f ca="1">Inputs!E15+(Inputs!G15-Inputs!E15)*BETAINV(RAND(),Model!J9,Model!K9)</f>
        <v>0.53851516868803129</v>
      </c>
      <c r="Y333">
        <f ca="1">(Inputs!H15+(Inputs!J15-Inputs!H15)*BETAINV(RAND(),Model!L9,Model!M9))*Inputs!$C$6</f>
        <v>17229.140218131488</v>
      </c>
      <c r="Z333">
        <f t="shared" ca="1" si="117"/>
        <v>1.0601562165419636</v>
      </c>
      <c r="AA333">
        <f t="shared" ca="1" si="118"/>
        <v>1.8150498148174266E-2</v>
      </c>
      <c r="AB333">
        <f t="shared" ca="1" si="119"/>
        <v>0</v>
      </c>
      <c r="AC333" s="47">
        <f t="shared" ca="1" si="120"/>
        <v>0</v>
      </c>
      <c r="AD333">
        <f ca="1">Inputs!B16+(Inputs!D16-Inputs!B16)*BETAINV(RAND(),Model!H10,Model!I10)</f>
        <v>0.55654487770484184</v>
      </c>
      <c r="AE333">
        <f ca="1">Inputs!E16+(Inputs!G16-Inputs!E16)*BETAINV(RAND(),Model!J10,Model!K10)</f>
        <v>0.64657175166289593</v>
      </c>
      <c r="AF333">
        <f ca="1">(Inputs!H16+(Inputs!J16-Inputs!H16)*BETAINV(RAND(),Model!L10,Model!M10))*Inputs!$C$6</f>
        <v>119563.60667804774</v>
      </c>
      <c r="AG333">
        <f t="shared" ca="1" si="121"/>
        <v>0.35984619645663179</v>
      </c>
      <c r="AH333">
        <f t="shared" ca="1" si="122"/>
        <v>0.92290336148815311</v>
      </c>
      <c r="AI333">
        <f t="shared" ca="1" si="123"/>
        <v>1</v>
      </c>
      <c r="AJ333" s="47">
        <f t="shared" ca="1" si="124"/>
        <v>119563.60667804774</v>
      </c>
      <c r="AK333">
        <f t="shared" ca="1" si="125"/>
        <v>1352998.4210171541</v>
      </c>
    </row>
    <row r="334" spans="2:37" x14ac:dyDescent="0.2">
      <c r="B334">
        <f ca="1">Inputs!B12+(Inputs!D12-Inputs!B12)*BETAINV(RAND(),Model!H6,Model!I6)</f>
        <v>3.7127678712850547</v>
      </c>
      <c r="C334">
        <f ca="1">Inputs!E12+(Inputs!G12-Inputs!E12)*BETAINV(RAND(),Model!J6,Model!K6)</f>
        <v>0.28521851255819547</v>
      </c>
      <c r="D334">
        <f ca="1">(Inputs!H12+(Inputs!J12-Inputs!H12)*BETAINV(RAND(),Model!L6,Model!M6))*Inputs!$C$6</f>
        <v>22696.824911413805</v>
      </c>
      <c r="E334">
        <f t="shared" ca="1" si="105"/>
        <v>1.0589501297217809</v>
      </c>
      <c r="F334">
        <f t="shared" ca="1" si="106"/>
        <v>0.41250862584120818</v>
      </c>
      <c r="G334">
        <f t="shared" ca="1" si="107"/>
        <v>1</v>
      </c>
      <c r="H334" s="47">
        <f t="shared" ca="1" si="108"/>
        <v>22696.824911413805</v>
      </c>
      <c r="I334">
        <f ca="1">Inputs!B13+(Inputs!D13-Inputs!B13)*BETAINV(RAND(),Model!H7,Model!I7)</f>
        <v>1.8260176120940161</v>
      </c>
      <c r="J334">
        <f ca="1">Inputs!E13+(Inputs!G13-Inputs!E13)*BETAINV(RAND(),Model!J7,Model!K7)</f>
        <v>0.3545875510961648</v>
      </c>
      <c r="K334">
        <f ca="1">(Inputs!H13+(Inputs!J13-Inputs!H13)*BETAINV(RAND(),Model!L7,Model!M7))*Inputs!$C$6</f>
        <v>67353.95103453059</v>
      </c>
      <c r="L334">
        <f t="shared" ca="1" si="109"/>
        <v>0.64748311333088382</v>
      </c>
      <c r="M334">
        <f t="shared" ca="1" si="110"/>
        <v>0.18439954080553111</v>
      </c>
      <c r="N334">
        <f t="shared" ca="1" si="111"/>
        <v>0</v>
      </c>
      <c r="O334" s="47">
        <f t="shared" ca="1" si="112"/>
        <v>0</v>
      </c>
      <c r="P334">
        <f ca="1">Inputs!B14+(Inputs!D14-Inputs!B14)*BETAINV(RAND(),Model!H8,Model!I8)</f>
        <v>0.14512399444631782</v>
      </c>
      <c r="Q334">
        <f ca="1">Inputs!E14+(Inputs!G14-Inputs!E14)*BETAINV(RAND(),Model!J8,Model!K8)</f>
        <v>0.66486906853226968</v>
      </c>
      <c r="R334">
        <f ca="1">(Inputs!H14+(Inputs!J14-Inputs!H14)*BETAINV(RAND(),Model!L8,Model!M8))*Inputs!$C$6</f>
        <v>270892.98566996423</v>
      </c>
      <c r="S334">
        <f t="shared" ca="1" si="113"/>
        <v>9.6488455009205609E-2</v>
      </c>
      <c r="T334">
        <f t="shared" ca="1" si="114"/>
        <v>0.11186168057627854</v>
      </c>
      <c r="U334">
        <f t="shared" ca="1" si="115"/>
        <v>0</v>
      </c>
      <c r="V334" s="47">
        <f t="shared" ca="1" si="116"/>
        <v>0</v>
      </c>
      <c r="W334">
        <f ca="1">Inputs!B15+(Inputs!D15-Inputs!B15)*BETAINV(RAND(),Model!H9,Model!I9)</f>
        <v>0.63144305883230722</v>
      </c>
      <c r="X334">
        <f ca="1">Inputs!E15+(Inputs!G15-Inputs!E15)*BETAINV(RAND(),Model!J9,Model!K9)</f>
        <v>0.61458172318118542</v>
      </c>
      <c r="Y334">
        <f ca="1">(Inputs!H15+(Inputs!J15-Inputs!H15)*BETAINV(RAND(),Model!L9,Model!M9))*Inputs!$C$6</f>
        <v>24534.656855386052</v>
      </c>
      <c r="Z334">
        <f t="shared" ca="1" si="117"/>
        <v>0.38807336318795804</v>
      </c>
      <c r="AA334">
        <f t="shared" ca="1" si="118"/>
        <v>0.64988454557732678</v>
      </c>
      <c r="AB334">
        <f t="shared" ca="1" si="119"/>
        <v>0</v>
      </c>
      <c r="AC334" s="47">
        <f t="shared" ca="1" si="120"/>
        <v>0</v>
      </c>
      <c r="AD334">
        <f ca="1">Inputs!B16+(Inputs!D16-Inputs!B16)*BETAINV(RAND(),Model!H10,Model!I10)</f>
        <v>0.5261860852968252</v>
      </c>
      <c r="AE334">
        <f ca="1">Inputs!E16+(Inputs!G16-Inputs!E16)*BETAINV(RAND(),Model!J10,Model!K10)</f>
        <v>0.58877235085172042</v>
      </c>
      <c r="AF334">
        <f ca="1">(Inputs!H16+(Inputs!J16-Inputs!H16)*BETAINV(RAND(),Model!L10,Model!M10))*Inputs!$C$6</f>
        <v>54804.828397896308</v>
      </c>
      <c r="AG334">
        <f t="shared" ca="1" si="121"/>
        <v>0.30980381842567567</v>
      </c>
      <c r="AH334">
        <f t="shared" ca="1" si="122"/>
        <v>3.580807830029864E-2</v>
      </c>
      <c r="AI334">
        <f t="shared" ca="1" si="123"/>
        <v>0</v>
      </c>
      <c r="AJ334" s="47">
        <f t="shared" ca="1" si="124"/>
        <v>0</v>
      </c>
      <c r="AK334">
        <f t="shared" ca="1" si="125"/>
        <v>22696.824911413805</v>
      </c>
    </row>
    <row r="335" spans="2:37" x14ac:dyDescent="0.2">
      <c r="B335">
        <f ca="1">Inputs!B12+(Inputs!D12-Inputs!B12)*BETAINV(RAND(),Model!H6,Model!I6)</f>
        <v>1.4303146639313082</v>
      </c>
      <c r="C335">
        <f ca="1">Inputs!E12+(Inputs!G12-Inputs!E12)*BETAINV(RAND(),Model!J6,Model!K6)</f>
        <v>0.41856953223436633</v>
      </c>
      <c r="D335">
        <f ca="1">(Inputs!H12+(Inputs!J12-Inputs!H12)*BETAINV(RAND(),Model!L6,Model!M6))*Inputs!$C$6</f>
        <v>15727.029041803084</v>
      </c>
      <c r="E335">
        <f t="shared" ca="1" si="105"/>
        <v>0.59868613982968255</v>
      </c>
      <c r="F335">
        <f t="shared" ca="1" si="106"/>
        <v>0.13751347681931936</v>
      </c>
      <c r="G335">
        <f t="shared" ca="1" si="107"/>
        <v>0</v>
      </c>
      <c r="H335" s="47">
        <f t="shared" ca="1" si="108"/>
        <v>0</v>
      </c>
      <c r="I335">
        <f ca="1">Inputs!B13+(Inputs!D13-Inputs!B13)*BETAINV(RAND(),Model!H7,Model!I7)</f>
        <v>2.8759288719922864</v>
      </c>
      <c r="J335">
        <f ca="1">Inputs!E13+(Inputs!G13-Inputs!E13)*BETAINV(RAND(),Model!J7,Model!K7)</f>
        <v>0.20209832638088016</v>
      </c>
      <c r="K335">
        <f ca="1">(Inputs!H13+(Inputs!J13-Inputs!H13)*BETAINV(RAND(),Model!L7,Model!M7))*Inputs!$C$6</f>
        <v>29219.526729670546</v>
      </c>
      <c r="L335">
        <f t="shared" ca="1" si="109"/>
        <v>0.58122041182009365</v>
      </c>
      <c r="M335">
        <f t="shared" ca="1" si="110"/>
        <v>0.52630815054519298</v>
      </c>
      <c r="N335">
        <f t="shared" ca="1" si="111"/>
        <v>0</v>
      </c>
      <c r="O335" s="47">
        <f t="shared" ca="1" si="112"/>
        <v>0</v>
      </c>
      <c r="P335">
        <f ca="1">Inputs!B14+(Inputs!D14-Inputs!B14)*BETAINV(RAND(),Model!H8,Model!I8)</f>
        <v>0.62026867673314146</v>
      </c>
      <c r="Q335">
        <f ca="1">Inputs!E14+(Inputs!G14-Inputs!E14)*BETAINV(RAND(),Model!J8,Model!K8)</f>
        <v>0.57987104064477424</v>
      </c>
      <c r="R335">
        <f ca="1">(Inputs!H14+(Inputs!J14-Inputs!H14)*BETAINV(RAND(),Model!L8,Model!M8))*Inputs!$C$6</f>
        <v>416594.38175313757</v>
      </c>
      <c r="S335">
        <f t="shared" ca="1" si="113"/>
        <v>0.35967584305660383</v>
      </c>
      <c r="T335">
        <f t="shared" ca="1" si="114"/>
        <v>0.90489689589006461</v>
      </c>
      <c r="U335">
        <f t="shared" ca="1" si="115"/>
        <v>1</v>
      </c>
      <c r="V335" s="47">
        <f t="shared" ca="1" si="116"/>
        <v>416594.38175313757</v>
      </c>
      <c r="W335">
        <f ca="1">Inputs!B15+(Inputs!D15-Inputs!B15)*BETAINV(RAND(),Model!H9,Model!I9)</f>
        <v>0.58507311507664372</v>
      </c>
      <c r="X335">
        <f ca="1">Inputs!E15+(Inputs!G15-Inputs!E15)*BETAINV(RAND(),Model!J9,Model!K9)</f>
        <v>0.43309467034830595</v>
      </c>
      <c r="Y335">
        <f ca="1">(Inputs!H15+(Inputs!J15-Inputs!H15)*BETAINV(RAND(),Model!L9,Model!M9))*Inputs!$C$6</f>
        <v>18601.611753466626</v>
      </c>
      <c r="Z335">
        <f t="shared" ca="1" si="117"/>
        <v>0.25339204790377551</v>
      </c>
      <c r="AA335">
        <f t="shared" ca="1" si="118"/>
        <v>0.75506370384018162</v>
      </c>
      <c r="AB335">
        <f t="shared" ca="1" si="119"/>
        <v>0</v>
      </c>
      <c r="AC335" s="47">
        <f t="shared" ca="1" si="120"/>
        <v>0</v>
      </c>
      <c r="AD335">
        <f ca="1">Inputs!B16+(Inputs!D16-Inputs!B16)*BETAINV(RAND(),Model!H10,Model!I10)</f>
        <v>0.76636360007985482</v>
      </c>
      <c r="AE335">
        <f ca="1">Inputs!E16+(Inputs!G16-Inputs!E16)*BETAINV(RAND(),Model!J10,Model!K10)</f>
        <v>0.59536906738337758</v>
      </c>
      <c r="AF335">
        <f ca="1">(Inputs!H16+(Inputs!J16-Inputs!H16)*BETAINV(RAND(),Model!L10,Model!M10))*Inputs!$C$6</f>
        <v>65902.133699802856</v>
      </c>
      <c r="AG335">
        <f t="shared" ca="1" si="121"/>
        <v>0.45626918185611093</v>
      </c>
      <c r="AH335">
        <f t="shared" ca="1" si="122"/>
        <v>0.83617009430099498</v>
      </c>
      <c r="AI335">
        <f t="shared" ca="1" si="123"/>
        <v>1</v>
      </c>
      <c r="AJ335" s="47">
        <f t="shared" ca="1" si="124"/>
        <v>65902.133699802856</v>
      </c>
      <c r="AK335">
        <f t="shared" ca="1" si="125"/>
        <v>482496.51545294042</v>
      </c>
    </row>
    <row r="336" spans="2:37" x14ac:dyDescent="0.2">
      <c r="B336">
        <f ca="1">Inputs!B12+(Inputs!D12-Inputs!B12)*BETAINV(RAND(),Model!H6,Model!I6)</f>
        <v>3.8498303530377704</v>
      </c>
      <c r="C336">
        <f ca="1">Inputs!E12+(Inputs!G12-Inputs!E12)*BETAINV(RAND(),Model!J6,Model!K6)</f>
        <v>0.45529411003503695</v>
      </c>
      <c r="D336">
        <f ca="1">(Inputs!H12+(Inputs!J12-Inputs!H12)*BETAINV(RAND(),Model!L6,Model!M6))*Inputs!$C$6</f>
        <v>18458.243452418508</v>
      </c>
      <c r="E336">
        <f t="shared" ca="1" si="105"/>
        <v>1.7528050843722038</v>
      </c>
      <c r="F336">
        <f t="shared" ca="1" si="106"/>
        <v>0.55954014037881117</v>
      </c>
      <c r="G336">
        <f t="shared" ca="1" si="107"/>
        <v>2</v>
      </c>
      <c r="H336" s="47">
        <f t="shared" ca="1" si="108"/>
        <v>36916.486904837016</v>
      </c>
      <c r="I336">
        <f ca="1">Inputs!B13+(Inputs!D13-Inputs!B13)*BETAINV(RAND(),Model!H7,Model!I7)</f>
        <v>1.6991469223300468</v>
      </c>
      <c r="J336">
        <f ca="1">Inputs!E13+(Inputs!G13-Inputs!E13)*BETAINV(RAND(),Model!J7,Model!K7)</f>
        <v>0.15437521256961156</v>
      </c>
      <c r="K336">
        <f ca="1">(Inputs!H13+(Inputs!J13-Inputs!H13)*BETAINV(RAND(),Model!L7,Model!M7))*Inputs!$C$6</f>
        <v>43781.121816726736</v>
      </c>
      <c r="L336">
        <f t="shared" ca="1" si="109"/>
        <v>0.26230616732170225</v>
      </c>
      <c r="M336">
        <f t="shared" ca="1" si="110"/>
        <v>0.43717912583594154</v>
      </c>
      <c r="N336">
        <f t="shared" ca="1" si="111"/>
        <v>0</v>
      </c>
      <c r="O336" s="47">
        <f t="shared" ca="1" si="112"/>
        <v>0</v>
      </c>
      <c r="P336">
        <f ca="1">Inputs!B14+(Inputs!D14-Inputs!B14)*BETAINV(RAND(),Model!H8,Model!I8)</f>
        <v>0.20099198029521217</v>
      </c>
      <c r="Q336">
        <f ca="1">Inputs!E14+(Inputs!G14-Inputs!E14)*BETAINV(RAND(),Model!J8,Model!K8)</f>
        <v>0.70246106494504146</v>
      </c>
      <c r="R336">
        <f ca="1">(Inputs!H14+(Inputs!J14-Inputs!H14)*BETAINV(RAND(),Model!L8,Model!M8))*Inputs!$C$6</f>
        <v>270580.38224164722</v>
      </c>
      <c r="S336">
        <f t="shared" ca="1" si="113"/>
        <v>0.14118904052358752</v>
      </c>
      <c r="T336">
        <f t="shared" ca="1" si="114"/>
        <v>0.43391840048250019</v>
      </c>
      <c r="U336">
        <f t="shared" ca="1" si="115"/>
        <v>0</v>
      </c>
      <c r="V336" s="47">
        <f t="shared" ca="1" si="116"/>
        <v>0</v>
      </c>
      <c r="W336">
        <f ca="1">Inputs!B15+(Inputs!D15-Inputs!B15)*BETAINV(RAND(),Model!H9,Model!I9)</f>
        <v>0.84786500040648582</v>
      </c>
      <c r="X336">
        <f ca="1">Inputs!E15+(Inputs!G15-Inputs!E15)*BETAINV(RAND(),Model!J9,Model!K9)</f>
        <v>0.58059879672522152</v>
      </c>
      <c r="Y336">
        <f ca="1">(Inputs!H15+(Inputs!J15-Inputs!H15)*BETAINV(RAND(),Model!L9,Model!M9))*Inputs!$C$6</f>
        <v>23936.295744950141</v>
      </c>
      <c r="Z336">
        <f t="shared" ca="1" si="117"/>
        <v>0.49226939902143513</v>
      </c>
      <c r="AA336">
        <f t="shared" ca="1" si="118"/>
        <v>0.57595932300359487</v>
      </c>
      <c r="AB336">
        <f t="shared" ca="1" si="119"/>
        <v>0</v>
      </c>
      <c r="AC336" s="47">
        <f t="shared" ca="1" si="120"/>
        <v>0</v>
      </c>
      <c r="AD336">
        <f ca="1">Inputs!B16+(Inputs!D16-Inputs!B16)*BETAINV(RAND(),Model!H10,Model!I10)</f>
        <v>0.88485964637041103</v>
      </c>
      <c r="AE336">
        <f ca="1">Inputs!E16+(Inputs!G16-Inputs!E16)*BETAINV(RAND(),Model!J10,Model!K10)</f>
        <v>0.54046452919179833</v>
      </c>
      <c r="AF336">
        <f ca="1">(Inputs!H16+(Inputs!J16-Inputs!H16)*BETAINV(RAND(),Model!L10,Model!M10))*Inputs!$C$6</f>
        <v>51184.790577069834</v>
      </c>
      <c r="AG336">
        <f t="shared" ca="1" si="121"/>
        <v>0.47823525217640533</v>
      </c>
      <c r="AH336">
        <f t="shared" ca="1" si="122"/>
        <v>0.60401400114174519</v>
      </c>
      <c r="AI336">
        <f t="shared" ca="1" si="123"/>
        <v>0</v>
      </c>
      <c r="AJ336" s="47">
        <f t="shared" ca="1" si="124"/>
        <v>0</v>
      </c>
      <c r="AK336">
        <f t="shared" ca="1" si="125"/>
        <v>36916.486904837016</v>
      </c>
    </row>
    <row r="337" spans="2:37" x14ac:dyDescent="0.2">
      <c r="B337">
        <f ca="1">Inputs!B12+(Inputs!D12-Inputs!B12)*BETAINV(RAND(),Model!H6,Model!I6)</f>
        <v>3.4093418820262116</v>
      </c>
      <c r="C337">
        <f ca="1">Inputs!E12+(Inputs!G12-Inputs!E12)*BETAINV(RAND(),Model!J6,Model!K6)</f>
        <v>0.32685610816731903</v>
      </c>
      <c r="D337">
        <f ca="1">(Inputs!H12+(Inputs!J12-Inputs!H12)*BETAINV(RAND(),Model!L6,Model!M6))*Inputs!$C$6</f>
        <v>41265.487164864891</v>
      </c>
      <c r="E337">
        <f t="shared" ca="1" si="105"/>
        <v>1.1143642189709304</v>
      </c>
      <c r="F337">
        <f t="shared" ca="1" si="106"/>
        <v>0.37544157981174886</v>
      </c>
      <c r="G337">
        <f t="shared" ca="1" si="107"/>
        <v>1</v>
      </c>
      <c r="H337" s="47">
        <f t="shared" ca="1" si="108"/>
        <v>41265.487164864891</v>
      </c>
      <c r="I337">
        <f ca="1">Inputs!B13+(Inputs!D13-Inputs!B13)*BETAINV(RAND(),Model!H7,Model!I7)</f>
        <v>3.9338307473332081</v>
      </c>
      <c r="J337">
        <f ca="1">Inputs!E13+(Inputs!G13-Inputs!E13)*BETAINV(RAND(),Model!J7,Model!K7)</f>
        <v>0.28002461458127775</v>
      </c>
      <c r="K337">
        <f ca="1">(Inputs!H13+(Inputs!J13-Inputs!H13)*BETAINV(RAND(),Model!L7,Model!M7))*Inputs!$C$6</f>
        <v>29446.937279792568</v>
      </c>
      <c r="L337">
        <f t="shared" ca="1" si="109"/>
        <v>1.1015694388499615</v>
      </c>
      <c r="M337">
        <f t="shared" ca="1" si="110"/>
        <v>0.45294748391436024</v>
      </c>
      <c r="N337">
        <f t="shared" ca="1" si="111"/>
        <v>1</v>
      </c>
      <c r="O337" s="47">
        <f t="shared" ca="1" si="112"/>
        <v>29446.937279792568</v>
      </c>
      <c r="P337">
        <f ca="1">Inputs!B14+(Inputs!D14-Inputs!B14)*BETAINV(RAND(),Model!H8,Model!I8)</f>
        <v>0.27519172304462752</v>
      </c>
      <c r="Q337">
        <f ca="1">Inputs!E14+(Inputs!G14-Inputs!E14)*BETAINV(RAND(),Model!J8,Model!K8)</f>
        <v>0.40243506533206685</v>
      </c>
      <c r="R337">
        <f ca="1">(Inputs!H14+(Inputs!J14-Inputs!H14)*BETAINV(RAND(),Model!L8,Model!M8))*Inputs!$C$6</f>
        <v>335676.74283056118</v>
      </c>
      <c r="S337">
        <f t="shared" ca="1" si="113"/>
        <v>0.11074679904230872</v>
      </c>
      <c r="T337">
        <f t="shared" ca="1" si="114"/>
        <v>0.20251340025506925</v>
      </c>
      <c r="U337">
        <f t="shared" ca="1" si="115"/>
        <v>0</v>
      </c>
      <c r="V337" s="47">
        <f t="shared" ca="1" si="116"/>
        <v>0</v>
      </c>
      <c r="W337">
        <f ca="1">Inputs!B15+(Inputs!D15-Inputs!B15)*BETAINV(RAND(),Model!H9,Model!I9)</f>
        <v>1.5261945289300356</v>
      </c>
      <c r="X337">
        <f ca="1">Inputs!E15+(Inputs!G15-Inputs!E15)*BETAINV(RAND(),Model!J9,Model!K9)</f>
        <v>0.34154984726762028</v>
      </c>
      <c r="Y337">
        <f ca="1">(Inputs!H15+(Inputs!J15-Inputs!H15)*BETAINV(RAND(),Model!L9,Model!M9))*Inputs!$C$6</f>
        <v>13638.926762304802</v>
      </c>
      <c r="Z337">
        <f t="shared" ca="1" si="117"/>
        <v>0.5212715082567313</v>
      </c>
      <c r="AA337">
        <f t="shared" ca="1" si="118"/>
        <v>0.18861743403015574</v>
      </c>
      <c r="AB337">
        <f t="shared" ca="1" si="119"/>
        <v>0</v>
      </c>
      <c r="AC337" s="47">
        <f t="shared" ca="1" si="120"/>
        <v>0</v>
      </c>
      <c r="AD337">
        <f ca="1">Inputs!B16+(Inputs!D16-Inputs!B16)*BETAINV(RAND(),Model!H10,Model!I10)</f>
        <v>0.62270375153846313</v>
      </c>
      <c r="AE337">
        <f ca="1">Inputs!E16+(Inputs!G16-Inputs!E16)*BETAINV(RAND(),Model!J10,Model!K10)</f>
        <v>0.65098397051071433</v>
      </c>
      <c r="AF337">
        <f ca="1">(Inputs!H16+(Inputs!J16-Inputs!H16)*BETAINV(RAND(),Model!L10,Model!M10))*Inputs!$C$6</f>
        <v>57405.383093407756</v>
      </c>
      <c r="AG337">
        <f t="shared" ca="1" si="121"/>
        <v>0.40537016062842607</v>
      </c>
      <c r="AH337">
        <f t="shared" ca="1" si="122"/>
        <v>0.3681139193577827</v>
      </c>
      <c r="AI337">
        <f t="shared" ca="1" si="123"/>
        <v>0</v>
      </c>
      <c r="AJ337" s="47">
        <f t="shared" ca="1" si="124"/>
        <v>0</v>
      </c>
      <c r="AK337">
        <f t="shared" ca="1" si="125"/>
        <v>70712.424444657459</v>
      </c>
    </row>
    <row r="338" spans="2:37" x14ac:dyDescent="0.2">
      <c r="B338">
        <f ca="1">Inputs!B12+(Inputs!D12-Inputs!B12)*BETAINV(RAND(),Model!H6,Model!I6)</f>
        <v>2.5529096168472911</v>
      </c>
      <c r="C338">
        <f ca="1">Inputs!E12+(Inputs!G12-Inputs!E12)*BETAINV(RAND(),Model!J6,Model!K6)</f>
        <v>0.25015839417317665</v>
      </c>
      <c r="D338">
        <f ca="1">(Inputs!H12+(Inputs!J12-Inputs!H12)*BETAINV(RAND(),Model!L6,Model!M6))*Inputs!$C$6</f>
        <v>15283.417439592007</v>
      </c>
      <c r="E338">
        <f t="shared" ca="1" si="105"/>
        <v>0.63863177021977802</v>
      </c>
      <c r="F338">
        <f t="shared" ca="1" si="106"/>
        <v>0.15204803327789806</v>
      </c>
      <c r="G338">
        <f t="shared" ca="1" si="107"/>
        <v>0</v>
      </c>
      <c r="H338" s="47">
        <f t="shared" ca="1" si="108"/>
        <v>0</v>
      </c>
      <c r="I338">
        <f ca="1">Inputs!B13+(Inputs!D13-Inputs!B13)*BETAINV(RAND(),Model!H7,Model!I7)</f>
        <v>1.6456575971874201</v>
      </c>
      <c r="J338">
        <f ca="1">Inputs!E13+(Inputs!G13-Inputs!E13)*BETAINV(RAND(),Model!J7,Model!K7)</f>
        <v>0.27134065682219499</v>
      </c>
      <c r="K338">
        <f ca="1">(Inputs!H13+(Inputs!J13-Inputs!H13)*BETAINV(RAND(),Model!L7,Model!M7))*Inputs!$C$6</f>
        <v>34715.836458421792</v>
      </c>
      <c r="L338">
        <f t="shared" ca="1" si="109"/>
        <v>0.44653381332526976</v>
      </c>
      <c r="M338">
        <f t="shared" ca="1" si="110"/>
        <v>0.78295752007610298</v>
      </c>
      <c r="N338">
        <f t="shared" ca="1" si="111"/>
        <v>1</v>
      </c>
      <c r="O338" s="47">
        <f t="shared" ca="1" si="112"/>
        <v>34715.836458421792</v>
      </c>
      <c r="P338">
        <f ca="1">Inputs!B14+(Inputs!D14-Inputs!B14)*BETAINV(RAND(),Model!H8,Model!I8)</f>
        <v>0.36986980807224268</v>
      </c>
      <c r="Q338">
        <f ca="1">Inputs!E14+(Inputs!G14-Inputs!E14)*BETAINV(RAND(),Model!J8,Model!K8)</f>
        <v>0.37078766784219175</v>
      </c>
      <c r="R338">
        <f ca="1">(Inputs!H14+(Inputs!J14-Inputs!H14)*BETAINV(RAND(),Model!L8,Model!M8))*Inputs!$C$6</f>
        <v>596243.56413668231</v>
      </c>
      <c r="S338">
        <f t="shared" ca="1" si="113"/>
        <v>0.13714316354034592</v>
      </c>
      <c r="T338">
        <f t="shared" ca="1" si="114"/>
        <v>0.62845799510794997</v>
      </c>
      <c r="U338">
        <f t="shared" ca="1" si="115"/>
        <v>0</v>
      </c>
      <c r="V338" s="47">
        <f t="shared" ca="1" si="116"/>
        <v>0</v>
      </c>
      <c r="W338">
        <f ca="1">Inputs!B15+(Inputs!D15-Inputs!B15)*BETAINV(RAND(),Model!H9,Model!I9)</f>
        <v>1.4204665527448934</v>
      </c>
      <c r="X338">
        <f ca="1">Inputs!E15+(Inputs!G15-Inputs!E15)*BETAINV(RAND(),Model!J9,Model!K9)</f>
        <v>0.55150777839485565</v>
      </c>
      <c r="Y338">
        <f ca="1">(Inputs!H15+(Inputs!J15-Inputs!H15)*BETAINV(RAND(),Model!L9,Model!M9))*Inputs!$C$6</f>
        <v>17103.133350653112</v>
      </c>
      <c r="Z338">
        <f t="shared" ca="1" si="117"/>
        <v>0.7833983527885352</v>
      </c>
      <c r="AA338">
        <f t="shared" ca="1" si="118"/>
        <v>5.0841910125021927E-2</v>
      </c>
      <c r="AB338">
        <f t="shared" ca="1" si="119"/>
        <v>0</v>
      </c>
      <c r="AC338" s="47">
        <f t="shared" ca="1" si="120"/>
        <v>0</v>
      </c>
      <c r="AD338">
        <f ca="1">Inputs!B16+(Inputs!D16-Inputs!B16)*BETAINV(RAND(),Model!H10,Model!I10)</f>
        <v>0.24217322309117015</v>
      </c>
      <c r="AE338">
        <f ca="1">Inputs!E16+(Inputs!G16-Inputs!E16)*BETAINV(RAND(),Model!J10,Model!K10)</f>
        <v>0.62940962901454689</v>
      </c>
      <c r="AF338">
        <f ca="1">(Inputs!H16+(Inputs!J16-Inputs!H16)*BETAINV(RAND(),Model!L10,Model!M10))*Inputs!$C$6</f>
        <v>55617.094823305655</v>
      </c>
      <c r="AG338">
        <f t="shared" ca="1" si="121"/>
        <v>0.15242615850307051</v>
      </c>
      <c r="AH338">
        <f t="shared" ca="1" si="122"/>
        <v>0.47922054671182857</v>
      </c>
      <c r="AI338">
        <f t="shared" ca="1" si="123"/>
        <v>0</v>
      </c>
      <c r="AJ338" s="47">
        <f t="shared" ca="1" si="124"/>
        <v>0</v>
      </c>
      <c r="AK338">
        <f t="shared" ca="1" si="125"/>
        <v>34715.836458421792</v>
      </c>
    </row>
    <row r="339" spans="2:37" x14ac:dyDescent="0.2">
      <c r="B339">
        <f ca="1">Inputs!B12+(Inputs!D12-Inputs!B12)*BETAINV(RAND(),Model!H6,Model!I6)</f>
        <v>4.4368629036821137</v>
      </c>
      <c r="C339">
        <f ca="1">Inputs!E12+(Inputs!G12-Inputs!E12)*BETAINV(RAND(),Model!J6,Model!K6)</f>
        <v>0.23028487181111779</v>
      </c>
      <c r="D339">
        <f ca="1">(Inputs!H12+(Inputs!J12-Inputs!H12)*BETAINV(RAND(),Model!L6,Model!M6))*Inputs!$C$6</f>
        <v>23472.254614330843</v>
      </c>
      <c r="E339">
        <f t="shared" ca="1" si="105"/>
        <v>1.0217424050179393</v>
      </c>
      <c r="F339">
        <f t="shared" ca="1" si="106"/>
        <v>0.31030196437250324</v>
      </c>
      <c r="G339">
        <f t="shared" ca="1" si="107"/>
        <v>0</v>
      </c>
      <c r="H339" s="47">
        <f t="shared" ca="1" si="108"/>
        <v>0</v>
      </c>
      <c r="I339">
        <f ca="1">Inputs!B13+(Inputs!D13-Inputs!B13)*BETAINV(RAND(),Model!H7,Model!I7)</f>
        <v>1.7244620429515436</v>
      </c>
      <c r="J339">
        <f ca="1">Inputs!E13+(Inputs!G13-Inputs!E13)*BETAINV(RAND(),Model!J7,Model!K7)</f>
        <v>0.26238244684833378</v>
      </c>
      <c r="K339">
        <f ca="1">(Inputs!H13+(Inputs!J13-Inputs!H13)*BETAINV(RAND(),Model!L7,Model!M7))*Inputs!$C$6</f>
        <v>42047.027860663024</v>
      </c>
      <c r="L339">
        <f t="shared" ca="1" si="109"/>
        <v>0.45246857032670246</v>
      </c>
      <c r="M339">
        <f t="shared" ca="1" si="110"/>
        <v>0.20121352215986843</v>
      </c>
      <c r="N339">
        <f t="shared" ca="1" si="111"/>
        <v>0</v>
      </c>
      <c r="O339" s="47">
        <f t="shared" ca="1" si="112"/>
        <v>0</v>
      </c>
      <c r="P339">
        <f ca="1">Inputs!B14+(Inputs!D14-Inputs!B14)*BETAINV(RAND(),Model!H8,Model!I8)</f>
        <v>0.32708842021331774</v>
      </c>
      <c r="Q339">
        <f ca="1">Inputs!E14+(Inputs!G14-Inputs!E14)*BETAINV(RAND(),Model!J8,Model!K8)</f>
        <v>0.69154668102777928</v>
      </c>
      <c r="R339">
        <f ca="1">(Inputs!H14+(Inputs!J14-Inputs!H14)*BETAINV(RAND(),Model!L8,Model!M8))*Inputs!$C$6</f>
        <v>158593.44993137862</v>
      </c>
      <c r="S339">
        <f t="shared" ca="1" si="113"/>
        <v>0.22619691140113948</v>
      </c>
      <c r="T339">
        <f t="shared" ca="1" si="114"/>
        <v>0.56846264524563461</v>
      </c>
      <c r="U339">
        <f t="shared" ca="1" si="115"/>
        <v>0</v>
      </c>
      <c r="V339" s="47">
        <f t="shared" ca="1" si="116"/>
        <v>0</v>
      </c>
      <c r="W339">
        <f ca="1">Inputs!B15+(Inputs!D15-Inputs!B15)*BETAINV(RAND(),Model!H9,Model!I9)</f>
        <v>0.79890202073931849</v>
      </c>
      <c r="X339">
        <f ca="1">Inputs!E15+(Inputs!G15-Inputs!E15)*BETAINV(RAND(),Model!J9,Model!K9)</f>
        <v>0.31119990122237096</v>
      </c>
      <c r="Y339">
        <f ca="1">(Inputs!H15+(Inputs!J15-Inputs!H15)*BETAINV(RAND(),Model!L9,Model!M9))*Inputs!$C$6</f>
        <v>30516.765667210631</v>
      </c>
      <c r="Z339">
        <f t="shared" ca="1" si="117"/>
        <v>0.24861822994042845</v>
      </c>
      <c r="AA339">
        <f t="shared" ca="1" si="118"/>
        <v>0.25845979841217492</v>
      </c>
      <c r="AB339">
        <f t="shared" ca="1" si="119"/>
        <v>0</v>
      </c>
      <c r="AC339" s="47">
        <f t="shared" ca="1" si="120"/>
        <v>0</v>
      </c>
      <c r="AD339">
        <f ca="1">Inputs!B16+(Inputs!D16-Inputs!B16)*BETAINV(RAND(),Model!H10,Model!I10)</f>
        <v>0.68998994086698417</v>
      </c>
      <c r="AE339">
        <f ca="1">Inputs!E16+(Inputs!G16-Inputs!E16)*BETAINV(RAND(),Model!J10,Model!K10)</f>
        <v>0.68542151194710965</v>
      </c>
      <c r="AF339">
        <f ca="1">(Inputs!H16+(Inputs!J16-Inputs!H16)*BETAINV(RAND(),Model!L10,Model!M10))*Inputs!$C$6</f>
        <v>67804.255251106151</v>
      </c>
      <c r="AG339">
        <f t="shared" ca="1" si="121"/>
        <v>0.4729339484973451</v>
      </c>
      <c r="AH339">
        <f t="shared" ca="1" si="122"/>
        <v>4.6478179323893976E-2</v>
      </c>
      <c r="AI339">
        <f t="shared" ca="1" si="123"/>
        <v>0</v>
      </c>
      <c r="AJ339" s="47">
        <f t="shared" ca="1" si="124"/>
        <v>0</v>
      </c>
      <c r="AK339">
        <f t="shared" ca="1" si="125"/>
        <v>0</v>
      </c>
    </row>
    <row r="340" spans="2:37" x14ac:dyDescent="0.2">
      <c r="B340">
        <f ca="1">Inputs!B12+(Inputs!D12-Inputs!B12)*BETAINV(RAND(),Model!H6,Model!I6)</f>
        <v>2.6567328781979453</v>
      </c>
      <c r="C340">
        <f ca="1">Inputs!E12+(Inputs!G12-Inputs!E12)*BETAINV(RAND(),Model!J6,Model!K6)</f>
        <v>0.20105504247802425</v>
      </c>
      <c r="D340">
        <f ca="1">(Inputs!H12+(Inputs!J12-Inputs!H12)*BETAINV(RAND(),Model!L6,Model!M6))*Inputs!$C$6</f>
        <v>41806.948389019199</v>
      </c>
      <c r="E340">
        <f t="shared" ca="1" si="105"/>
        <v>0.53414954167885154</v>
      </c>
      <c r="F340">
        <f t="shared" ca="1" si="106"/>
        <v>0.75324554954002931</v>
      </c>
      <c r="G340">
        <f t="shared" ca="1" si="107"/>
        <v>1</v>
      </c>
      <c r="H340" s="47">
        <f t="shared" ca="1" si="108"/>
        <v>41806.948389019199</v>
      </c>
      <c r="I340">
        <f ca="1">Inputs!B13+(Inputs!D13-Inputs!B13)*BETAINV(RAND(),Model!H7,Model!I7)</f>
        <v>0.69132315570191749</v>
      </c>
      <c r="J340">
        <f ca="1">Inputs!E13+(Inputs!G13-Inputs!E13)*BETAINV(RAND(),Model!J7,Model!K7)</f>
        <v>0.42750001060002274</v>
      </c>
      <c r="K340">
        <f ca="1">(Inputs!H13+(Inputs!J13-Inputs!H13)*BETAINV(RAND(),Model!L7,Model!M7))*Inputs!$C$6</f>
        <v>59166.226999061466</v>
      </c>
      <c r="L340">
        <f t="shared" ca="1" si="109"/>
        <v>0.29554065639061089</v>
      </c>
      <c r="M340">
        <f t="shared" ca="1" si="110"/>
        <v>0.69653849846564619</v>
      </c>
      <c r="N340">
        <f t="shared" ca="1" si="111"/>
        <v>0</v>
      </c>
      <c r="O340" s="47">
        <f t="shared" ca="1" si="112"/>
        <v>0</v>
      </c>
      <c r="P340">
        <f ca="1">Inputs!B14+(Inputs!D14-Inputs!B14)*BETAINV(RAND(),Model!H8,Model!I8)</f>
        <v>0.17696247369669288</v>
      </c>
      <c r="Q340">
        <f ca="1">Inputs!E14+(Inputs!G14-Inputs!E14)*BETAINV(RAND(),Model!J8,Model!K8)</f>
        <v>0.51336548478444222</v>
      </c>
      <c r="R340">
        <f ca="1">(Inputs!H14+(Inputs!J14-Inputs!H14)*BETAINV(RAND(),Model!L8,Model!M8))*Inputs!$C$6</f>
        <v>387473.60431361373</v>
      </c>
      <c r="S340">
        <f t="shared" ca="1" si="113"/>
        <v>9.0846426097956845E-2</v>
      </c>
      <c r="T340">
        <f t="shared" ca="1" si="114"/>
        <v>0.46830088024646632</v>
      </c>
      <c r="U340">
        <f t="shared" ca="1" si="115"/>
        <v>0</v>
      </c>
      <c r="V340" s="47">
        <f t="shared" ca="1" si="116"/>
        <v>0</v>
      </c>
      <c r="W340">
        <f ca="1">Inputs!B15+(Inputs!D15-Inputs!B15)*BETAINV(RAND(),Model!H9,Model!I9)</f>
        <v>1.0342546251610523</v>
      </c>
      <c r="X340">
        <f ca="1">Inputs!E15+(Inputs!G15-Inputs!E15)*BETAINV(RAND(),Model!J9,Model!K9)</f>
        <v>0.34214947445427191</v>
      </c>
      <c r="Y340">
        <f ca="1">(Inputs!H15+(Inputs!J15-Inputs!H15)*BETAINV(RAND(),Model!L9,Model!M9))*Inputs!$C$6</f>
        <v>12996.209412118564</v>
      </c>
      <c r="Z340">
        <f t="shared" ca="1" si="117"/>
        <v>0.35386967645075401</v>
      </c>
      <c r="AA340">
        <f t="shared" ca="1" si="118"/>
        <v>7.0808363939946717E-2</v>
      </c>
      <c r="AB340">
        <f t="shared" ca="1" si="119"/>
        <v>0</v>
      </c>
      <c r="AC340" s="47">
        <f t="shared" ca="1" si="120"/>
        <v>0</v>
      </c>
      <c r="AD340">
        <f ca="1">Inputs!B16+(Inputs!D16-Inputs!B16)*BETAINV(RAND(),Model!H10,Model!I10)</f>
        <v>0.7530871285553058</v>
      </c>
      <c r="AE340">
        <f ca="1">Inputs!E16+(Inputs!G16-Inputs!E16)*BETAINV(RAND(),Model!J10,Model!K10)</f>
        <v>0.60000165211447398</v>
      </c>
      <c r="AF340">
        <f ca="1">(Inputs!H16+(Inputs!J16-Inputs!H16)*BETAINV(RAND(),Model!L10,Model!M10))*Inputs!$C$6</f>
        <v>119361.94111889087</v>
      </c>
      <c r="AG340">
        <f t="shared" ca="1" si="121"/>
        <v>0.45185352131932871</v>
      </c>
      <c r="AH340">
        <f t="shared" ca="1" si="122"/>
        <v>0.98912152014664367</v>
      </c>
      <c r="AI340">
        <f t="shared" ca="1" si="123"/>
        <v>3</v>
      </c>
      <c r="AJ340" s="47">
        <f t="shared" ca="1" si="124"/>
        <v>358085.8233566726</v>
      </c>
      <c r="AK340">
        <f t="shared" ca="1" si="125"/>
        <v>399892.77174569177</v>
      </c>
    </row>
    <row r="341" spans="2:37" x14ac:dyDescent="0.2">
      <c r="B341">
        <f ca="1">Inputs!B12+(Inputs!D12-Inputs!B12)*BETAINV(RAND(),Model!H6,Model!I6)</f>
        <v>3.2857623773502009</v>
      </c>
      <c r="C341">
        <f ca="1">Inputs!E12+(Inputs!G12-Inputs!E12)*BETAINV(RAND(),Model!J6,Model!K6)</f>
        <v>0.17303912823422554</v>
      </c>
      <c r="D341">
        <f ca="1">(Inputs!H12+(Inputs!J12-Inputs!H12)*BETAINV(RAND(),Model!L6,Model!M6))*Inputs!$C$6</f>
        <v>38109.782846552684</v>
      </c>
      <c r="E341">
        <f t="shared" ca="1" si="105"/>
        <v>0.56856545736149522</v>
      </c>
      <c r="F341">
        <f t="shared" ca="1" si="106"/>
        <v>1.8923902244395663E-2</v>
      </c>
      <c r="G341">
        <f t="shared" ca="1" si="107"/>
        <v>0</v>
      </c>
      <c r="H341" s="47">
        <f t="shared" ca="1" si="108"/>
        <v>0</v>
      </c>
      <c r="I341">
        <f ca="1">Inputs!B13+(Inputs!D13-Inputs!B13)*BETAINV(RAND(),Model!H7,Model!I7)</f>
        <v>1.9187197028290759</v>
      </c>
      <c r="J341">
        <f ca="1">Inputs!E13+(Inputs!G13-Inputs!E13)*BETAINV(RAND(),Model!J7,Model!K7)</f>
        <v>0.34986128876655537</v>
      </c>
      <c r="K341">
        <f ca="1">(Inputs!H13+(Inputs!J13-Inputs!H13)*BETAINV(RAND(),Model!L7,Model!M7))*Inputs!$C$6</f>
        <v>53753.176626758759</v>
      </c>
      <c r="L341">
        <f t="shared" ca="1" si="109"/>
        <v>0.67128574801356267</v>
      </c>
      <c r="M341">
        <f t="shared" ca="1" si="110"/>
        <v>0.83071795351664068</v>
      </c>
      <c r="N341">
        <f t="shared" ca="1" si="111"/>
        <v>1</v>
      </c>
      <c r="O341" s="47">
        <f t="shared" ca="1" si="112"/>
        <v>53753.176626758759</v>
      </c>
      <c r="P341">
        <f ca="1">Inputs!B14+(Inputs!D14-Inputs!B14)*BETAINV(RAND(),Model!H8,Model!I8)</f>
        <v>0.27046023009654019</v>
      </c>
      <c r="Q341">
        <f ca="1">Inputs!E14+(Inputs!G14-Inputs!E14)*BETAINV(RAND(),Model!J8,Model!K8)</f>
        <v>0.5237260440574778</v>
      </c>
      <c r="R341">
        <f ca="1">(Inputs!H14+(Inputs!J14-Inputs!H14)*BETAINV(RAND(),Model!L8,Model!M8))*Inputs!$C$6</f>
        <v>520578.98757152283</v>
      </c>
      <c r="S341">
        <f t="shared" ca="1" si="113"/>
        <v>0.14164706638333618</v>
      </c>
      <c r="T341">
        <f t="shared" ca="1" si="114"/>
        <v>0.16160922499210095</v>
      </c>
      <c r="U341">
        <f t="shared" ca="1" si="115"/>
        <v>0</v>
      </c>
      <c r="V341" s="47">
        <f t="shared" ca="1" si="116"/>
        <v>0</v>
      </c>
      <c r="W341">
        <f ca="1">Inputs!B15+(Inputs!D15-Inputs!B15)*BETAINV(RAND(),Model!H9,Model!I9)</f>
        <v>1.2831153690153594</v>
      </c>
      <c r="X341">
        <f ca="1">Inputs!E15+(Inputs!G15-Inputs!E15)*BETAINV(RAND(),Model!J9,Model!K9)</f>
        <v>0.47037723051333336</v>
      </c>
      <c r="Y341">
        <f ca="1">(Inputs!H15+(Inputs!J15-Inputs!H15)*BETAINV(RAND(),Model!L9,Model!M9))*Inputs!$C$6</f>
        <v>34738.574811190614</v>
      </c>
      <c r="Z341">
        <f t="shared" ca="1" si="117"/>
        <v>0.60354825370653853</v>
      </c>
      <c r="AA341">
        <f t="shared" ca="1" si="118"/>
        <v>0.15880776645737049</v>
      </c>
      <c r="AB341">
        <f t="shared" ca="1" si="119"/>
        <v>0</v>
      </c>
      <c r="AC341" s="47">
        <f t="shared" ca="1" si="120"/>
        <v>0</v>
      </c>
      <c r="AD341">
        <f ca="1">Inputs!B16+(Inputs!D16-Inputs!B16)*BETAINV(RAND(),Model!H10,Model!I10)</f>
        <v>0.4876630473829151</v>
      </c>
      <c r="AE341">
        <f ca="1">Inputs!E16+(Inputs!G16-Inputs!E16)*BETAINV(RAND(),Model!J10,Model!K10)</f>
        <v>0.62401635796383881</v>
      </c>
      <c r="AF341">
        <f ca="1">(Inputs!H16+(Inputs!J16-Inputs!H16)*BETAINV(RAND(),Model!L10,Model!M10))*Inputs!$C$6</f>
        <v>115951.95912625092</v>
      </c>
      <c r="AG341">
        <f t="shared" ca="1" si="121"/>
        <v>0.30430971874143364</v>
      </c>
      <c r="AH341">
        <f t="shared" ca="1" si="122"/>
        <v>7.2887053087720144E-2</v>
      </c>
      <c r="AI341">
        <f t="shared" ca="1" si="123"/>
        <v>0</v>
      </c>
      <c r="AJ341" s="47">
        <f t="shared" ca="1" si="124"/>
        <v>0</v>
      </c>
      <c r="AK341">
        <f t="shared" ca="1" si="125"/>
        <v>53753.176626758759</v>
      </c>
    </row>
    <row r="342" spans="2:37" x14ac:dyDescent="0.2">
      <c r="B342">
        <f ca="1">Inputs!B12+(Inputs!D12-Inputs!B12)*BETAINV(RAND(),Model!H6,Model!I6)</f>
        <v>5.5865694870967726</v>
      </c>
      <c r="C342">
        <f ca="1">Inputs!E12+(Inputs!G12-Inputs!E12)*BETAINV(RAND(),Model!J6,Model!K6)</f>
        <v>0.28002110135554592</v>
      </c>
      <c r="D342">
        <f ca="1">(Inputs!H12+(Inputs!J12-Inputs!H12)*BETAINV(RAND(),Model!L6,Model!M6))*Inputs!$C$6</f>
        <v>37303.554651522514</v>
      </c>
      <c r="E342">
        <f t="shared" ca="1" si="105"/>
        <v>1.5643573405761255</v>
      </c>
      <c r="F342">
        <f t="shared" ca="1" si="106"/>
        <v>0.19275049582149828</v>
      </c>
      <c r="G342">
        <f t="shared" ca="1" si="107"/>
        <v>0</v>
      </c>
      <c r="H342" s="47">
        <f t="shared" ca="1" si="108"/>
        <v>0</v>
      </c>
      <c r="I342">
        <f ca="1">Inputs!B13+(Inputs!D13-Inputs!B13)*BETAINV(RAND(),Model!H7,Model!I7)</f>
        <v>2.361086994821513</v>
      </c>
      <c r="J342">
        <f ca="1">Inputs!E13+(Inputs!G13-Inputs!E13)*BETAINV(RAND(),Model!J7,Model!K7)</f>
        <v>0.27371215910523344</v>
      </c>
      <c r="K342">
        <f ca="1">(Inputs!H13+(Inputs!J13-Inputs!H13)*BETAINV(RAND(),Model!L7,Model!M7))*Inputs!$C$6</f>
        <v>25702.343109326848</v>
      </c>
      <c r="L342">
        <f t="shared" ca="1" si="109"/>
        <v>0.6462582191878834</v>
      </c>
      <c r="M342">
        <f t="shared" ca="1" si="110"/>
        <v>0.42713093350875164</v>
      </c>
      <c r="N342">
        <f t="shared" ca="1" si="111"/>
        <v>0</v>
      </c>
      <c r="O342" s="47">
        <f t="shared" ca="1" si="112"/>
        <v>0</v>
      </c>
      <c r="P342">
        <f ca="1">Inputs!B14+(Inputs!D14-Inputs!B14)*BETAINV(RAND(),Model!H8,Model!I8)</f>
        <v>0.26874660933861017</v>
      </c>
      <c r="Q342">
        <f ca="1">Inputs!E14+(Inputs!G14-Inputs!E14)*BETAINV(RAND(),Model!J8,Model!K8)</f>
        <v>0.53112251155944468</v>
      </c>
      <c r="R342">
        <f ca="1">(Inputs!H14+(Inputs!J14-Inputs!H14)*BETAINV(RAND(),Model!L8,Model!M8))*Inputs!$C$6</f>
        <v>405252.9506102787</v>
      </c>
      <c r="S342">
        <f t="shared" ca="1" si="113"/>
        <v>0.14273737412500753</v>
      </c>
      <c r="T342">
        <f t="shared" ca="1" si="114"/>
        <v>0.49309211343229487</v>
      </c>
      <c r="U342">
        <f t="shared" ca="1" si="115"/>
        <v>0</v>
      </c>
      <c r="V342" s="47">
        <f t="shared" ca="1" si="116"/>
        <v>0</v>
      </c>
      <c r="W342">
        <f ca="1">Inputs!B15+(Inputs!D15-Inputs!B15)*BETAINV(RAND(),Model!H9,Model!I9)</f>
        <v>0.80272061778639436</v>
      </c>
      <c r="X342">
        <f ca="1">Inputs!E15+(Inputs!G15-Inputs!E15)*BETAINV(RAND(),Model!J9,Model!K9)</f>
        <v>0.57098873196901068</v>
      </c>
      <c r="Y342">
        <f ca="1">(Inputs!H15+(Inputs!J15-Inputs!H15)*BETAINV(RAND(),Model!L9,Model!M9))*Inputs!$C$6</f>
        <v>51476.979279304716</v>
      </c>
      <c r="Z342">
        <f t="shared" ca="1" si="117"/>
        <v>0.4583444276752342</v>
      </c>
      <c r="AA342">
        <f t="shared" ca="1" si="118"/>
        <v>0.64641072072124905</v>
      </c>
      <c r="AB342">
        <f t="shared" ca="1" si="119"/>
        <v>1</v>
      </c>
      <c r="AC342" s="47">
        <f t="shared" ca="1" si="120"/>
        <v>51476.979279304716</v>
      </c>
      <c r="AD342">
        <f ca="1">Inputs!B16+(Inputs!D16-Inputs!B16)*BETAINV(RAND(),Model!H10,Model!I10)</f>
        <v>0.55278471931621898</v>
      </c>
      <c r="AE342">
        <f ca="1">Inputs!E16+(Inputs!G16-Inputs!E16)*BETAINV(RAND(),Model!J10,Model!K10)</f>
        <v>0.52817963927742684</v>
      </c>
      <c r="AF342">
        <f ca="1">(Inputs!H16+(Inputs!J16-Inputs!H16)*BETAINV(RAND(),Model!L10,Model!M10))*Inputs!$C$6</f>
        <v>92217.354439093746</v>
      </c>
      <c r="AG342">
        <f t="shared" ca="1" si="121"/>
        <v>0.29196963364651418</v>
      </c>
      <c r="AH342">
        <f t="shared" ca="1" si="122"/>
        <v>0.67159607784679898</v>
      </c>
      <c r="AI342">
        <f t="shared" ca="1" si="123"/>
        <v>0</v>
      </c>
      <c r="AJ342" s="47">
        <f t="shared" ca="1" si="124"/>
        <v>0</v>
      </c>
      <c r="AK342">
        <f t="shared" ca="1" si="125"/>
        <v>51476.979279304716</v>
      </c>
    </row>
    <row r="343" spans="2:37" x14ac:dyDescent="0.2">
      <c r="B343">
        <f ca="1">Inputs!B12+(Inputs!D12-Inputs!B12)*BETAINV(RAND(),Model!H6,Model!I6)</f>
        <v>3.9271747724038177</v>
      </c>
      <c r="C343">
        <f ca="1">Inputs!E12+(Inputs!G12-Inputs!E12)*BETAINV(RAND(),Model!J6,Model!K6)</f>
        <v>0.37516699023281475</v>
      </c>
      <c r="D343">
        <f ca="1">(Inputs!H12+(Inputs!J12-Inputs!H12)*BETAINV(RAND(),Model!L6,Model!M6))*Inputs!$C$6</f>
        <v>15423.609002928773</v>
      </c>
      <c r="E343">
        <f t="shared" ca="1" si="105"/>
        <v>1.4733463394809796</v>
      </c>
      <c r="F343">
        <f t="shared" ca="1" si="106"/>
        <v>0.44900496604573925</v>
      </c>
      <c r="G343">
        <f t="shared" ca="1" si="107"/>
        <v>1</v>
      </c>
      <c r="H343" s="47">
        <f t="shared" ca="1" si="108"/>
        <v>15423.609002928773</v>
      </c>
      <c r="I343">
        <f ca="1">Inputs!B13+(Inputs!D13-Inputs!B13)*BETAINV(RAND(),Model!H7,Model!I7)</f>
        <v>3.1910596902706967</v>
      </c>
      <c r="J343">
        <f ca="1">Inputs!E13+(Inputs!G13-Inputs!E13)*BETAINV(RAND(),Model!J7,Model!K7)</f>
        <v>0.28753041954196046</v>
      </c>
      <c r="K343">
        <f ca="1">(Inputs!H13+(Inputs!J13-Inputs!H13)*BETAINV(RAND(),Model!L7,Model!M7))*Inputs!$C$6</f>
        <v>11788.976354301511</v>
      </c>
      <c r="L343">
        <f t="shared" ca="1" si="109"/>
        <v>0.91752673152697184</v>
      </c>
      <c r="M343">
        <f t="shared" ca="1" si="110"/>
        <v>0.62878905133605545</v>
      </c>
      <c r="N343">
        <f t="shared" ca="1" si="111"/>
        <v>1</v>
      </c>
      <c r="O343" s="47">
        <f t="shared" ca="1" si="112"/>
        <v>11788.976354301511</v>
      </c>
      <c r="P343">
        <f ca="1">Inputs!B14+(Inputs!D14-Inputs!B14)*BETAINV(RAND(),Model!H8,Model!I8)</f>
        <v>0.28842784770380603</v>
      </c>
      <c r="Q343">
        <f ca="1">Inputs!E14+(Inputs!G14-Inputs!E14)*BETAINV(RAND(),Model!J8,Model!K8)</f>
        <v>0.67894931569785277</v>
      </c>
      <c r="R343">
        <f ca="1">(Inputs!H14+(Inputs!J14-Inputs!H14)*BETAINV(RAND(),Model!L8,Model!M8))*Inputs!$C$6</f>
        <v>415171.08940693713</v>
      </c>
      <c r="S343">
        <f t="shared" ca="1" si="113"/>
        <v>0.1958278898267036</v>
      </c>
      <c r="T343">
        <f t="shared" ca="1" si="114"/>
        <v>3.0401623763087637E-2</v>
      </c>
      <c r="U343">
        <f t="shared" ca="1" si="115"/>
        <v>0</v>
      </c>
      <c r="V343" s="47">
        <f t="shared" ca="1" si="116"/>
        <v>0</v>
      </c>
      <c r="W343">
        <f ca="1">Inputs!B15+(Inputs!D15-Inputs!B15)*BETAINV(RAND(),Model!H9,Model!I9)</f>
        <v>0.73580681999179209</v>
      </c>
      <c r="X343">
        <f ca="1">Inputs!E15+(Inputs!G15-Inputs!E15)*BETAINV(RAND(),Model!J9,Model!K9)</f>
        <v>0.43952796873646804</v>
      </c>
      <c r="Y343">
        <f ca="1">(Inputs!H15+(Inputs!J15-Inputs!H15)*BETAINV(RAND(),Model!L9,Model!M9))*Inputs!$C$6</f>
        <v>33239.539917608083</v>
      </c>
      <c r="Z343">
        <f t="shared" ca="1" si="117"/>
        <v>0.32340767697343237</v>
      </c>
      <c r="AA343">
        <f t="shared" ca="1" si="118"/>
        <v>0.1155581032189994</v>
      </c>
      <c r="AB343">
        <f t="shared" ca="1" si="119"/>
        <v>0</v>
      </c>
      <c r="AC343" s="47">
        <f t="shared" ca="1" si="120"/>
        <v>0</v>
      </c>
      <c r="AD343">
        <f ca="1">Inputs!B16+(Inputs!D16-Inputs!B16)*BETAINV(RAND(),Model!H10,Model!I10)</f>
        <v>0.86895333517739792</v>
      </c>
      <c r="AE343">
        <f ca="1">Inputs!E16+(Inputs!G16-Inputs!E16)*BETAINV(RAND(),Model!J10,Model!K10)</f>
        <v>0.58813318957486183</v>
      </c>
      <c r="AF343">
        <f ca="1">(Inputs!H16+(Inputs!J16-Inputs!H16)*BETAINV(RAND(),Model!L10,Model!M10))*Inputs!$C$6</f>
        <v>143431.47892712694</v>
      </c>
      <c r="AG343">
        <f t="shared" ca="1" si="121"/>
        <v>0.51106029660959706</v>
      </c>
      <c r="AH343">
        <f t="shared" ca="1" si="122"/>
        <v>0.35434532085614578</v>
      </c>
      <c r="AI343">
        <f t="shared" ca="1" si="123"/>
        <v>0</v>
      </c>
      <c r="AJ343" s="47">
        <f t="shared" ca="1" si="124"/>
        <v>0</v>
      </c>
      <c r="AK343">
        <f t="shared" ca="1" si="125"/>
        <v>27212.585357230284</v>
      </c>
    </row>
    <row r="344" spans="2:37" x14ac:dyDescent="0.2">
      <c r="B344">
        <f ca="1">Inputs!B12+(Inputs!D12-Inputs!B12)*BETAINV(RAND(),Model!H6,Model!I6)</f>
        <v>4.00931895498013</v>
      </c>
      <c r="C344">
        <f ca="1">Inputs!E12+(Inputs!G12-Inputs!E12)*BETAINV(RAND(),Model!J6,Model!K6)</f>
        <v>0.20723084061450517</v>
      </c>
      <c r="D344">
        <f ca="1">(Inputs!H12+(Inputs!J12-Inputs!H12)*BETAINV(RAND(),Model!L6,Model!M6))*Inputs!$C$6</f>
        <v>27133.420685007903</v>
      </c>
      <c r="E344">
        <f t="shared" ca="1" si="105"/>
        <v>0.83085453733220171</v>
      </c>
      <c r="F344">
        <f t="shared" ca="1" si="106"/>
        <v>0.27739454980797751</v>
      </c>
      <c r="G344">
        <f t="shared" ca="1" si="107"/>
        <v>0</v>
      </c>
      <c r="H344" s="47">
        <f t="shared" ca="1" si="108"/>
        <v>0</v>
      </c>
      <c r="I344">
        <f ca="1">Inputs!B13+(Inputs!D13-Inputs!B13)*BETAINV(RAND(),Model!H7,Model!I7)</f>
        <v>3.3747425285642181</v>
      </c>
      <c r="J344">
        <f ca="1">Inputs!E13+(Inputs!G13-Inputs!E13)*BETAINV(RAND(),Model!J7,Model!K7)</f>
        <v>0.18793205516668587</v>
      </c>
      <c r="K344">
        <f ca="1">(Inputs!H13+(Inputs!J13-Inputs!H13)*BETAINV(RAND(),Model!L7,Model!M7))*Inputs!$C$6</f>
        <v>30265.224554738314</v>
      </c>
      <c r="L344">
        <f t="shared" ca="1" si="109"/>
        <v>0.63422229905149163</v>
      </c>
      <c r="M344">
        <f t="shared" ca="1" si="110"/>
        <v>0.65651259055648847</v>
      </c>
      <c r="N344">
        <f t="shared" ca="1" si="111"/>
        <v>1</v>
      </c>
      <c r="O344" s="47">
        <f t="shared" ca="1" si="112"/>
        <v>30265.224554738314</v>
      </c>
      <c r="P344">
        <f ca="1">Inputs!B14+(Inputs!D14-Inputs!B14)*BETAINV(RAND(),Model!H8,Model!I8)</f>
        <v>0.15268299430007332</v>
      </c>
      <c r="Q344">
        <f ca="1">Inputs!E14+(Inputs!G14-Inputs!E14)*BETAINV(RAND(),Model!J8,Model!K8)</f>
        <v>0.64306698874256396</v>
      </c>
      <c r="R344">
        <f ca="1">(Inputs!H14+(Inputs!J14-Inputs!H14)*BETAINV(RAND(),Model!L8,Model!M8))*Inputs!$C$6</f>
        <v>301779.18909822108</v>
      </c>
      <c r="S344">
        <f t="shared" ca="1" si="113"/>
        <v>9.8185393376746199E-2</v>
      </c>
      <c r="T344">
        <f t="shared" ca="1" si="114"/>
        <v>0.70603635529695707</v>
      </c>
      <c r="U344">
        <f t="shared" ca="1" si="115"/>
        <v>0</v>
      </c>
      <c r="V344" s="47">
        <f t="shared" ca="1" si="116"/>
        <v>0</v>
      </c>
      <c r="W344">
        <f ca="1">Inputs!B15+(Inputs!D15-Inputs!B15)*BETAINV(RAND(),Model!H9,Model!I9)</f>
        <v>1.3665905164193732</v>
      </c>
      <c r="X344">
        <f ca="1">Inputs!E15+(Inputs!G15-Inputs!E15)*BETAINV(RAND(),Model!J9,Model!K9)</f>
        <v>0.47949067323662919</v>
      </c>
      <c r="Y344">
        <f ca="1">(Inputs!H15+(Inputs!J15-Inputs!H15)*BETAINV(RAND(),Model!L9,Model!M9))*Inputs!$C$6</f>
        <v>24412.965619818024</v>
      </c>
      <c r="Z344">
        <f t="shared" ca="1" si="117"/>
        <v>0.65526740675671802</v>
      </c>
      <c r="AA344">
        <f t="shared" ca="1" si="118"/>
        <v>0.39900546499845446</v>
      </c>
      <c r="AB344">
        <f t="shared" ca="1" si="119"/>
        <v>0</v>
      </c>
      <c r="AC344" s="47">
        <f t="shared" ca="1" si="120"/>
        <v>0</v>
      </c>
      <c r="AD344">
        <f ca="1">Inputs!B16+(Inputs!D16-Inputs!B16)*BETAINV(RAND(),Model!H10,Model!I10)</f>
        <v>0.66987924792244458</v>
      </c>
      <c r="AE344">
        <f ca="1">Inputs!E16+(Inputs!G16-Inputs!E16)*BETAINV(RAND(),Model!J10,Model!K10)</f>
        <v>0.54795496950168643</v>
      </c>
      <c r="AF344">
        <f ca="1">(Inputs!H16+(Inputs!J16-Inputs!H16)*BETAINV(RAND(),Model!L10,Model!M10))*Inputs!$C$6</f>
        <v>127192.07950629192</v>
      </c>
      <c r="AG344">
        <f t="shared" ca="1" si="121"/>
        <v>0.36706366286515574</v>
      </c>
      <c r="AH344">
        <f t="shared" ca="1" si="122"/>
        <v>0.67211352177575634</v>
      </c>
      <c r="AI344">
        <f t="shared" ca="1" si="123"/>
        <v>0</v>
      </c>
      <c r="AJ344" s="47">
        <f t="shared" ca="1" si="124"/>
        <v>0</v>
      </c>
      <c r="AK344">
        <f t="shared" ca="1" si="125"/>
        <v>30265.224554738314</v>
      </c>
    </row>
    <row r="345" spans="2:37" x14ac:dyDescent="0.2">
      <c r="B345">
        <f ca="1">Inputs!B12+(Inputs!D12-Inputs!B12)*BETAINV(RAND(),Model!H6,Model!I6)</f>
        <v>3.2699883396865053</v>
      </c>
      <c r="C345">
        <f ca="1">Inputs!E12+(Inputs!G12-Inputs!E12)*BETAINV(RAND(),Model!J6,Model!K6)</f>
        <v>0.3261580666337176</v>
      </c>
      <c r="D345">
        <f ca="1">(Inputs!H12+(Inputs!J12-Inputs!H12)*BETAINV(RAND(),Model!L6,Model!M6))*Inputs!$C$6</f>
        <v>24718.030423035791</v>
      </c>
      <c r="E345">
        <f t="shared" ca="1" si="105"/>
        <v>1.0665330747869508</v>
      </c>
      <c r="F345">
        <f t="shared" ca="1" si="106"/>
        <v>0.32976094591327088</v>
      </c>
      <c r="G345">
        <f t="shared" ca="1" si="107"/>
        <v>0</v>
      </c>
      <c r="H345" s="47">
        <f t="shared" ca="1" si="108"/>
        <v>0</v>
      </c>
      <c r="I345">
        <f ca="1">Inputs!B13+(Inputs!D13-Inputs!B13)*BETAINV(RAND(),Model!H7,Model!I7)</f>
        <v>1.6486676922326424</v>
      </c>
      <c r="J345">
        <f ca="1">Inputs!E13+(Inputs!G13-Inputs!E13)*BETAINV(RAND(),Model!J7,Model!K7)</f>
        <v>0.22676801320755283</v>
      </c>
      <c r="K345">
        <f ca="1">(Inputs!H13+(Inputs!J13-Inputs!H13)*BETAINV(RAND(),Model!L7,Model!M7))*Inputs!$C$6</f>
        <v>46526.408759536826</v>
      </c>
      <c r="L345">
        <f t="shared" ca="1" si="109"/>
        <v>0.37386509700707748</v>
      </c>
      <c r="M345">
        <f t="shared" ca="1" si="110"/>
        <v>0.40321089864458393</v>
      </c>
      <c r="N345">
        <f t="shared" ca="1" si="111"/>
        <v>0</v>
      </c>
      <c r="O345" s="47">
        <f t="shared" ca="1" si="112"/>
        <v>0</v>
      </c>
      <c r="P345">
        <f ca="1">Inputs!B14+(Inputs!D14-Inputs!B14)*BETAINV(RAND(),Model!H8,Model!I8)</f>
        <v>0.4593724074634149</v>
      </c>
      <c r="Q345">
        <f ca="1">Inputs!E14+(Inputs!G14-Inputs!E14)*BETAINV(RAND(),Model!J8,Model!K8)</f>
        <v>0.52502081794377742</v>
      </c>
      <c r="R345">
        <f ca="1">(Inputs!H14+(Inputs!J14-Inputs!H14)*BETAINV(RAND(),Model!L8,Model!M8))*Inputs!$C$6</f>
        <v>220705.79202710313</v>
      </c>
      <c r="S345">
        <f t="shared" ca="1" si="113"/>
        <v>0.24118007710724429</v>
      </c>
      <c r="T345">
        <f t="shared" ca="1" si="114"/>
        <v>0.45803732577248268</v>
      </c>
      <c r="U345">
        <f t="shared" ca="1" si="115"/>
        <v>0</v>
      </c>
      <c r="V345" s="47">
        <f t="shared" ca="1" si="116"/>
        <v>0</v>
      </c>
      <c r="W345">
        <f ca="1">Inputs!B15+(Inputs!D15-Inputs!B15)*BETAINV(RAND(),Model!H9,Model!I9)</f>
        <v>0.47098554445071056</v>
      </c>
      <c r="X345">
        <f ca="1">Inputs!E15+(Inputs!G15-Inputs!E15)*BETAINV(RAND(),Model!J9,Model!K9)</f>
        <v>0.49719581035946658</v>
      </c>
      <c r="Y345">
        <f ca="1">(Inputs!H15+(Inputs!J15-Inputs!H15)*BETAINV(RAND(),Model!L9,Model!M9))*Inputs!$C$6</f>
        <v>41478.587205347198</v>
      </c>
      <c r="Z345">
        <f t="shared" ca="1" si="117"/>
        <v>0.23417203944076562</v>
      </c>
      <c r="AA345">
        <f t="shared" ca="1" si="118"/>
        <v>0.76828331091446367</v>
      </c>
      <c r="AB345">
        <f t="shared" ca="1" si="119"/>
        <v>0</v>
      </c>
      <c r="AC345" s="47">
        <f t="shared" ca="1" si="120"/>
        <v>0</v>
      </c>
      <c r="AD345">
        <f ca="1">Inputs!B16+(Inputs!D16-Inputs!B16)*BETAINV(RAND(),Model!H10,Model!I10)</f>
        <v>0.87236702759236961</v>
      </c>
      <c r="AE345">
        <f ca="1">Inputs!E16+(Inputs!G16-Inputs!E16)*BETAINV(RAND(),Model!J10,Model!K10)</f>
        <v>0.50024040631798206</v>
      </c>
      <c r="AF345">
        <f ca="1">(Inputs!H16+(Inputs!J16-Inputs!H16)*BETAINV(RAND(),Model!L10,Model!M10))*Inputs!$C$6</f>
        <v>61603.917759168929</v>
      </c>
      <c r="AG345">
        <f t="shared" ca="1" si="121"/>
        <v>0.43639323634121724</v>
      </c>
      <c r="AH345">
        <f t="shared" ca="1" si="122"/>
        <v>0.30861687527268078</v>
      </c>
      <c r="AI345">
        <f t="shared" ca="1" si="123"/>
        <v>0</v>
      </c>
      <c r="AJ345" s="47">
        <f t="shared" ca="1" si="124"/>
        <v>0</v>
      </c>
      <c r="AK345">
        <f t="shared" ca="1" si="125"/>
        <v>0</v>
      </c>
    </row>
    <row r="346" spans="2:37" x14ac:dyDescent="0.2">
      <c r="B346">
        <f ca="1">Inputs!B12+(Inputs!D12-Inputs!B12)*BETAINV(RAND(),Model!H6,Model!I6)</f>
        <v>4.5947524349020235</v>
      </c>
      <c r="C346">
        <f ca="1">Inputs!E12+(Inputs!G12-Inputs!E12)*BETAINV(RAND(),Model!J6,Model!K6)</f>
        <v>0.4679436306339122</v>
      </c>
      <c r="D346">
        <f ca="1">(Inputs!H12+(Inputs!J12-Inputs!H12)*BETAINV(RAND(),Model!L6,Model!M6))*Inputs!$C$6</f>
        <v>30756.781903480452</v>
      </c>
      <c r="E346">
        <f t="shared" ca="1" si="105"/>
        <v>2.150085136252061</v>
      </c>
      <c r="F346">
        <f t="shared" ca="1" si="106"/>
        <v>0.51323182783695098</v>
      </c>
      <c r="G346">
        <f t="shared" ca="1" si="107"/>
        <v>2</v>
      </c>
      <c r="H346" s="47">
        <f t="shared" ca="1" si="108"/>
        <v>61513.563806960905</v>
      </c>
      <c r="I346">
        <f ca="1">Inputs!B13+(Inputs!D13-Inputs!B13)*BETAINV(RAND(),Model!H7,Model!I7)</f>
        <v>0.69916820511894961</v>
      </c>
      <c r="J346">
        <f ca="1">Inputs!E13+(Inputs!G13-Inputs!E13)*BETAINV(RAND(),Model!J7,Model!K7)</f>
        <v>0.43292458876559858</v>
      </c>
      <c r="K346">
        <f ca="1">(Inputs!H13+(Inputs!J13-Inputs!H13)*BETAINV(RAND(),Model!L7,Model!M7))*Inputs!$C$6</f>
        <v>30994.056266340631</v>
      </c>
      <c r="L346">
        <f t="shared" ca="1" si="109"/>
        <v>0.30268710767910295</v>
      </c>
      <c r="M346">
        <f t="shared" ca="1" si="110"/>
        <v>0.22189275073110837</v>
      </c>
      <c r="N346">
        <f t="shared" ca="1" si="111"/>
        <v>0</v>
      </c>
      <c r="O346" s="47">
        <f t="shared" ca="1" si="112"/>
        <v>0</v>
      </c>
      <c r="P346">
        <f ca="1">Inputs!B14+(Inputs!D14-Inputs!B14)*BETAINV(RAND(),Model!H8,Model!I8)</f>
        <v>0.54882115862480707</v>
      </c>
      <c r="Q346">
        <f ca="1">Inputs!E14+(Inputs!G14-Inputs!E14)*BETAINV(RAND(),Model!J8,Model!K8)</f>
        <v>0.60854118649010269</v>
      </c>
      <c r="R346">
        <f ca="1">(Inputs!H14+(Inputs!J14-Inputs!H14)*BETAINV(RAND(),Model!L8,Model!M8))*Inputs!$C$6</f>
        <v>447397.26584013423</v>
      </c>
      <c r="S346">
        <f t="shared" ca="1" si="113"/>
        <v>0.33398027904041294</v>
      </c>
      <c r="T346">
        <f t="shared" ca="1" si="114"/>
        <v>0.67900064205039767</v>
      </c>
      <c r="U346">
        <f t="shared" ca="1" si="115"/>
        <v>0</v>
      </c>
      <c r="V346" s="47">
        <f t="shared" ca="1" si="116"/>
        <v>0</v>
      </c>
      <c r="W346">
        <f ca="1">Inputs!B15+(Inputs!D15-Inputs!B15)*BETAINV(RAND(),Model!H9,Model!I9)</f>
        <v>0.84212373665112161</v>
      </c>
      <c r="X346">
        <f ca="1">Inputs!E15+(Inputs!G15-Inputs!E15)*BETAINV(RAND(),Model!J9,Model!K9)</f>
        <v>0.42336642280318804</v>
      </c>
      <c r="Y346">
        <f ca="1">(Inputs!H15+(Inputs!J15-Inputs!H15)*BETAINV(RAND(),Model!L9,Model!M9))*Inputs!$C$6</f>
        <v>50448.340488281086</v>
      </c>
      <c r="Z346">
        <f t="shared" ca="1" si="117"/>
        <v>0.35652691394363933</v>
      </c>
      <c r="AA346">
        <f t="shared" ca="1" si="118"/>
        <v>0.85800472065363131</v>
      </c>
      <c r="AB346">
        <f t="shared" ca="1" si="119"/>
        <v>1</v>
      </c>
      <c r="AC346" s="47">
        <f t="shared" ca="1" si="120"/>
        <v>50448.340488281086</v>
      </c>
      <c r="AD346">
        <f ca="1">Inputs!B16+(Inputs!D16-Inputs!B16)*BETAINV(RAND(),Model!H10,Model!I10)</f>
        <v>0.66567138129609249</v>
      </c>
      <c r="AE346">
        <f ca="1">Inputs!E16+(Inputs!G16-Inputs!E16)*BETAINV(RAND(),Model!J10,Model!K10)</f>
        <v>0.57531662332324585</v>
      </c>
      <c r="AF346">
        <f ca="1">(Inputs!H16+(Inputs!J16-Inputs!H16)*BETAINV(RAND(),Model!L10,Model!M10))*Inputs!$C$6</f>
        <v>124010.25953509333</v>
      </c>
      <c r="AG346">
        <f t="shared" ca="1" si="121"/>
        <v>0.38297181133018882</v>
      </c>
      <c r="AH346">
        <f t="shared" ca="1" si="122"/>
        <v>0.65830458771417388</v>
      </c>
      <c r="AI346">
        <f t="shared" ca="1" si="123"/>
        <v>0</v>
      </c>
      <c r="AJ346" s="47">
        <f t="shared" ca="1" si="124"/>
        <v>0</v>
      </c>
      <c r="AK346">
        <f t="shared" ca="1" si="125"/>
        <v>111961.90429524198</v>
      </c>
    </row>
    <row r="347" spans="2:37" x14ac:dyDescent="0.2">
      <c r="B347">
        <f ca="1">Inputs!B12+(Inputs!D12-Inputs!B12)*BETAINV(RAND(),Model!H6,Model!I6)</f>
        <v>2.5830845703502106</v>
      </c>
      <c r="C347">
        <f ca="1">Inputs!E12+(Inputs!G12-Inputs!E12)*BETAINV(RAND(),Model!J6,Model!K6)</f>
        <v>0.29017922297366006</v>
      </c>
      <c r="D347">
        <f ca="1">(Inputs!H12+(Inputs!J12-Inputs!H12)*BETAINV(RAND(),Model!L6,Model!M6))*Inputs!$C$6</f>
        <v>16963.258813519453</v>
      </c>
      <c r="E347">
        <f t="shared" ca="1" si="105"/>
        <v>0.74955747349947466</v>
      </c>
      <c r="F347">
        <f t="shared" ca="1" si="106"/>
        <v>0.68359749862352504</v>
      </c>
      <c r="G347">
        <f t="shared" ca="1" si="107"/>
        <v>1</v>
      </c>
      <c r="H347" s="47">
        <f t="shared" ca="1" si="108"/>
        <v>16963.258813519453</v>
      </c>
      <c r="I347">
        <f ca="1">Inputs!B13+(Inputs!D13-Inputs!B13)*BETAINV(RAND(),Model!H7,Model!I7)</f>
        <v>1.6129120157183836</v>
      </c>
      <c r="J347">
        <f ca="1">Inputs!E13+(Inputs!G13-Inputs!E13)*BETAINV(RAND(),Model!J7,Model!K7)</f>
        <v>0.18166537436484628</v>
      </c>
      <c r="K347">
        <f ca="1">(Inputs!H13+(Inputs!J13-Inputs!H13)*BETAINV(RAND(),Model!L7,Model!M7))*Inputs!$C$6</f>
        <v>44666.84993070332</v>
      </c>
      <c r="L347">
        <f t="shared" ca="1" si="109"/>
        <v>0.29301026515303896</v>
      </c>
      <c r="M347">
        <f t="shared" ca="1" si="110"/>
        <v>0.22159799923060852</v>
      </c>
      <c r="N347">
        <f t="shared" ca="1" si="111"/>
        <v>0</v>
      </c>
      <c r="O347" s="47">
        <f t="shared" ca="1" si="112"/>
        <v>0</v>
      </c>
      <c r="P347">
        <f ca="1">Inputs!B14+(Inputs!D14-Inputs!B14)*BETAINV(RAND(),Model!H8,Model!I8)</f>
        <v>0.20534546050506075</v>
      </c>
      <c r="Q347">
        <f ca="1">Inputs!E14+(Inputs!G14-Inputs!E14)*BETAINV(RAND(),Model!J8,Model!K8)</f>
        <v>0.6064295670667752</v>
      </c>
      <c r="R347">
        <f ca="1">(Inputs!H14+(Inputs!J14-Inputs!H14)*BETAINV(RAND(),Model!L8,Model!M8))*Inputs!$C$6</f>
        <v>294543.49400400883</v>
      </c>
      <c r="S347">
        <f t="shared" ca="1" si="113"/>
        <v>0.12452755871321157</v>
      </c>
      <c r="T347">
        <f t="shared" ca="1" si="114"/>
        <v>4.9803244163435401E-2</v>
      </c>
      <c r="U347">
        <f t="shared" ca="1" si="115"/>
        <v>0</v>
      </c>
      <c r="V347" s="47">
        <f t="shared" ca="1" si="116"/>
        <v>0</v>
      </c>
      <c r="W347">
        <f ca="1">Inputs!B15+(Inputs!D15-Inputs!B15)*BETAINV(RAND(),Model!H9,Model!I9)</f>
        <v>0.742873945367717</v>
      </c>
      <c r="X347">
        <f ca="1">Inputs!E15+(Inputs!G15-Inputs!E15)*BETAINV(RAND(),Model!J9,Model!K9)</f>
        <v>0.3477697198321883</v>
      </c>
      <c r="Y347">
        <f ca="1">(Inputs!H15+(Inputs!J15-Inputs!H15)*BETAINV(RAND(),Model!L9,Model!M9))*Inputs!$C$6</f>
        <v>24061.978074291921</v>
      </c>
      <c r="Z347">
        <f t="shared" ca="1" si="117"/>
        <v>0.2583490638511633</v>
      </c>
      <c r="AA347">
        <f t="shared" ca="1" si="118"/>
        <v>0.14450495979272915</v>
      </c>
      <c r="AB347">
        <f t="shared" ca="1" si="119"/>
        <v>0</v>
      </c>
      <c r="AC347" s="47">
        <f t="shared" ca="1" si="120"/>
        <v>0</v>
      </c>
      <c r="AD347">
        <f ca="1">Inputs!B16+(Inputs!D16-Inputs!B16)*BETAINV(RAND(),Model!H10,Model!I10)</f>
        <v>0.31844161292007683</v>
      </c>
      <c r="AE347">
        <f ca="1">Inputs!E16+(Inputs!G16-Inputs!E16)*BETAINV(RAND(),Model!J10,Model!K10)</f>
        <v>0.59460318585862371</v>
      </c>
      <c r="AF347">
        <f ca="1">(Inputs!H16+(Inputs!J16-Inputs!H16)*BETAINV(RAND(),Model!L10,Model!M10))*Inputs!$C$6</f>
        <v>94298.020603109864</v>
      </c>
      <c r="AG347">
        <f t="shared" ca="1" si="121"/>
        <v>0.18934639755223634</v>
      </c>
      <c r="AH347">
        <f t="shared" ca="1" si="122"/>
        <v>0.53402021137149214</v>
      </c>
      <c r="AI347">
        <f t="shared" ca="1" si="123"/>
        <v>0</v>
      </c>
      <c r="AJ347" s="47">
        <f t="shared" ca="1" si="124"/>
        <v>0</v>
      </c>
      <c r="AK347">
        <f t="shared" ca="1" si="125"/>
        <v>16963.258813519453</v>
      </c>
    </row>
    <row r="348" spans="2:37" x14ac:dyDescent="0.2">
      <c r="B348">
        <f ca="1">Inputs!B12+(Inputs!D12-Inputs!B12)*BETAINV(RAND(),Model!H6,Model!I6)</f>
        <v>3.2877063612612667</v>
      </c>
      <c r="C348">
        <f ca="1">Inputs!E12+(Inputs!G12-Inputs!E12)*BETAINV(RAND(),Model!J6,Model!K6)</f>
        <v>0.33541842753710815</v>
      </c>
      <c r="D348">
        <f ca="1">(Inputs!H12+(Inputs!J12-Inputs!H12)*BETAINV(RAND(),Model!L6,Model!M6))*Inputs!$C$6</f>
        <v>47404.822891285177</v>
      </c>
      <c r="E348">
        <f t="shared" ca="1" si="105"/>
        <v>1.1027572978980018</v>
      </c>
      <c r="F348">
        <f t="shared" ca="1" si="106"/>
        <v>0.95115820307691634</v>
      </c>
      <c r="G348">
        <f t="shared" ca="1" si="107"/>
        <v>3</v>
      </c>
      <c r="H348" s="47">
        <f t="shared" ca="1" si="108"/>
        <v>142214.46867385553</v>
      </c>
      <c r="I348">
        <f ca="1">Inputs!B13+(Inputs!D13-Inputs!B13)*BETAINV(RAND(),Model!H7,Model!I7)</f>
        <v>2.4047932440610387</v>
      </c>
      <c r="J348">
        <f ca="1">Inputs!E13+(Inputs!G13-Inputs!E13)*BETAINV(RAND(),Model!J7,Model!K7)</f>
        <v>0.29838911259850198</v>
      </c>
      <c r="K348">
        <f ca="1">(Inputs!H13+(Inputs!J13-Inputs!H13)*BETAINV(RAND(),Model!L7,Model!M7))*Inputs!$C$6</f>
        <v>52020.200879826953</v>
      </c>
      <c r="L348">
        <f t="shared" ca="1" si="109"/>
        <v>0.71756412207824616</v>
      </c>
      <c r="M348">
        <f t="shared" ca="1" si="110"/>
        <v>0.54211756250481624</v>
      </c>
      <c r="N348">
        <f t="shared" ca="1" si="111"/>
        <v>1</v>
      </c>
      <c r="O348" s="47">
        <f t="shared" ca="1" si="112"/>
        <v>52020.200879826953</v>
      </c>
      <c r="P348">
        <f ca="1">Inputs!B14+(Inputs!D14-Inputs!B14)*BETAINV(RAND(),Model!H8,Model!I8)</f>
        <v>0.20686568948953166</v>
      </c>
      <c r="Q348">
        <f ca="1">Inputs!E14+(Inputs!G14-Inputs!E14)*BETAINV(RAND(),Model!J8,Model!K8)</f>
        <v>0.57173585637648106</v>
      </c>
      <c r="R348">
        <f ca="1">(Inputs!H14+(Inputs!J14-Inputs!H14)*BETAINV(RAND(),Model!L8,Model!M8))*Inputs!$C$6</f>
        <v>300550.19867987488</v>
      </c>
      <c r="S348">
        <f t="shared" ca="1" si="113"/>
        <v>0.11827253213520859</v>
      </c>
      <c r="T348">
        <f t="shared" ca="1" si="114"/>
        <v>0.52297002327722741</v>
      </c>
      <c r="U348">
        <f t="shared" ca="1" si="115"/>
        <v>0</v>
      </c>
      <c r="V348" s="47">
        <f t="shared" ca="1" si="116"/>
        <v>0</v>
      </c>
      <c r="W348">
        <f ca="1">Inputs!B15+(Inputs!D15-Inputs!B15)*BETAINV(RAND(),Model!H9,Model!I9)</f>
        <v>1.2239053093703511</v>
      </c>
      <c r="X348">
        <f ca="1">Inputs!E15+(Inputs!G15-Inputs!E15)*BETAINV(RAND(),Model!J9,Model!K9)</f>
        <v>0.51480866668305825</v>
      </c>
      <c r="Y348">
        <f ca="1">(Inputs!H15+(Inputs!J15-Inputs!H15)*BETAINV(RAND(),Model!L9,Model!M9))*Inputs!$C$6</f>
        <v>60023.655426571226</v>
      </c>
      <c r="Z348">
        <f t="shared" ca="1" si="117"/>
        <v>0.63007706046326639</v>
      </c>
      <c r="AA348">
        <f t="shared" ca="1" si="118"/>
        <v>0.77787043814863244</v>
      </c>
      <c r="AB348">
        <f t="shared" ca="1" si="119"/>
        <v>1</v>
      </c>
      <c r="AC348" s="47">
        <f t="shared" ca="1" si="120"/>
        <v>60023.655426571226</v>
      </c>
      <c r="AD348">
        <f ca="1">Inputs!B16+(Inputs!D16-Inputs!B16)*BETAINV(RAND(),Model!H10,Model!I10)</f>
        <v>0.52902745816033325</v>
      </c>
      <c r="AE348">
        <f ca="1">Inputs!E16+(Inputs!G16-Inputs!E16)*BETAINV(RAND(),Model!J10,Model!K10)</f>
        <v>0.69876780364372659</v>
      </c>
      <c r="AF348">
        <f ca="1">(Inputs!H16+(Inputs!J16-Inputs!H16)*BETAINV(RAND(),Model!L10,Model!M10))*Inputs!$C$6</f>
        <v>56820.615758129483</v>
      </c>
      <c r="AG348">
        <f t="shared" ca="1" si="121"/>
        <v>0.36966735500591952</v>
      </c>
      <c r="AH348">
        <f t="shared" ca="1" si="122"/>
        <v>0.14225054429587203</v>
      </c>
      <c r="AI348">
        <f t="shared" ca="1" si="123"/>
        <v>0</v>
      </c>
      <c r="AJ348" s="47">
        <f t="shared" ca="1" si="124"/>
        <v>0</v>
      </c>
      <c r="AK348">
        <f t="shared" ca="1" si="125"/>
        <v>254258.32498025373</v>
      </c>
    </row>
    <row r="349" spans="2:37" x14ac:dyDescent="0.2">
      <c r="B349">
        <f ca="1">Inputs!B12+(Inputs!D12-Inputs!B12)*BETAINV(RAND(),Model!H6,Model!I6)</f>
        <v>3.4190279761611082</v>
      </c>
      <c r="C349">
        <f ca="1">Inputs!E12+(Inputs!G12-Inputs!E12)*BETAINV(RAND(),Model!J6,Model!K6)</f>
        <v>0.26947667766787753</v>
      </c>
      <c r="D349">
        <f ca="1">(Inputs!H12+(Inputs!J12-Inputs!H12)*BETAINV(RAND(),Model!L6,Model!M6))*Inputs!$C$6</f>
        <v>32716.687314851992</v>
      </c>
      <c r="E349">
        <f t="shared" ca="1" si="105"/>
        <v>0.92134829986942257</v>
      </c>
      <c r="F349">
        <f t="shared" ca="1" si="106"/>
        <v>0.40980429375426264</v>
      </c>
      <c r="G349">
        <f t="shared" ca="1" si="107"/>
        <v>1</v>
      </c>
      <c r="H349" s="47">
        <f t="shared" ca="1" si="108"/>
        <v>32716.687314851992</v>
      </c>
      <c r="I349">
        <f ca="1">Inputs!B13+(Inputs!D13-Inputs!B13)*BETAINV(RAND(),Model!H7,Model!I7)</f>
        <v>3.4078082807089962</v>
      </c>
      <c r="J349">
        <f ca="1">Inputs!E13+(Inputs!G13-Inputs!E13)*BETAINV(RAND(),Model!J7,Model!K7)</f>
        <v>0.38335252881133797</v>
      </c>
      <c r="K349">
        <f ca="1">(Inputs!H13+(Inputs!J13-Inputs!H13)*BETAINV(RAND(),Model!L7,Model!M7))*Inputs!$C$6</f>
        <v>44239.898335176047</v>
      </c>
      <c r="L349">
        <f t="shared" ca="1" si="109"/>
        <v>1.3063919221140117</v>
      </c>
      <c r="M349">
        <f t="shared" ca="1" si="110"/>
        <v>0.45943841892764237</v>
      </c>
      <c r="N349">
        <f t="shared" ca="1" si="111"/>
        <v>1</v>
      </c>
      <c r="O349" s="47">
        <f t="shared" ca="1" si="112"/>
        <v>44239.898335176047</v>
      </c>
      <c r="P349">
        <f ca="1">Inputs!B14+(Inputs!D14-Inputs!B14)*BETAINV(RAND(),Model!H8,Model!I8)</f>
        <v>0.32986395988505846</v>
      </c>
      <c r="Q349">
        <f ca="1">Inputs!E14+(Inputs!G14-Inputs!E14)*BETAINV(RAND(),Model!J8,Model!K8)</f>
        <v>0.65147100862465357</v>
      </c>
      <c r="R349">
        <f ca="1">(Inputs!H14+(Inputs!J14-Inputs!H14)*BETAINV(RAND(),Model!L8,Model!M8))*Inputs!$C$6</f>
        <v>311844.78483107837</v>
      </c>
      <c r="S349">
        <f t="shared" ca="1" si="113"/>
        <v>0.2148968066552413</v>
      </c>
      <c r="T349">
        <f t="shared" ca="1" si="114"/>
        <v>0.18083426881544207</v>
      </c>
      <c r="U349">
        <f t="shared" ca="1" si="115"/>
        <v>0</v>
      </c>
      <c r="V349" s="47">
        <f t="shared" ca="1" si="116"/>
        <v>0</v>
      </c>
      <c r="W349">
        <f ca="1">Inputs!B15+(Inputs!D15-Inputs!B15)*BETAINV(RAND(),Model!H9,Model!I9)</f>
        <v>1.1239734108107242</v>
      </c>
      <c r="X349">
        <f ca="1">Inputs!E15+(Inputs!G15-Inputs!E15)*BETAINV(RAND(),Model!J9,Model!K9)</f>
        <v>0.4398215789393255</v>
      </c>
      <c r="Y349">
        <f ca="1">(Inputs!H15+(Inputs!J15-Inputs!H15)*BETAINV(RAND(),Model!L9,Model!M9))*Inputs!$C$6</f>
        <v>50338.948265552266</v>
      </c>
      <c r="Z349">
        <f t="shared" ca="1" si="117"/>
        <v>0.49434776022859189</v>
      </c>
      <c r="AA349">
        <f t="shared" ca="1" si="118"/>
        <v>7.5553958014084266E-2</v>
      </c>
      <c r="AB349">
        <f t="shared" ca="1" si="119"/>
        <v>0</v>
      </c>
      <c r="AC349" s="47">
        <f t="shared" ca="1" si="120"/>
        <v>0</v>
      </c>
      <c r="AD349">
        <f ca="1">Inputs!B16+(Inputs!D16-Inputs!B16)*BETAINV(RAND(),Model!H10,Model!I10)</f>
        <v>0.6832100004893451</v>
      </c>
      <c r="AE349">
        <f ca="1">Inputs!E16+(Inputs!G16-Inputs!E16)*BETAINV(RAND(),Model!J10,Model!K10)</f>
        <v>0.71828047540721096</v>
      </c>
      <c r="AF349">
        <f ca="1">(Inputs!H16+(Inputs!J16-Inputs!H16)*BETAINV(RAND(),Model!L10,Model!M10))*Inputs!$C$6</f>
        <v>79763.679595722264</v>
      </c>
      <c r="AG349">
        <f t="shared" ca="1" si="121"/>
        <v>0.49073640395444762</v>
      </c>
      <c r="AH349">
        <f t="shared" ca="1" si="122"/>
        <v>0.21206082682787375</v>
      </c>
      <c r="AI349">
        <f t="shared" ca="1" si="123"/>
        <v>0</v>
      </c>
      <c r="AJ349" s="47">
        <f t="shared" ca="1" si="124"/>
        <v>0</v>
      </c>
      <c r="AK349">
        <f t="shared" ca="1" si="125"/>
        <v>76956.585650028035</v>
      </c>
    </row>
    <row r="350" spans="2:37" x14ac:dyDescent="0.2">
      <c r="B350">
        <f ca="1">Inputs!B12+(Inputs!D12-Inputs!B12)*BETAINV(RAND(),Model!H6,Model!I6)</f>
        <v>2.2784069032999525</v>
      </c>
      <c r="C350">
        <f ca="1">Inputs!E12+(Inputs!G12-Inputs!E12)*BETAINV(RAND(),Model!J6,Model!K6)</f>
        <v>0.35581831475745618</v>
      </c>
      <c r="D350">
        <f ca="1">(Inputs!H12+(Inputs!J12-Inputs!H12)*BETAINV(RAND(),Model!L6,Model!M6))*Inputs!$C$6</f>
        <v>19932.92715108578</v>
      </c>
      <c r="E350">
        <f t="shared" ca="1" si="105"/>
        <v>0.81069890466394356</v>
      </c>
      <c r="F350">
        <f t="shared" ca="1" si="106"/>
        <v>0.51303911764314725</v>
      </c>
      <c r="G350">
        <f t="shared" ca="1" si="107"/>
        <v>1</v>
      </c>
      <c r="H350" s="47">
        <f t="shared" ca="1" si="108"/>
        <v>19932.92715108578</v>
      </c>
      <c r="I350">
        <f ca="1">Inputs!B13+(Inputs!D13-Inputs!B13)*BETAINV(RAND(),Model!H7,Model!I7)</f>
        <v>0.79223144669998669</v>
      </c>
      <c r="J350">
        <f ca="1">Inputs!E13+(Inputs!G13-Inputs!E13)*BETAINV(RAND(),Model!J7,Model!K7)</f>
        <v>0.22814781319510988</v>
      </c>
      <c r="K350">
        <f ca="1">(Inputs!H13+(Inputs!J13-Inputs!H13)*BETAINV(RAND(),Model!L7,Model!M7))*Inputs!$C$6</f>
        <v>41497.399086707359</v>
      </c>
      <c r="L350">
        <f t="shared" ca="1" si="109"/>
        <v>0.1807458721090002</v>
      </c>
      <c r="M350">
        <f t="shared" ca="1" si="110"/>
        <v>0.3474076176893558</v>
      </c>
      <c r="N350">
        <f t="shared" ca="1" si="111"/>
        <v>0</v>
      </c>
      <c r="O350" s="47">
        <f t="shared" ca="1" si="112"/>
        <v>0</v>
      </c>
      <c r="P350">
        <f ca="1">Inputs!B14+(Inputs!D14-Inputs!B14)*BETAINV(RAND(),Model!H8,Model!I8)</f>
        <v>0.28935983034597412</v>
      </c>
      <c r="Q350">
        <f ca="1">Inputs!E14+(Inputs!G14-Inputs!E14)*BETAINV(RAND(),Model!J8,Model!K8)</f>
        <v>0.67079765515515088</v>
      </c>
      <c r="R350">
        <f ca="1">(Inputs!H14+(Inputs!J14-Inputs!H14)*BETAINV(RAND(),Model!L8,Model!M8))*Inputs!$C$6</f>
        <v>473803.85000120662</v>
      </c>
      <c r="S350">
        <f t="shared" ca="1" si="113"/>
        <v>0.19410189569217171</v>
      </c>
      <c r="T350">
        <f t="shared" ca="1" si="114"/>
        <v>0.71791295456336734</v>
      </c>
      <c r="U350">
        <f t="shared" ca="1" si="115"/>
        <v>0</v>
      </c>
      <c r="V350" s="47">
        <f t="shared" ca="1" si="116"/>
        <v>0</v>
      </c>
      <c r="W350">
        <f ca="1">Inputs!B15+(Inputs!D15-Inputs!B15)*BETAINV(RAND(),Model!H9,Model!I9)</f>
        <v>0.74616057073760045</v>
      </c>
      <c r="X350">
        <f ca="1">Inputs!E15+(Inputs!G15-Inputs!E15)*BETAINV(RAND(),Model!J9,Model!K9)</f>
        <v>0.32724225792535966</v>
      </c>
      <c r="Y350">
        <f ca="1">(Inputs!H15+(Inputs!J15-Inputs!H15)*BETAINV(RAND(),Model!L9,Model!M9))*Inputs!$C$6</f>
        <v>10437.804414980183</v>
      </c>
      <c r="Z350">
        <f t="shared" ca="1" si="117"/>
        <v>0.24417526994304742</v>
      </c>
      <c r="AA350">
        <f t="shared" ca="1" si="118"/>
        <v>0.31262243443999893</v>
      </c>
      <c r="AB350">
        <f t="shared" ca="1" si="119"/>
        <v>0</v>
      </c>
      <c r="AC350" s="47">
        <f t="shared" ca="1" si="120"/>
        <v>0</v>
      </c>
      <c r="AD350">
        <f ca="1">Inputs!B16+(Inputs!D16-Inputs!B16)*BETAINV(RAND(),Model!H10,Model!I10)</f>
        <v>0.52912089317519917</v>
      </c>
      <c r="AE350">
        <f ca="1">Inputs!E16+(Inputs!G16-Inputs!E16)*BETAINV(RAND(),Model!J10,Model!K10)</f>
        <v>0.6377096157433968</v>
      </c>
      <c r="AF350">
        <f ca="1">(Inputs!H16+(Inputs!J16-Inputs!H16)*BETAINV(RAND(),Model!L10,Model!M10))*Inputs!$C$6</f>
        <v>84538.410733534925</v>
      </c>
      <c r="AG350">
        <f t="shared" ca="1" si="121"/>
        <v>0.33742548146855916</v>
      </c>
      <c r="AH350">
        <f t="shared" ca="1" si="122"/>
        <v>0.4421173181928556</v>
      </c>
      <c r="AI350">
        <f t="shared" ca="1" si="123"/>
        <v>0</v>
      </c>
      <c r="AJ350" s="47">
        <f t="shared" ca="1" si="124"/>
        <v>0</v>
      </c>
      <c r="AK350">
        <f t="shared" ca="1" si="125"/>
        <v>19932.92715108578</v>
      </c>
    </row>
    <row r="351" spans="2:37" x14ac:dyDescent="0.2">
      <c r="B351">
        <f ca="1">Inputs!B12+(Inputs!D12-Inputs!B12)*BETAINV(RAND(),Model!H6,Model!I6)</f>
        <v>5.0920719547750544</v>
      </c>
      <c r="C351">
        <f ca="1">Inputs!E12+(Inputs!G12-Inputs!E12)*BETAINV(RAND(),Model!J6,Model!K6)</f>
        <v>0.2397549725992161</v>
      </c>
      <c r="D351">
        <f ca="1">(Inputs!H12+(Inputs!J12-Inputs!H12)*BETAINV(RAND(),Model!L6,Model!M6))*Inputs!$C$6</f>
        <v>13324.195379174304</v>
      </c>
      <c r="E351">
        <f t="shared" ca="1" si="105"/>
        <v>1.2208495719903298</v>
      </c>
      <c r="F351">
        <f t="shared" ca="1" si="106"/>
        <v>0.48644894462244637</v>
      </c>
      <c r="G351">
        <f t="shared" ca="1" si="107"/>
        <v>1</v>
      </c>
      <c r="H351" s="47">
        <f t="shared" ca="1" si="108"/>
        <v>13324.195379174304</v>
      </c>
      <c r="I351">
        <f ca="1">Inputs!B13+(Inputs!D13-Inputs!B13)*BETAINV(RAND(),Model!H7,Model!I7)</f>
        <v>3.1289369859143772</v>
      </c>
      <c r="J351">
        <f ca="1">Inputs!E13+(Inputs!G13-Inputs!E13)*BETAINV(RAND(),Model!J7,Model!K7)</f>
        <v>0.28704574514673487</v>
      </c>
      <c r="K351">
        <f ca="1">(Inputs!H13+(Inputs!J13-Inputs!H13)*BETAINV(RAND(),Model!L7,Model!M7))*Inputs!$C$6</f>
        <v>33755.016070707505</v>
      </c>
      <c r="L351">
        <f t="shared" ca="1" si="109"/>
        <v>0.89814804863897102</v>
      </c>
      <c r="M351">
        <f t="shared" ca="1" si="110"/>
        <v>0.53914977567531275</v>
      </c>
      <c r="N351">
        <f t="shared" ca="1" si="111"/>
        <v>1</v>
      </c>
      <c r="O351" s="47">
        <f t="shared" ca="1" si="112"/>
        <v>33755.016070707505</v>
      </c>
      <c r="P351">
        <f ca="1">Inputs!B14+(Inputs!D14-Inputs!B14)*BETAINV(RAND(),Model!H8,Model!I8)</f>
        <v>0.43880758234216477</v>
      </c>
      <c r="Q351">
        <f ca="1">Inputs!E14+(Inputs!G14-Inputs!E14)*BETAINV(RAND(),Model!J8,Model!K8)</f>
        <v>0.45666548632700121</v>
      </c>
      <c r="R351">
        <f ca="1">(Inputs!H14+(Inputs!J14-Inputs!H14)*BETAINV(RAND(),Model!L8,Model!M8))*Inputs!$C$6</f>
        <v>385833.66772902774</v>
      </c>
      <c r="S351">
        <f t="shared" ca="1" si="113"/>
        <v>0.20038827799426032</v>
      </c>
      <c r="T351">
        <f t="shared" ca="1" si="114"/>
        <v>0.51285999615539546</v>
      </c>
      <c r="U351">
        <f t="shared" ca="1" si="115"/>
        <v>0</v>
      </c>
      <c r="V351" s="47">
        <f t="shared" ca="1" si="116"/>
        <v>0</v>
      </c>
      <c r="W351">
        <f ca="1">Inputs!B15+(Inputs!D15-Inputs!B15)*BETAINV(RAND(),Model!H9,Model!I9)</f>
        <v>1.9781844146380188</v>
      </c>
      <c r="X351">
        <f ca="1">Inputs!E15+(Inputs!G15-Inputs!E15)*BETAINV(RAND(),Model!J9,Model!K9)</f>
        <v>0.46537198773344013</v>
      </c>
      <c r="Y351">
        <f ca="1">(Inputs!H15+(Inputs!J15-Inputs!H15)*BETAINV(RAND(),Model!L9,Model!M9))*Inputs!$C$6</f>
        <v>53720.975423108022</v>
      </c>
      <c r="Z351">
        <f t="shared" ca="1" si="117"/>
        <v>0.92059161314340654</v>
      </c>
      <c r="AA351">
        <f t="shared" ca="1" si="118"/>
        <v>0.14202971317460877</v>
      </c>
      <c r="AB351">
        <f t="shared" ca="1" si="119"/>
        <v>0</v>
      </c>
      <c r="AC351" s="47">
        <f t="shared" ca="1" si="120"/>
        <v>0</v>
      </c>
      <c r="AD351">
        <f ca="1">Inputs!B16+(Inputs!D16-Inputs!B16)*BETAINV(RAND(),Model!H10,Model!I10)</f>
        <v>0.59032532538916871</v>
      </c>
      <c r="AE351">
        <f ca="1">Inputs!E16+(Inputs!G16-Inputs!E16)*BETAINV(RAND(),Model!J10,Model!K10)</f>
        <v>0.58721811386300371</v>
      </c>
      <c r="AF351">
        <f ca="1">(Inputs!H16+(Inputs!J16-Inputs!H16)*BETAINV(RAND(),Model!L10,Model!M10))*Inputs!$C$6</f>
        <v>95409.351728054113</v>
      </c>
      <c r="AG351">
        <f t="shared" ca="1" si="121"/>
        <v>0.34664972414059159</v>
      </c>
      <c r="AH351">
        <f t="shared" ca="1" si="122"/>
        <v>0.42297613242628873</v>
      </c>
      <c r="AI351">
        <f t="shared" ca="1" si="123"/>
        <v>0</v>
      </c>
      <c r="AJ351" s="47">
        <f t="shared" ca="1" si="124"/>
        <v>0</v>
      </c>
      <c r="AK351">
        <f t="shared" ca="1" si="125"/>
        <v>47079.211449881812</v>
      </c>
    </row>
    <row r="352" spans="2:37" x14ac:dyDescent="0.2">
      <c r="B352">
        <f ca="1">Inputs!B12+(Inputs!D12-Inputs!B12)*BETAINV(RAND(),Model!H6,Model!I6)</f>
        <v>5.3939331578861456</v>
      </c>
      <c r="C352">
        <f ca="1">Inputs!E12+(Inputs!G12-Inputs!E12)*BETAINV(RAND(),Model!J6,Model!K6)</f>
        <v>0.33240905983853569</v>
      </c>
      <c r="D352">
        <f ca="1">(Inputs!H12+(Inputs!J12-Inputs!H12)*BETAINV(RAND(),Model!L6,Model!M6))*Inputs!$C$6</f>
        <v>26974.537333725835</v>
      </c>
      <c r="E352">
        <f t="shared" ca="1" si="105"/>
        <v>1.7929922498448376</v>
      </c>
      <c r="F352">
        <f t="shared" ca="1" si="106"/>
        <v>0.63544409729004447</v>
      </c>
      <c r="G352">
        <f t="shared" ca="1" si="107"/>
        <v>2</v>
      </c>
      <c r="H352" s="47">
        <f t="shared" ca="1" si="108"/>
        <v>53949.07466745167</v>
      </c>
      <c r="I352">
        <f ca="1">Inputs!B13+(Inputs!D13-Inputs!B13)*BETAINV(RAND(),Model!H7,Model!I7)</f>
        <v>1.8568647438246946</v>
      </c>
      <c r="J352">
        <f ca="1">Inputs!E13+(Inputs!G13-Inputs!E13)*BETAINV(RAND(),Model!J7,Model!K7)</f>
        <v>0.23182686490148863</v>
      </c>
      <c r="K352">
        <f ca="1">(Inputs!H13+(Inputs!J13-Inputs!H13)*BETAINV(RAND(),Model!L7,Model!M7))*Inputs!$C$6</f>
        <v>76513.429405270304</v>
      </c>
      <c r="L352">
        <f t="shared" ca="1" si="109"/>
        <v>0.43047113210698473</v>
      </c>
      <c r="M352">
        <f t="shared" ca="1" si="110"/>
        <v>0.94865856406317628</v>
      </c>
      <c r="N352">
        <f t="shared" ca="1" si="111"/>
        <v>2</v>
      </c>
      <c r="O352" s="47">
        <f t="shared" ca="1" si="112"/>
        <v>153026.85881054061</v>
      </c>
      <c r="P352">
        <f ca="1">Inputs!B14+(Inputs!D14-Inputs!B14)*BETAINV(RAND(),Model!H8,Model!I8)</f>
        <v>0.29299883840660296</v>
      </c>
      <c r="Q352">
        <f ca="1">Inputs!E14+(Inputs!G14-Inputs!E14)*BETAINV(RAND(),Model!J8,Model!K8)</f>
        <v>0.72279571010930266</v>
      </c>
      <c r="R352">
        <f ca="1">(Inputs!H14+(Inputs!J14-Inputs!H14)*BETAINV(RAND(),Model!L8,Model!M8))*Inputs!$C$6</f>
        <v>268740.94554846059</v>
      </c>
      <c r="S352">
        <f t="shared" ca="1" si="113"/>
        <v>0.21177830346730139</v>
      </c>
      <c r="T352">
        <f t="shared" ca="1" si="114"/>
        <v>0.98199841371205943</v>
      </c>
      <c r="U352">
        <f t="shared" ca="1" si="115"/>
        <v>2</v>
      </c>
      <c r="V352" s="47">
        <f t="shared" ca="1" si="116"/>
        <v>537481.89109692117</v>
      </c>
      <c r="W352">
        <f ca="1">Inputs!B15+(Inputs!D15-Inputs!B15)*BETAINV(RAND(),Model!H9,Model!I9)</f>
        <v>0.52234391481270981</v>
      </c>
      <c r="X352">
        <f ca="1">Inputs!E15+(Inputs!G15-Inputs!E15)*BETAINV(RAND(),Model!J9,Model!K9)</f>
        <v>0.56177300292464771</v>
      </c>
      <c r="Y352">
        <f ca="1">(Inputs!H15+(Inputs!J15-Inputs!H15)*BETAINV(RAND(),Model!L9,Model!M9))*Inputs!$C$6</f>
        <v>27404.410837902728</v>
      </c>
      <c r="Z352">
        <f t="shared" ca="1" si="117"/>
        <v>0.29343870958375234</v>
      </c>
      <c r="AA352">
        <f t="shared" ca="1" si="118"/>
        <v>0.74256408496090598</v>
      </c>
      <c r="AB352">
        <f t="shared" ca="1" si="119"/>
        <v>0</v>
      </c>
      <c r="AC352" s="47">
        <f t="shared" ca="1" si="120"/>
        <v>0</v>
      </c>
      <c r="AD352">
        <f ca="1">Inputs!B16+(Inputs!D16-Inputs!B16)*BETAINV(RAND(),Model!H10,Model!I10)</f>
        <v>1.0118890898865753</v>
      </c>
      <c r="AE352">
        <f ca="1">Inputs!E16+(Inputs!G16-Inputs!E16)*BETAINV(RAND(),Model!J10,Model!K10)</f>
        <v>0.6945821350087108</v>
      </c>
      <c r="AF352">
        <f ca="1">(Inputs!H16+(Inputs!J16-Inputs!H16)*BETAINV(RAND(),Model!L10,Model!M10))*Inputs!$C$6</f>
        <v>71981.272764981943</v>
      </c>
      <c r="AG352">
        <f t="shared" ca="1" si="121"/>
        <v>0.70284008444543877</v>
      </c>
      <c r="AH352">
        <f t="shared" ca="1" si="122"/>
        <v>0.96445877419003156</v>
      </c>
      <c r="AI352">
        <f t="shared" ca="1" si="123"/>
        <v>2</v>
      </c>
      <c r="AJ352" s="47">
        <f t="shared" ca="1" si="124"/>
        <v>143962.54552996389</v>
      </c>
      <c r="AK352">
        <f t="shared" ca="1" si="125"/>
        <v>888420.37010487739</v>
      </c>
    </row>
    <row r="353" spans="2:37" x14ac:dyDescent="0.2">
      <c r="B353">
        <f ca="1">Inputs!B12+(Inputs!D12-Inputs!B12)*BETAINV(RAND(),Model!H6,Model!I6)</f>
        <v>4.3214786822808104</v>
      </c>
      <c r="C353">
        <f ca="1">Inputs!E12+(Inputs!G12-Inputs!E12)*BETAINV(RAND(),Model!J6,Model!K6)</f>
        <v>0.3665696590229981</v>
      </c>
      <c r="D353">
        <f ca="1">(Inputs!H12+(Inputs!J12-Inputs!H12)*BETAINV(RAND(),Model!L6,Model!M6))*Inputs!$C$6</f>
        <v>28121.564513951053</v>
      </c>
      <c r="E353">
        <f t="shared" ca="1" si="105"/>
        <v>1.5841229670388317</v>
      </c>
      <c r="F353">
        <f t="shared" ca="1" si="106"/>
        <v>0.80486269207589023</v>
      </c>
      <c r="G353">
        <f t="shared" ca="1" si="107"/>
        <v>3</v>
      </c>
      <c r="H353" s="47">
        <f t="shared" ca="1" si="108"/>
        <v>84364.693541853165</v>
      </c>
      <c r="I353">
        <f ca="1">Inputs!B13+(Inputs!D13-Inputs!B13)*BETAINV(RAND(),Model!H7,Model!I7)</f>
        <v>2.6235684093082834</v>
      </c>
      <c r="J353">
        <f ca="1">Inputs!E13+(Inputs!G13-Inputs!E13)*BETAINV(RAND(),Model!J7,Model!K7)</f>
        <v>0.21448921277468463</v>
      </c>
      <c r="K353">
        <f ca="1">(Inputs!H13+(Inputs!J13-Inputs!H13)*BETAINV(RAND(),Model!L7,Model!M7))*Inputs!$C$6</f>
        <v>23477.649547810117</v>
      </c>
      <c r="L353">
        <f t="shared" ca="1" si="109"/>
        <v>0.56272712277306536</v>
      </c>
      <c r="M353">
        <f t="shared" ca="1" si="110"/>
        <v>0.39133328028423076</v>
      </c>
      <c r="N353">
        <f t="shared" ca="1" si="111"/>
        <v>0</v>
      </c>
      <c r="O353" s="47">
        <f t="shared" ca="1" si="112"/>
        <v>0</v>
      </c>
      <c r="P353">
        <f ca="1">Inputs!B14+(Inputs!D14-Inputs!B14)*BETAINV(RAND(),Model!H8,Model!I8)</f>
        <v>0.21737686469679485</v>
      </c>
      <c r="Q353">
        <f ca="1">Inputs!E14+(Inputs!G14-Inputs!E14)*BETAINV(RAND(),Model!J8,Model!K8)</f>
        <v>0.73818549698385594</v>
      </c>
      <c r="R353">
        <f ca="1">(Inputs!H14+(Inputs!J14-Inputs!H14)*BETAINV(RAND(),Model!L8,Model!M8))*Inputs!$C$6</f>
        <v>343556.67723394692</v>
      </c>
      <c r="S353">
        <f t="shared" ca="1" si="113"/>
        <v>0.16046444889899592</v>
      </c>
      <c r="T353">
        <f t="shared" ca="1" si="114"/>
        <v>0.63835149500076582</v>
      </c>
      <c r="U353">
        <f t="shared" ca="1" si="115"/>
        <v>0</v>
      </c>
      <c r="V353" s="47">
        <f t="shared" ca="1" si="116"/>
        <v>0</v>
      </c>
      <c r="W353">
        <f ca="1">Inputs!B15+(Inputs!D15-Inputs!B15)*BETAINV(RAND(),Model!H9,Model!I9)</f>
        <v>0.81579654755405651</v>
      </c>
      <c r="X353">
        <f ca="1">Inputs!E15+(Inputs!G15-Inputs!E15)*BETAINV(RAND(),Model!J9,Model!K9)</f>
        <v>0.38461661135605485</v>
      </c>
      <c r="Y353">
        <f ca="1">(Inputs!H15+(Inputs!J15-Inputs!H15)*BETAINV(RAND(),Model!L9,Model!M9))*Inputs!$C$6</f>
        <v>23231.802361501235</v>
      </c>
      <c r="Z353">
        <f t="shared" ca="1" si="117"/>
        <v>0.31376890367620985</v>
      </c>
      <c r="AA353">
        <f t="shared" ca="1" si="118"/>
        <v>0.90138707615652081</v>
      </c>
      <c r="AB353">
        <f t="shared" ca="1" si="119"/>
        <v>1</v>
      </c>
      <c r="AC353" s="47">
        <f t="shared" ca="1" si="120"/>
        <v>23231.802361501235</v>
      </c>
      <c r="AD353">
        <f ca="1">Inputs!B16+(Inputs!D16-Inputs!B16)*BETAINV(RAND(),Model!H10,Model!I10)</f>
        <v>1.1886220371539689</v>
      </c>
      <c r="AE353">
        <f ca="1">Inputs!E16+(Inputs!G16-Inputs!E16)*BETAINV(RAND(),Model!J10,Model!K10)</f>
        <v>0.50350345513832506</v>
      </c>
      <c r="AF353">
        <f ca="1">(Inputs!H16+(Inputs!J16-Inputs!H16)*BETAINV(RAND(),Model!L10,Model!M10))*Inputs!$C$6</f>
        <v>52697.812428489502</v>
      </c>
      <c r="AG353">
        <f t="shared" ca="1" si="121"/>
        <v>0.5984753025605779</v>
      </c>
      <c r="AH353">
        <f t="shared" ca="1" si="122"/>
        <v>2.9263758982875587E-2</v>
      </c>
      <c r="AI353">
        <f t="shared" ca="1" si="123"/>
        <v>0</v>
      </c>
      <c r="AJ353" s="47">
        <f t="shared" ca="1" si="124"/>
        <v>0</v>
      </c>
      <c r="AK353">
        <f t="shared" ca="1" si="125"/>
        <v>107596.4959033544</v>
      </c>
    </row>
    <row r="354" spans="2:37" x14ac:dyDescent="0.2">
      <c r="B354">
        <f ca="1">Inputs!B12+(Inputs!D12-Inputs!B12)*BETAINV(RAND(),Model!H6,Model!I6)</f>
        <v>2.2670998249764338</v>
      </c>
      <c r="C354">
        <f ca="1">Inputs!E12+(Inputs!G12-Inputs!E12)*BETAINV(RAND(),Model!J6,Model!K6)</f>
        <v>0.27032470834858691</v>
      </c>
      <c r="D354">
        <f ca="1">(Inputs!H12+(Inputs!J12-Inputs!H12)*BETAINV(RAND(),Model!L6,Model!M6))*Inputs!$C$6</f>
        <v>20358.100359565655</v>
      </c>
      <c r="E354">
        <f t="shared" ca="1" si="105"/>
        <v>0.61285309898388685</v>
      </c>
      <c r="F354">
        <f t="shared" ca="1" si="106"/>
        <v>0.57438143779649842</v>
      </c>
      <c r="G354">
        <f t="shared" ca="1" si="107"/>
        <v>1</v>
      </c>
      <c r="H354" s="47">
        <f t="shared" ca="1" si="108"/>
        <v>20358.100359565655</v>
      </c>
      <c r="I354">
        <f ca="1">Inputs!B13+(Inputs!D13-Inputs!B13)*BETAINV(RAND(),Model!H7,Model!I7)</f>
        <v>1.9972462462995297</v>
      </c>
      <c r="J354">
        <f ca="1">Inputs!E13+(Inputs!G13-Inputs!E13)*BETAINV(RAND(),Model!J7,Model!K7)</f>
        <v>0.24763186161152059</v>
      </c>
      <c r="K354">
        <f ca="1">(Inputs!H13+(Inputs!J13-Inputs!H13)*BETAINV(RAND(),Model!L7,Model!M7))*Inputs!$C$6</f>
        <v>19476.662748024079</v>
      </c>
      <c r="L354">
        <f t="shared" ca="1" si="109"/>
        <v>0.49458180606777413</v>
      </c>
      <c r="M354">
        <f t="shared" ca="1" si="110"/>
        <v>0.87846679719903165</v>
      </c>
      <c r="N354">
        <f t="shared" ca="1" si="111"/>
        <v>1</v>
      </c>
      <c r="O354" s="47">
        <f t="shared" ca="1" si="112"/>
        <v>19476.662748024079</v>
      </c>
      <c r="P354">
        <f ca="1">Inputs!B14+(Inputs!D14-Inputs!B14)*BETAINV(RAND(),Model!H8,Model!I8)</f>
        <v>0.62468557782724343</v>
      </c>
      <c r="Q354">
        <f ca="1">Inputs!E14+(Inputs!G14-Inputs!E14)*BETAINV(RAND(),Model!J8,Model!K8)</f>
        <v>0.60574164600288238</v>
      </c>
      <c r="R354">
        <f ca="1">(Inputs!H14+(Inputs!J14-Inputs!H14)*BETAINV(RAND(),Model!L8,Model!M8))*Inputs!$C$6</f>
        <v>497881.24245683709</v>
      </c>
      <c r="S354">
        <f t="shared" ca="1" si="113"/>
        <v>0.37839807014733612</v>
      </c>
      <c r="T354">
        <f t="shared" ca="1" si="114"/>
        <v>0.19437688268236808</v>
      </c>
      <c r="U354">
        <f t="shared" ca="1" si="115"/>
        <v>0</v>
      </c>
      <c r="V354" s="47">
        <f t="shared" ca="1" si="116"/>
        <v>0</v>
      </c>
      <c r="W354">
        <f ca="1">Inputs!B15+(Inputs!D15-Inputs!B15)*BETAINV(RAND(),Model!H9,Model!I9)</f>
        <v>1.3392240581451671</v>
      </c>
      <c r="X354">
        <f ca="1">Inputs!E15+(Inputs!G15-Inputs!E15)*BETAINV(RAND(),Model!J9,Model!K9)</f>
        <v>0.40270159117380022</v>
      </c>
      <c r="Y354">
        <f ca="1">(Inputs!H15+(Inputs!J15-Inputs!H15)*BETAINV(RAND(),Model!L9,Model!M9))*Inputs!$C$6</f>
        <v>38371.879715564137</v>
      </c>
      <c r="Z354">
        <f t="shared" ca="1" si="117"/>
        <v>0.53930765915329271</v>
      </c>
      <c r="AA354">
        <f t="shared" ca="1" si="118"/>
        <v>0.14054715359650805</v>
      </c>
      <c r="AB354">
        <f t="shared" ca="1" si="119"/>
        <v>0</v>
      </c>
      <c r="AC354" s="47">
        <f t="shared" ca="1" si="120"/>
        <v>0</v>
      </c>
      <c r="AD354">
        <f ca="1">Inputs!B16+(Inputs!D16-Inputs!B16)*BETAINV(RAND(),Model!H10,Model!I10)</f>
        <v>0.6709386209182725</v>
      </c>
      <c r="AE354">
        <f ca="1">Inputs!E16+(Inputs!G16-Inputs!E16)*BETAINV(RAND(),Model!J10,Model!K10)</f>
        <v>0.70579709800861978</v>
      </c>
      <c r="AF354">
        <f ca="1">(Inputs!H16+(Inputs!J16-Inputs!H16)*BETAINV(RAND(),Model!L10,Model!M10))*Inputs!$C$6</f>
        <v>63351.515427111059</v>
      </c>
      <c r="AG354">
        <f t="shared" ca="1" si="121"/>
        <v>0.47354653158602217</v>
      </c>
      <c r="AH354">
        <f t="shared" ca="1" si="122"/>
        <v>0.38225766156092456</v>
      </c>
      <c r="AI354">
        <f t="shared" ca="1" si="123"/>
        <v>0</v>
      </c>
      <c r="AJ354" s="47">
        <f t="shared" ca="1" si="124"/>
        <v>0</v>
      </c>
      <c r="AK354">
        <f t="shared" ca="1" si="125"/>
        <v>39834.763107589737</v>
      </c>
    </row>
    <row r="355" spans="2:37" x14ac:dyDescent="0.2">
      <c r="B355">
        <f ca="1">Inputs!B12+(Inputs!D12-Inputs!B12)*BETAINV(RAND(),Model!H6,Model!I6)</f>
        <v>2.48152848415178</v>
      </c>
      <c r="C355">
        <f ca="1">Inputs!E12+(Inputs!G12-Inputs!E12)*BETAINV(RAND(),Model!J6,Model!K6)</f>
        <v>0.20391028128924849</v>
      </c>
      <c r="D355">
        <f ca="1">(Inputs!H12+(Inputs!J12-Inputs!H12)*BETAINV(RAND(),Model!L6,Model!M6))*Inputs!$C$6</f>
        <v>34929.75759488035</v>
      </c>
      <c r="E355">
        <f t="shared" ca="1" si="105"/>
        <v>0.50600917123067191</v>
      </c>
      <c r="F355">
        <f t="shared" ca="1" si="106"/>
        <v>0.67720906551342841</v>
      </c>
      <c r="G355">
        <f t="shared" ca="1" si="107"/>
        <v>1</v>
      </c>
      <c r="H355" s="47">
        <f t="shared" ca="1" si="108"/>
        <v>34929.75759488035</v>
      </c>
      <c r="I355">
        <f ca="1">Inputs!B13+(Inputs!D13-Inputs!B13)*BETAINV(RAND(),Model!H7,Model!I7)</f>
        <v>2.5272127462547069</v>
      </c>
      <c r="J355">
        <f ca="1">Inputs!E13+(Inputs!G13-Inputs!E13)*BETAINV(RAND(),Model!J7,Model!K7)</f>
        <v>0.17803731671837</v>
      </c>
      <c r="K355">
        <f ca="1">(Inputs!H13+(Inputs!J13-Inputs!H13)*BETAINV(RAND(),Model!L7,Model!M7))*Inputs!$C$6</f>
        <v>10304.370991499207</v>
      </c>
      <c r="L355">
        <f t="shared" ca="1" si="109"/>
        <v>0.44993817611965092</v>
      </c>
      <c r="M355">
        <f t="shared" ca="1" si="110"/>
        <v>0.11606095874131162</v>
      </c>
      <c r="N355">
        <f t="shared" ca="1" si="111"/>
        <v>0</v>
      </c>
      <c r="O355" s="47">
        <f t="shared" ca="1" si="112"/>
        <v>0</v>
      </c>
      <c r="P355">
        <f ca="1">Inputs!B14+(Inputs!D14-Inputs!B14)*BETAINV(RAND(),Model!H8,Model!I8)</f>
        <v>0.39796754023243075</v>
      </c>
      <c r="Q355">
        <f ca="1">Inputs!E14+(Inputs!G14-Inputs!E14)*BETAINV(RAND(),Model!J8,Model!K8)</f>
        <v>0.34679878141556519</v>
      </c>
      <c r="R355">
        <f ca="1">(Inputs!H14+(Inputs!J14-Inputs!H14)*BETAINV(RAND(),Model!L8,Model!M8))*Inputs!$C$6</f>
        <v>304064.30167295877</v>
      </c>
      <c r="S355">
        <f t="shared" ca="1" si="113"/>
        <v>0.1380146579955569</v>
      </c>
      <c r="T355">
        <f t="shared" ca="1" si="114"/>
        <v>0.58318879559033765</v>
      </c>
      <c r="U355">
        <f t="shared" ca="1" si="115"/>
        <v>0</v>
      </c>
      <c r="V355" s="47">
        <f t="shared" ca="1" si="116"/>
        <v>0</v>
      </c>
      <c r="W355">
        <f ca="1">Inputs!B15+(Inputs!D15-Inputs!B15)*BETAINV(RAND(),Model!H9,Model!I9)</f>
        <v>1.2219648243989698</v>
      </c>
      <c r="X355">
        <f ca="1">Inputs!E15+(Inputs!G15-Inputs!E15)*BETAINV(RAND(),Model!J9,Model!K9)</f>
        <v>0.41870069445206115</v>
      </c>
      <c r="Y355">
        <f ca="1">(Inputs!H15+(Inputs!J15-Inputs!H15)*BETAINV(RAND(),Model!L9,Model!M9))*Inputs!$C$6</f>
        <v>62433.018733325203</v>
      </c>
      <c r="Z355">
        <f t="shared" ca="1" si="117"/>
        <v>0.51163752057183964</v>
      </c>
      <c r="AA355">
        <f t="shared" ca="1" si="118"/>
        <v>0.48733416683564679</v>
      </c>
      <c r="AB355">
        <f t="shared" ca="1" si="119"/>
        <v>0</v>
      </c>
      <c r="AC355" s="47">
        <f t="shared" ca="1" si="120"/>
        <v>0</v>
      </c>
      <c r="AD355">
        <f ca="1">Inputs!B16+(Inputs!D16-Inputs!B16)*BETAINV(RAND(),Model!H10,Model!I10)</f>
        <v>0.84196446689920967</v>
      </c>
      <c r="AE355">
        <f ca="1">Inputs!E16+(Inputs!G16-Inputs!E16)*BETAINV(RAND(),Model!J10,Model!K10)</f>
        <v>0.66747294422755543</v>
      </c>
      <c r="AF355">
        <f ca="1">(Inputs!H16+(Inputs!J16-Inputs!H16)*BETAINV(RAND(),Model!L10,Model!M10))*Inputs!$C$6</f>
        <v>95082.700233653683</v>
      </c>
      <c r="AG355">
        <f t="shared" ca="1" si="121"/>
        <v>0.56198850165619962</v>
      </c>
      <c r="AH355">
        <f t="shared" ca="1" si="122"/>
        <v>0.98135837390852521</v>
      </c>
      <c r="AI355">
        <f t="shared" ca="1" si="123"/>
        <v>3</v>
      </c>
      <c r="AJ355" s="47">
        <f t="shared" ca="1" si="124"/>
        <v>285248.10070096108</v>
      </c>
      <c r="AK355">
        <f t="shared" ca="1" si="125"/>
        <v>320177.85829584143</v>
      </c>
    </row>
    <row r="356" spans="2:37" x14ac:dyDescent="0.2">
      <c r="B356">
        <f ca="1">Inputs!B12+(Inputs!D12-Inputs!B12)*BETAINV(RAND(),Model!H6,Model!I6)</f>
        <v>5.5828088782996028</v>
      </c>
      <c r="C356">
        <f ca="1">Inputs!E12+(Inputs!G12-Inputs!E12)*BETAINV(RAND(),Model!J6,Model!K6)</f>
        <v>0.29844049522399296</v>
      </c>
      <c r="D356">
        <f ca="1">(Inputs!H12+(Inputs!J12-Inputs!H12)*BETAINV(RAND(),Model!L6,Model!M6))*Inputs!$C$6</f>
        <v>51869.457856320965</v>
      </c>
      <c r="E356">
        <f t="shared" ca="1" si="105"/>
        <v>1.6661362463806382</v>
      </c>
      <c r="F356">
        <f t="shared" ca="1" si="106"/>
        <v>9.7753655044962251E-2</v>
      </c>
      <c r="G356">
        <f t="shared" ca="1" si="107"/>
        <v>0</v>
      </c>
      <c r="H356" s="47">
        <f t="shared" ca="1" si="108"/>
        <v>0</v>
      </c>
      <c r="I356">
        <f ca="1">Inputs!B13+(Inputs!D13-Inputs!B13)*BETAINV(RAND(),Model!H7,Model!I7)</f>
        <v>2.4911686872378205</v>
      </c>
      <c r="J356">
        <f ca="1">Inputs!E13+(Inputs!G13-Inputs!E13)*BETAINV(RAND(),Model!J7,Model!K7)</f>
        <v>0.27336584402485331</v>
      </c>
      <c r="K356">
        <f ca="1">(Inputs!H13+(Inputs!J13-Inputs!H13)*BETAINV(RAND(),Model!L7,Model!M7))*Inputs!$C$6</f>
        <v>26862.372501405313</v>
      </c>
      <c r="L356">
        <f t="shared" ca="1" si="109"/>
        <v>0.68100043079505257</v>
      </c>
      <c r="M356">
        <f t="shared" ca="1" si="110"/>
        <v>0.20226256464478876</v>
      </c>
      <c r="N356">
        <f t="shared" ca="1" si="111"/>
        <v>0</v>
      </c>
      <c r="O356" s="47">
        <f t="shared" ca="1" si="112"/>
        <v>0</v>
      </c>
      <c r="P356">
        <f ca="1">Inputs!B14+(Inputs!D14-Inputs!B14)*BETAINV(RAND(),Model!H8,Model!I8)</f>
        <v>0.33285294174823549</v>
      </c>
      <c r="Q356">
        <f ca="1">Inputs!E14+(Inputs!G14-Inputs!E14)*BETAINV(RAND(),Model!J8,Model!K8)</f>
        <v>0.61398600445049123</v>
      </c>
      <c r="R356">
        <f ca="1">(Inputs!H14+(Inputs!J14-Inputs!H14)*BETAINV(RAND(),Model!L8,Model!M8))*Inputs!$C$6</f>
        <v>440962.65004192782</v>
      </c>
      <c r="S356">
        <f t="shared" ca="1" si="113"/>
        <v>0.20436704777359121</v>
      </c>
      <c r="T356">
        <f t="shared" ca="1" si="114"/>
        <v>0.14956856457414291</v>
      </c>
      <c r="U356">
        <f t="shared" ca="1" si="115"/>
        <v>0</v>
      </c>
      <c r="V356" s="47">
        <f t="shared" ca="1" si="116"/>
        <v>0</v>
      </c>
      <c r="W356">
        <f ca="1">Inputs!B15+(Inputs!D15-Inputs!B15)*BETAINV(RAND(),Model!H9,Model!I9)</f>
        <v>0.95271479223680777</v>
      </c>
      <c r="X356">
        <f ca="1">Inputs!E15+(Inputs!G15-Inputs!E15)*BETAINV(RAND(),Model!J9,Model!K9)</f>
        <v>0.41296728367049262</v>
      </c>
      <c r="Y356">
        <f ca="1">(Inputs!H15+(Inputs!J15-Inputs!H15)*BETAINV(RAND(),Model!L9,Model!M9))*Inputs!$C$6</f>
        <v>32242.638758084995</v>
      </c>
      <c r="Z356">
        <f t="shared" ca="1" si="117"/>
        <v>0.39344003986273224</v>
      </c>
      <c r="AA356">
        <f t="shared" ca="1" si="118"/>
        <v>0.66362221744019789</v>
      </c>
      <c r="AB356">
        <f t="shared" ca="1" si="119"/>
        <v>0</v>
      </c>
      <c r="AC356" s="47">
        <f t="shared" ca="1" si="120"/>
        <v>0</v>
      </c>
      <c r="AD356">
        <f ca="1">Inputs!B16+(Inputs!D16-Inputs!B16)*BETAINV(RAND(),Model!H10,Model!I10)</f>
        <v>0.62511358752819945</v>
      </c>
      <c r="AE356">
        <f ca="1">Inputs!E16+(Inputs!G16-Inputs!E16)*BETAINV(RAND(),Model!J10,Model!K10)</f>
        <v>0.63493078734776864</v>
      </c>
      <c r="AF356">
        <f ca="1">(Inputs!H16+(Inputs!J16-Inputs!H16)*BETAINV(RAND(),Model!L10,Model!M10))*Inputs!$C$6</f>
        <v>72593.7099983566</v>
      </c>
      <c r="AG356">
        <f t="shared" ca="1" si="121"/>
        <v>0.39690386231106795</v>
      </c>
      <c r="AH356">
        <f t="shared" ca="1" si="122"/>
        <v>1.301814987582417E-3</v>
      </c>
      <c r="AI356">
        <f t="shared" ca="1" si="123"/>
        <v>0</v>
      </c>
      <c r="AJ356" s="47">
        <f t="shared" ca="1" si="124"/>
        <v>0</v>
      </c>
      <c r="AK356">
        <f t="shared" ca="1" si="125"/>
        <v>0</v>
      </c>
    </row>
    <row r="357" spans="2:37" x14ac:dyDescent="0.2">
      <c r="B357">
        <f ca="1">Inputs!B12+(Inputs!D12-Inputs!B12)*BETAINV(RAND(),Model!H6,Model!I6)</f>
        <v>4.4406918615131472</v>
      </c>
      <c r="C357">
        <f ca="1">Inputs!E12+(Inputs!G12-Inputs!E12)*BETAINV(RAND(),Model!J6,Model!K6)</f>
        <v>0.33808691582804895</v>
      </c>
      <c r="D357">
        <f ca="1">(Inputs!H12+(Inputs!J12-Inputs!H12)*BETAINV(RAND(),Model!L6,Model!M6))*Inputs!$C$6</f>
        <v>28937.318696448387</v>
      </c>
      <c r="E357">
        <f t="shared" ca="1" si="105"/>
        <v>1.5013398156016975</v>
      </c>
      <c r="F357">
        <f t="shared" ca="1" si="106"/>
        <v>0.7237769741993727</v>
      </c>
      <c r="G357">
        <f t="shared" ca="1" si="107"/>
        <v>2</v>
      </c>
      <c r="H357" s="47">
        <f t="shared" ca="1" si="108"/>
        <v>57874.637392896773</v>
      </c>
      <c r="I357">
        <f ca="1">Inputs!B13+(Inputs!D13-Inputs!B13)*BETAINV(RAND(),Model!H7,Model!I7)</f>
        <v>1.0090773452797166</v>
      </c>
      <c r="J357">
        <f ca="1">Inputs!E13+(Inputs!G13-Inputs!E13)*BETAINV(RAND(),Model!J7,Model!K7)</f>
        <v>0.26499035688074957</v>
      </c>
      <c r="K357">
        <f ca="1">(Inputs!H13+(Inputs!J13-Inputs!H13)*BETAINV(RAND(),Model!L7,Model!M7))*Inputs!$C$6</f>
        <v>12452.325033103245</v>
      </c>
      <c r="L357">
        <f t="shared" ca="1" si="109"/>
        <v>0.26739576584595148</v>
      </c>
      <c r="M357">
        <f t="shared" ca="1" si="110"/>
        <v>0.39475841101359888</v>
      </c>
      <c r="N357">
        <f t="shared" ca="1" si="111"/>
        <v>0</v>
      </c>
      <c r="O357" s="47">
        <f t="shared" ca="1" si="112"/>
        <v>0</v>
      </c>
      <c r="P357">
        <f ca="1">Inputs!B14+(Inputs!D14-Inputs!B14)*BETAINV(RAND(),Model!H8,Model!I8)</f>
        <v>0.32821234711515002</v>
      </c>
      <c r="Q357">
        <f ca="1">Inputs!E14+(Inputs!G14-Inputs!E14)*BETAINV(RAND(),Model!J8,Model!K8)</f>
        <v>0.53922105812772503</v>
      </c>
      <c r="R357">
        <f ca="1">(Inputs!H14+(Inputs!J14-Inputs!H14)*BETAINV(RAND(),Model!L8,Model!M8))*Inputs!$C$6</f>
        <v>481266.64657789003</v>
      </c>
      <c r="S357">
        <f t="shared" ca="1" si="113"/>
        <v>0.17697900910201536</v>
      </c>
      <c r="T357">
        <f t="shared" ca="1" si="114"/>
        <v>0.12220829067798111</v>
      </c>
      <c r="U357">
        <f t="shared" ca="1" si="115"/>
        <v>0</v>
      </c>
      <c r="V357" s="47">
        <f t="shared" ca="1" si="116"/>
        <v>0</v>
      </c>
      <c r="W357">
        <f ca="1">Inputs!B15+(Inputs!D15-Inputs!B15)*BETAINV(RAND(),Model!H9,Model!I9)</f>
        <v>1.7520986676534362</v>
      </c>
      <c r="X357">
        <f ca="1">Inputs!E15+(Inputs!G15-Inputs!E15)*BETAINV(RAND(),Model!J9,Model!K9)</f>
        <v>0.45781567040767956</v>
      </c>
      <c r="Y357">
        <f ca="1">(Inputs!H15+(Inputs!J15-Inputs!H15)*BETAINV(RAND(),Model!L9,Model!M9))*Inputs!$C$6</f>
        <v>35687.505090842904</v>
      </c>
      <c r="Z357">
        <f t="shared" ca="1" si="117"/>
        <v>0.80213822615216002</v>
      </c>
      <c r="AA357">
        <f t="shared" ca="1" si="118"/>
        <v>0.11809233050440848</v>
      </c>
      <c r="AB357">
        <f t="shared" ca="1" si="119"/>
        <v>0</v>
      </c>
      <c r="AC357" s="47">
        <f t="shared" ca="1" si="120"/>
        <v>0</v>
      </c>
      <c r="AD357">
        <f ca="1">Inputs!B16+(Inputs!D16-Inputs!B16)*BETAINV(RAND(),Model!H10,Model!I10)</f>
        <v>0.67292148990212475</v>
      </c>
      <c r="AE357">
        <f ca="1">Inputs!E16+(Inputs!G16-Inputs!E16)*BETAINV(RAND(),Model!J10,Model!K10)</f>
        <v>0.66028390576319829</v>
      </c>
      <c r="AF357">
        <f ca="1">(Inputs!H16+(Inputs!J16-Inputs!H16)*BETAINV(RAND(),Model!L10,Model!M10))*Inputs!$C$6</f>
        <v>54976.854390068322</v>
      </c>
      <c r="AG357">
        <f t="shared" ca="1" si="121"/>
        <v>0.44431922962456555</v>
      </c>
      <c r="AH357">
        <f t="shared" ca="1" si="122"/>
        <v>0.31789571329183874</v>
      </c>
      <c r="AI357">
        <f t="shared" ca="1" si="123"/>
        <v>0</v>
      </c>
      <c r="AJ357" s="47">
        <f t="shared" ca="1" si="124"/>
        <v>0</v>
      </c>
      <c r="AK357">
        <f t="shared" ca="1" si="125"/>
        <v>57874.637392896773</v>
      </c>
    </row>
    <row r="358" spans="2:37" x14ac:dyDescent="0.2">
      <c r="B358">
        <f ca="1">Inputs!B12+(Inputs!D12-Inputs!B12)*BETAINV(RAND(),Model!H6,Model!I6)</f>
        <v>2.3750597347307116</v>
      </c>
      <c r="C358">
        <f ca="1">Inputs!E12+(Inputs!G12-Inputs!E12)*BETAINV(RAND(),Model!J6,Model!K6)</f>
        <v>0.45493989233748522</v>
      </c>
      <c r="D358">
        <f ca="1">(Inputs!H12+(Inputs!J12-Inputs!H12)*BETAINV(RAND(),Model!L6,Model!M6))*Inputs!$C$6</f>
        <v>30451.707096179784</v>
      </c>
      <c r="E358">
        <f t="shared" ca="1" si="105"/>
        <v>1.0805094200134862</v>
      </c>
      <c r="F358">
        <f t="shared" ca="1" si="106"/>
        <v>0.77127792067325252</v>
      </c>
      <c r="G358">
        <f t="shared" ca="1" si="107"/>
        <v>2</v>
      </c>
      <c r="H358" s="47">
        <f t="shared" ca="1" si="108"/>
        <v>60903.414192359567</v>
      </c>
      <c r="I358">
        <f ca="1">Inputs!B13+(Inputs!D13-Inputs!B13)*BETAINV(RAND(),Model!H7,Model!I7)</f>
        <v>1.37373635651777</v>
      </c>
      <c r="J358">
        <f ca="1">Inputs!E13+(Inputs!G13-Inputs!E13)*BETAINV(RAND(),Model!J7,Model!K7)</f>
        <v>0.22039504756549111</v>
      </c>
      <c r="K358">
        <f ca="1">(Inputs!H13+(Inputs!J13-Inputs!H13)*BETAINV(RAND(),Model!L7,Model!M7))*Inputs!$C$6</f>
        <v>28299.782773669729</v>
      </c>
      <c r="L358">
        <f t="shared" ca="1" si="109"/>
        <v>0.3027646896371784</v>
      </c>
      <c r="M358">
        <f t="shared" ca="1" si="110"/>
        <v>0.29335506751148055</v>
      </c>
      <c r="N358">
        <f t="shared" ca="1" si="111"/>
        <v>0</v>
      </c>
      <c r="O358" s="47">
        <f t="shared" ca="1" si="112"/>
        <v>0</v>
      </c>
      <c r="P358">
        <f ca="1">Inputs!B14+(Inputs!D14-Inputs!B14)*BETAINV(RAND(),Model!H8,Model!I8)</f>
        <v>0.18956760417097884</v>
      </c>
      <c r="Q358">
        <f ca="1">Inputs!E14+(Inputs!G14-Inputs!E14)*BETAINV(RAND(),Model!J8,Model!K8)</f>
        <v>0.64181638366975613</v>
      </c>
      <c r="R358">
        <f ca="1">(Inputs!H14+(Inputs!J14-Inputs!H14)*BETAINV(RAND(),Model!L8,Model!M8))*Inputs!$C$6</f>
        <v>320978.5614899217</v>
      </c>
      <c r="S358">
        <f t="shared" ca="1" si="113"/>
        <v>0.12166759416995741</v>
      </c>
      <c r="T358">
        <f t="shared" ca="1" si="114"/>
        <v>0.69456007593086366</v>
      </c>
      <c r="U358">
        <f t="shared" ca="1" si="115"/>
        <v>0</v>
      </c>
      <c r="V358" s="47">
        <f t="shared" ca="1" si="116"/>
        <v>0</v>
      </c>
      <c r="W358">
        <f ca="1">Inputs!B15+(Inputs!D15-Inputs!B15)*BETAINV(RAND(),Model!H9,Model!I9)</f>
        <v>1.5977873310603894</v>
      </c>
      <c r="X358">
        <f ca="1">Inputs!E15+(Inputs!G15-Inputs!E15)*BETAINV(RAND(),Model!J9,Model!K9)</f>
        <v>0.34044400931556595</v>
      </c>
      <c r="Y358">
        <f ca="1">(Inputs!H15+(Inputs!J15-Inputs!H15)*BETAINV(RAND(),Model!L9,Model!M9))*Inputs!$C$6</f>
        <v>31573.438140740458</v>
      </c>
      <c r="Z358">
        <f t="shared" ca="1" si="117"/>
        <v>0.54395712501981652</v>
      </c>
      <c r="AA358">
        <f t="shared" ca="1" si="118"/>
        <v>8.7041253685085751E-2</v>
      </c>
      <c r="AB358">
        <f t="shared" ca="1" si="119"/>
        <v>0</v>
      </c>
      <c r="AC358" s="47">
        <f t="shared" ca="1" si="120"/>
        <v>0</v>
      </c>
      <c r="AD358">
        <f ca="1">Inputs!B16+(Inputs!D16-Inputs!B16)*BETAINV(RAND(),Model!H10,Model!I10)</f>
        <v>1.1364659633660947</v>
      </c>
      <c r="AE358">
        <f ca="1">Inputs!E16+(Inputs!G16-Inputs!E16)*BETAINV(RAND(),Model!J10,Model!K10)</f>
        <v>0.70713322394572553</v>
      </c>
      <c r="AF358">
        <f ca="1">(Inputs!H16+(Inputs!J16-Inputs!H16)*BETAINV(RAND(),Model!L10,Model!M10))*Inputs!$C$6</f>
        <v>49668.939925853621</v>
      </c>
      <c r="AG358">
        <f t="shared" ca="1" si="121"/>
        <v>0.80363284057965134</v>
      </c>
      <c r="AH358">
        <f t="shared" ca="1" si="122"/>
        <v>0.78739278750971475</v>
      </c>
      <c r="AI358">
        <f t="shared" ca="1" si="123"/>
        <v>1</v>
      </c>
      <c r="AJ358" s="47">
        <f t="shared" ca="1" si="124"/>
        <v>49668.939925853621</v>
      </c>
      <c r="AK358">
        <f t="shared" ca="1" si="125"/>
        <v>110572.35411821319</v>
      </c>
    </row>
    <row r="359" spans="2:37" x14ac:dyDescent="0.2">
      <c r="B359">
        <f ca="1">Inputs!B12+(Inputs!D12-Inputs!B12)*BETAINV(RAND(),Model!H6,Model!I6)</f>
        <v>2.1759217775924737</v>
      </c>
      <c r="C359">
        <f ca="1">Inputs!E12+(Inputs!G12-Inputs!E12)*BETAINV(RAND(),Model!J6,Model!K6)</f>
        <v>0.38621529015607725</v>
      </c>
      <c r="D359">
        <f ca="1">(Inputs!H12+(Inputs!J12-Inputs!H12)*BETAINV(RAND(),Model!L6,Model!M6))*Inputs!$C$6</f>
        <v>22860.166691743718</v>
      </c>
      <c r="E359">
        <f t="shared" ca="1" si="105"/>
        <v>0.84037426068980459</v>
      </c>
      <c r="F359">
        <f t="shared" ca="1" si="106"/>
        <v>0.68743121319504408</v>
      </c>
      <c r="G359">
        <f t="shared" ca="1" si="107"/>
        <v>1</v>
      </c>
      <c r="H359" s="47">
        <f t="shared" ca="1" si="108"/>
        <v>22860.166691743718</v>
      </c>
      <c r="I359">
        <f ca="1">Inputs!B13+(Inputs!D13-Inputs!B13)*BETAINV(RAND(),Model!H7,Model!I7)</f>
        <v>1.3491178232842351</v>
      </c>
      <c r="J359">
        <f ca="1">Inputs!E13+(Inputs!G13-Inputs!E13)*BETAINV(RAND(),Model!J7,Model!K7)</f>
        <v>0.16294022595273699</v>
      </c>
      <c r="K359">
        <f ca="1">(Inputs!H13+(Inputs!J13-Inputs!H13)*BETAINV(RAND(),Model!L7,Model!M7))*Inputs!$C$6</f>
        <v>50557.252865578317</v>
      </c>
      <c r="L359">
        <f t="shared" ca="1" si="109"/>
        <v>0.21982556296279798</v>
      </c>
      <c r="M359">
        <f t="shared" ca="1" si="110"/>
        <v>0.21519568904693687</v>
      </c>
      <c r="N359">
        <f t="shared" ca="1" si="111"/>
        <v>0</v>
      </c>
      <c r="O359" s="47">
        <f t="shared" ca="1" si="112"/>
        <v>0</v>
      </c>
      <c r="P359">
        <f ca="1">Inputs!B14+(Inputs!D14-Inputs!B14)*BETAINV(RAND(),Model!H8,Model!I8)</f>
        <v>0.32495432087451304</v>
      </c>
      <c r="Q359">
        <f ca="1">Inputs!E14+(Inputs!G14-Inputs!E14)*BETAINV(RAND(),Model!J8,Model!K8)</f>
        <v>0.76406071807163123</v>
      </c>
      <c r="R359">
        <f ca="1">(Inputs!H14+(Inputs!J14-Inputs!H14)*BETAINV(RAND(),Model!L8,Model!M8))*Inputs!$C$6</f>
        <v>266117.76298095717</v>
      </c>
      <c r="S359">
        <f t="shared" ca="1" si="113"/>
        <v>0.2482848317478597</v>
      </c>
      <c r="T359">
        <f t="shared" ca="1" si="114"/>
        <v>0.84956815517632023</v>
      </c>
      <c r="U359">
        <f t="shared" ca="1" si="115"/>
        <v>1</v>
      </c>
      <c r="V359" s="47">
        <f t="shared" ca="1" si="116"/>
        <v>266117.76298095717</v>
      </c>
      <c r="W359">
        <f ca="1">Inputs!B15+(Inputs!D15-Inputs!B15)*BETAINV(RAND(),Model!H9,Model!I9)</f>
        <v>1.8053216970125017</v>
      </c>
      <c r="X359">
        <f ca="1">Inputs!E15+(Inputs!G15-Inputs!E15)*BETAINV(RAND(),Model!J9,Model!K9)</f>
        <v>0.42649499864487173</v>
      </c>
      <c r="Y359">
        <f ca="1">(Inputs!H15+(Inputs!J15-Inputs!H15)*BETAINV(RAND(),Model!L9,Model!M9))*Inputs!$C$6</f>
        <v>45225.405626946667</v>
      </c>
      <c r="Z359">
        <f t="shared" ca="1" si="117"/>
        <v>0.76996067472090446</v>
      </c>
      <c r="AA359">
        <f t="shared" ca="1" si="118"/>
        <v>0.40616682023827211</v>
      </c>
      <c r="AB359">
        <f t="shared" ca="1" si="119"/>
        <v>0</v>
      </c>
      <c r="AC359" s="47">
        <f t="shared" ca="1" si="120"/>
        <v>0</v>
      </c>
      <c r="AD359">
        <f ca="1">Inputs!B16+(Inputs!D16-Inputs!B16)*BETAINV(RAND(),Model!H10,Model!I10)</f>
        <v>0.4511560429264046</v>
      </c>
      <c r="AE359">
        <f ca="1">Inputs!E16+(Inputs!G16-Inputs!E16)*BETAINV(RAND(),Model!J10,Model!K10)</f>
        <v>0.62018445079928863</v>
      </c>
      <c r="AF359">
        <f ca="1">(Inputs!H16+(Inputs!J16-Inputs!H16)*BETAINV(RAND(),Model!L10,Model!M10))*Inputs!$C$6</f>
        <v>49401.64998386801</v>
      </c>
      <c r="AG359">
        <f t="shared" ca="1" si="121"/>
        <v>0.27979996270709251</v>
      </c>
      <c r="AH359">
        <f t="shared" ca="1" si="122"/>
        <v>0.2961861411036073</v>
      </c>
      <c r="AI359">
        <f t="shared" ca="1" si="123"/>
        <v>0</v>
      </c>
      <c r="AJ359" s="47">
        <f t="shared" ca="1" si="124"/>
        <v>0</v>
      </c>
      <c r="AK359">
        <f t="shared" ca="1" si="125"/>
        <v>288977.92967270088</v>
      </c>
    </row>
    <row r="360" spans="2:37" x14ac:dyDescent="0.2">
      <c r="B360">
        <f ca="1">Inputs!B12+(Inputs!D12-Inputs!B12)*BETAINV(RAND(),Model!H6,Model!I6)</f>
        <v>5.307199472853477</v>
      </c>
      <c r="C360">
        <f ca="1">Inputs!E12+(Inputs!G12-Inputs!E12)*BETAINV(RAND(),Model!J6,Model!K6)</f>
        <v>0.47412574959101317</v>
      </c>
      <c r="D360">
        <f ca="1">(Inputs!H12+(Inputs!J12-Inputs!H12)*BETAINV(RAND(),Model!L6,Model!M6))*Inputs!$C$6</f>
        <v>7839.4084680779688</v>
      </c>
      <c r="E360">
        <f t="shared" ca="1" si="105"/>
        <v>2.5162799282956847</v>
      </c>
      <c r="F360">
        <f t="shared" ca="1" si="106"/>
        <v>5.4307476574120939E-2</v>
      </c>
      <c r="G360">
        <f t="shared" ca="1" si="107"/>
        <v>0</v>
      </c>
      <c r="H360" s="47">
        <f t="shared" ca="1" si="108"/>
        <v>0</v>
      </c>
      <c r="I360">
        <f ca="1">Inputs!B13+(Inputs!D13-Inputs!B13)*BETAINV(RAND(),Model!H7,Model!I7)</f>
        <v>1.6195378357175743</v>
      </c>
      <c r="J360">
        <f ca="1">Inputs!E13+(Inputs!G13-Inputs!E13)*BETAINV(RAND(),Model!J7,Model!K7)</f>
        <v>0.18092287511837252</v>
      </c>
      <c r="K360">
        <f ca="1">(Inputs!H13+(Inputs!J13-Inputs!H13)*BETAINV(RAND(),Model!L7,Model!M7))*Inputs!$C$6</f>
        <v>76998.738861383477</v>
      </c>
      <c r="L360">
        <f t="shared" ca="1" si="109"/>
        <v>0.29301144160101</v>
      </c>
      <c r="M360">
        <f t="shared" ca="1" si="110"/>
        <v>0.51274027751029594</v>
      </c>
      <c r="N360">
        <f t="shared" ca="1" si="111"/>
        <v>0</v>
      </c>
      <c r="O360" s="47">
        <f t="shared" ca="1" si="112"/>
        <v>0</v>
      </c>
      <c r="P360">
        <f ca="1">Inputs!B14+(Inputs!D14-Inputs!B14)*BETAINV(RAND(),Model!H8,Model!I8)</f>
        <v>0.20725828835379159</v>
      </c>
      <c r="Q360">
        <f ca="1">Inputs!E14+(Inputs!G14-Inputs!E14)*BETAINV(RAND(),Model!J8,Model!K8)</f>
        <v>0.43082159264741854</v>
      </c>
      <c r="R360">
        <f ca="1">(Inputs!H14+(Inputs!J14-Inputs!H14)*BETAINV(RAND(),Model!L8,Model!M8))*Inputs!$C$6</f>
        <v>603214.73799232359</v>
      </c>
      <c r="S360">
        <f t="shared" ca="1" si="113"/>
        <v>8.9291345877958408E-2</v>
      </c>
      <c r="T360">
        <f t="shared" ca="1" si="114"/>
        <v>0.33016415111315456</v>
      </c>
      <c r="U360">
        <f t="shared" ca="1" si="115"/>
        <v>0</v>
      </c>
      <c r="V360" s="47">
        <f t="shared" ca="1" si="116"/>
        <v>0</v>
      </c>
      <c r="W360">
        <f ca="1">Inputs!B15+(Inputs!D15-Inputs!B15)*BETAINV(RAND(),Model!H9,Model!I9)</f>
        <v>2.2348136600549218</v>
      </c>
      <c r="X360">
        <f ca="1">Inputs!E15+(Inputs!G15-Inputs!E15)*BETAINV(RAND(),Model!J9,Model!K9)</f>
        <v>0.42020306695843368</v>
      </c>
      <c r="Y360">
        <f ca="1">(Inputs!H15+(Inputs!J15-Inputs!H15)*BETAINV(RAND(),Model!L9,Model!M9))*Inputs!$C$6</f>
        <v>12216.120211916817</v>
      </c>
      <c r="Z360">
        <f t="shared" ca="1" si="117"/>
        <v>0.93907555403568055</v>
      </c>
      <c r="AA360">
        <f t="shared" ca="1" si="118"/>
        <v>0.45792964749896081</v>
      </c>
      <c r="AB360">
        <f t="shared" ca="1" si="119"/>
        <v>1</v>
      </c>
      <c r="AC360" s="47">
        <f t="shared" ca="1" si="120"/>
        <v>12216.120211916817</v>
      </c>
      <c r="AD360">
        <f ca="1">Inputs!B16+(Inputs!D16-Inputs!B16)*BETAINV(RAND(),Model!H10,Model!I10)</f>
        <v>1.0870946113966553</v>
      </c>
      <c r="AE360">
        <f ca="1">Inputs!E16+(Inputs!G16-Inputs!E16)*BETAINV(RAND(),Model!J10,Model!K10)</f>
        <v>0.58139170483806946</v>
      </c>
      <c r="AF360">
        <f ca="1">(Inputs!H16+(Inputs!J16-Inputs!H16)*BETAINV(RAND(),Model!L10,Model!M10))*Inputs!$C$6</f>
        <v>65922.136361791752</v>
      </c>
      <c r="AG360">
        <f t="shared" ca="1" si="121"/>
        <v>0.63202778944018001</v>
      </c>
      <c r="AH360">
        <f t="shared" ca="1" si="122"/>
        <v>0.67760853594470039</v>
      </c>
      <c r="AI360">
        <f t="shared" ca="1" si="123"/>
        <v>1</v>
      </c>
      <c r="AJ360" s="47">
        <f t="shared" ca="1" si="124"/>
        <v>65922.136361791752</v>
      </c>
      <c r="AK360">
        <f t="shared" ca="1" si="125"/>
        <v>78138.256573708568</v>
      </c>
    </row>
    <row r="361" spans="2:37" x14ac:dyDescent="0.2">
      <c r="B361">
        <f ca="1">Inputs!B12+(Inputs!D12-Inputs!B12)*BETAINV(RAND(),Model!H6,Model!I6)</f>
        <v>3.8171463441374791</v>
      </c>
      <c r="C361">
        <f ca="1">Inputs!E12+(Inputs!G12-Inputs!E12)*BETAINV(RAND(),Model!J6,Model!K6)</f>
        <v>0.29917323538722063</v>
      </c>
      <c r="D361">
        <f ca="1">(Inputs!H12+(Inputs!J12-Inputs!H12)*BETAINV(RAND(),Model!L6,Model!M6))*Inputs!$C$6</f>
        <v>23224.064800381719</v>
      </c>
      <c r="E361">
        <f t="shared" ca="1" si="105"/>
        <v>1.1419880217221108</v>
      </c>
      <c r="F361">
        <f t="shared" ca="1" si="106"/>
        <v>0.59974260500468424</v>
      </c>
      <c r="G361">
        <f t="shared" ca="1" si="107"/>
        <v>1</v>
      </c>
      <c r="H361" s="47">
        <f t="shared" ca="1" si="108"/>
        <v>23224.064800381719</v>
      </c>
      <c r="I361">
        <f ca="1">Inputs!B13+(Inputs!D13-Inputs!B13)*BETAINV(RAND(),Model!H7,Model!I7)</f>
        <v>1.4476270890759451</v>
      </c>
      <c r="J361">
        <f ca="1">Inputs!E13+(Inputs!G13-Inputs!E13)*BETAINV(RAND(),Model!J7,Model!K7)</f>
        <v>0.1623510293697058</v>
      </c>
      <c r="K361">
        <f ca="1">(Inputs!H13+(Inputs!J13-Inputs!H13)*BETAINV(RAND(),Model!L7,Model!M7))*Inputs!$C$6</f>
        <v>12491.174280139778</v>
      </c>
      <c r="L361">
        <f t="shared" ca="1" si="109"/>
        <v>0.23502374805495047</v>
      </c>
      <c r="M361">
        <f t="shared" ca="1" si="110"/>
        <v>0.86142024927782668</v>
      </c>
      <c r="N361">
        <f t="shared" ca="1" si="111"/>
        <v>1</v>
      </c>
      <c r="O361" s="47">
        <f t="shared" ca="1" si="112"/>
        <v>12491.174280139778</v>
      </c>
      <c r="P361">
        <f ca="1">Inputs!B14+(Inputs!D14-Inputs!B14)*BETAINV(RAND(),Model!H8,Model!I8)</f>
        <v>0.26511771309530396</v>
      </c>
      <c r="Q361">
        <f ca="1">Inputs!E14+(Inputs!G14-Inputs!E14)*BETAINV(RAND(),Model!J8,Model!K8)</f>
        <v>0.62983055945003907</v>
      </c>
      <c r="R361">
        <f ca="1">(Inputs!H14+(Inputs!J14-Inputs!H14)*BETAINV(RAND(),Model!L8,Model!M8))*Inputs!$C$6</f>
        <v>450156.42885676556</v>
      </c>
      <c r="S361">
        <f t="shared" ca="1" si="113"/>
        <v>0.16697923755893024</v>
      </c>
      <c r="T361">
        <f t="shared" ca="1" si="114"/>
        <v>0.86200559731772097</v>
      </c>
      <c r="U361">
        <f t="shared" ca="1" si="115"/>
        <v>1</v>
      </c>
      <c r="V361" s="47">
        <f t="shared" ca="1" si="116"/>
        <v>450156.42885676556</v>
      </c>
      <c r="W361">
        <f ca="1">Inputs!B15+(Inputs!D15-Inputs!B15)*BETAINV(RAND(),Model!H9,Model!I9)</f>
        <v>1.6934009019892224</v>
      </c>
      <c r="X361">
        <f ca="1">Inputs!E15+(Inputs!G15-Inputs!E15)*BETAINV(RAND(),Model!J9,Model!K9)</f>
        <v>0.52648204231813422</v>
      </c>
      <c r="Y361">
        <f ca="1">(Inputs!H15+(Inputs!J15-Inputs!H15)*BETAINV(RAND(),Model!L9,Model!M9))*Inputs!$C$6</f>
        <v>20613.15346782557</v>
      </c>
      <c r="Z361">
        <f t="shared" ca="1" si="117"/>
        <v>0.89154516534265649</v>
      </c>
      <c r="AA361">
        <f t="shared" ca="1" si="118"/>
        <v>0.72591758255484051</v>
      </c>
      <c r="AB361">
        <f t="shared" ca="1" si="119"/>
        <v>1</v>
      </c>
      <c r="AC361" s="47">
        <f t="shared" ca="1" si="120"/>
        <v>20613.15346782557</v>
      </c>
      <c r="AD361">
        <f ca="1">Inputs!B16+(Inputs!D16-Inputs!B16)*BETAINV(RAND(),Model!H10,Model!I10)</f>
        <v>0.35582786167516878</v>
      </c>
      <c r="AE361">
        <f ca="1">Inputs!E16+(Inputs!G16-Inputs!E16)*BETAINV(RAND(),Model!J10,Model!K10)</f>
        <v>0.5869968941647371</v>
      </c>
      <c r="AF361">
        <f ca="1">(Inputs!H16+(Inputs!J16-Inputs!H16)*BETAINV(RAND(),Model!L10,Model!M10))*Inputs!$C$6</f>
        <v>48614.608638893507</v>
      </c>
      <c r="AG361">
        <f t="shared" ca="1" si="121"/>
        <v>0.20886984966060376</v>
      </c>
      <c r="AH361">
        <f t="shared" ca="1" si="122"/>
        <v>0.75705716026016334</v>
      </c>
      <c r="AI361">
        <f t="shared" ca="1" si="123"/>
        <v>0</v>
      </c>
      <c r="AJ361" s="47">
        <f t="shared" ca="1" si="124"/>
        <v>0</v>
      </c>
      <c r="AK361">
        <f t="shared" ca="1" si="125"/>
        <v>506484.82140511263</v>
      </c>
    </row>
    <row r="362" spans="2:37" x14ac:dyDescent="0.2">
      <c r="B362">
        <f ca="1">Inputs!B12+(Inputs!D12-Inputs!B12)*BETAINV(RAND(),Model!H6,Model!I6)</f>
        <v>3.3227845604403532</v>
      </c>
      <c r="C362">
        <f ca="1">Inputs!E12+(Inputs!G12-Inputs!E12)*BETAINV(RAND(),Model!J6,Model!K6)</f>
        <v>0.35801914081696379</v>
      </c>
      <c r="D362">
        <f ca="1">(Inputs!H12+(Inputs!J12-Inputs!H12)*BETAINV(RAND(),Model!L6,Model!M6))*Inputs!$C$6</f>
        <v>57654.358538478416</v>
      </c>
      <c r="E362">
        <f t="shared" ca="1" si="105"/>
        <v>1.1896204734487279</v>
      </c>
      <c r="F362">
        <f t="shared" ca="1" si="106"/>
        <v>0.740905555495188</v>
      </c>
      <c r="G362">
        <f t="shared" ca="1" si="107"/>
        <v>2</v>
      </c>
      <c r="H362" s="47">
        <f t="shared" ca="1" si="108"/>
        <v>115308.71707695683</v>
      </c>
      <c r="I362">
        <f ca="1">Inputs!B13+(Inputs!D13-Inputs!B13)*BETAINV(RAND(),Model!H7,Model!I7)</f>
        <v>1.6755441831503459</v>
      </c>
      <c r="J362">
        <f ca="1">Inputs!E13+(Inputs!G13-Inputs!E13)*BETAINV(RAND(),Model!J7,Model!K7)</f>
        <v>0.24466381442737606</v>
      </c>
      <c r="K362">
        <f ca="1">(Inputs!H13+(Inputs!J13-Inputs!H13)*BETAINV(RAND(),Model!L7,Model!M7))*Inputs!$C$6</f>
        <v>45113.865461289526</v>
      </c>
      <c r="L362">
        <f t="shared" ca="1" si="109"/>
        <v>0.40994503109116565</v>
      </c>
      <c r="M362">
        <f t="shared" ca="1" si="110"/>
        <v>0.24726457550453829</v>
      </c>
      <c r="N362">
        <f t="shared" ca="1" si="111"/>
        <v>0</v>
      </c>
      <c r="O362" s="47">
        <f t="shared" ca="1" si="112"/>
        <v>0</v>
      </c>
      <c r="P362">
        <f ca="1">Inputs!B14+(Inputs!D14-Inputs!B14)*BETAINV(RAND(),Model!H8,Model!I8)</f>
        <v>0.19508590156637945</v>
      </c>
      <c r="Q362">
        <f ca="1">Inputs!E14+(Inputs!G14-Inputs!E14)*BETAINV(RAND(),Model!J8,Model!K8)</f>
        <v>0.54753008720087026</v>
      </c>
      <c r="R362">
        <f ca="1">(Inputs!H14+(Inputs!J14-Inputs!H14)*BETAINV(RAND(),Model!L8,Model!M8))*Inputs!$C$6</f>
        <v>198915.13115180223</v>
      </c>
      <c r="S362">
        <f t="shared" ca="1" si="113"/>
        <v>0.10681540069630013</v>
      </c>
      <c r="T362">
        <f t="shared" ca="1" si="114"/>
        <v>0.30033452365588875</v>
      </c>
      <c r="U362">
        <f t="shared" ca="1" si="115"/>
        <v>0</v>
      </c>
      <c r="V362" s="47">
        <f t="shared" ca="1" si="116"/>
        <v>0</v>
      </c>
      <c r="W362">
        <f ca="1">Inputs!B15+(Inputs!D15-Inputs!B15)*BETAINV(RAND(),Model!H9,Model!I9)</f>
        <v>0.60019728586340015</v>
      </c>
      <c r="X362">
        <f ca="1">Inputs!E15+(Inputs!G15-Inputs!E15)*BETAINV(RAND(),Model!J9,Model!K9)</f>
        <v>0.37891110683304319</v>
      </c>
      <c r="Y362">
        <f ca="1">(Inputs!H15+(Inputs!J15-Inputs!H15)*BETAINV(RAND(),Model!L9,Model!M9))*Inputs!$C$6</f>
        <v>15512.630818741271</v>
      </c>
      <c r="Z362">
        <f t="shared" ca="1" si="117"/>
        <v>0.22742141790468937</v>
      </c>
      <c r="AA362">
        <f t="shared" ca="1" si="118"/>
        <v>0.24881321961763747</v>
      </c>
      <c r="AB362">
        <f t="shared" ca="1" si="119"/>
        <v>0</v>
      </c>
      <c r="AC362" s="47">
        <f t="shared" ca="1" si="120"/>
        <v>0</v>
      </c>
      <c r="AD362">
        <f ca="1">Inputs!B16+(Inputs!D16-Inputs!B16)*BETAINV(RAND(),Model!H10,Model!I10)</f>
        <v>1.0009175222480102</v>
      </c>
      <c r="AE362">
        <f ca="1">Inputs!E16+(Inputs!G16-Inputs!E16)*BETAINV(RAND(),Model!J10,Model!K10)</f>
        <v>0.68776336669708726</v>
      </c>
      <c r="AF362">
        <f ca="1">(Inputs!H16+(Inputs!J16-Inputs!H16)*BETAINV(RAND(),Model!L10,Model!M10))*Inputs!$C$6</f>
        <v>99332.003275421986</v>
      </c>
      <c r="AG362">
        <f t="shared" ca="1" si="121"/>
        <v>0.68839440488739823</v>
      </c>
      <c r="AH362">
        <f t="shared" ca="1" si="122"/>
        <v>0.94662408008737586</v>
      </c>
      <c r="AI362">
        <f t="shared" ca="1" si="123"/>
        <v>2</v>
      </c>
      <c r="AJ362" s="47">
        <f t="shared" ca="1" si="124"/>
        <v>198664.00655084397</v>
      </c>
      <c r="AK362">
        <f t="shared" ca="1" si="125"/>
        <v>313972.72362780082</v>
      </c>
    </row>
    <row r="363" spans="2:37" x14ac:dyDescent="0.2">
      <c r="B363">
        <f ca="1">Inputs!B12+(Inputs!D12-Inputs!B12)*BETAINV(RAND(),Model!H6,Model!I6)</f>
        <v>4.219074031944416</v>
      </c>
      <c r="C363">
        <f ca="1">Inputs!E12+(Inputs!G12-Inputs!E12)*BETAINV(RAND(),Model!J6,Model!K6)</f>
        <v>0.44494021536764339</v>
      </c>
      <c r="D363">
        <f ca="1">(Inputs!H12+(Inputs!J12-Inputs!H12)*BETAINV(RAND(),Model!L6,Model!M6))*Inputs!$C$6</f>
        <v>15409.80608400826</v>
      </c>
      <c r="E363">
        <f t="shared" ca="1" si="105"/>
        <v>1.8772357084253799</v>
      </c>
      <c r="F363">
        <f t="shared" ca="1" si="106"/>
        <v>0.46885162663055779</v>
      </c>
      <c r="G363">
        <f t="shared" ca="1" si="107"/>
        <v>2</v>
      </c>
      <c r="H363" s="47">
        <f t="shared" ca="1" si="108"/>
        <v>30819.61216801652</v>
      </c>
      <c r="I363">
        <f ca="1">Inputs!B13+(Inputs!D13-Inputs!B13)*BETAINV(RAND(),Model!H7,Model!I7)</f>
        <v>1.4781980247015467</v>
      </c>
      <c r="J363">
        <f ca="1">Inputs!E13+(Inputs!G13-Inputs!E13)*BETAINV(RAND(),Model!J7,Model!K7)</f>
        <v>0.21397736947882207</v>
      </c>
      <c r="K363">
        <f ca="1">(Inputs!H13+(Inputs!J13-Inputs!H13)*BETAINV(RAND(),Model!L7,Model!M7))*Inputs!$C$6</f>
        <v>39050.856541372908</v>
      </c>
      <c r="L363">
        <f t="shared" ca="1" si="109"/>
        <v>0.31630092489442779</v>
      </c>
      <c r="M363">
        <f t="shared" ca="1" si="110"/>
        <v>0.6981364456022191</v>
      </c>
      <c r="N363">
        <f t="shared" ca="1" si="111"/>
        <v>0</v>
      </c>
      <c r="O363" s="47">
        <f t="shared" ca="1" si="112"/>
        <v>0</v>
      </c>
      <c r="P363">
        <f ca="1">Inputs!B14+(Inputs!D14-Inputs!B14)*BETAINV(RAND(),Model!H8,Model!I8)</f>
        <v>0.20076216373286621</v>
      </c>
      <c r="Q363">
        <f ca="1">Inputs!E14+(Inputs!G14-Inputs!E14)*BETAINV(RAND(),Model!J8,Model!K8)</f>
        <v>0.42933768305407938</v>
      </c>
      <c r="R363">
        <f ca="1">(Inputs!H14+(Inputs!J14-Inputs!H14)*BETAINV(RAND(),Model!L8,Model!M8))*Inputs!$C$6</f>
        <v>268644.35401107662</v>
      </c>
      <c r="S363">
        <f t="shared" ca="1" si="113"/>
        <v>8.6194762221992502E-2</v>
      </c>
      <c r="T363">
        <f t="shared" ca="1" si="114"/>
        <v>0.76846765209099843</v>
      </c>
      <c r="U363">
        <f t="shared" ca="1" si="115"/>
        <v>0</v>
      </c>
      <c r="V363" s="47">
        <f t="shared" ca="1" si="116"/>
        <v>0</v>
      </c>
      <c r="W363">
        <f ca="1">Inputs!B15+(Inputs!D15-Inputs!B15)*BETAINV(RAND(),Model!H9,Model!I9)</f>
        <v>0.42410206750784618</v>
      </c>
      <c r="X363">
        <f ca="1">Inputs!E15+(Inputs!G15-Inputs!E15)*BETAINV(RAND(),Model!J9,Model!K9)</f>
        <v>0.51563698705576755</v>
      </c>
      <c r="Y363">
        <f ca="1">(Inputs!H15+(Inputs!J15-Inputs!H15)*BETAINV(RAND(),Model!L9,Model!M9))*Inputs!$C$6</f>
        <v>35481.537557766271</v>
      </c>
      <c r="Z363">
        <f t="shared" ca="1" si="117"/>
        <v>0.21868271229386754</v>
      </c>
      <c r="AA363">
        <f t="shared" ca="1" si="118"/>
        <v>0.80614741437765092</v>
      </c>
      <c r="AB363">
        <f t="shared" ca="1" si="119"/>
        <v>1</v>
      </c>
      <c r="AC363" s="47">
        <f t="shared" ca="1" si="120"/>
        <v>35481.537557766271</v>
      </c>
      <c r="AD363">
        <f ca="1">Inputs!B16+(Inputs!D16-Inputs!B16)*BETAINV(RAND(),Model!H10,Model!I10)</f>
        <v>0.87501287035943331</v>
      </c>
      <c r="AE363">
        <f ca="1">Inputs!E16+(Inputs!G16-Inputs!E16)*BETAINV(RAND(),Model!J10,Model!K10)</f>
        <v>0.57057108305848225</v>
      </c>
      <c r="AF363">
        <f ca="1">(Inputs!H16+(Inputs!J16-Inputs!H16)*BETAINV(RAND(),Model!L10,Model!M10))*Inputs!$C$6</f>
        <v>107450.1220484596</v>
      </c>
      <c r="AG363">
        <f t="shared" ca="1" si="121"/>
        <v>0.4992570411310932</v>
      </c>
      <c r="AH363">
        <f t="shared" ca="1" si="122"/>
        <v>9.0837231002776853E-2</v>
      </c>
      <c r="AI363">
        <f t="shared" ca="1" si="123"/>
        <v>0</v>
      </c>
      <c r="AJ363" s="47">
        <f t="shared" ca="1" si="124"/>
        <v>0</v>
      </c>
      <c r="AK363">
        <f t="shared" ca="1" si="125"/>
        <v>66301.149725782787</v>
      </c>
    </row>
    <row r="364" spans="2:37" x14ac:dyDescent="0.2">
      <c r="B364">
        <f ca="1">Inputs!B12+(Inputs!D12-Inputs!B12)*BETAINV(RAND(),Model!H6,Model!I6)</f>
        <v>3.9106059419885826</v>
      </c>
      <c r="C364">
        <f ca="1">Inputs!E12+(Inputs!G12-Inputs!E12)*BETAINV(RAND(),Model!J6,Model!K6)</f>
        <v>0.48635055932414739</v>
      </c>
      <c r="D364">
        <f ca="1">(Inputs!H12+(Inputs!J12-Inputs!H12)*BETAINV(RAND(),Model!L6,Model!M6))*Inputs!$C$6</f>
        <v>17746.403461039503</v>
      </c>
      <c r="E364">
        <f t="shared" ca="1" si="105"/>
        <v>1.9019253871824815</v>
      </c>
      <c r="F364">
        <f t="shared" ca="1" si="106"/>
        <v>0.25953878035768407</v>
      </c>
      <c r="G364">
        <f t="shared" ca="1" si="107"/>
        <v>1</v>
      </c>
      <c r="H364" s="47">
        <f t="shared" ca="1" si="108"/>
        <v>17746.403461039503</v>
      </c>
      <c r="I364">
        <f ca="1">Inputs!B13+(Inputs!D13-Inputs!B13)*BETAINV(RAND(),Model!H7,Model!I7)</f>
        <v>3.067850642701639</v>
      </c>
      <c r="J364">
        <f ca="1">Inputs!E13+(Inputs!G13-Inputs!E13)*BETAINV(RAND(),Model!J7,Model!K7)</f>
        <v>0.2053217927684986</v>
      </c>
      <c r="K364">
        <f ca="1">(Inputs!H13+(Inputs!J13-Inputs!H13)*BETAINV(RAND(),Model!L7,Model!M7))*Inputs!$C$6</f>
        <v>62479.031631847334</v>
      </c>
      <c r="L364">
        <f t="shared" ca="1" si="109"/>
        <v>0.62989659390549113</v>
      </c>
      <c r="M364">
        <f t="shared" ca="1" si="110"/>
        <v>0.67201379263180794</v>
      </c>
      <c r="N364">
        <f t="shared" ca="1" si="111"/>
        <v>1</v>
      </c>
      <c r="O364" s="47">
        <f t="shared" ca="1" si="112"/>
        <v>62479.031631847334</v>
      </c>
      <c r="P364">
        <f ca="1">Inputs!B14+(Inputs!D14-Inputs!B14)*BETAINV(RAND(),Model!H8,Model!I8)</f>
        <v>0.38829736259926539</v>
      </c>
      <c r="Q364">
        <f ca="1">Inputs!E14+(Inputs!G14-Inputs!E14)*BETAINV(RAND(),Model!J8,Model!K8)</f>
        <v>0.51299477748849442</v>
      </c>
      <c r="R364">
        <f ca="1">(Inputs!H14+(Inputs!J14-Inputs!H14)*BETAINV(RAND(),Model!L8,Model!M8))*Inputs!$C$6</f>
        <v>411023.13844694814</v>
      </c>
      <c r="S364">
        <f t="shared" ca="1" si="113"/>
        <v>0.19919451912597938</v>
      </c>
      <c r="T364">
        <f t="shared" ca="1" si="114"/>
        <v>0.11939731293570199</v>
      </c>
      <c r="U364">
        <f t="shared" ca="1" si="115"/>
        <v>0</v>
      </c>
      <c r="V364" s="47">
        <f t="shared" ca="1" si="116"/>
        <v>0</v>
      </c>
      <c r="W364">
        <f ca="1">Inputs!B15+(Inputs!D15-Inputs!B15)*BETAINV(RAND(),Model!H9,Model!I9)</f>
        <v>1.0847128166937268</v>
      </c>
      <c r="X364">
        <f ca="1">Inputs!E15+(Inputs!G15-Inputs!E15)*BETAINV(RAND(),Model!J9,Model!K9)</f>
        <v>0.34061910125554806</v>
      </c>
      <c r="Y364">
        <f ca="1">(Inputs!H15+(Inputs!J15-Inputs!H15)*BETAINV(RAND(),Model!L9,Model!M9))*Inputs!$C$6</f>
        <v>10833.546226290142</v>
      </c>
      <c r="Z364">
        <f t="shared" ca="1" si="117"/>
        <v>0.36947390474259129</v>
      </c>
      <c r="AA364">
        <f t="shared" ca="1" si="118"/>
        <v>0.50968379902812955</v>
      </c>
      <c r="AB364">
        <f t="shared" ca="1" si="119"/>
        <v>0</v>
      </c>
      <c r="AC364" s="47">
        <f t="shared" ca="1" si="120"/>
        <v>0</v>
      </c>
      <c r="AD364">
        <f ca="1">Inputs!B16+(Inputs!D16-Inputs!B16)*BETAINV(RAND(),Model!H10,Model!I10)</f>
        <v>0.59222617401518018</v>
      </c>
      <c r="AE364">
        <f ca="1">Inputs!E16+(Inputs!G16-Inputs!E16)*BETAINV(RAND(),Model!J10,Model!K10)</f>
        <v>0.52475923049514317</v>
      </c>
      <c r="AF364">
        <f ca="1">(Inputs!H16+(Inputs!J16-Inputs!H16)*BETAINV(RAND(),Model!L10,Model!M10))*Inputs!$C$6</f>
        <v>81529.454992291736</v>
      </c>
      <c r="AG364">
        <f t="shared" ca="1" si="121"/>
        <v>0.31077615135528869</v>
      </c>
      <c r="AH364">
        <f t="shared" ca="1" si="122"/>
        <v>0.85032365714341829</v>
      </c>
      <c r="AI364">
        <f t="shared" ca="1" si="123"/>
        <v>1</v>
      </c>
      <c r="AJ364" s="47">
        <f t="shared" ca="1" si="124"/>
        <v>81529.454992291736</v>
      </c>
      <c r="AK364">
        <f t="shared" ca="1" si="125"/>
        <v>161754.89008517857</v>
      </c>
    </row>
    <row r="365" spans="2:37" x14ac:dyDescent="0.2">
      <c r="B365">
        <f ca="1">Inputs!B12+(Inputs!D12-Inputs!B12)*BETAINV(RAND(),Model!H6,Model!I6)</f>
        <v>1.5647760188468494</v>
      </c>
      <c r="C365">
        <f ca="1">Inputs!E12+(Inputs!G12-Inputs!E12)*BETAINV(RAND(),Model!J6,Model!K6)</f>
        <v>0.39001613371455124</v>
      </c>
      <c r="D365">
        <f ca="1">(Inputs!H12+(Inputs!J12-Inputs!H12)*BETAINV(RAND(),Model!L6,Model!M6))*Inputs!$C$6</f>
        <v>33066.771218264999</v>
      </c>
      <c r="E365">
        <f t="shared" ca="1" si="105"/>
        <v>0.61028789299989594</v>
      </c>
      <c r="F365">
        <f t="shared" ca="1" si="106"/>
        <v>0.49304858051415179</v>
      </c>
      <c r="G365">
        <f t="shared" ca="1" si="107"/>
        <v>0</v>
      </c>
      <c r="H365" s="47">
        <f t="shared" ca="1" si="108"/>
        <v>0</v>
      </c>
      <c r="I365">
        <f ca="1">Inputs!B13+(Inputs!D13-Inputs!B13)*BETAINV(RAND(),Model!H7,Model!I7)</f>
        <v>3.2244108594969711</v>
      </c>
      <c r="J365">
        <f ca="1">Inputs!E13+(Inputs!G13-Inputs!E13)*BETAINV(RAND(),Model!J7,Model!K7)</f>
        <v>0.26535204705601811</v>
      </c>
      <c r="K365">
        <f ca="1">(Inputs!H13+(Inputs!J13-Inputs!H13)*BETAINV(RAND(),Model!L7,Model!M7))*Inputs!$C$6</f>
        <v>27643.257090061776</v>
      </c>
      <c r="L365">
        <f t="shared" ca="1" si="109"/>
        <v>0.85560402211717612</v>
      </c>
      <c r="M365">
        <f t="shared" ca="1" si="110"/>
        <v>0.80506158454977517</v>
      </c>
      <c r="N365">
        <f t="shared" ca="1" si="111"/>
        <v>2</v>
      </c>
      <c r="O365" s="47">
        <f t="shared" ca="1" si="112"/>
        <v>55286.514180123551</v>
      </c>
      <c r="P365">
        <f ca="1">Inputs!B14+(Inputs!D14-Inputs!B14)*BETAINV(RAND(),Model!H8,Model!I8)</f>
        <v>0.16043950077438021</v>
      </c>
      <c r="Q365">
        <f ca="1">Inputs!E14+(Inputs!G14-Inputs!E14)*BETAINV(RAND(),Model!J8,Model!K8)</f>
        <v>0.5944886343740956</v>
      </c>
      <c r="R365">
        <f ca="1">(Inputs!H14+(Inputs!J14-Inputs!H14)*BETAINV(RAND(),Model!L8,Model!M8))*Inputs!$C$6</f>
        <v>374425.34481020254</v>
      </c>
      <c r="S365">
        <f t="shared" ca="1" si="113"/>
        <v>9.5379459715022943E-2</v>
      </c>
      <c r="T365">
        <f t="shared" ca="1" si="114"/>
        <v>0.89333385942699006</v>
      </c>
      <c r="U365">
        <f t="shared" ca="1" si="115"/>
        <v>0</v>
      </c>
      <c r="V365" s="47">
        <f t="shared" ca="1" si="116"/>
        <v>0</v>
      </c>
      <c r="W365">
        <f ca="1">Inputs!B15+(Inputs!D15-Inputs!B15)*BETAINV(RAND(),Model!H9,Model!I9)</f>
        <v>1.1616422969249451</v>
      </c>
      <c r="X365">
        <f ca="1">Inputs!E15+(Inputs!G15-Inputs!E15)*BETAINV(RAND(),Model!J9,Model!K9)</f>
        <v>0.27435408483610957</v>
      </c>
      <c r="Y365">
        <f ca="1">(Inputs!H15+(Inputs!J15-Inputs!H15)*BETAINV(RAND(),Model!L9,Model!M9))*Inputs!$C$6</f>
        <v>43289.937235041456</v>
      </c>
      <c r="Z365">
        <f t="shared" ca="1" si="117"/>
        <v>0.31870130927975959</v>
      </c>
      <c r="AA365">
        <f t="shared" ca="1" si="118"/>
        <v>0.76915528601681415</v>
      </c>
      <c r="AB365">
        <f t="shared" ca="1" si="119"/>
        <v>1</v>
      </c>
      <c r="AC365" s="47">
        <f t="shared" ca="1" si="120"/>
        <v>43289.937235041456</v>
      </c>
      <c r="AD365">
        <f ca="1">Inputs!B16+(Inputs!D16-Inputs!B16)*BETAINV(RAND(),Model!H10,Model!I10)</f>
        <v>0.8167844855160673</v>
      </c>
      <c r="AE365">
        <f ca="1">Inputs!E16+(Inputs!G16-Inputs!E16)*BETAINV(RAND(),Model!J10,Model!K10)</f>
        <v>0.71803343848337964</v>
      </c>
      <c r="AF365">
        <f ca="1">(Inputs!H16+(Inputs!J16-Inputs!H16)*BETAINV(RAND(),Model!L10,Model!M10))*Inputs!$C$6</f>
        <v>55220.662487475463</v>
      </c>
      <c r="AG365">
        <f t="shared" ca="1" si="121"/>
        <v>0.58647857263498004</v>
      </c>
      <c r="AH365">
        <f t="shared" ca="1" si="122"/>
        <v>0.43387306167956086</v>
      </c>
      <c r="AI365">
        <f t="shared" ca="1" si="123"/>
        <v>0</v>
      </c>
      <c r="AJ365" s="47">
        <f t="shared" ca="1" si="124"/>
        <v>0</v>
      </c>
      <c r="AK365">
        <f t="shared" ca="1" si="125"/>
        <v>98576.451415165007</v>
      </c>
    </row>
    <row r="366" spans="2:37" x14ac:dyDescent="0.2">
      <c r="B366">
        <f ca="1">Inputs!B12+(Inputs!D12-Inputs!B12)*BETAINV(RAND(),Model!H6,Model!I6)</f>
        <v>4.0151311187064147</v>
      </c>
      <c r="C366">
        <f ca="1">Inputs!E12+(Inputs!G12-Inputs!E12)*BETAINV(RAND(),Model!J6,Model!K6)</f>
        <v>0.45144646662649512</v>
      </c>
      <c r="D366">
        <f ca="1">(Inputs!H12+(Inputs!J12-Inputs!H12)*BETAINV(RAND(),Model!L6,Model!M6))*Inputs!$C$6</f>
        <v>27218.514642850994</v>
      </c>
      <c r="E366">
        <f t="shared" ca="1" si="105"/>
        <v>1.8126167565820974</v>
      </c>
      <c r="F366">
        <f t="shared" ca="1" si="106"/>
        <v>0.60832422996712765</v>
      </c>
      <c r="G366">
        <f t="shared" ca="1" si="107"/>
        <v>2</v>
      </c>
      <c r="H366" s="47">
        <f t="shared" ca="1" si="108"/>
        <v>54437.029285701989</v>
      </c>
      <c r="I366">
        <f ca="1">Inputs!B13+(Inputs!D13-Inputs!B13)*BETAINV(RAND(),Model!H7,Model!I7)</f>
        <v>1.7046610369153805</v>
      </c>
      <c r="J366">
        <f ca="1">Inputs!E13+(Inputs!G13-Inputs!E13)*BETAINV(RAND(),Model!J7,Model!K7)</f>
        <v>0.16541908685554135</v>
      </c>
      <c r="K366">
        <f ca="1">(Inputs!H13+(Inputs!J13-Inputs!H13)*BETAINV(RAND(),Model!L7,Model!M7))*Inputs!$C$6</f>
        <v>56636.058277051343</v>
      </c>
      <c r="L366">
        <f t="shared" ca="1" si="109"/>
        <v>0.28198347212476249</v>
      </c>
      <c r="M366">
        <f t="shared" ca="1" si="110"/>
        <v>0.93639518880883033</v>
      </c>
      <c r="N366">
        <f t="shared" ca="1" si="111"/>
        <v>1</v>
      </c>
      <c r="O366" s="47">
        <f t="shared" ca="1" si="112"/>
        <v>56636.058277051343</v>
      </c>
      <c r="P366">
        <f ca="1">Inputs!B14+(Inputs!D14-Inputs!B14)*BETAINV(RAND(),Model!H8,Model!I8)</f>
        <v>0.43347265899100995</v>
      </c>
      <c r="Q366">
        <f ca="1">Inputs!E14+(Inputs!G14-Inputs!E14)*BETAINV(RAND(),Model!J8,Model!K8)</f>
        <v>0.75771352890274124</v>
      </c>
      <c r="R366">
        <f ca="1">(Inputs!H14+(Inputs!J14-Inputs!H14)*BETAINV(RAND(),Model!L8,Model!M8))*Inputs!$C$6</f>
        <v>472218.38911392185</v>
      </c>
      <c r="S366">
        <f t="shared" ca="1" si="113"/>
        <v>0.32844809812693271</v>
      </c>
      <c r="T366">
        <f t="shared" ca="1" si="114"/>
        <v>0.74449828235934856</v>
      </c>
      <c r="U366">
        <f t="shared" ca="1" si="115"/>
        <v>1</v>
      </c>
      <c r="V366" s="47">
        <f t="shared" ca="1" si="116"/>
        <v>472218.38911392185</v>
      </c>
      <c r="W366">
        <f ca="1">Inputs!B15+(Inputs!D15-Inputs!B15)*BETAINV(RAND(),Model!H9,Model!I9)</f>
        <v>1.8288542043061533</v>
      </c>
      <c r="X366">
        <f ca="1">Inputs!E15+(Inputs!G15-Inputs!E15)*BETAINV(RAND(),Model!J9,Model!K9)</f>
        <v>0.27672711463802274</v>
      </c>
      <c r="Y366">
        <f ca="1">(Inputs!H15+(Inputs!J15-Inputs!H15)*BETAINV(RAND(),Model!L9,Model!M9))*Inputs!$C$6</f>
        <v>13352.950198799615</v>
      </c>
      <c r="Z366">
        <f t="shared" ca="1" si="117"/>
        <v>0.50609354705125875</v>
      </c>
      <c r="AA366">
        <f t="shared" ca="1" si="118"/>
        <v>0.22741212019023704</v>
      </c>
      <c r="AB366">
        <f t="shared" ca="1" si="119"/>
        <v>0</v>
      </c>
      <c r="AC366" s="47">
        <f t="shared" ca="1" si="120"/>
        <v>0</v>
      </c>
      <c r="AD366">
        <f ca="1">Inputs!B16+(Inputs!D16-Inputs!B16)*BETAINV(RAND(),Model!H10,Model!I10)</f>
        <v>1.0577861626513534</v>
      </c>
      <c r="AE366">
        <f ca="1">Inputs!E16+(Inputs!G16-Inputs!E16)*BETAINV(RAND(),Model!J10,Model!K10)</f>
        <v>0.72274468795276792</v>
      </c>
      <c r="AF366">
        <f ca="1">(Inputs!H16+(Inputs!J16-Inputs!H16)*BETAINV(RAND(),Model!L10,Model!M10))*Inputs!$C$6</f>
        <v>51880.723754082435</v>
      </c>
      <c r="AG366">
        <f t="shared" ca="1" si="121"/>
        <v>0.76450933004620825</v>
      </c>
      <c r="AH366">
        <f t="shared" ca="1" si="122"/>
        <v>9.0379970360492723E-2</v>
      </c>
      <c r="AI366">
        <f t="shared" ca="1" si="123"/>
        <v>0</v>
      </c>
      <c r="AJ366" s="47">
        <f t="shared" ca="1" si="124"/>
        <v>0</v>
      </c>
      <c r="AK366">
        <f t="shared" ca="1" si="125"/>
        <v>583291.47667667514</v>
      </c>
    </row>
    <row r="367" spans="2:37" x14ac:dyDescent="0.2">
      <c r="B367">
        <f ca="1">Inputs!B12+(Inputs!D12-Inputs!B12)*BETAINV(RAND(),Model!H6,Model!I6)</f>
        <v>3.9576029455917068</v>
      </c>
      <c r="C367">
        <f ca="1">Inputs!E12+(Inputs!G12-Inputs!E12)*BETAINV(RAND(),Model!J6,Model!K6)</f>
        <v>0.28018616066421009</v>
      </c>
      <c r="D367">
        <f ca="1">(Inputs!H12+(Inputs!J12-Inputs!H12)*BETAINV(RAND(),Model!L6,Model!M6))*Inputs!$C$6</f>
        <v>21239.871912734267</v>
      </c>
      <c r="E367">
        <f t="shared" ca="1" si="105"/>
        <v>1.1088655747587091</v>
      </c>
      <c r="F367">
        <f t="shared" ca="1" si="106"/>
        <v>2.3201973996752279E-2</v>
      </c>
      <c r="G367">
        <f t="shared" ca="1" si="107"/>
        <v>0</v>
      </c>
      <c r="H367" s="47">
        <f t="shared" ca="1" si="108"/>
        <v>0</v>
      </c>
      <c r="I367">
        <f ca="1">Inputs!B13+(Inputs!D13-Inputs!B13)*BETAINV(RAND(),Model!H7,Model!I7)</f>
        <v>2.9241418008964128</v>
      </c>
      <c r="J367">
        <f ca="1">Inputs!E13+(Inputs!G13-Inputs!E13)*BETAINV(RAND(),Model!J7,Model!K7)</f>
        <v>0.32570133306960258</v>
      </c>
      <c r="K367">
        <f ca="1">(Inputs!H13+(Inputs!J13-Inputs!H13)*BETAINV(RAND(),Model!L7,Model!M7))*Inputs!$C$6</f>
        <v>36694.885883621158</v>
      </c>
      <c r="L367">
        <f t="shared" ca="1" si="109"/>
        <v>0.95239688263651012</v>
      </c>
      <c r="M367">
        <f t="shared" ca="1" si="110"/>
        <v>0.19237980283984035</v>
      </c>
      <c r="N367">
        <f t="shared" ca="1" si="111"/>
        <v>0</v>
      </c>
      <c r="O367" s="47">
        <f t="shared" ca="1" si="112"/>
        <v>0</v>
      </c>
      <c r="P367">
        <f ca="1">Inputs!B14+(Inputs!D14-Inputs!B14)*BETAINV(RAND(),Model!H8,Model!I8)</f>
        <v>0.50048230545338501</v>
      </c>
      <c r="Q367">
        <f ca="1">Inputs!E14+(Inputs!G14-Inputs!E14)*BETAINV(RAND(),Model!J8,Model!K8)</f>
        <v>0.55990476054989857</v>
      </c>
      <c r="R367">
        <f ca="1">(Inputs!H14+(Inputs!J14-Inputs!H14)*BETAINV(RAND(),Model!L8,Model!M8))*Inputs!$C$6</f>
        <v>481375.72720831778</v>
      </c>
      <c r="S367">
        <f t="shared" ca="1" si="113"/>
        <v>0.28022242539433873</v>
      </c>
      <c r="T367">
        <f t="shared" ca="1" si="114"/>
        <v>0.85717606223772946</v>
      </c>
      <c r="U367">
        <f t="shared" ca="1" si="115"/>
        <v>1</v>
      </c>
      <c r="V367" s="47">
        <f t="shared" ca="1" si="116"/>
        <v>481375.72720831778</v>
      </c>
      <c r="W367">
        <f ca="1">Inputs!B15+(Inputs!D15-Inputs!B15)*BETAINV(RAND(),Model!H9,Model!I9)</f>
        <v>0.76979993045775585</v>
      </c>
      <c r="X367">
        <f ca="1">Inputs!E15+(Inputs!G15-Inputs!E15)*BETAINV(RAND(),Model!J9,Model!K9)</f>
        <v>0.42520979543182758</v>
      </c>
      <c r="Y367">
        <f ca="1">(Inputs!H15+(Inputs!J15-Inputs!H15)*BETAINV(RAND(),Model!L9,Model!M9))*Inputs!$C$6</f>
        <v>34969.22596323819</v>
      </c>
      <c r="Z367">
        <f t="shared" ca="1" si="117"/>
        <v>0.32732647095337747</v>
      </c>
      <c r="AA367">
        <f t="shared" ca="1" si="118"/>
        <v>0.51821423758261143</v>
      </c>
      <c r="AB367">
        <f t="shared" ca="1" si="119"/>
        <v>0</v>
      </c>
      <c r="AC367" s="47">
        <f t="shared" ca="1" si="120"/>
        <v>0</v>
      </c>
      <c r="AD367">
        <f ca="1">Inputs!B16+(Inputs!D16-Inputs!B16)*BETAINV(RAND(),Model!H10,Model!I10)</f>
        <v>0.72384392602336312</v>
      </c>
      <c r="AE367">
        <f ca="1">Inputs!E16+(Inputs!G16-Inputs!E16)*BETAINV(RAND(),Model!J10,Model!K10)</f>
        <v>0.69421928964725588</v>
      </c>
      <c r="AF367">
        <f ca="1">(Inputs!H16+(Inputs!J16-Inputs!H16)*BETAINV(RAND(),Model!L10,Model!M10))*Inputs!$C$6</f>
        <v>62602.179217856246</v>
      </c>
      <c r="AG367">
        <f t="shared" ca="1" si="121"/>
        <v>0.50250641613941993</v>
      </c>
      <c r="AH367">
        <f t="shared" ca="1" si="122"/>
        <v>0.87571644574101004</v>
      </c>
      <c r="AI367">
        <f t="shared" ca="1" si="123"/>
        <v>1</v>
      </c>
      <c r="AJ367" s="47">
        <f t="shared" ca="1" si="124"/>
        <v>62602.179217856246</v>
      </c>
      <c r="AK367">
        <f t="shared" ca="1" si="125"/>
        <v>543977.90642617398</v>
      </c>
    </row>
    <row r="368" spans="2:37" x14ac:dyDescent="0.2">
      <c r="B368">
        <f ca="1">Inputs!B12+(Inputs!D12-Inputs!B12)*BETAINV(RAND(),Model!H6,Model!I6)</f>
        <v>2.1202938625482082</v>
      </c>
      <c r="C368">
        <f ca="1">Inputs!E12+(Inputs!G12-Inputs!E12)*BETAINV(RAND(),Model!J6,Model!K6)</f>
        <v>0.34771546345034487</v>
      </c>
      <c r="D368">
        <f ca="1">(Inputs!H12+(Inputs!J12-Inputs!H12)*BETAINV(RAND(),Model!L6,Model!M6))*Inputs!$C$6</f>
        <v>16405.253898338051</v>
      </c>
      <c r="E368">
        <f t="shared" ca="1" si="105"/>
        <v>0.737258963066872</v>
      </c>
      <c r="F368">
        <f t="shared" ca="1" si="106"/>
        <v>0.98499150224880627</v>
      </c>
      <c r="G368">
        <f t="shared" ca="1" si="107"/>
        <v>3</v>
      </c>
      <c r="H368" s="47">
        <f t="shared" ca="1" si="108"/>
        <v>49215.761695014153</v>
      </c>
      <c r="I368">
        <f ca="1">Inputs!B13+(Inputs!D13-Inputs!B13)*BETAINV(RAND(),Model!H7,Model!I7)</f>
        <v>4.1395279529445084</v>
      </c>
      <c r="J368">
        <f ca="1">Inputs!E13+(Inputs!G13-Inputs!E13)*BETAINV(RAND(),Model!J7,Model!K7)</f>
        <v>0.25066282215522695</v>
      </c>
      <c r="K368">
        <f ca="1">(Inputs!H13+(Inputs!J13-Inputs!H13)*BETAINV(RAND(),Model!L7,Model!M7))*Inputs!$C$6</f>
        <v>29850.825774253255</v>
      </c>
      <c r="L368">
        <f t="shared" ca="1" si="109"/>
        <v>1.03762575907552</v>
      </c>
      <c r="M368">
        <f t="shared" ca="1" si="110"/>
        <v>0.61382166383814873</v>
      </c>
      <c r="N368">
        <f t="shared" ca="1" si="111"/>
        <v>1</v>
      </c>
      <c r="O368" s="47">
        <f t="shared" ca="1" si="112"/>
        <v>29850.825774253255</v>
      </c>
      <c r="P368">
        <f ca="1">Inputs!B14+(Inputs!D14-Inputs!B14)*BETAINV(RAND(),Model!H8,Model!I8)</f>
        <v>0.22897745532685504</v>
      </c>
      <c r="Q368">
        <f ca="1">Inputs!E14+(Inputs!G14-Inputs!E14)*BETAINV(RAND(),Model!J8,Model!K8)</f>
        <v>0.54160827847989423</v>
      </c>
      <c r="R368">
        <f ca="1">(Inputs!H14+(Inputs!J14-Inputs!H14)*BETAINV(RAND(),Model!L8,Model!M8))*Inputs!$C$6</f>
        <v>319786.01777991164</v>
      </c>
      <c r="S368">
        <f t="shared" ca="1" si="113"/>
        <v>0.12401608539028484</v>
      </c>
      <c r="T368">
        <f t="shared" ca="1" si="114"/>
        <v>0.87075421897209737</v>
      </c>
      <c r="U368">
        <f t="shared" ca="1" si="115"/>
        <v>0</v>
      </c>
      <c r="V368" s="47">
        <f t="shared" ca="1" si="116"/>
        <v>0</v>
      </c>
      <c r="W368">
        <f ca="1">Inputs!B15+(Inputs!D15-Inputs!B15)*BETAINV(RAND(),Model!H9,Model!I9)</f>
        <v>0.6411050053655859</v>
      </c>
      <c r="X368">
        <f ca="1">Inputs!E15+(Inputs!G15-Inputs!E15)*BETAINV(RAND(),Model!J9,Model!K9)</f>
        <v>0.41954676131519997</v>
      </c>
      <c r="Y368">
        <f ca="1">(Inputs!H15+(Inputs!J15-Inputs!H15)*BETAINV(RAND(),Model!L9,Model!M9))*Inputs!$C$6</f>
        <v>17575.615612263136</v>
      </c>
      <c r="Z368">
        <f t="shared" ca="1" si="117"/>
        <v>0.26897352866409546</v>
      </c>
      <c r="AA368">
        <f t="shared" ca="1" si="118"/>
        <v>0.88039497156182334</v>
      </c>
      <c r="AB368">
        <f t="shared" ca="1" si="119"/>
        <v>1</v>
      </c>
      <c r="AC368" s="47">
        <f t="shared" ca="1" si="120"/>
        <v>17575.615612263136</v>
      </c>
      <c r="AD368">
        <f ca="1">Inputs!B16+(Inputs!D16-Inputs!B16)*BETAINV(RAND(),Model!H10,Model!I10)</f>
        <v>0.92934383028519729</v>
      </c>
      <c r="AE368">
        <f ca="1">Inputs!E16+(Inputs!G16-Inputs!E16)*BETAINV(RAND(),Model!J10,Model!K10)</f>
        <v>0.64947746993213529</v>
      </c>
      <c r="AF368">
        <f ca="1">(Inputs!H16+(Inputs!J16-Inputs!H16)*BETAINV(RAND(),Model!L10,Model!M10))*Inputs!$C$6</f>
        <v>87070.757262288273</v>
      </c>
      <c r="AG368">
        <f t="shared" ca="1" si="121"/>
        <v>0.60358787959066962</v>
      </c>
      <c r="AH368">
        <f t="shared" ca="1" si="122"/>
        <v>0.22494628812009732</v>
      </c>
      <c r="AI368">
        <f t="shared" ca="1" si="123"/>
        <v>0</v>
      </c>
      <c r="AJ368" s="47">
        <f t="shared" ca="1" si="124"/>
        <v>0</v>
      </c>
      <c r="AK368">
        <f t="shared" ca="1" si="125"/>
        <v>96642.203081530548</v>
      </c>
    </row>
    <row r="369" spans="2:37" x14ac:dyDescent="0.2">
      <c r="B369">
        <f ca="1">Inputs!B12+(Inputs!D12-Inputs!B12)*BETAINV(RAND(),Model!H6,Model!I6)</f>
        <v>3.9266397542261364</v>
      </c>
      <c r="C369">
        <f ca="1">Inputs!E12+(Inputs!G12-Inputs!E12)*BETAINV(RAND(),Model!J6,Model!K6)</f>
        <v>0.25090723344375432</v>
      </c>
      <c r="D369">
        <f ca="1">(Inputs!H12+(Inputs!J12-Inputs!H12)*BETAINV(RAND(),Model!L6,Model!M6))*Inputs!$C$6</f>
        <v>38612.442014471744</v>
      </c>
      <c r="E369">
        <f t="shared" ca="1" si="105"/>
        <v>0.98522231746314326</v>
      </c>
      <c r="F369">
        <f t="shared" ca="1" si="106"/>
        <v>0.52445419705010043</v>
      </c>
      <c r="G369">
        <f t="shared" ca="1" si="107"/>
        <v>1</v>
      </c>
      <c r="H369" s="47">
        <f t="shared" ca="1" si="108"/>
        <v>38612.442014471744</v>
      </c>
      <c r="I369">
        <f ca="1">Inputs!B13+(Inputs!D13-Inputs!B13)*BETAINV(RAND(),Model!H7,Model!I7)</f>
        <v>1.8350872033577332</v>
      </c>
      <c r="J369">
        <f ca="1">Inputs!E13+(Inputs!G13-Inputs!E13)*BETAINV(RAND(),Model!J7,Model!K7)</f>
        <v>0.42590392268522459</v>
      </c>
      <c r="K369">
        <f ca="1">(Inputs!H13+(Inputs!J13-Inputs!H13)*BETAINV(RAND(),Model!L7,Model!M7))*Inputs!$C$6</f>
        <v>78699.04898994611</v>
      </c>
      <c r="L369">
        <f t="shared" ca="1" si="109"/>
        <v>0.78157083837951702</v>
      </c>
      <c r="M369">
        <f t="shared" ca="1" si="110"/>
        <v>8.0997058677907297E-2</v>
      </c>
      <c r="N369">
        <f t="shared" ca="1" si="111"/>
        <v>0</v>
      </c>
      <c r="O369" s="47">
        <f t="shared" ca="1" si="112"/>
        <v>0</v>
      </c>
      <c r="P369">
        <f ca="1">Inputs!B14+(Inputs!D14-Inputs!B14)*BETAINV(RAND(),Model!H8,Model!I8)</f>
        <v>0.43333176952083985</v>
      </c>
      <c r="Q369">
        <f ca="1">Inputs!E14+(Inputs!G14-Inputs!E14)*BETAINV(RAND(),Model!J8,Model!K8)</f>
        <v>0.75707544396840865</v>
      </c>
      <c r="R369">
        <f ca="1">(Inputs!H14+(Inputs!J14-Inputs!H14)*BETAINV(RAND(),Model!L8,Model!M8))*Inputs!$C$6</f>
        <v>252202.85260631633</v>
      </c>
      <c r="S369">
        <f t="shared" ca="1" si="113"/>
        <v>0.32806484179560597</v>
      </c>
      <c r="T369">
        <f t="shared" ca="1" si="114"/>
        <v>0.61466332691110381</v>
      </c>
      <c r="U369">
        <f t="shared" ca="1" si="115"/>
        <v>0</v>
      </c>
      <c r="V369" s="47">
        <f t="shared" ca="1" si="116"/>
        <v>0</v>
      </c>
      <c r="W369">
        <f ca="1">Inputs!B15+(Inputs!D15-Inputs!B15)*BETAINV(RAND(),Model!H9,Model!I9)</f>
        <v>1.314960642169156</v>
      </c>
      <c r="X369">
        <f ca="1">Inputs!E15+(Inputs!G15-Inputs!E15)*BETAINV(RAND(),Model!J9,Model!K9)</f>
        <v>0.43014113784080221</v>
      </c>
      <c r="Y369">
        <f ca="1">(Inputs!H15+(Inputs!J15-Inputs!H15)*BETAINV(RAND(),Model!L9,Model!M9))*Inputs!$C$6</f>
        <v>18659.564526962818</v>
      </c>
      <c r="Z369">
        <f t="shared" ca="1" si="117"/>
        <v>0.5656186668385127</v>
      </c>
      <c r="AA369">
        <f t="shared" ca="1" si="118"/>
        <v>0.46163839664792283</v>
      </c>
      <c r="AB369">
        <f t="shared" ca="1" si="119"/>
        <v>0</v>
      </c>
      <c r="AC369" s="47">
        <f t="shared" ca="1" si="120"/>
        <v>0</v>
      </c>
      <c r="AD369">
        <f ca="1">Inputs!B16+(Inputs!D16-Inputs!B16)*BETAINV(RAND(),Model!H10,Model!I10)</f>
        <v>0.30771706478021066</v>
      </c>
      <c r="AE369">
        <f ca="1">Inputs!E16+(Inputs!G16-Inputs!E16)*BETAINV(RAND(),Model!J10,Model!K10)</f>
        <v>0.5297737420605253</v>
      </c>
      <c r="AF369">
        <f ca="1">(Inputs!H16+(Inputs!J16-Inputs!H16)*BETAINV(RAND(),Model!L10,Model!M10))*Inputs!$C$6</f>
        <v>63949.834696411257</v>
      </c>
      <c r="AG369">
        <f t="shared" ca="1" si="121"/>
        <v>0.16302042090449329</v>
      </c>
      <c r="AH369">
        <f t="shared" ca="1" si="122"/>
        <v>0.82776819308027361</v>
      </c>
      <c r="AI369">
        <f t="shared" ca="1" si="123"/>
        <v>0</v>
      </c>
      <c r="AJ369" s="47">
        <f t="shared" ca="1" si="124"/>
        <v>0</v>
      </c>
      <c r="AK369">
        <f t="shared" ca="1" si="125"/>
        <v>38612.442014471744</v>
      </c>
    </row>
    <row r="370" spans="2:37" x14ac:dyDescent="0.2">
      <c r="B370">
        <f ca="1">Inputs!B12+(Inputs!D12-Inputs!B12)*BETAINV(RAND(),Model!H6,Model!I6)</f>
        <v>3.9106214256330443</v>
      </c>
      <c r="C370">
        <f ca="1">Inputs!E12+(Inputs!G12-Inputs!E12)*BETAINV(RAND(),Model!J6,Model!K6)</f>
        <v>0.26905770674990676</v>
      </c>
      <c r="D370">
        <f ca="1">(Inputs!H12+(Inputs!J12-Inputs!H12)*BETAINV(RAND(),Model!L6,Model!M6))*Inputs!$C$6</f>
        <v>30406.4032955777</v>
      </c>
      <c r="E370">
        <f t="shared" ca="1" si="105"/>
        <v>1.0521828327478779</v>
      </c>
      <c r="F370">
        <f t="shared" ca="1" si="106"/>
        <v>0.61000258488283898</v>
      </c>
      <c r="G370">
        <f t="shared" ca="1" si="107"/>
        <v>1</v>
      </c>
      <c r="H370" s="47">
        <f t="shared" ca="1" si="108"/>
        <v>30406.4032955777</v>
      </c>
      <c r="I370">
        <f ca="1">Inputs!B13+(Inputs!D13-Inputs!B13)*BETAINV(RAND(),Model!H7,Model!I7)</f>
        <v>1.6492796715748823</v>
      </c>
      <c r="J370">
        <f ca="1">Inputs!E13+(Inputs!G13-Inputs!E13)*BETAINV(RAND(),Model!J7,Model!K7)</f>
        <v>0.18497703822993244</v>
      </c>
      <c r="K370">
        <f ca="1">(Inputs!H13+(Inputs!J13-Inputs!H13)*BETAINV(RAND(),Model!L7,Model!M7))*Inputs!$C$6</f>
        <v>53679.419864064163</v>
      </c>
      <c r="L370">
        <f t="shared" ca="1" si="109"/>
        <v>0.30507886886075741</v>
      </c>
      <c r="M370">
        <f t="shared" ca="1" si="110"/>
        <v>0.73155260916213105</v>
      </c>
      <c r="N370">
        <f t="shared" ca="1" si="111"/>
        <v>0</v>
      </c>
      <c r="O370" s="47">
        <f t="shared" ca="1" si="112"/>
        <v>0</v>
      </c>
      <c r="P370">
        <f ca="1">Inputs!B14+(Inputs!D14-Inputs!B14)*BETAINV(RAND(),Model!H8,Model!I8)</f>
        <v>0.22876609560154076</v>
      </c>
      <c r="Q370">
        <f ca="1">Inputs!E14+(Inputs!G14-Inputs!E14)*BETAINV(RAND(),Model!J8,Model!K8)</f>
        <v>0.49584542327125836</v>
      </c>
      <c r="R370">
        <f ca="1">(Inputs!H14+(Inputs!J14-Inputs!H14)*BETAINV(RAND(),Model!L8,Model!M8))*Inputs!$C$6</f>
        <v>358196.78021978447</v>
      </c>
      <c r="S370">
        <f t="shared" ca="1" si="113"/>
        <v>0.11343262150365914</v>
      </c>
      <c r="T370">
        <f t="shared" ca="1" si="114"/>
        <v>0.28233523738491473</v>
      </c>
      <c r="U370">
        <f t="shared" ca="1" si="115"/>
        <v>0</v>
      </c>
      <c r="V370" s="47">
        <f t="shared" ca="1" si="116"/>
        <v>0</v>
      </c>
      <c r="W370">
        <f ca="1">Inputs!B15+(Inputs!D15-Inputs!B15)*BETAINV(RAND(),Model!H9,Model!I9)</f>
        <v>0.60316456732951118</v>
      </c>
      <c r="X370">
        <f ca="1">Inputs!E15+(Inputs!G15-Inputs!E15)*BETAINV(RAND(),Model!J9,Model!K9)</f>
        <v>0.50018471504743867</v>
      </c>
      <c r="Y370">
        <f ca="1">(Inputs!H15+(Inputs!J15-Inputs!H15)*BETAINV(RAND(),Model!L9,Model!M9))*Inputs!$C$6</f>
        <v>42014.722690499679</v>
      </c>
      <c r="Z370">
        <f t="shared" ca="1" si="117"/>
        <v>0.3016936972364232</v>
      </c>
      <c r="AA370">
        <f t="shared" ca="1" si="118"/>
        <v>0.26006065313014304</v>
      </c>
      <c r="AB370">
        <f t="shared" ca="1" si="119"/>
        <v>0</v>
      </c>
      <c r="AC370" s="47">
        <f t="shared" ca="1" si="120"/>
        <v>0</v>
      </c>
      <c r="AD370">
        <f ca="1">Inputs!B16+(Inputs!D16-Inputs!B16)*BETAINV(RAND(),Model!H10,Model!I10)</f>
        <v>0.69974054601023972</v>
      </c>
      <c r="AE370">
        <f ca="1">Inputs!E16+(Inputs!G16-Inputs!E16)*BETAINV(RAND(),Model!J10,Model!K10)</f>
        <v>0.71444351950486473</v>
      </c>
      <c r="AF370">
        <f ca="1">(Inputs!H16+(Inputs!J16-Inputs!H16)*BETAINV(RAND(),Model!L10,Model!M10))*Inputs!$C$6</f>
        <v>162235.16009267748</v>
      </c>
      <c r="AG370">
        <f t="shared" ca="1" si="121"/>
        <v>0.49992509843181138</v>
      </c>
      <c r="AH370">
        <f t="shared" ca="1" si="122"/>
        <v>0.2933671712614726</v>
      </c>
      <c r="AI370">
        <f t="shared" ca="1" si="123"/>
        <v>0</v>
      </c>
      <c r="AJ370" s="47">
        <f t="shared" ca="1" si="124"/>
        <v>0</v>
      </c>
      <c r="AK370">
        <f t="shared" ca="1" si="125"/>
        <v>30406.4032955777</v>
      </c>
    </row>
    <row r="371" spans="2:37" x14ac:dyDescent="0.2">
      <c r="B371">
        <f ca="1">Inputs!B12+(Inputs!D12-Inputs!B12)*BETAINV(RAND(),Model!H6,Model!I6)</f>
        <v>2.5567521136625571</v>
      </c>
      <c r="C371">
        <f ca="1">Inputs!E12+(Inputs!G12-Inputs!E12)*BETAINV(RAND(),Model!J6,Model!K6)</f>
        <v>0.39563395741942986</v>
      </c>
      <c r="D371">
        <f ca="1">(Inputs!H12+(Inputs!J12-Inputs!H12)*BETAINV(RAND(),Model!L6,Model!M6))*Inputs!$C$6</f>
        <v>26751.173831139949</v>
      </c>
      <c r="E371">
        <f t="shared" ca="1" si="105"/>
        <v>1.0115379568688094</v>
      </c>
      <c r="F371">
        <f t="shared" ca="1" si="106"/>
        <v>0.81896890201167916</v>
      </c>
      <c r="G371">
        <f t="shared" ca="1" si="107"/>
        <v>2</v>
      </c>
      <c r="H371" s="47">
        <f t="shared" ca="1" si="108"/>
        <v>53502.347662279899</v>
      </c>
      <c r="I371">
        <f ca="1">Inputs!B13+(Inputs!D13-Inputs!B13)*BETAINV(RAND(),Model!H7,Model!I7)</f>
        <v>1.7744172366692788</v>
      </c>
      <c r="J371">
        <f ca="1">Inputs!E13+(Inputs!G13-Inputs!E13)*BETAINV(RAND(),Model!J7,Model!K7)</f>
        <v>0.20651004274339615</v>
      </c>
      <c r="K371">
        <f ca="1">(Inputs!H13+(Inputs!J13-Inputs!H13)*BETAINV(RAND(),Model!L7,Model!M7))*Inputs!$C$6</f>
        <v>24979.365054228947</v>
      </c>
      <c r="L371">
        <f t="shared" ca="1" si="109"/>
        <v>0.36643497938919167</v>
      </c>
      <c r="M371">
        <f t="shared" ca="1" si="110"/>
        <v>0.6582273556324395</v>
      </c>
      <c r="N371">
        <f t="shared" ca="1" si="111"/>
        <v>0</v>
      </c>
      <c r="O371" s="47">
        <f t="shared" ca="1" si="112"/>
        <v>0</v>
      </c>
      <c r="P371">
        <f ca="1">Inputs!B14+(Inputs!D14-Inputs!B14)*BETAINV(RAND(),Model!H8,Model!I8)</f>
        <v>0.30938655744934662</v>
      </c>
      <c r="Q371">
        <f ca="1">Inputs!E14+(Inputs!G14-Inputs!E14)*BETAINV(RAND(),Model!J8,Model!K8)</f>
        <v>0.65304858698752977</v>
      </c>
      <c r="R371">
        <f ca="1">(Inputs!H14+(Inputs!J14-Inputs!H14)*BETAINV(RAND(),Model!L8,Model!M8))*Inputs!$C$6</f>
        <v>378742.00591554958</v>
      </c>
      <c r="S371">
        <f t="shared" ca="1" si="113"/>
        <v>0.20204445417523201</v>
      </c>
      <c r="T371">
        <f t="shared" ca="1" si="114"/>
        <v>0.55801595106618107</v>
      </c>
      <c r="U371">
        <f t="shared" ca="1" si="115"/>
        <v>0</v>
      </c>
      <c r="V371" s="47">
        <f t="shared" ca="1" si="116"/>
        <v>0</v>
      </c>
      <c r="W371">
        <f ca="1">Inputs!B15+(Inputs!D15-Inputs!B15)*BETAINV(RAND(),Model!H9,Model!I9)</f>
        <v>0.57540736120752367</v>
      </c>
      <c r="X371">
        <f ca="1">Inputs!E15+(Inputs!G15-Inputs!E15)*BETAINV(RAND(),Model!J9,Model!K9)</f>
        <v>0.46331806998668046</v>
      </c>
      <c r="Y371">
        <f ca="1">(Inputs!H15+(Inputs!J15-Inputs!H15)*BETAINV(RAND(),Model!L9,Model!M9))*Inputs!$C$6</f>
        <v>21944.710212826561</v>
      </c>
      <c r="Z371">
        <f t="shared" ca="1" si="117"/>
        <v>0.26659662805079859</v>
      </c>
      <c r="AA371">
        <f t="shared" ca="1" si="118"/>
        <v>0.13007934255116926</v>
      </c>
      <c r="AB371">
        <f t="shared" ca="1" si="119"/>
        <v>0</v>
      </c>
      <c r="AC371" s="47">
        <f t="shared" ca="1" si="120"/>
        <v>0</v>
      </c>
      <c r="AD371">
        <f ca="1">Inputs!B16+(Inputs!D16-Inputs!B16)*BETAINV(RAND(),Model!H10,Model!I10)</f>
        <v>0.4532810966481472</v>
      </c>
      <c r="AE371">
        <f ca="1">Inputs!E16+(Inputs!G16-Inputs!E16)*BETAINV(RAND(),Model!J10,Model!K10)</f>
        <v>0.61967414749739036</v>
      </c>
      <c r="AF371">
        <f ca="1">(Inputs!H16+(Inputs!J16-Inputs!H16)*BETAINV(RAND(),Model!L10,Model!M10))*Inputs!$C$6</f>
        <v>65582.629391668481</v>
      </c>
      <c r="AG371">
        <f t="shared" ca="1" si="121"/>
        <v>0.28088657714212284</v>
      </c>
      <c r="AH371">
        <f t="shared" ca="1" si="122"/>
        <v>0.84457934154586234</v>
      </c>
      <c r="AI371">
        <f t="shared" ca="1" si="123"/>
        <v>1</v>
      </c>
      <c r="AJ371" s="47">
        <f t="shared" ca="1" si="124"/>
        <v>65582.629391668481</v>
      </c>
      <c r="AK371">
        <f t="shared" ca="1" si="125"/>
        <v>119084.97705394839</v>
      </c>
    </row>
    <row r="372" spans="2:37" x14ac:dyDescent="0.2">
      <c r="B372">
        <f ca="1">Inputs!B12+(Inputs!D12-Inputs!B12)*BETAINV(RAND(),Model!H6,Model!I6)</f>
        <v>2.0354887713891876</v>
      </c>
      <c r="C372">
        <f ca="1">Inputs!E12+(Inputs!G12-Inputs!E12)*BETAINV(RAND(),Model!J6,Model!K6)</f>
        <v>0.31904804288621569</v>
      </c>
      <c r="D372">
        <f ca="1">(Inputs!H12+(Inputs!J12-Inputs!H12)*BETAINV(RAND(),Model!L6,Model!M6))*Inputs!$C$6</f>
        <v>19994.575704682782</v>
      </c>
      <c r="E372">
        <f t="shared" ca="1" si="105"/>
        <v>0.64941870882858799</v>
      </c>
      <c r="F372">
        <f t="shared" ca="1" si="106"/>
        <v>0.90955938461274854</v>
      </c>
      <c r="G372">
        <f t="shared" ca="1" si="107"/>
        <v>2</v>
      </c>
      <c r="H372" s="47">
        <f t="shared" ca="1" si="108"/>
        <v>39989.151409365564</v>
      </c>
      <c r="I372">
        <f ca="1">Inputs!B13+(Inputs!D13-Inputs!B13)*BETAINV(RAND(),Model!H7,Model!I7)</f>
        <v>0.94734205570732222</v>
      </c>
      <c r="J372">
        <f ca="1">Inputs!E13+(Inputs!G13-Inputs!E13)*BETAINV(RAND(),Model!J7,Model!K7)</f>
        <v>0.2159292249987067</v>
      </c>
      <c r="K372">
        <f ca="1">(Inputs!H13+(Inputs!J13-Inputs!H13)*BETAINV(RAND(),Model!L7,Model!M7))*Inputs!$C$6</f>
        <v>48437.3850526272</v>
      </c>
      <c r="L372">
        <f t="shared" ca="1" si="109"/>
        <v>0.20455883589756371</v>
      </c>
      <c r="M372">
        <f t="shared" ca="1" si="110"/>
        <v>0.97669499803612947</v>
      </c>
      <c r="N372">
        <f t="shared" ca="1" si="111"/>
        <v>1</v>
      </c>
      <c r="O372" s="47">
        <f t="shared" ca="1" si="112"/>
        <v>48437.3850526272</v>
      </c>
      <c r="P372">
        <f ca="1">Inputs!B14+(Inputs!D14-Inputs!B14)*BETAINV(RAND(),Model!H8,Model!I8)</f>
        <v>0.36992108972011739</v>
      </c>
      <c r="Q372">
        <f ca="1">Inputs!E14+(Inputs!G14-Inputs!E14)*BETAINV(RAND(),Model!J8,Model!K8)</f>
        <v>0.66559157501076371</v>
      </c>
      <c r="R372">
        <f ca="1">(Inputs!H14+(Inputs!J14-Inputs!H14)*BETAINV(RAND(),Model!L8,Model!M8))*Inputs!$C$6</f>
        <v>278395.63278419583</v>
      </c>
      <c r="S372">
        <f t="shared" ca="1" si="113"/>
        <v>0.24621636073651096</v>
      </c>
      <c r="T372">
        <f t="shared" ca="1" si="114"/>
        <v>0.43033078507244205</v>
      </c>
      <c r="U372">
        <f t="shared" ca="1" si="115"/>
        <v>0</v>
      </c>
      <c r="V372" s="47">
        <f t="shared" ca="1" si="116"/>
        <v>0</v>
      </c>
      <c r="W372">
        <f ca="1">Inputs!B15+(Inputs!D15-Inputs!B15)*BETAINV(RAND(),Model!H9,Model!I9)</f>
        <v>2.1867009722497732</v>
      </c>
      <c r="X372">
        <f ca="1">Inputs!E15+(Inputs!G15-Inputs!E15)*BETAINV(RAND(),Model!J9,Model!K9)</f>
        <v>0.28498421258191931</v>
      </c>
      <c r="Y372">
        <f ca="1">(Inputs!H15+(Inputs!J15-Inputs!H15)*BETAINV(RAND(),Model!L9,Model!M9))*Inputs!$C$6</f>
        <v>13772.596166783827</v>
      </c>
      <c r="Z372">
        <f t="shared" ca="1" si="117"/>
        <v>0.62317525472871904</v>
      </c>
      <c r="AA372">
        <f t="shared" ca="1" si="118"/>
        <v>0.27758435620543132</v>
      </c>
      <c r="AB372">
        <f t="shared" ca="1" si="119"/>
        <v>0</v>
      </c>
      <c r="AC372" s="47">
        <f t="shared" ca="1" si="120"/>
        <v>0</v>
      </c>
      <c r="AD372">
        <f ca="1">Inputs!B16+(Inputs!D16-Inputs!B16)*BETAINV(RAND(),Model!H10,Model!I10)</f>
        <v>0.5063400221243739</v>
      </c>
      <c r="AE372">
        <f ca="1">Inputs!E16+(Inputs!G16-Inputs!E16)*BETAINV(RAND(),Model!J10,Model!K10)</f>
        <v>0.6381009768336271</v>
      </c>
      <c r="AF372">
        <f ca="1">(Inputs!H16+(Inputs!J16-Inputs!H16)*BETAINV(RAND(),Model!L10,Model!M10))*Inputs!$C$6</f>
        <v>95460.584370054625</v>
      </c>
      <c r="AG372">
        <f t="shared" ca="1" si="121"/>
        <v>0.32309606272752334</v>
      </c>
      <c r="AH372">
        <f t="shared" ca="1" si="122"/>
        <v>0.10255959347865362</v>
      </c>
      <c r="AI372">
        <f t="shared" ca="1" si="123"/>
        <v>0</v>
      </c>
      <c r="AJ372" s="47">
        <f t="shared" ca="1" si="124"/>
        <v>0</v>
      </c>
      <c r="AK372">
        <f t="shared" ca="1" si="125"/>
        <v>88426.536461992771</v>
      </c>
    </row>
    <row r="373" spans="2:37" x14ac:dyDescent="0.2">
      <c r="B373">
        <f ca="1">Inputs!B12+(Inputs!D12-Inputs!B12)*BETAINV(RAND(),Model!H6,Model!I6)</f>
        <v>4.0168876678896819</v>
      </c>
      <c r="C373">
        <f ca="1">Inputs!E12+(Inputs!G12-Inputs!E12)*BETAINV(RAND(),Model!J6,Model!K6)</f>
        <v>0.29334298829228694</v>
      </c>
      <c r="D373">
        <f ca="1">(Inputs!H12+(Inputs!J12-Inputs!H12)*BETAINV(RAND(),Model!L6,Model!M6))*Inputs!$C$6</f>
        <v>30315.158389673401</v>
      </c>
      <c r="E373">
        <f t="shared" ca="1" si="105"/>
        <v>1.1783258321331949</v>
      </c>
      <c r="F373">
        <f t="shared" ca="1" si="106"/>
        <v>0.68848872354178092</v>
      </c>
      <c r="G373">
        <f t="shared" ca="1" si="107"/>
        <v>2</v>
      </c>
      <c r="H373" s="47">
        <f t="shared" ca="1" si="108"/>
        <v>60630.316779346802</v>
      </c>
      <c r="I373">
        <f ca="1">Inputs!B13+(Inputs!D13-Inputs!B13)*BETAINV(RAND(),Model!H7,Model!I7)</f>
        <v>2.6357053556192884</v>
      </c>
      <c r="J373">
        <f ca="1">Inputs!E13+(Inputs!G13-Inputs!E13)*BETAINV(RAND(),Model!J7,Model!K7)</f>
        <v>0.23843024899566082</v>
      </c>
      <c r="K373">
        <f ca="1">(Inputs!H13+(Inputs!J13-Inputs!H13)*BETAINV(RAND(),Model!L7,Model!M7))*Inputs!$C$6</f>
        <v>54816.911299276049</v>
      </c>
      <c r="L373">
        <f t="shared" ca="1" si="109"/>
        <v>0.62843188421950369</v>
      </c>
      <c r="M373">
        <f t="shared" ca="1" si="110"/>
        <v>0.17476414430068543</v>
      </c>
      <c r="N373">
        <f t="shared" ca="1" si="111"/>
        <v>0</v>
      </c>
      <c r="O373" s="47">
        <f t="shared" ca="1" si="112"/>
        <v>0</v>
      </c>
      <c r="P373">
        <f ca="1">Inputs!B14+(Inputs!D14-Inputs!B14)*BETAINV(RAND(),Model!H8,Model!I8)</f>
        <v>0.32958271825622176</v>
      </c>
      <c r="Q373">
        <f ca="1">Inputs!E14+(Inputs!G14-Inputs!E14)*BETAINV(RAND(),Model!J8,Model!K8)</f>
        <v>0.49045090785917778</v>
      </c>
      <c r="R373">
        <f ca="1">(Inputs!H14+(Inputs!J14-Inputs!H14)*BETAINV(RAND(),Model!L8,Model!M8))*Inputs!$C$6</f>
        <v>503516.54144560802</v>
      </c>
      <c r="S373">
        <f t="shared" ca="1" si="113"/>
        <v>0.16164414338345956</v>
      </c>
      <c r="T373">
        <f t="shared" ca="1" si="114"/>
        <v>0.18627845227246043</v>
      </c>
      <c r="U373">
        <f t="shared" ca="1" si="115"/>
        <v>0</v>
      </c>
      <c r="V373" s="47">
        <f t="shared" ca="1" si="116"/>
        <v>0</v>
      </c>
      <c r="W373">
        <f ca="1">Inputs!B15+(Inputs!D15-Inputs!B15)*BETAINV(RAND(),Model!H9,Model!I9)</f>
        <v>1.0144285856184554</v>
      </c>
      <c r="X373">
        <f ca="1">Inputs!E15+(Inputs!G15-Inputs!E15)*BETAINV(RAND(),Model!J9,Model!K9)</f>
        <v>0.3554319923534156</v>
      </c>
      <c r="Y373">
        <f ca="1">(Inputs!H15+(Inputs!J15-Inputs!H15)*BETAINV(RAND(),Model!L9,Model!M9))*Inputs!$C$6</f>
        <v>34662.330041892979</v>
      </c>
      <c r="Z373">
        <f t="shared" ca="1" si="117"/>
        <v>0.36056037328662505</v>
      </c>
      <c r="AA373">
        <f t="shared" ca="1" si="118"/>
        <v>0.33587114280577224</v>
      </c>
      <c r="AB373">
        <f t="shared" ca="1" si="119"/>
        <v>0</v>
      </c>
      <c r="AC373" s="47">
        <f t="shared" ca="1" si="120"/>
        <v>0</v>
      </c>
      <c r="AD373">
        <f ca="1">Inputs!B16+(Inputs!D16-Inputs!B16)*BETAINV(RAND(),Model!H10,Model!I10)</f>
        <v>0.4712843221088997</v>
      </c>
      <c r="AE373">
        <f ca="1">Inputs!E16+(Inputs!G16-Inputs!E16)*BETAINV(RAND(),Model!J10,Model!K10)</f>
        <v>0.48636655567521142</v>
      </c>
      <c r="AF373">
        <f ca="1">(Inputs!H16+(Inputs!J16-Inputs!H16)*BETAINV(RAND(),Model!L10,Model!M10))*Inputs!$C$6</f>
        <v>72667.667267620476</v>
      </c>
      <c r="AG373">
        <f t="shared" ca="1" si="121"/>
        <v>0.22921693248783243</v>
      </c>
      <c r="AH373">
        <f t="shared" ca="1" si="122"/>
        <v>0.11160698936354696</v>
      </c>
      <c r="AI373">
        <f t="shared" ca="1" si="123"/>
        <v>0</v>
      </c>
      <c r="AJ373" s="47">
        <f t="shared" ca="1" si="124"/>
        <v>0</v>
      </c>
      <c r="AK373">
        <f t="shared" ca="1" si="125"/>
        <v>60630.316779346802</v>
      </c>
    </row>
    <row r="374" spans="2:37" x14ac:dyDescent="0.2">
      <c r="B374">
        <f ca="1">Inputs!B12+(Inputs!D12-Inputs!B12)*BETAINV(RAND(),Model!H6,Model!I6)</f>
        <v>6.0620112452019654</v>
      </c>
      <c r="C374">
        <f ca="1">Inputs!E12+(Inputs!G12-Inputs!E12)*BETAINV(RAND(),Model!J6,Model!K6)</f>
        <v>0.34393541088640922</v>
      </c>
      <c r="D374">
        <f ca="1">(Inputs!H12+(Inputs!J12-Inputs!H12)*BETAINV(RAND(),Model!L6,Model!M6))*Inputs!$C$6</f>
        <v>17759.356907673307</v>
      </c>
      <c r="E374">
        <f t="shared" ca="1" si="105"/>
        <v>2.0849403284165713</v>
      </c>
      <c r="F374">
        <f t="shared" ca="1" si="106"/>
        <v>0.40904556073019693</v>
      </c>
      <c r="G374">
        <f t="shared" ca="1" si="107"/>
        <v>2</v>
      </c>
      <c r="H374" s="47">
        <f t="shared" ca="1" si="108"/>
        <v>35518.713815346615</v>
      </c>
      <c r="I374">
        <f ca="1">Inputs!B13+(Inputs!D13-Inputs!B13)*BETAINV(RAND(),Model!H7,Model!I7)</f>
        <v>2.4214193972716487</v>
      </c>
      <c r="J374">
        <f ca="1">Inputs!E13+(Inputs!G13-Inputs!E13)*BETAINV(RAND(),Model!J7,Model!K7)</f>
        <v>0.20559192244520608</v>
      </c>
      <c r="K374">
        <f ca="1">(Inputs!H13+(Inputs!J13-Inputs!H13)*BETAINV(RAND(),Model!L7,Model!M7))*Inputs!$C$6</f>
        <v>31318.041060755218</v>
      </c>
      <c r="L374">
        <f t="shared" ca="1" si="109"/>
        <v>0.49782426893119042</v>
      </c>
      <c r="M374">
        <f t="shared" ca="1" si="110"/>
        <v>0.78334315706770596</v>
      </c>
      <c r="N374">
        <f t="shared" ca="1" si="111"/>
        <v>1</v>
      </c>
      <c r="O374" s="47">
        <f t="shared" ca="1" si="112"/>
        <v>31318.041060755218</v>
      </c>
      <c r="P374">
        <f ca="1">Inputs!B14+(Inputs!D14-Inputs!B14)*BETAINV(RAND(),Model!H8,Model!I8)</f>
        <v>0.28933644378965895</v>
      </c>
      <c r="Q374">
        <f ca="1">Inputs!E14+(Inputs!G14-Inputs!E14)*BETAINV(RAND(),Model!J8,Model!K8)</f>
        <v>0.43156005002375131</v>
      </c>
      <c r="R374">
        <f ca="1">(Inputs!H14+(Inputs!J14-Inputs!H14)*BETAINV(RAND(),Model!L8,Model!M8))*Inputs!$C$6</f>
        <v>220928.93423960821</v>
      </c>
      <c r="S374">
        <f t="shared" ca="1" si="113"/>
        <v>0.12486605015555953</v>
      </c>
      <c r="T374">
        <f t="shared" ca="1" si="114"/>
        <v>0.37806319606198546</v>
      </c>
      <c r="U374">
        <f t="shared" ca="1" si="115"/>
        <v>0</v>
      </c>
      <c r="V374" s="47">
        <f t="shared" ca="1" si="116"/>
        <v>0</v>
      </c>
      <c r="W374">
        <f ca="1">Inputs!B15+(Inputs!D15-Inputs!B15)*BETAINV(RAND(),Model!H9,Model!I9)</f>
        <v>1.1225511083750008</v>
      </c>
      <c r="X374">
        <f ca="1">Inputs!E15+(Inputs!G15-Inputs!E15)*BETAINV(RAND(),Model!J9,Model!K9)</f>
        <v>0.4132235488233289</v>
      </c>
      <c r="Y374">
        <f ca="1">(Inputs!H15+(Inputs!J15-Inputs!H15)*BETAINV(RAND(),Model!L9,Model!M9))*Inputs!$C$6</f>
        <v>29083.966689778128</v>
      </c>
      <c r="Z374">
        <f t="shared" ca="1" si="117"/>
        <v>0.46386455273827915</v>
      </c>
      <c r="AA374">
        <f t="shared" ca="1" si="118"/>
        <v>0.7337985451298803</v>
      </c>
      <c r="AB374">
        <f t="shared" ca="1" si="119"/>
        <v>1</v>
      </c>
      <c r="AC374" s="47">
        <f t="shared" ca="1" si="120"/>
        <v>29083.966689778128</v>
      </c>
      <c r="AD374">
        <f ca="1">Inputs!B16+(Inputs!D16-Inputs!B16)*BETAINV(RAND(),Model!H10,Model!I10)</f>
        <v>0.92499113878158634</v>
      </c>
      <c r="AE374">
        <f ca="1">Inputs!E16+(Inputs!G16-Inputs!E16)*BETAINV(RAND(),Model!J10,Model!K10)</f>
        <v>0.67396216094459727</v>
      </c>
      <c r="AF374">
        <f ca="1">(Inputs!H16+(Inputs!J16-Inputs!H16)*BETAINV(RAND(),Model!L10,Model!M10))*Inputs!$C$6</f>
        <v>114347.15539039146</v>
      </c>
      <c r="AG374">
        <f t="shared" ca="1" si="121"/>
        <v>0.62340902674784182</v>
      </c>
      <c r="AH374">
        <f t="shared" ca="1" si="122"/>
        <v>9.9741472687704835E-2</v>
      </c>
      <c r="AI374">
        <f t="shared" ca="1" si="123"/>
        <v>0</v>
      </c>
      <c r="AJ374" s="47">
        <f t="shared" ca="1" si="124"/>
        <v>0</v>
      </c>
      <c r="AK374">
        <f t="shared" ca="1" si="125"/>
        <v>95920.721565879954</v>
      </c>
    </row>
    <row r="375" spans="2:37" x14ac:dyDescent="0.2">
      <c r="B375">
        <f ca="1">Inputs!B12+(Inputs!D12-Inputs!B12)*BETAINV(RAND(),Model!H6,Model!I6)</f>
        <v>2.8474415003043596</v>
      </c>
      <c r="C375">
        <f ca="1">Inputs!E12+(Inputs!G12-Inputs!E12)*BETAINV(RAND(),Model!J6,Model!K6)</f>
        <v>0.45495519903453308</v>
      </c>
      <c r="D375">
        <f ca="1">(Inputs!H12+(Inputs!J12-Inputs!H12)*BETAINV(RAND(),Model!L6,Model!M6))*Inputs!$C$6</f>
        <v>19653.709881919029</v>
      </c>
      <c r="E375">
        <f t="shared" ca="1" si="105"/>
        <v>1.2954583145101595</v>
      </c>
      <c r="F375">
        <f t="shared" ca="1" si="106"/>
        <v>0.42426428797713311</v>
      </c>
      <c r="G375">
        <f t="shared" ca="1" si="107"/>
        <v>1</v>
      </c>
      <c r="H375" s="47">
        <f t="shared" ca="1" si="108"/>
        <v>19653.709881919029</v>
      </c>
      <c r="I375">
        <f ca="1">Inputs!B13+(Inputs!D13-Inputs!B13)*BETAINV(RAND(),Model!H7,Model!I7)</f>
        <v>1.7311426206287861</v>
      </c>
      <c r="J375">
        <f ca="1">Inputs!E13+(Inputs!G13-Inputs!E13)*BETAINV(RAND(),Model!J7,Model!K7)</f>
        <v>0.26226618517021355</v>
      </c>
      <c r="K375">
        <f ca="1">(Inputs!H13+(Inputs!J13-Inputs!H13)*BETAINV(RAND(),Model!L7,Model!M7))*Inputs!$C$6</f>
        <v>25259.354056729328</v>
      </c>
      <c r="L375">
        <f t="shared" ca="1" si="109"/>
        <v>0.45402017109787796</v>
      </c>
      <c r="M375">
        <f t="shared" ca="1" si="110"/>
        <v>8.1826534722954869E-2</v>
      </c>
      <c r="N375">
        <f t="shared" ca="1" si="111"/>
        <v>0</v>
      </c>
      <c r="O375" s="47">
        <f t="shared" ca="1" si="112"/>
        <v>0</v>
      </c>
      <c r="P375">
        <f ca="1">Inputs!B14+(Inputs!D14-Inputs!B14)*BETAINV(RAND(),Model!H8,Model!I8)</f>
        <v>0.30244451925657406</v>
      </c>
      <c r="Q375">
        <f ca="1">Inputs!E14+(Inputs!G14-Inputs!E14)*BETAINV(RAND(),Model!J8,Model!K8)</f>
        <v>0.73586517703178966</v>
      </c>
      <c r="R375">
        <f ca="1">(Inputs!H14+(Inputs!J14-Inputs!H14)*BETAINV(RAND(),Model!L8,Model!M8))*Inputs!$C$6</f>
        <v>419678.9306622789</v>
      </c>
      <c r="S375">
        <f t="shared" ca="1" si="113"/>
        <v>0.22255838970503339</v>
      </c>
      <c r="T375">
        <f t="shared" ca="1" si="114"/>
        <v>0.70552955542197737</v>
      </c>
      <c r="U375">
        <f t="shared" ca="1" si="115"/>
        <v>0</v>
      </c>
      <c r="V375" s="47">
        <f t="shared" ca="1" si="116"/>
        <v>0</v>
      </c>
      <c r="W375">
        <f ca="1">Inputs!B15+(Inputs!D15-Inputs!B15)*BETAINV(RAND(),Model!H9,Model!I9)</f>
        <v>2.0380764607141555</v>
      </c>
      <c r="X375">
        <f ca="1">Inputs!E15+(Inputs!G15-Inputs!E15)*BETAINV(RAND(),Model!J9,Model!K9)</f>
        <v>0.41760094232931522</v>
      </c>
      <c r="Y375">
        <f ca="1">(Inputs!H15+(Inputs!J15-Inputs!H15)*BETAINV(RAND(),Model!L9,Model!M9))*Inputs!$C$6</f>
        <v>30198.585232003992</v>
      </c>
      <c r="Z375">
        <f t="shared" ca="1" si="117"/>
        <v>0.85110265053342693</v>
      </c>
      <c r="AA375">
        <f t="shared" ca="1" si="118"/>
        <v>0.80245604405430482</v>
      </c>
      <c r="AB375">
        <f t="shared" ca="1" si="119"/>
        <v>2</v>
      </c>
      <c r="AC375" s="47">
        <f t="shared" ca="1" si="120"/>
        <v>60397.170464007984</v>
      </c>
      <c r="AD375">
        <f ca="1">Inputs!B16+(Inputs!D16-Inputs!B16)*BETAINV(RAND(),Model!H10,Model!I10)</f>
        <v>0.51113720279179875</v>
      </c>
      <c r="AE375">
        <f ca="1">Inputs!E16+(Inputs!G16-Inputs!E16)*BETAINV(RAND(),Model!J10,Model!K10)</f>
        <v>0.57580063109700141</v>
      </c>
      <c r="AF375">
        <f ca="1">(Inputs!H16+(Inputs!J16-Inputs!H16)*BETAINV(RAND(),Model!L10,Model!M10))*Inputs!$C$6</f>
        <v>52470.877766163416</v>
      </c>
      <c r="AG375">
        <f t="shared" ca="1" si="121"/>
        <v>0.29431312394467374</v>
      </c>
      <c r="AH375">
        <f t="shared" ca="1" si="122"/>
        <v>0.19439501175750373</v>
      </c>
      <c r="AI375">
        <f t="shared" ca="1" si="123"/>
        <v>0</v>
      </c>
      <c r="AJ375" s="47">
        <f t="shared" ca="1" si="124"/>
        <v>0</v>
      </c>
      <c r="AK375">
        <f t="shared" ca="1" si="125"/>
        <v>80050.880345927013</v>
      </c>
    </row>
    <row r="376" spans="2:37" x14ac:dyDescent="0.2">
      <c r="B376">
        <f ca="1">Inputs!B12+(Inputs!D12-Inputs!B12)*BETAINV(RAND(),Model!H6,Model!I6)</f>
        <v>4.5894793040307436</v>
      </c>
      <c r="C376">
        <f ca="1">Inputs!E12+(Inputs!G12-Inputs!E12)*BETAINV(RAND(),Model!J6,Model!K6)</f>
        <v>0.29166002789665335</v>
      </c>
      <c r="D376">
        <f ca="1">(Inputs!H12+(Inputs!J12-Inputs!H12)*BETAINV(RAND(),Model!L6,Model!M6))*Inputs!$C$6</f>
        <v>27804.768624100954</v>
      </c>
      <c r="E376">
        <f t="shared" ca="1" si="105"/>
        <v>1.33856766184472</v>
      </c>
      <c r="F376">
        <f t="shared" ca="1" si="106"/>
        <v>0.95048311603310298</v>
      </c>
      <c r="G376">
        <f t="shared" ca="1" si="107"/>
        <v>3</v>
      </c>
      <c r="H376" s="47">
        <f t="shared" ca="1" si="108"/>
        <v>83414.305872302866</v>
      </c>
      <c r="I376">
        <f ca="1">Inputs!B13+(Inputs!D13-Inputs!B13)*BETAINV(RAND(),Model!H7,Model!I7)</f>
        <v>2.9490525100854166</v>
      </c>
      <c r="J376">
        <f ca="1">Inputs!E13+(Inputs!G13-Inputs!E13)*BETAINV(RAND(),Model!J7,Model!K7)</f>
        <v>0.13073784128199339</v>
      </c>
      <c r="K376">
        <f ca="1">(Inputs!H13+(Inputs!J13-Inputs!H13)*BETAINV(RAND(),Model!L7,Model!M7))*Inputs!$C$6</f>
        <v>44658.030998630784</v>
      </c>
      <c r="L376">
        <f t="shared" ca="1" si="109"/>
        <v>0.38555275899581143</v>
      </c>
      <c r="M376">
        <f t="shared" ca="1" si="110"/>
        <v>0.81601037342307414</v>
      </c>
      <c r="N376">
        <f t="shared" ca="1" si="111"/>
        <v>1</v>
      </c>
      <c r="O376" s="47">
        <f t="shared" ca="1" si="112"/>
        <v>44658.030998630784</v>
      </c>
      <c r="P376">
        <f ca="1">Inputs!B14+(Inputs!D14-Inputs!B14)*BETAINV(RAND(),Model!H8,Model!I8)</f>
        <v>0.14925591507448421</v>
      </c>
      <c r="Q376">
        <f ca="1">Inputs!E14+(Inputs!G14-Inputs!E14)*BETAINV(RAND(),Model!J8,Model!K8)</f>
        <v>0.58150748064904767</v>
      </c>
      <c r="R376">
        <f ca="1">(Inputs!H14+(Inputs!J14-Inputs!H14)*BETAINV(RAND(),Model!L8,Model!M8))*Inputs!$C$6</f>
        <v>261009.96471530068</v>
      </c>
      <c r="S376">
        <f t="shared" ca="1" si="113"/>
        <v>8.6793431146931527E-2</v>
      </c>
      <c r="T376">
        <f t="shared" ca="1" si="114"/>
        <v>0.9031516470535923</v>
      </c>
      <c r="U376">
        <f t="shared" ca="1" si="115"/>
        <v>0</v>
      </c>
      <c r="V376" s="47">
        <f t="shared" ca="1" si="116"/>
        <v>0</v>
      </c>
      <c r="W376">
        <f ca="1">Inputs!B15+(Inputs!D15-Inputs!B15)*BETAINV(RAND(),Model!H9,Model!I9)</f>
        <v>0.8055402920181236</v>
      </c>
      <c r="X376">
        <f ca="1">Inputs!E15+(Inputs!G15-Inputs!E15)*BETAINV(RAND(),Model!J9,Model!K9)</f>
        <v>0.47422383825244796</v>
      </c>
      <c r="Y376">
        <f ca="1">(Inputs!H15+(Inputs!J15-Inputs!H15)*BETAINV(RAND(),Model!L9,Model!M9))*Inputs!$C$6</f>
        <v>18968.091158490566</v>
      </c>
      <c r="Z376">
        <f t="shared" ca="1" si="117"/>
        <v>0.38200640914783235</v>
      </c>
      <c r="AA376">
        <f t="shared" ca="1" si="118"/>
        <v>0.59957050518512878</v>
      </c>
      <c r="AB376">
        <f t="shared" ca="1" si="119"/>
        <v>0</v>
      </c>
      <c r="AC376" s="47">
        <f t="shared" ca="1" si="120"/>
        <v>0</v>
      </c>
      <c r="AD376">
        <f ca="1">Inputs!B16+(Inputs!D16-Inputs!B16)*BETAINV(RAND(),Model!H10,Model!I10)</f>
        <v>0.61230840305586698</v>
      </c>
      <c r="AE376">
        <f ca="1">Inputs!E16+(Inputs!G16-Inputs!E16)*BETAINV(RAND(),Model!J10,Model!K10)</f>
        <v>0.74363972259335487</v>
      </c>
      <c r="AF376">
        <f ca="1">(Inputs!H16+(Inputs!J16-Inputs!H16)*BETAINV(RAND(),Model!L10,Model!M10))*Inputs!$C$6</f>
        <v>39665.700282741811</v>
      </c>
      <c r="AG376">
        <f t="shared" ca="1" si="121"/>
        <v>0.45533685099004506</v>
      </c>
      <c r="AH376">
        <f t="shared" ca="1" si="122"/>
        <v>0.94526911335490671</v>
      </c>
      <c r="AI376">
        <f t="shared" ca="1" si="123"/>
        <v>2</v>
      </c>
      <c r="AJ376" s="47">
        <f t="shared" ca="1" si="124"/>
        <v>79331.400565483622</v>
      </c>
      <c r="AK376">
        <f t="shared" ca="1" si="125"/>
        <v>207403.73743641726</v>
      </c>
    </row>
    <row r="377" spans="2:37" x14ac:dyDescent="0.2">
      <c r="B377">
        <f ca="1">Inputs!B12+(Inputs!D12-Inputs!B12)*BETAINV(RAND(),Model!H6,Model!I6)</f>
        <v>2.1073898281779471</v>
      </c>
      <c r="C377">
        <f ca="1">Inputs!E12+(Inputs!G12-Inputs!E12)*BETAINV(RAND(),Model!J6,Model!K6)</f>
        <v>0.26383627765703088</v>
      </c>
      <c r="D377">
        <f ca="1">(Inputs!H12+(Inputs!J12-Inputs!H12)*BETAINV(RAND(),Model!L6,Model!M6))*Inputs!$C$6</f>
        <v>26565.994450516784</v>
      </c>
      <c r="E377">
        <f t="shared" ca="1" si="105"/>
        <v>0.55600588783875948</v>
      </c>
      <c r="F377">
        <f t="shared" ca="1" si="106"/>
        <v>0.68569654334334784</v>
      </c>
      <c r="G377">
        <f t="shared" ca="1" si="107"/>
        <v>1</v>
      </c>
      <c r="H377" s="47">
        <f t="shared" ca="1" si="108"/>
        <v>26565.994450516784</v>
      </c>
      <c r="I377">
        <f ca="1">Inputs!B13+(Inputs!D13-Inputs!B13)*BETAINV(RAND(),Model!H7,Model!I7)</f>
        <v>3.4712031523604563</v>
      </c>
      <c r="J377">
        <f ca="1">Inputs!E13+(Inputs!G13-Inputs!E13)*BETAINV(RAND(),Model!J7,Model!K7)</f>
        <v>0.40141606953525588</v>
      </c>
      <c r="K377">
        <f ca="1">(Inputs!H13+(Inputs!J13-Inputs!H13)*BETAINV(RAND(),Model!L7,Model!M7))*Inputs!$C$6</f>
        <v>31061.102862914369</v>
      </c>
      <c r="L377">
        <f t="shared" ca="1" si="109"/>
        <v>1.3933967259789244</v>
      </c>
      <c r="M377">
        <f t="shared" ca="1" si="110"/>
        <v>0.74165471566079499</v>
      </c>
      <c r="N377">
        <f t="shared" ca="1" si="111"/>
        <v>2</v>
      </c>
      <c r="O377" s="47">
        <f t="shared" ca="1" si="112"/>
        <v>62122.205725828739</v>
      </c>
      <c r="P377">
        <f ca="1">Inputs!B14+(Inputs!D14-Inputs!B14)*BETAINV(RAND(),Model!H8,Model!I8)</f>
        <v>0.40288316115636125</v>
      </c>
      <c r="Q377">
        <f ca="1">Inputs!E14+(Inputs!G14-Inputs!E14)*BETAINV(RAND(),Model!J8,Model!K8)</f>
        <v>0.47581352677204342</v>
      </c>
      <c r="R377">
        <f ca="1">(Inputs!H14+(Inputs!J14-Inputs!H14)*BETAINV(RAND(),Model!L8,Model!M8))*Inputs!$C$6</f>
        <v>258573.85112468901</v>
      </c>
      <c r="S377">
        <f t="shared" ca="1" si="113"/>
        <v>0.19169725778687777</v>
      </c>
      <c r="T377">
        <f t="shared" ca="1" si="114"/>
        <v>0.35626933864848764</v>
      </c>
      <c r="U377">
        <f t="shared" ca="1" si="115"/>
        <v>0</v>
      </c>
      <c r="V377" s="47">
        <f t="shared" ca="1" si="116"/>
        <v>0</v>
      </c>
      <c r="W377">
        <f ca="1">Inputs!B15+(Inputs!D15-Inputs!B15)*BETAINV(RAND(),Model!H9,Model!I9)</f>
        <v>1.267796527026493</v>
      </c>
      <c r="X377">
        <f ca="1">Inputs!E15+(Inputs!G15-Inputs!E15)*BETAINV(RAND(),Model!J9,Model!K9)</f>
        <v>0.61483108223185179</v>
      </c>
      <c r="Y377">
        <f ca="1">(Inputs!H15+(Inputs!J15-Inputs!H15)*BETAINV(RAND(),Model!L9,Model!M9))*Inputs!$C$6</f>
        <v>38630.300277424227</v>
      </c>
      <c r="Z377">
        <f t="shared" ca="1" si="117"/>
        <v>0.77948071076148184</v>
      </c>
      <c r="AA377">
        <f t="shared" ca="1" si="118"/>
        <v>0.25327671912172423</v>
      </c>
      <c r="AB377">
        <f t="shared" ca="1" si="119"/>
        <v>0</v>
      </c>
      <c r="AC377" s="47">
        <f t="shared" ca="1" si="120"/>
        <v>0</v>
      </c>
      <c r="AD377">
        <f ca="1">Inputs!B16+(Inputs!D16-Inputs!B16)*BETAINV(RAND(),Model!H10,Model!I10)</f>
        <v>0.73281855793210982</v>
      </c>
      <c r="AE377">
        <f ca="1">Inputs!E16+(Inputs!G16-Inputs!E16)*BETAINV(RAND(),Model!J10,Model!K10)</f>
        <v>0.48513506455661204</v>
      </c>
      <c r="AF377">
        <f ca="1">(Inputs!H16+(Inputs!J16-Inputs!H16)*BETAINV(RAND(),Model!L10,Model!M10))*Inputs!$C$6</f>
        <v>89941.556756536229</v>
      </c>
      <c r="AG377">
        <f t="shared" ca="1" si="121"/>
        <v>0.35551597841067745</v>
      </c>
      <c r="AH377">
        <f t="shared" ca="1" si="122"/>
        <v>0.44980875304307444</v>
      </c>
      <c r="AI377">
        <f t="shared" ca="1" si="123"/>
        <v>0</v>
      </c>
      <c r="AJ377" s="47">
        <f t="shared" ca="1" si="124"/>
        <v>0</v>
      </c>
      <c r="AK377">
        <f t="shared" ca="1" si="125"/>
        <v>88688.200176345519</v>
      </c>
    </row>
    <row r="378" spans="2:37" x14ac:dyDescent="0.2">
      <c r="B378">
        <f ca="1">Inputs!B12+(Inputs!D12-Inputs!B12)*BETAINV(RAND(),Model!H6,Model!I6)</f>
        <v>3.6354877532542846</v>
      </c>
      <c r="C378">
        <f ca="1">Inputs!E12+(Inputs!G12-Inputs!E12)*BETAINV(RAND(),Model!J6,Model!K6)</f>
        <v>0.3315060925032528</v>
      </c>
      <c r="D378">
        <f ca="1">(Inputs!H12+(Inputs!J12-Inputs!H12)*BETAINV(RAND(),Model!L6,Model!M6))*Inputs!$C$6</f>
        <v>21336.368511577733</v>
      </c>
      <c r="E378">
        <f t="shared" ca="1" si="105"/>
        <v>1.2051863394247575</v>
      </c>
      <c r="F378">
        <f t="shared" ca="1" si="106"/>
        <v>0.90368463789104225</v>
      </c>
      <c r="G378">
        <f t="shared" ca="1" si="107"/>
        <v>3</v>
      </c>
      <c r="H378" s="47">
        <f t="shared" ca="1" si="108"/>
        <v>64009.1055347332</v>
      </c>
      <c r="I378">
        <f ca="1">Inputs!B13+(Inputs!D13-Inputs!B13)*BETAINV(RAND(),Model!H7,Model!I7)</f>
        <v>2.0834589934607264</v>
      </c>
      <c r="J378">
        <f ca="1">Inputs!E13+(Inputs!G13-Inputs!E13)*BETAINV(RAND(),Model!J7,Model!K7)</f>
        <v>0.27389934022291307</v>
      </c>
      <c r="K378">
        <f ca="1">(Inputs!H13+(Inputs!J13-Inputs!H13)*BETAINV(RAND(),Model!L7,Model!M7))*Inputs!$C$6</f>
        <v>52521.198595135342</v>
      </c>
      <c r="L378">
        <f t="shared" ca="1" si="109"/>
        <v>0.57065804369038753</v>
      </c>
      <c r="M378">
        <f t="shared" ca="1" si="110"/>
        <v>4.3734806072622145E-2</v>
      </c>
      <c r="N378">
        <f t="shared" ca="1" si="111"/>
        <v>0</v>
      </c>
      <c r="O378" s="47">
        <f t="shared" ca="1" si="112"/>
        <v>0</v>
      </c>
      <c r="P378">
        <f ca="1">Inputs!B14+(Inputs!D14-Inputs!B14)*BETAINV(RAND(),Model!H8,Model!I8)</f>
        <v>0.13557680932057325</v>
      </c>
      <c r="Q378">
        <f ca="1">Inputs!E14+(Inputs!G14-Inputs!E14)*BETAINV(RAND(),Model!J8,Model!K8)</f>
        <v>0.61066067848518024</v>
      </c>
      <c r="R378">
        <f ca="1">(Inputs!H14+(Inputs!J14-Inputs!H14)*BETAINV(RAND(),Model!L8,Model!M8))*Inputs!$C$6</f>
        <v>487230.39844522451</v>
      </c>
      <c r="S378">
        <f t="shared" ca="1" si="113"/>
        <v>8.2791426366557175E-2</v>
      </c>
      <c r="T378">
        <f t="shared" ca="1" si="114"/>
        <v>0.34375466580242597</v>
      </c>
      <c r="U378">
        <f t="shared" ca="1" si="115"/>
        <v>0</v>
      </c>
      <c r="V378" s="47">
        <f t="shared" ca="1" si="116"/>
        <v>0</v>
      </c>
      <c r="W378">
        <f ca="1">Inputs!B15+(Inputs!D15-Inputs!B15)*BETAINV(RAND(),Model!H9,Model!I9)</f>
        <v>1.0148204287860998</v>
      </c>
      <c r="X378">
        <f ca="1">Inputs!E15+(Inputs!G15-Inputs!E15)*BETAINV(RAND(),Model!J9,Model!K9)</f>
        <v>0.35205748439664758</v>
      </c>
      <c r="Y378">
        <f ca="1">(Inputs!H15+(Inputs!J15-Inputs!H15)*BETAINV(RAND(),Model!L9,Model!M9))*Inputs!$C$6</f>
        <v>22567.585012407584</v>
      </c>
      <c r="Z378">
        <f t="shared" ca="1" si="117"/>
        <v>0.35727512727276156</v>
      </c>
      <c r="AA378">
        <f t="shared" ca="1" si="118"/>
        <v>0.57144134032753724</v>
      </c>
      <c r="AB378">
        <f t="shared" ca="1" si="119"/>
        <v>0</v>
      </c>
      <c r="AC378" s="47">
        <f t="shared" ca="1" si="120"/>
        <v>0</v>
      </c>
      <c r="AD378">
        <f ca="1">Inputs!B16+(Inputs!D16-Inputs!B16)*BETAINV(RAND(),Model!H10,Model!I10)</f>
        <v>0.37832470855584172</v>
      </c>
      <c r="AE378">
        <f ca="1">Inputs!E16+(Inputs!G16-Inputs!E16)*BETAINV(RAND(),Model!J10,Model!K10)</f>
        <v>0.50995932471843219</v>
      </c>
      <c r="AF378">
        <f ca="1">(Inputs!H16+(Inputs!J16-Inputs!H16)*BETAINV(RAND(),Model!L10,Model!M10))*Inputs!$C$6</f>
        <v>44077.764361837522</v>
      </c>
      <c r="AG378">
        <f t="shared" ca="1" si="121"/>
        <v>0.19293021289943471</v>
      </c>
      <c r="AH378">
        <f t="shared" ca="1" si="122"/>
        <v>0.17127638208056117</v>
      </c>
      <c r="AI378">
        <f t="shared" ca="1" si="123"/>
        <v>0</v>
      </c>
      <c r="AJ378" s="47">
        <f t="shared" ca="1" si="124"/>
        <v>0</v>
      </c>
      <c r="AK378">
        <f t="shared" ca="1" si="125"/>
        <v>64009.1055347332</v>
      </c>
    </row>
    <row r="379" spans="2:37" x14ac:dyDescent="0.2">
      <c r="B379">
        <f ca="1">Inputs!B12+(Inputs!D12-Inputs!B12)*BETAINV(RAND(),Model!H6,Model!I6)</f>
        <v>2.588207037179949</v>
      </c>
      <c r="C379">
        <f ca="1">Inputs!E12+(Inputs!G12-Inputs!E12)*BETAINV(RAND(),Model!J6,Model!K6)</f>
        <v>0.22566449624793772</v>
      </c>
      <c r="D379">
        <f ca="1">(Inputs!H12+(Inputs!J12-Inputs!H12)*BETAINV(RAND(),Model!L6,Model!M6))*Inputs!$C$6</f>
        <v>44597.633146508546</v>
      </c>
      <c r="E379">
        <f t="shared" ca="1" si="105"/>
        <v>0.5840664372305806</v>
      </c>
      <c r="F379">
        <f t="shared" ca="1" si="106"/>
        <v>0.88270712386910943</v>
      </c>
      <c r="G379">
        <f t="shared" ca="1" si="107"/>
        <v>1</v>
      </c>
      <c r="H379" s="47">
        <f t="shared" ca="1" si="108"/>
        <v>44597.633146508546</v>
      </c>
      <c r="I379">
        <f ca="1">Inputs!B13+(Inputs!D13-Inputs!B13)*BETAINV(RAND(),Model!H7,Model!I7)</f>
        <v>2.2570482927721005</v>
      </c>
      <c r="J379">
        <f ca="1">Inputs!E13+(Inputs!G13-Inputs!E13)*BETAINV(RAND(),Model!J7,Model!K7)</f>
        <v>0.25029492505721118</v>
      </c>
      <c r="K379">
        <f ca="1">(Inputs!H13+(Inputs!J13-Inputs!H13)*BETAINV(RAND(),Model!L7,Model!M7))*Inputs!$C$6</f>
        <v>8745.1161623915104</v>
      </c>
      <c r="L379">
        <f t="shared" ca="1" si="109"/>
        <v>0.56492773328989931</v>
      </c>
      <c r="M379">
        <f t="shared" ca="1" si="110"/>
        <v>0.72173064352489669</v>
      </c>
      <c r="N379">
        <f t="shared" ca="1" si="111"/>
        <v>1</v>
      </c>
      <c r="O379" s="47">
        <f t="shared" ca="1" si="112"/>
        <v>8745.1161623915104</v>
      </c>
      <c r="P379">
        <f ca="1">Inputs!B14+(Inputs!D14-Inputs!B14)*BETAINV(RAND(),Model!H8,Model!I8)</f>
        <v>0.32858116788521363</v>
      </c>
      <c r="Q379">
        <f ca="1">Inputs!E14+(Inputs!G14-Inputs!E14)*BETAINV(RAND(),Model!J8,Model!K8)</f>
        <v>0.55757994000603439</v>
      </c>
      <c r="R379">
        <f ca="1">(Inputs!H14+(Inputs!J14-Inputs!H14)*BETAINV(RAND(),Model!L8,Model!M8))*Inputs!$C$6</f>
        <v>457663.25818267575</v>
      </c>
      <c r="S379">
        <f t="shared" ca="1" si="113"/>
        <v>0.18321026787655012</v>
      </c>
      <c r="T379">
        <f t="shared" ca="1" si="114"/>
        <v>1.2356690132845349E-3</v>
      </c>
      <c r="U379">
        <f t="shared" ca="1" si="115"/>
        <v>0</v>
      </c>
      <c r="V379" s="47">
        <f t="shared" ca="1" si="116"/>
        <v>0</v>
      </c>
      <c r="W379">
        <f ca="1">Inputs!B15+(Inputs!D15-Inputs!B15)*BETAINV(RAND(),Model!H9,Model!I9)</f>
        <v>0.41385698745519994</v>
      </c>
      <c r="X379">
        <f ca="1">Inputs!E15+(Inputs!G15-Inputs!E15)*BETAINV(RAND(),Model!J9,Model!K9)</f>
        <v>0.24578917391935506</v>
      </c>
      <c r="Y379">
        <f ca="1">(Inputs!H15+(Inputs!J15-Inputs!H15)*BETAINV(RAND(),Model!L9,Model!M9))*Inputs!$C$6</f>
        <v>26069.873055840195</v>
      </c>
      <c r="Z379">
        <f t="shared" ca="1" si="117"/>
        <v>0.10172156706736649</v>
      </c>
      <c r="AA379">
        <f t="shared" ca="1" si="118"/>
        <v>0.28667691045491983</v>
      </c>
      <c r="AB379">
        <f t="shared" ca="1" si="119"/>
        <v>0</v>
      </c>
      <c r="AC379" s="47">
        <f t="shared" ca="1" si="120"/>
        <v>0</v>
      </c>
      <c r="AD379">
        <f ca="1">Inputs!B16+(Inputs!D16-Inputs!B16)*BETAINV(RAND(),Model!H10,Model!I10)</f>
        <v>0.80664096446409528</v>
      </c>
      <c r="AE379">
        <f ca="1">Inputs!E16+(Inputs!G16-Inputs!E16)*BETAINV(RAND(),Model!J10,Model!K10)</f>
        <v>0.60305789419350997</v>
      </c>
      <c r="AF379">
        <f ca="1">(Inputs!H16+(Inputs!J16-Inputs!H16)*BETAINV(RAND(),Model!L10,Model!M10))*Inputs!$C$6</f>
        <v>142619.77849895987</v>
      </c>
      <c r="AG379">
        <f t="shared" ca="1" si="121"/>
        <v>0.48645120139993919</v>
      </c>
      <c r="AH379">
        <f t="shared" ca="1" si="122"/>
        <v>0.12178339429162977</v>
      </c>
      <c r="AI379">
        <f t="shared" ca="1" si="123"/>
        <v>0</v>
      </c>
      <c r="AJ379" s="47">
        <f t="shared" ca="1" si="124"/>
        <v>0</v>
      </c>
      <c r="AK379">
        <f t="shared" ca="1" si="125"/>
        <v>53342.749308900056</v>
      </c>
    </row>
    <row r="380" spans="2:37" x14ac:dyDescent="0.2">
      <c r="B380">
        <f ca="1">Inputs!B12+(Inputs!D12-Inputs!B12)*BETAINV(RAND(),Model!H6,Model!I6)</f>
        <v>2.377006139451864</v>
      </c>
      <c r="C380">
        <f ca="1">Inputs!E12+(Inputs!G12-Inputs!E12)*BETAINV(RAND(),Model!J6,Model!K6)</f>
        <v>0.29555948124160919</v>
      </c>
      <c r="D380">
        <f ca="1">(Inputs!H12+(Inputs!J12-Inputs!H12)*BETAINV(RAND(),Model!L6,Model!M6))*Inputs!$C$6</f>
        <v>31647.794437673343</v>
      </c>
      <c r="E380">
        <f t="shared" ca="1" si="105"/>
        <v>0.70254670148451304</v>
      </c>
      <c r="F380">
        <f t="shared" ca="1" si="106"/>
        <v>0.35958450947900222</v>
      </c>
      <c r="G380">
        <f t="shared" ca="1" si="107"/>
        <v>0</v>
      </c>
      <c r="H380" s="47">
        <f t="shared" ca="1" si="108"/>
        <v>0</v>
      </c>
      <c r="I380">
        <f ca="1">Inputs!B13+(Inputs!D13-Inputs!B13)*BETAINV(RAND(),Model!H7,Model!I7)</f>
        <v>1.7156622575059048</v>
      </c>
      <c r="J380">
        <f ca="1">Inputs!E13+(Inputs!G13-Inputs!E13)*BETAINV(RAND(),Model!J7,Model!K7)</f>
        <v>0.12675855269358746</v>
      </c>
      <c r="K380">
        <f ca="1">(Inputs!H13+(Inputs!J13-Inputs!H13)*BETAINV(RAND(),Model!L7,Model!M7))*Inputs!$C$6</f>
        <v>41752.088937082401</v>
      </c>
      <c r="L380">
        <f t="shared" ca="1" si="109"/>
        <v>0.21747486467246147</v>
      </c>
      <c r="M380">
        <f t="shared" ca="1" si="110"/>
        <v>0.55990236895463241</v>
      </c>
      <c r="N380">
        <f t="shared" ca="1" si="111"/>
        <v>0</v>
      </c>
      <c r="O380" s="47">
        <f t="shared" ca="1" si="112"/>
        <v>0</v>
      </c>
      <c r="P380">
        <f ca="1">Inputs!B14+(Inputs!D14-Inputs!B14)*BETAINV(RAND(),Model!H8,Model!I8)</f>
        <v>0.37422903947964925</v>
      </c>
      <c r="Q380">
        <f ca="1">Inputs!E14+(Inputs!G14-Inputs!E14)*BETAINV(RAND(),Model!J8,Model!K8)</f>
        <v>0.74686576665328208</v>
      </c>
      <c r="R380">
        <f ca="1">(Inputs!H14+(Inputs!J14-Inputs!H14)*BETAINV(RAND(),Model!L8,Model!M8))*Inputs!$C$6</f>
        <v>318458.56250530249</v>
      </c>
      <c r="S380">
        <f t="shared" ca="1" si="113"/>
        <v>0.27949885847488959</v>
      </c>
      <c r="T380">
        <f t="shared" ca="1" si="114"/>
        <v>4.0929378639628089E-2</v>
      </c>
      <c r="U380">
        <f t="shared" ca="1" si="115"/>
        <v>0</v>
      </c>
      <c r="V380" s="47">
        <f t="shared" ca="1" si="116"/>
        <v>0</v>
      </c>
      <c r="W380">
        <f ca="1">Inputs!B15+(Inputs!D15-Inputs!B15)*BETAINV(RAND(),Model!H9,Model!I9)</f>
        <v>0.43277389061300253</v>
      </c>
      <c r="X380">
        <f ca="1">Inputs!E15+(Inputs!G15-Inputs!E15)*BETAINV(RAND(),Model!J9,Model!K9)</f>
        <v>0.42006581206091853</v>
      </c>
      <c r="Y380">
        <f ca="1">(Inputs!H15+(Inputs!J15-Inputs!H15)*BETAINV(RAND(),Model!L9,Model!M9))*Inputs!$C$6</f>
        <v>32594.052760274142</v>
      </c>
      <c r="Z380">
        <f t="shared" ca="1" si="117"/>
        <v>0.18179351579911404</v>
      </c>
      <c r="AA380">
        <f t="shared" ca="1" si="118"/>
        <v>2.7450600366859979E-2</v>
      </c>
      <c r="AB380">
        <f t="shared" ca="1" si="119"/>
        <v>0</v>
      </c>
      <c r="AC380" s="47">
        <f t="shared" ca="1" si="120"/>
        <v>0</v>
      </c>
      <c r="AD380">
        <f ca="1">Inputs!B16+(Inputs!D16-Inputs!B16)*BETAINV(RAND(),Model!H10,Model!I10)</f>
        <v>0.69615849647848171</v>
      </c>
      <c r="AE380">
        <f ca="1">Inputs!E16+(Inputs!G16-Inputs!E16)*BETAINV(RAND(),Model!J10,Model!K10)</f>
        <v>0.60879385028836641</v>
      </c>
      <c r="AF380">
        <f ca="1">(Inputs!H16+(Inputs!J16-Inputs!H16)*BETAINV(RAND(),Model!L10,Model!M10))*Inputs!$C$6</f>
        <v>63226.885334688843</v>
      </c>
      <c r="AG380">
        <f t="shared" ca="1" si="121"/>
        <v>0.42381701148209505</v>
      </c>
      <c r="AH380">
        <f t="shared" ca="1" si="122"/>
        <v>0.38410777301705468</v>
      </c>
      <c r="AI380">
        <f t="shared" ca="1" si="123"/>
        <v>0</v>
      </c>
      <c r="AJ380" s="47">
        <f t="shared" ca="1" si="124"/>
        <v>0</v>
      </c>
      <c r="AK380">
        <f t="shared" ca="1" si="125"/>
        <v>0</v>
      </c>
    </row>
    <row r="381" spans="2:37" x14ac:dyDescent="0.2">
      <c r="B381">
        <f ca="1">Inputs!B12+(Inputs!D12-Inputs!B12)*BETAINV(RAND(),Model!H6,Model!I6)</f>
        <v>4.8461153797227379</v>
      </c>
      <c r="C381">
        <f ca="1">Inputs!E12+(Inputs!G12-Inputs!E12)*BETAINV(RAND(),Model!J6,Model!K6)</f>
        <v>0.35280726384182981</v>
      </c>
      <c r="D381">
        <f ca="1">(Inputs!H12+(Inputs!J12-Inputs!H12)*BETAINV(RAND(),Model!L6,Model!M6))*Inputs!$C$6</f>
        <v>45574.651041350109</v>
      </c>
      <c r="E381">
        <f t="shared" ca="1" si="105"/>
        <v>1.7097447073817893</v>
      </c>
      <c r="F381">
        <f t="shared" ca="1" si="106"/>
        <v>0.73217418512690147</v>
      </c>
      <c r="G381">
        <f t="shared" ca="1" si="107"/>
        <v>2</v>
      </c>
      <c r="H381" s="47">
        <f t="shared" ca="1" si="108"/>
        <v>91149.302082700218</v>
      </c>
      <c r="I381">
        <f ca="1">Inputs!B13+(Inputs!D13-Inputs!B13)*BETAINV(RAND(),Model!H7,Model!I7)</f>
        <v>3.425841863018027</v>
      </c>
      <c r="J381">
        <f ca="1">Inputs!E13+(Inputs!G13-Inputs!E13)*BETAINV(RAND(),Model!J7,Model!K7)</f>
        <v>0.13435622290892868</v>
      </c>
      <c r="K381">
        <f ca="1">(Inputs!H13+(Inputs!J13-Inputs!H13)*BETAINV(RAND(),Model!L7,Model!M7))*Inputs!$C$6</f>
        <v>66270.935299240853</v>
      </c>
      <c r="L381">
        <f t="shared" ca="1" si="109"/>
        <v>0.46028317299838956</v>
      </c>
      <c r="M381">
        <f t="shared" ca="1" si="110"/>
        <v>0.49234196986010459</v>
      </c>
      <c r="N381">
        <f t="shared" ca="1" si="111"/>
        <v>0</v>
      </c>
      <c r="O381" s="47">
        <f t="shared" ca="1" si="112"/>
        <v>0</v>
      </c>
      <c r="P381">
        <f ca="1">Inputs!B14+(Inputs!D14-Inputs!B14)*BETAINV(RAND(),Model!H8,Model!I8)</f>
        <v>0.67841041758149578</v>
      </c>
      <c r="Q381">
        <f ca="1">Inputs!E14+(Inputs!G14-Inputs!E14)*BETAINV(RAND(),Model!J8,Model!K8)</f>
        <v>0.62924764397890165</v>
      </c>
      <c r="R381">
        <f ca="1">(Inputs!H14+(Inputs!J14-Inputs!H14)*BETAINV(RAND(),Model!L8,Model!M8))*Inputs!$C$6</f>
        <v>421483.98025185807</v>
      </c>
      <c r="S381">
        <f t="shared" ca="1" si="113"/>
        <v>0.42688815691389909</v>
      </c>
      <c r="T381">
        <f t="shared" ca="1" si="114"/>
        <v>0.53735761659990622</v>
      </c>
      <c r="U381">
        <f t="shared" ca="1" si="115"/>
        <v>0</v>
      </c>
      <c r="V381" s="47">
        <f t="shared" ca="1" si="116"/>
        <v>0</v>
      </c>
      <c r="W381">
        <f ca="1">Inputs!B15+(Inputs!D15-Inputs!B15)*BETAINV(RAND(),Model!H9,Model!I9)</f>
        <v>1.828048196509952</v>
      </c>
      <c r="X381">
        <f ca="1">Inputs!E15+(Inputs!G15-Inputs!E15)*BETAINV(RAND(),Model!J9,Model!K9)</f>
        <v>0.49303754152565737</v>
      </c>
      <c r="Y381">
        <f ca="1">(Inputs!H15+(Inputs!J15-Inputs!H15)*BETAINV(RAND(),Model!L9,Model!M9))*Inputs!$C$6</f>
        <v>36952.296819028248</v>
      </c>
      <c r="Z381">
        <f t="shared" ca="1" si="117"/>
        <v>0.90129638859767858</v>
      </c>
      <c r="AA381">
        <f t="shared" ca="1" si="118"/>
        <v>0.80187318718456635</v>
      </c>
      <c r="AB381">
        <f t="shared" ca="1" si="119"/>
        <v>2</v>
      </c>
      <c r="AC381" s="47">
        <f t="shared" ca="1" si="120"/>
        <v>73904.593638056496</v>
      </c>
      <c r="AD381">
        <f ca="1">Inputs!B16+(Inputs!D16-Inputs!B16)*BETAINV(RAND(),Model!H10,Model!I10)</f>
        <v>0.94189001038487841</v>
      </c>
      <c r="AE381">
        <f ca="1">Inputs!E16+(Inputs!G16-Inputs!E16)*BETAINV(RAND(),Model!J10,Model!K10)</f>
        <v>0.6472073131174878</v>
      </c>
      <c r="AF381">
        <f ca="1">(Inputs!H16+(Inputs!J16-Inputs!H16)*BETAINV(RAND(),Model!L10,Model!M10))*Inputs!$C$6</f>
        <v>108314.03711882091</v>
      </c>
      <c r="AG381">
        <f t="shared" ca="1" si="121"/>
        <v>0.60959810287339988</v>
      </c>
      <c r="AH381">
        <f t="shared" ca="1" si="122"/>
        <v>0.87969039346684241</v>
      </c>
      <c r="AI381">
        <f t="shared" ca="1" si="123"/>
        <v>2</v>
      </c>
      <c r="AJ381" s="47">
        <f t="shared" ca="1" si="124"/>
        <v>216628.07423764182</v>
      </c>
      <c r="AK381">
        <f t="shared" ca="1" si="125"/>
        <v>381681.96995839855</v>
      </c>
    </row>
    <row r="382" spans="2:37" x14ac:dyDescent="0.2">
      <c r="B382">
        <f ca="1">Inputs!B12+(Inputs!D12-Inputs!B12)*BETAINV(RAND(),Model!H6,Model!I6)</f>
        <v>2.6527303335038215</v>
      </c>
      <c r="C382">
        <f ca="1">Inputs!E12+(Inputs!G12-Inputs!E12)*BETAINV(RAND(),Model!J6,Model!K6)</f>
        <v>0.39121005558150035</v>
      </c>
      <c r="D382">
        <f ca="1">(Inputs!H12+(Inputs!J12-Inputs!H12)*BETAINV(RAND(),Model!L6,Model!M6))*Inputs!$C$6</f>
        <v>22582.88953096644</v>
      </c>
      <c r="E382">
        <f t="shared" ca="1" si="105"/>
        <v>1.037774781212762</v>
      </c>
      <c r="F382">
        <f t="shared" ca="1" si="106"/>
        <v>0.17882149350215171</v>
      </c>
      <c r="G382">
        <f t="shared" ca="1" si="107"/>
        <v>0</v>
      </c>
      <c r="H382" s="47">
        <f t="shared" ca="1" si="108"/>
        <v>0</v>
      </c>
      <c r="I382">
        <f ca="1">Inputs!B13+(Inputs!D13-Inputs!B13)*BETAINV(RAND(),Model!H7,Model!I7)</f>
        <v>1.5210033311130315</v>
      </c>
      <c r="J382">
        <f ca="1">Inputs!E13+(Inputs!G13-Inputs!E13)*BETAINV(RAND(),Model!J7,Model!K7)</f>
        <v>0.4159319777215702</v>
      </c>
      <c r="K382">
        <f ca="1">(Inputs!H13+(Inputs!J13-Inputs!H13)*BETAINV(RAND(),Model!L7,Model!M7))*Inputs!$C$6</f>
        <v>51284.558021425255</v>
      </c>
      <c r="L382">
        <f t="shared" ca="1" si="109"/>
        <v>0.63263392363093951</v>
      </c>
      <c r="M382">
        <f t="shared" ca="1" si="110"/>
        <v>0.56261384956986604</v>
      </c>
      <c r="N382">
        <f t="shared" ca="1" si="111"/>
        <v>1</v>
      </c>
      <c r="O382" s="47">
        <f t="shared" ca="1" si="112"/>
        <v>51284.558021425255</v>
      </c>
      <c r="P382">
        <f ca="1">Inputs!B14+(Inputs!D14-Inputs!B14)*BETAINV(RAND(),Model!H8,Model!I8)</f>
        <v>0.38880580863668746</v>
      </c>
      <c r="Q382">
        <f ca="1">Inputs!E14+(Inputs!G14-Inputs!E14)*BETAINV(RAND(),Model!J8,Model!K8)</f>
        <v>0.61672448215534059</v>
      </c>
      <c r="R382">
        <f ca="1">(Inputs!H14+(Inputs!J14-Inputs!H14)*BETAINV(RAND(),Model!L8,Model!M8))*Inputs!$C$6</f>
        <v>478413.940334354</v>
      </c>
      <c r="S382">
        <f t="shared" ca="1" si="113"/>
        <v>0.23978606099044952</v>
      </c>
      <c r="T382">
        <f t="shared" ca="1" si="114"/>
        <v>0.11185379565632003</v>
      </c>
      <c r="U382">
        <f t="shared" ca="1" si="115"/>
        <v>0</v>
      </c>
      <c r="V382" s="47">
        <f t="shared" ca="1" si="116"/>
        <v>0</v>
      </c>
      <c r="W382">
        <f ca="1">Inputs!B15+(Inputs!D15-Inputs!B15)*BETAINV(RAND(),Model!H9,Model!I9)</f>
        <v>1.18958727757834</v>
      </c>
      <c r="X382">
        <f ca="1">Inputs!E15+(Inputs!G15-Inputs!E15)*BETAINV(RAND(),Model!J9,Model!K9)</f>
        <v>0.62693969867977328</v>
      </c>
      <c r="Y382">
        <f ca="1">(Inputs!H15+(Inputs!J15-Inputs!H15)*BETAINV(RAND(),Model!L9,Model!M9))*Inputs!$C$6</f>
        <v>45535.625084233732</v>
      </c>
      <c r="Z382">
        <f t="shared" ca="1" si="117"/>
        <v>0.74579948935825635</v>
      </c>
      <c r="AA382">
        <f t="shared" ca="1" si="118"/>
        <v>0.42149731968767445</v>
      </c>
      <c r="AB382">
        <f t="shared" ca="1" si="119"/>
        <v>0</v>
      </c>
      <c r="AC382" s="47">
        <f t="shared" ca="1" si="120"/>
        <v>0</v>
      </c>
      <c r="AD382">
        <f ca="1">Inputs!B16+(Inputs!D16-Inputs!B16)*BETAINV(RAND(),Model!H10,Model!I10)</f>
        <v>0.66666154456879423</v>
      </c>
      <c r="AE382">
        <f ca="1">Inputs!E16+(Inputs!G16-Inputs!E16)*BETAINV(RAND(),Model!J10,Model!K10)</f>
        <v>0.65304652621690629</v>
      </c>
      <c r="AF382">
        <f ca="1">(Inputs!H16+(Inputs!J16-Inputs!H16)*BETAINV(RAND(),Model!L10,Model!M10))*Inputs!$C$6</f>
        <v>130280.37512860594</v>
      </c>
      <c r="AG382">
        <f t="shared" ca="1" si="121"/>
        <v>0.43536100584304832</v>
      </c>
      <c r="AH382">
        <f t="shared" ca="1" si="122"/>
        <v>0.14639397999617487</v>
      </c>
      <c r="AI382">
        <f t="shared" ca="1" si="123"/>
        <v>0</v>
      </c>
      <c r="AJ382" s="47">
        <f t="shared" ca="1" si="124"/>
        <v>0</v>
      </c>
      <c r="AK382">
        <f t="shared" ca="1" si="125"/>
        <v>51284.558021425255</v>
      </c>
    </row>
    <row r="383" spans="2:37" x14ac:dyDescent="0.2">
      <c r="B383">
        <f ca="1">Inputs!B12+(Inputs!D12-Inputs!B12)*BETAINV(RAND(),Model!H6,Model!I6)</f>
        <v>2.2540369044608184</v>
      </c>
      <c r="C383">
        <f ca="1">Inputs!E12+(Inputs!G12-Inputs!E12)*BETAINV(RAND(),Model!J6,Model!K6)</f>
        <v>0.37165151700184373</v>
      </c>
      <c r="D383">
        <f ca="1">(Inputs!H12+(Inputs!J12-Inputs!H12)*BETAINV(RAND(),Model!L6,Model!M6))*Inputs!$C$6</f>
        <v>32906.797897744407</v>
      </c>
      <c r="E383">
        <f t="shared" ca="1" si="105"/>
        <v>0.83771623492100311</v>
      </c>
      <c r="F383">
        <f t="shared" ca="1" si="106"/>
        <v>1.9563913729239935E-2</v>
      </c>
      <c r="G383">
        <f t="shared" ca="1" si="107"/>
        <v>0</v>
      </c>
      <c r="H383" s="47">
        <f t="shared" ca="1" si="108"/>
        <v>0</v>
      </c>
      <c r="I383">
        <f ca="1">Inputs!B13+(Inputs!D13-Inputs!B13)*BETAINV(RAND(),Model!H7,Model!I7)</f>
        <v>1.3923011287007627</v>
      </c>
      <c r="J383">
        <f ca="1">Inputs!E13+(Inputs!G13-Inputs!E13)*BETAINV(RAND(),Model!J7,Model!K7)</f>
        <v>0.24085340095190666</v>
      </c>
      <c r="K383">
        <f ca="1">(Inputs!H13+(Inputs!J13-Inputs!H13)*BETAINV(RAND(),Model!L7,Model!M7))*Inputs!$C$6</f>
        <v>32153.606148054252</v>
      </c>
      <c r="L383">
        <f t="shared" ca="1" si="109"/>
        <v>0.33534046199675699</v>
      </c>
      <c r="M383">
        <f t="shared" ca="1" si="110"/>
        <v>0.68160129410620129</v>
      </c>
      <c r="N383">
        <f t="shared" ca="1" si="111"/>
        <v>0</v>
      </c>
      <c r="O383" s="47">
        <f t="shared" ca="1" si="112"/>
        <v>0</v>
      </c>
      <c r="P383">
        <f ca="1">Inputs!B14+(Inputs!D14-Inputs!B14)*BETAINV(RAND(),Model!H8,Model!I8)</f>
        <v>0.29306165477007351</v>
      </c>
      <c r="Q383">
        <f ca="1">Inputs!E14+(Inputs!G14-Inputs!E14)*BETAINV(RAND(),Model!J8,Model!K8)</f>
        <v>0.48265768654719016</v>
      </c>
      <c r="R383">
        <f ca="1">(Inputs!H14+(Inputs!J14-Inputs!H14)*BETAINV(RAND(),Model!L8,Model!M8))*Inputs!$C$6</f>
        <v>501517.00772759056</v>
      </c>
      <c r="S383">
        <f t="shared" ca="1" si="113"/>
        <v>0.14144846030701499</v>
      </c>
      <c r="T383">
        <f t="shared" ca="1" si="114"/>
        <v>0.31768338758267622</v>
      </c>
      <c r="U383">
        <f t="shared" ca="1" si="115"/>
        <v>0</v>
      </c>
      <c r="V383" s="47">
        <f t="shared" ca="1" si="116"/>
        <v>0</v>
      </c>
      <c r="W383">
        <f ca="1">Inputs!B15+(Inputs!D15-Inputs!B15)*BETAINV(RAND(),Model!H9,Model!I9)</f>
        <v>0.80154844168446937</v>
      </c>
      <c r="X383">
        <f ca="1">Inputs!E15+(Inputs!G15-Inputs!E15)*BETAINV(RAND(),Model!J9,Model!K9)</f>
        <v>0.50328314589744905</v>
      </c>
      <c r="Y383">
        <f ca="1">(Inputs!H15+(Inputs!J15-Inputs!H15)*BETAINV(RAND(),Model!L9,Model!M9))*Inputs!$C$6</f>
        <v>42212.186230881664</v>
      </c>
      <c r="Z383">
        <f t="shared" ca="1" si="117"/>
        <v>0.40340582132015773</v>
      </c>
      <c r="AA383">
        <f t="shared" ca="1" si="118"/>
        <v>0.92014591584339334</v>
      </c>
      <c r="AB383">
        <f t="shared" ca="1" si="119"/>
        <v>1</v>
      </c>
      <c r="AC383" s="47">
        <f t="shared" ca="1" si="120"/>
        <v>42212.186230881664</v>
      </c>
      <c r="AD383">
        <f ca="1">Inputs!B16+(Inputs!D16-Inputs!B16)*BETAINV(RAND(),Model!H10,Model!I10)</f>
        <v>0.42373621853235777</v>
      </c>
      <c r="AE383">
        <f ca="1">Inputs!E16+(Inputs!G16-Inputs!E16)*BETAINV(RAND(),Model!J10,Model!K10)</f>
        <v>0.44511863936364121</v>
      </c>
      <c r="AF383">
        <f ca="1">(Inputs!H16+(Inputs!J16-Inputs!H16)*BETAINV(RAND(),Model!L10,Model!M10))*Inputs!$C$6</f>
        <v>149435.44219192379</v>
      </c>
      <c r="AG383">
        <f t="shared" ca="1" si="121"/>
        <v>0.18861288904221762</v>
      </c>
      <c r="AH383">
        <f t="shared" ca="1" si="122"/>
        <v>0.66409531007741895</v>
      </c>
      <c r="AI383">
        <f t="shared" ca="1" si="123"/>
        <v>0</v>
      </c>
      <c r="AJ383" s="47">
        <f t="shared" ca="1" si="124"/>
        <v>0</v>
      </c>
      <c r="AK383">
        <f t="shared" ca="1" si="125"/>
        <v>42212.186230881664</v>
      </c>
    </row>
    <row r="384" spans="2:37" x14ac:dyDescent="0.2">
      <c r="B384">
        <f ca="1">Inputs!B12+(Inputs!D12-Inputs!B12)*BETAINV(RAND(),Model!H6,Model!I6)</f>
        <v>5.3968338528012385</v>
      </c>
      <c r="C384">
        <f ca="1">Inputs!E12+(Inputs!G12-Inputs!E12)*BETAINV(RAND(),Model!J6,Model!K6)</f>
        <v>0.4075414691223056</v>
      </c>
      <c r="D384">
        <f ca="1">(Inputs!H12+(Inputs!J12-Inputs!H12)*BETAINV(RAND(),Model!L6,Model!M6))*Inputs!$C$6</f>
        <v>15787.341527949791</v>
      </c>
      <c r="E384">
        <f t="shared" ca="1" si="105"/>
        <v>2.1994335969796097</v>
      </c>
      <c r="F384">
        <f t="shared" ca="1" si="106"/>
        <v>0.1527008075470232</v>
      </c>
      <c r="G384">
        <f t="shared" ca="1" si="107"/>
        <v>1</v>
      </c>
      <c r="H384" s="47">
        <f t="shared" ca="1" si="108"/>
        <v>15787.341527949791</v>
      </c>
      <c r="I384">
        <f ca="1">Inputs!B13+(Inputs!D13-Inputs!B13)*BETAINV(RAND(),Model!H7,Model!I7)</f>
        <v>1.9499670278118431</v>
      </c>
      <c r="J384">
        <f ca="1">Inputs!E13+(Inputs!G13-Inputs!E13)*BETAINV(RAND(),Model!J7,Model!K7)</f>
        <v>0.29460532670521467</v>
      </c>
      <c r="K384">
        <f ca="1">(Inputs!H13+(Inputs!J13-Inputs!H13)*BETAINV(RAND(),Model!L7,Model!M7))*Inputs!$C$6</f>
        <v>74986.320606799331</v>
      </c>
      <c r="L384">
        <f t="shared" ca="1" si="109"/>
        <v>0.57447067329290447</v>
      </c>
      <c r="M384">
        <f t="shared" ca="1" si="110"/>
        <v>0.88772289066724852</v>
      </c>
      <c r="N384">
        <f t="shared" ca="1" si="111"/>
        <v>2</v>
      </c>
      <c r="O384" s="47">
        <f t="shared" ca="1" si="112"/>
        <v>149972.64121359866</v>
      </c>
      <c r="P384">
        <f ca="1">Inputs!B14+(Inputs!D14-Inputs!B14)*BETAINV(RAND(),Model!H8,Model!I8)</f>
        <v>0.49719526342037368</v>
      </c>
      <c r="Q384">
        <f ca="1">Inputs!E14+(Inputs!G14-Inputs!E14)*BETAINV(RAND(),Model!J8,Model!K8)</f>
        <v>0.49912917852596467</v>
      </c>
      <c r="R384">
        <f ca="1">(Inputs!H14+(Inputs!J14-Inputs!H14)*BETAINV(RAND(),Model!L8,Model!M8))*Inputs!$C$6</f>
        <v>287435.96290796006</v>
      </c>
      <c r="S384">
        <f t="shared" ca="1" si="113"/>
        <v>0.24816466339801171</v>
      </c>
      <c r="T384">
        <f t="shared" ca="1" si="114"/>
        <v>0.2041507609906853</v>
      </c>
      <c r="U384">
        <f t="shared" ca="1" si="115"/>
        <v>0</v>
      </c>
      <c r="V384" s="47">
        <f t="shared" ca="1" si="116"/>
        <v>0</v>
      </c>
      <c r="W384">
        <f ca="1">Inputs!B15+(Inputs!D15-Inputs!B15)*BETAINV(RAND(),Model!H9,Model!I9)</f>
        <v>1.0281897800411119</v>
      </c>
      <c r="X384">
        <f ca="1">Inputs!E15+(Inputs!G15-Inputs!E15)*BETAINV(RAND(),Model!J9,Model!K9)</f>
        <v>0.41912825389566277</v>
      </c>
      <c r="Y384">
        <f ca="1">(Inputs!H15+(Inputs!J15-Inputs!H15)*BETAINV(RAND(),Model!L9,Model!M9))*Inputs!$C$6</f>
        <v>19780.087706384136</v>
      </c>
      <c r="Z384">
        <f t="shared" ca="1" si="117"/>
        <v>0.43094338718199682</v>
      </c>
      <c r="AA384">
        <f t="shared" ca="1" si="118"/>
        <v>0.58100280905703572</v>
      </c>
      <c r="AB384">
        <f t="shared" ca="1" si="119"/>
        <v>0</v>
      </c>
      <c r="AC384" s="47">
        <f t="shared" ca="1" si="120"/>
        <v>0</v>
      </c>
      <c r="AD384">
        <f ca="1">Inputs!B16+(Inputs!D16-Inputs!B16)*BETAINV(RAND(),Model!H10,Model!I10)</f>
        <v>0.61463396379065083</v>
      </c>
      <c r="AE384">
        <f ca="1">Inputs!E16+(Inputs!G16-Inputs!E16)*BETAINV(RAND(),Model!J10,Model!K10)</f>
        <v>0.6235431379699099</v>
      </c>
      <c r="AF384">
        <f ca="1">(Inputs!H16+(Inputs!J16-Inputs!H16)*BETAINV(RAND(),Model!L10,Model!M10))*Inputs!$C$6</f>
        <v>56705.475630737521</v>
      </c>
      <c r="AG384">
        <f t="shared" ca="1" si="121"/>
        <v>0.3832507904849064</v>
      </c>
      <c r="AH384">
        <f t="shared" ca="1" si="122"/>
        <v>0.74053613564721066</v>
      </c>
      <c r="AI384">
        <f t="shared" ca="1" si="123"/>
        <v>1</v>
      </c>
      <c r="AJ384" s="47">
        <f t="shared" ca="1" si="124"/>
        <v>56705.475630737521</v>
      </c>
      <c r="AK384">
        <f t="shared" ca="1" si="125"/>
        <v>222465.45837228597</v>
      </c>
    </row>
    <row r="385" spans="2:37" x14ac:dyDescent="0.2">
      <c r="B385">
        <f ca="1">Inputs!B12+(Inputs!D12-Inputs!B12)*BETAINV(RAND(),Model!H6,Model!I6)</f>
        <v>2.7012505928661952</v>
      </c>
      <c r="C385">
        <f ca="1">Inputs!E12+(Inputs!G12-Inputs!E12)*BETAINV(RAND(),Model!J6,Model!K6)</f>
        <v>0.23857320835144138</v>
      </c>
      <c r="D385">
        <f ca="1">(Inputs!H12+(Inputs!J12-Inputs!H12)*BETAINV(RAND(),Model!L6,Model!M6))*Inputs!$C$6</f>
        <v>12907.644223928777</v>
      </c>
      <c r="E385">
        <f t="shared" ca="1" si="105"/>
        <v>0.64444602050132138</v>
      </c>
      <c r="F385">
        <f t="shared" ca="1" si="106"/>
        <v>0.62169853684209353</v>
      </c>
      <c r="G385">
        <f t="shared" ca="1" si="107"/>
        <v>1</v>
      </c>
      <c r="H385" s="47">
        <f t="shared" ca="1" si="108"/>
        <v>12907.644223928777</v>
      </c>
      <c r="I385">
        <f ca="1">Inputs!B13+(Inputs!D13-Inputs!B13)*BETAINV(RAND(),Model!H7,Model!I7)</f>
        <v>3.4986135671761138</v>
      </c>
      <c r="J385">
        <f ca="1">Inputs!E13+(Inputs!G13-Inputs!E13)*BETAINV(RAND(),Model!J7,Model!K7)</f>
        <v>0.33970964684278482</v>
      </c>
      <c r="K385">
        <f ca="1">(Inputs!H13+(Inputs!J13-Inputs!H13)*BETAINV(RAND(),Model!L7,Model!M7))*Inputs!$C$6</f>
        <v>88760.944458314261</v>
      </c>
      <c r="L385">
        <f t="shared" ca="1" si="109"/>
        <v>1.1885127793447732</v>
      </c>
      <c r="M385">
        <f t="shared" ca="1" si="110"/>
        <v>0.78957997290661219</v>
      </c>
      <c r="N385">
        <f t="shared" ca="1" si="111"/>
        <v>2</v>
      </c>
      <c r="O385" s="47">
        <f t="shared" ca="1" si="112"/>
        <v>177521.88891662852</v>
      </c>
      <c r="P385">
        <f ca="1">Inputs!B14+(Inputs!D14-Inputs!B14)*BETAINV(RAND(),Model!H8,Model!I8)</f>
        <v>0.26465917860595284</v>
      </c>
      <c r="Q385">
        <f ca="1">Inputs!E14+(Inputs!G14-Inputs!E14)*BETAINV(RAND(),Model!J8,Model!K8)</f>
        <v>0.6317834213792074</v>
      </c>
      <c r="R385">
        <f ca="1">(Inputs!H14+(Inputs!J14-Inputs!H14)*BETAINV(RAND(),Model!L8,Model!M8))*Inputs!$C$6</f>
        <v>215710.30201190349</v>
      </c>
      <c r="S385">
        <f t="shared" ca="1" si="113"/>
        <v>0.16720728135907961</v>
      </c>
      <c r="T385">
        <f t="shared" ca="1" si="114"/>
        <v>0.5513113687827057</v>
      </c>
      <c r="U385">
        <f t="shared" ca="1" si="115"/>
        <v>0</v>
      </c>
      <c r="V385" s="47">
        <f t="shared" ca="1" si="116"/>
        <v>0</v>
      </c>
      <c r="W385">
        <f ca="1">Inputs!B15+(Inputs!D15-Inputs!B15)*BETAINV(RAND(),Model!H9,Model!I9)</f>
        <v>1.6450442621330514</v>
      </c>
      <c r="X385">
        <f ca="1">Inputs!E15+(Inputs!G15-Inputs!E15)*BETAINV(RAND(),Model!J9,Model!K9)</f>
        <v>0.32308887183921164</v>
      </c>
      <c r="Y385">
        <f ca="1">(Inputs!H15+(Inputs!J15-Inputs!H15)*BETAINV(RAND(),Model!L9,Model!M9))*Inputs!$C$6</f>
        <v>40082.29719705462</v>
      </c>
      <c r="Z385">
        <f t="shared" ca="1" si="117"/>
        <v>0.53149549477813596</v>
      </c>
      <c r="AA385">
        <f t="shared" ca="1" si="118"/>
        <v>0.57607356826184986</v>
      </c>
      <c r="AB385">
        <f t="shared" ca="1" si="119"/>
        <v>0</v>
      </c>
      <c r="AC385" s="47">
        <f t="shared" ca="1" si="120"/>
        <v>0</v>
      </c>
      <c r="AD385">
        <f ca="1">Inputs!B16+(Inputs!D16-Inputs!B16)*BETAINV(RAND(),Model!H10,Model!I10)</f>
        <v>0.62558868585074912</v>
      </c>
      <c r="AE385">
        <f ca="1">Inputs!E16+(Inputs!G16-Inputs!E16)*BETAINV(RAND(),Model!J10,Model!K10)</f>
        <v>0.62395497531701238</v>
      </c>
      <c r="AF385">
        <f ca="1">(Inputs!H16+(Inputs!J16-Inputs!H16)*BETAINV(RAND(),Model!L10,Model!M10))*Inputs!$C$6</f>
        <v>78325.343258625086</v>
      </c>
      <c r="AG385">
        <f t="shared" ca="1" si="121"/>
        <v>0.39033917303860638</v>
      </c>
      <c r="AH385">
        <f t="shared" ca="1" si="122"/>
        <v>0.12577617706245059</v>
      </c>
      <c r="AI385">
        <f t="shared" ca="1" si="123"/>
        <v>0</v>
      </c>
      <c r="AJ385" s="47">
        <f t="shared" ca="1" si="124"/>
        <v>0</v>
      </c>
      <c r="AK385">
        <f t="shared" ca="1" si="125"/>
        <v>190429.53314055729</v>
      </c>
    </row>
    <row r="386" spans="2:37" x14ac:dyDescent="0.2">
      <c r="B386">
        <f ca="1">Inputs!B12+(Inputs!D12-Inputs!B12)*BETAINV(RAND(),Model!H6,Model!I6)</f>
        <v>2.5805787193233085</v>
      </c>
      <c r="C386">
        <f ca="1">Inputs!E12+(Inputs!G12-Inputs!E12)*BETAINV(RAND(),Model!J6,Model!K6)</f>
        <v>0.33279218845256564</v>
      </c>
      <c r="D386">
        <f ca="1">(Inputs!H12+(Inputs!J12-Inputs!H12)*BETAINV(RAND(),Model!L6,Model!M6))*Inputs!$C$6</f>
        <v>18363.335254688867</v>
      </c>
      <c r="E386">
        <f t="shared" ca="1" si="105"/>
        <v>0.85879643947772299</v>
      </c>
      <c r="F386">
        <f t="shared" ca="1" si="106"/>
        <v>0.78438155524232123</v>
      </c>
      <c r="G386">
        <f t="shared" ca="1" si="107"/>
        <v>1</v>
      </c>
      <c r="H386" s="47">
        <f t="shared" ca="1" si="108"/>
        <v>18363.335254688867</v>
      </c>
      <c r="I386">
        <f ca="1">Inputs!B13+(Inputs!D13-Inputs!B13)*BETAINV(RAND(),Model!H7,Model!I7)</f>
        <v>2.0043468515312073</v>
      </c>
      <c r="J386">
        <f ca="1">Inputs!E13+(Inputs!G13-Inputs!E13)*BETAINV(RAND(),Model!J7,Model!K7)</f>
        <v>0.28453483532841006</v>
      </c>
      <c r="K386">
        <f ca="1">(Inputs!H13+(Inputs!J13-Inputs!H13)*BETAINV(RAND(),Model!L7,Model!M7))*Inputs!$C$6</f>
        <v>26797.280095494214</v>
      </c>
      <c r="L386">
        <f t="shared" ca="1" si="109"/>
        <v>0.57030650134144922</v>
      </c>
      <c r="M386">
        <f t="shared" ca="1" si="110"/>
        <v>0.753059707630374</v>
      </c>
      <c r="N386">
        <f t="shared" ca="1" si="111"/>
        <v>1</v>
      </c>
      <c r="O386" s="47">
        <f t="shared" ca="1" si="112"/>
        <v>26797.280095494214</v>
      </c>
      <c r="P386">
        <f ca="1">Inputs!B14+(Inputs!D14-Inputs!B14)*BETAINV(RAND(),Model!H8,Model!I8)</f>
        <v>0.12707140967317043</v>
      </c>
      <c r="Q386">
        <f ca="1">Inputs!E14+(Inputs!G14-Inputs!E14)*BETAINV(RAND(),Model!J8,Model!K8)</f>
        <v>0.57995063714724748</v>
      </c>
      <c r="R386">
        <f ca="1">(Inputs!H14+(Inputs!J14-Inputs!H14)*BETAINV(RAND(),Model!L8,Model!M8))*Inputs!$C$6</f>
        <v>324911.3666352022</v>
      </c>
      <c r="S386">
        <f t="shared" ca="1" si="113"/>
        <v>7.3695145003154106E-2</v>
      </c>
      <c r="T386">
        <f t="shared" ca="1" si="114"/>
        <v>0.40947049002592451</v>
      </c>
      <c r="U386">
        <f t="shared" ca="1" si="115"/>
        <v>0</v>
      </c>
      <c r="V386" s="47">
        <f t="shared" ca="1" si="116"/>
        <v>0</v>
      </c>
      <c r="W386">
        <f ca="1">Inputs!B15+(Inputs!D15-Inputs!B15)*BETAINV(RAND(),Model!H9,Model!I9)</f>
        <v>1.3158500305595182</v>
      </c>
      <c r="X386">
        <f ca="1">Inputs!E15+(Inputs!G15-Inputs!E15)*BETAINV(RAND(),Model!J9,Model!K9)</f>
        <v>0.31871679113299367</v>
      </c>
      <c r="Y386">
        <f ca="1">(Inputs!H15+(Inputs!J15-Inputs!H15)*BETAINV(RAND(),Model!L9,Model!M9))*Inputs!$C$6</f>
        <v>13762.085795342988</v>
      </c>
      <c r="Z386">
        <f t="shared" ca="1" si="117"/>
        <v>0.41938349935218133</v>
      </c>
      <c r="AA386">
        <f t="shared" ca="1" si="118"/>
        <v>0.1138549429555753</v>
      </c>
      <c r="AB386">
        <f t="shared" ca="1" si="119"/>
        <v>0</v>
      </c>
      <c r="AC386" s="47">
        <f t="shared" ca="1" si="120"/>
        <v>0</v>
      </c>
      <c r="AD386">
        <f ca="1">Inputs!B16+(Inputs!D16-Inputs!B16)*BETAINV(RAND(),Model!H10,Model!I10)</f>
        <v>0.4317591706480548</v>
      </c>
      <c r="AE386">
        <f ca="1">Inputs!E16+(Inputs!G16-Inputs!E16)*BETAINV(RAND(),Model!J10,Model!K10)</f>
        <v>0.49079602978054582</v>
      </c>
      <c r="AF386">
        <f ca="1">(Inputs!H16+(Inputs!J16-Inputs!H16)*BETAINV(RAND(),Model!L10,Model!M10))*Inputs!$C$6</f>
        <v>120205.15733545518</v>
      </c>
      <c r="AG386">
        <f t="shared" ca="1" si="121"/>
        <v>0.21190568677540647</v>
      </c>
      <c r="AH386">
        <f t="shared" ca="1" si="122"/>
        <v>0.17175592598724054</v>
      </c>
      <c r="AI386">
        <f t="shared" ca="1" si="123"/>
        <v>0</v>
      </c>
      <c r="AJ386" s="47">
        <f t="shared" ca="1" si="124"/>
        <v>0</v>
      </c>
      <c r="AK386">
        <f t="shared" ca="1" si="125"/>
        <v>45160.615350183085</v>
      </c>
    </row>
    <row r="387" spans="2:37" x14ac:dyDescent="0.2">
      <c r="B387">
        <f ca="1">Inputs!B12+(Inputs!D12-Inputs!B12)*BETAINV(RAND(),Model!H6,Model!I6)</f>
        <v>4.0954880630411905</v>
      </c>
      <c r="C387">
        <f ca="1">Inputs!E12+(Inputs!G12-Inputs!E12)*BETAINV(RAND(),Model!J6,Model!K6)</f>
        <v>0.31215698872295639</v>
      </c>
      <c r="D387">
        <f ca="1">(Inputs!H12+(Inputs!J12-Inputs!H12)*BETAINV(RAND(),Model!L6,Model!M6))*Inputs!$C$6</f>
        <v>38429.383634096688</v>
      </c>
      <c r="E387">
        <f t="shared" ca="1" si="105"/>
        <v>1.2784352211097514</v>
      </c>
      <c r="F387">
        <f t="shared" ca="1" si="106"/>
        <v>0.71933342990286531</v>
      </c>
      <c r="G387">
        <f t="shared" ca="1" si="107"/>
        <v>2</v>
      </c>
      <c r="H387" s="47">
        <f t="shared" ca="1" si="108"/>
        <v>76858.767268193376</v>
      </c>
      <c r="I387">
        <f ca="1">Inputs!B13+(Inputs!D13-Inputs!B13)*BETAINV(RAND(),Model!H7,Model!I7)</f>
        <v>0.96667638485698926</v>
      </c>
      <c r="J387">
        <f ca="1">Inputs!E13+(Inputs!G13-Inputs!E13)*BETAINV(RAND(),Model!J7,Model!K7)</f>
        <v>0.21920617140135487</v>
      </c>
      <c r="K387">
        <f ca="1">(Inputs!H13+(Inputs!J13-Inputs!H13)*BETAINV(RAND(),Model!L7,Model!M7))*Inputs!$C$6</f>
        <v>63545.446374248895</v>
      </c>
      <c r="L387">
        <f t="shared" ca="1" si="109"/>
        <v>0.21190142930860328</v>
      </c>
      <c r="M387">
        <f t="shared" ca="1" si="110"/>
        <v>3.7180125731876346E-2</v>
      </c>
      <c r="N387">
        <f t="shared" ca="1" si="111"/>
        <v>0</v>
      </c>
      <c r="O387" s="47">
        <f t="shared" ca="1" si="112"/>
        <v>0</v>
      </c>
      <c r="P387">
        <f ca="1">Inputs!B14+(Inputs!D14-Inputs!B14)*BETAINV(RAND(),Model!H8,Model!I8)</f>
        <v>0.34128900298217807</v>
      </c>
      <c r="Q387">
        <f ca="1">Inputs!E14+(Inputs!G14-Inputs!E14)*BETAINV(RAND(),Model!J8,Model!K8)</f>
        <v>0.68699028887977054</v>
      </c>
      <c r="R387">
        <f ca="1">(Inputs!H14+(Inputs!J14-Inputs!H14)*BETAINV(RAND(),Model!L8,Model!M8))*Inputs!$C$6</f>
        <v>340032.02538574272</v>
      </c>
      <c r="S387">
        <f t="shared" ca="1" si="113"/>
        <v>0.23446223075021538</v>
      </c>
      <c r="T387">
        <f t="shared" ca="1" si="114"/>
        <v>0.12264761809235059</v>
      </c>
      <c r="U387">
        <f t="shared" ca="1" si="115"/>
        <v>0</v>
      </c>
      <c r="V387" s="47">
        <f t="shared" ca="1" si="116"/>
        <v>0</v>
      </c>
      <c r="W387">
        <f ca="1">Inputs!B15+(Inputs!D15-Inputs!B15)*BETAINV(RAND(),Model!H9,Model!I9)</f>
        <v>0.88610916770018311</v>
      </c>
      <c r="X387">
        <f ca="1">Inputs!E15+(Inputs!G15-Inputs!E15)*BETAINV(RAND(),Model!J9,Model!K9)</f>
        <v>0.41603465500494108</v>
      </c>
      <c r="Y387">
        <f ca="1">(Inputs!H15+(Inputs!J15-Inputs!H15)*BETAINV(RAND(),Model!L9,Model!M9))*Inputs!$C$6</f>
        <v>31854.385411039875</v>
      </c>
      <c r="Z387">
        <f t="shared" ca="1" si="117"/>
        <v>0.36865212188086116</v>
      </c>
      <c r="AA387">
        <f t="shared" ca="1" si="118"/>
        <v>0.58302327373161511</v>
      </c>
      <c r="AB387">
        <f t="shared" ca="1" si="119"/>
        <v>0</v>
      </c>
      <c r="AC387" s="47">
        <f t="shared" ca="1" si="120"/>
        <v>0</v>
      </c>
      <c r="AD387">
        <f ca="1">Inputs!B16+(Inputs!D16-Inputs!B16)*BETAINV(RAND(),Model!H10,Model!I10)</f>
        <v>0.34807402248055941</v>
      </c>
      <c r="AE387">
        <f ca="1">Inputs!E16+(Inputs!G16-Inputs!E16)*BETAINV(RAND(),Model!J10,Model!K10)</f>
        <v>0.65662412787003632</v>
      </c>
      <c r="AF387">
        <f ca="1">(Inputs!H16+(Inputs!J16-Inputs!H16)*BETAINV(RAND(),Model!L10,Model!M10))*Inputs!$C$6</f>
        <v>75197.021311741017</v>
      </c>
      <c r="AG387">
        <f t="shared" ca="1" si="121"/>
        <v>0.22855380144551274</v>
      </c>
      <c r="AH387">
        <f t="shared" ca="1" si="122"/>
        <v>0.62453416994125643</v>
      </c>
      <c r="AI387">
        <f t="shared" ca="1" si="123"/>
        <v>0</v>
      </c>
      <c r="AJ387" s="47">
        <f t="shared" ca="1" si="124"/>
        <v>0</v>
      </c>
      <c r="AK387">
        <f t="shared" ca="1" si="125"/>
        <v>76858.767268193376</v>
      </c>
    </row>
    <row r="388" spans="2:37" x14ac:dyDescent="0.2">
      <c r="B388">
        <f ca="1">Inputs!B12+(Inputs!D12-Inputs!B12)*BETAINV(RAND(),Model!H6,Model!I6)</f>
        <v>2.9097796809049425</v>
      </c>
      <c r="C388">
        <f ca="1">Inputs!E12+(Inputs!G12-Inputs!E12)*BETAINV(RAND(),Model!J6,Model!K6)</f>
        <v>0.28079653678534006</v>
      </c>
      <c r="D388">
        <f ca="1">(Inputs!H12+(Inputs!J12-Inputs!H12)*BETAINV(RAND(),Model!L6,Model!M6))*Inputs!$C$6</f>
        <v>23061.608359466583</v>
      </c>
      <c r="E388">
        <f t="shared" ca="1" si="105"/>
        <v>0.8170560572064598</v>
      </c>
      <c r="F388">
        <f t="shared" ca="1" si="106"/>
        <v>0.67703090643610075</v>
      </c>
      <c r="G388">
        <f t="shared" ca="1" si="107"/>
        <v>1</v>
      </c>
      <c r="H388" s="47">
        <f t="shared" ca="1" si="108"/>
        <v>23061.608359466583</v>
      </c>
      <c r="I388">
        <f ca="1">Inputs!B13+(Inputs!D13-Inputs!B13)*BETAINV(RAND(),Model!H7,Model!I7)</f>
        <v>1.8695311712262426</v>
      </c>
      <c r="J388">
        <f ca="1">Inputs!E13+(Inputs!G13-Inputs!E13)*BETAINV(RAND(),Model!J7,Model!K7)</f>
        <v>0.16428789685640294</v>
      </c>
      <c r="K388">
        <f ca="1">(Inputs!H13+(Inputs!J13-Inputs!H13)*BETAINV(RAND(),Model!L7,Model!M7))*Inputs!$C$6</f>
        <v>65431.892143301629</v>
      </c>
      <c r="L388">
        <f t="shared" ca="1" si="109"/>
        <v>0.30714134422824713</v>
      </c>
      <c r="M388">
        <f t="shared" ca="1" si="110"/>
        <v>0.37469048341046041</v>
      </c>
      <c r="N388">
        <f t="shared" ca="1" si="111"/>
        <v>0</v>
      </c>
      <c r="O388" s="47">
        <f t="shared" ca="1" si="112"/>
        <v>0</v>
      </c>
      <c r="P388">
        <f ca="1">Inputs!B14+(Inputs!D14-Inputs!B14)*BETAINV(RAND(),Model!H8,Model!I8)</f>
        <v>0.28923915807356781</v>
      </c>
      <c r="Q388">
        <f ca="1">Inputs!E14+(Inputs!G14-Inputs!E14)*BETAINV(RAND(),Model!J8,Model!K8)</f>
        <v>0.66080175842764988</v>
      </c>
      <c r="R388">
        <f ca="1">(Inputs!H14+(Inputs!J14-Inputs!H14)*BETAINV(RAND(),Model!L8,Model!M8))*Inputs!$C$6</f>
        <v>543613.97579735878</v>
      </c>
      <c r="S388">
        <f t="shared" ca="1" si="113"/>
        <v>0.19112974426114659</v>
      </c>
      <c r="T388">
        <f t="shared" ca="1" si="114"/>
        <v>4.3800715164059145E-2</v>
      </c>
      <c r="U388">
        <f t="shared" ca="1" si="115"/>
        <v>0</v>
      </c>
      <c r="V388" s="47">
        <f t="shared" ca="1" si="116"/>
        <v>0</v>
      </c>
      <c r="W388">
        <f ca="1">Inputs!B15+(Inputs!D15-Inputs!B15)*BETAINV(RAND(),Model!H9,Model!I9)</f>
        <v>2.374813188382396</v>
      </c>
      <c r="X388">
        <f ca="1">Inputs!E15+(Inputs!G15-Inputs!E15)*BETAINV(RAND(),Model!J9,Model!K9)</f>
        <v>0.42202266184151027</v>
      </c>
      <c r="Y388">
        <f ca="1">(Inputs!H15+(Inputs!J15-Inputs!H15)*BETAINV(RAND(),Model!L9,Model!M9))*Inputs!$C$6</f>
        <v>23826.917849969341</v>
      </c>
      <c r="Z388">
        <f t="shared" ca="1" si="117"/>
        <v>1.0022249831374628</v>
      </c>
      <c r="AA388">
        <f t="shared" ca="1" si="118"/>
        <v>0.95730799855337156</v>
      </c>
      <c r="AB388">
        <f t="shared" ca="1" si="119"/>
        <v>3</v>
      </c>
      <c r="AC388" s="47">
        <f t="shared" ca="1" si="120"/>
        <v>71480.753549908026</v>
      </c>
      <c r="AD388">
        <f ca="1">Inputs!B16+(Inputs!D16-Inputs!B16)*BETAINV(RAND(),Model!H10,Model!I10)</f>
        <v>0.68620950129266989</v>
      </c>
      <c r="AE388">
        <f ca="1">Inputs!E16+(Inputs!G16-Inputs!E16)*BETAINV(RAND(),Model!J10,Model!K10)</f>
        <v>0.72718351615415344</v>
      </c>
      <c r="AF388">
        <f ca="1">(Inputs!H16+(Inputs!J16-Inputs!H16)*BETAINV(RAND(),Model!L10,Model!M10))*Inputs!$C$6</f>
        <v>79811.094021712692</v>
      </c>
      <c r="AG388">
        <f t="shared" ca="1" si="121"/>
        <v>0.49900023796839177</v>
      </c>
      <c r="AH388">
        <f t="shared" ca="1" si="122"/>
        <v>0.67275802880643054</v>
      </c>
      <c r="AI388">
        <f t="shared" ca="1" si="123"/>
        <v>1</v>
      </c>
      <c r="AJ388" s="47">
        <f t="shared" ca="1" si="124"/>
        <v>79811.094021712692</v>
      </c>
      <c r="AK388">
        <f t="shared" ca="1" si="125"/>
        <v>174353.45593108732</v>
      </c>
    </row>
    <row r="389" spans="2:37" x14ac:dyDescent="0.2">
      <c r="B389">
        <f ca="1">Inputs!B12+(Inputs!D12-Inputs!B12)*BETAINV(RAND(),Model!H6,Model!I6)</f>
        <v>1.2658579175384899</v>
      </c>
      <c r="C389">
        <f ca="1">Inputs!E12+(Inputs!G12-Inputs!E12)*BETAINV(RAND(),Model!J6,Model!K6)</f>
        <v>0.34500036629493513</v>
      </c>
      <c r="D389">
        <f ca="1">(Inputs!H12+(Inputs!J12-Inputs!H12)*BETAINV(RAND(),Model!L6,Model!M6))*Inputs!$C$6</f>
        <v>32658.002361755462</v>
      </c>
      <c r="E389">
        <f t="shared" ca="1" si="105"/>
        <v>0.43672144522812278</v>
      </c>
      <c r="F389">
        <f t="shared" ca="1" si="106"/>
        <v>0.8308012803893029</v>
      </c>
      <c r="G389">
        <f t="shared" ca="1" si="107"/>
        <v>1</v>
      </c>
      <c r="H389" s="47">
        <f t="shared" ca="1" si="108"/>
        <v>32658.002361755462</v>
      </c>
      <c r="I389">
        <f ca="1">Inputs!B13+(Inputs!D13-Inputs!B13)*BETAINV(RAND(),Model!H7,Model!I7)</f>
        <v>2.4364058638289214</v>
      </c>
      <c r="J389">
        <f ca="1">Inputs!E13+(Inputs!G13-Inputs!E13)*BETAINV(RAND(),Model!J7,Model!K7)</f>
        <v>0.39714988444870436</v>
      </c>
      <c r="K389">
        <f ca="1">(Inputs!H13+(Inputs!J13-Inputs!H13)*BETAINV(RAND(),Model!L7,Model!M7))*Inputs!$C$6</f>
        <v>25855.969081861353</v>
      </c>
      <c r="L389">
        <f t="shared" ca="1" si="109"/>
        <v>0.96761830728980192</v>
      </c>
      <c r="M389">
        <f t="shared" ca="1" si="110"/>
        <v>0.6370954321395792</v>
      </c>
      <c r="N389">
        <f t="shared" ca="1" si="111"/>
        <v>1</v>
      </c>
      <c r="O389" s="47">
        <f t="shared" ca="1" si="112"/>
        <v>25855.969081861353</v>
      </c>
      <c r="P389">
        <f ca="1">Inputs!B14+(Inputs!D14-Inputs!B14)*BETAINV(RAND(),Model!H8,Model!I8)</f>
        <v>0.13751516338226863</v>
      </c>
      <c r="Q389">
        <f ca="1">Inputs!E14+(Inputs!G14-Inputs!E14)*BETAINV(RAND(),Model!J8,Model!K8)</f>
        <v>0.60134143855343258</v>
      </c>
      <c r="R389">
        <f ca="1">(Inputs!H14+(Inputs!J14-Inputs!H14)*BETAINV(RAND(),Model!L8,Model!M8))*Inputs!$C$6</f>
        <v>479793.8187039062</v>
      </c>
      <c r="S389">
        <f t="shared" ca="1" si="113"/>
        <v>8.2693566171203728E-2</v>
      </c>
      <c r="T389">
        <f t="shared" ca="1" si="114"/>
        <v>0.231477294945727</v>
      </c>
      <c r="U389">
        <f t="shared" ca="1" si="115"/>
        <v>0</v>
      </c>
      <c r="V389" s="47">
        <f t="shared" ca="1" si="116"/>
        <v>0</v>
      </c>
      <c r="W389">
        <f ca="1">Inputs!B15+(Inputs!D15-Inputs!B15)*BETAINV(RAND(),Model!H9,Model!I9)</f>
        <v>0.80328498411769811</v>
      </c>
      <c r="X389">
        <f ca="1">Inputs!E15+(Inputs!G15-Inputs!E15)*BETAINV(RAND(),Model!J9,Model!K9)</f>
        <v>0.38145090957083344</v>
      </c>
      <c r="Y389">
        <f ca="1">(Inputs!H15+(Inputs!J15-Inputs!H15)*BETAINV(RAND(),Model!L9,Model!M9))*Inputs!$C$6</f>
        <v>17339.723927398674</v>
      </c>
      <c r="Z389">
        <f t="shared" ca="1" si="117"/>
        <v>0.30641378783628842</v>
      </c>
      <c r="AA389">
        <f t="shared" ca="1" si="118"/>
        <v>0.63111972063339183</v>
      </c>
      <c r="AB389">
        <f t="shared" ca="1" si="119"/>
        <v>0</v>
      </c>
      <c r="AC389" s="47">
        <f t="shared" ca="1" si="120"/>
        <v>0</v>
      </c>
      <c r="AD389">
        <f ca="1">Inputs!B16+(Inputs!D16-Inputs!B16)*BETAINV(RAND(),Model!H10,Model!I10)</f>
        <v>0.7661458176164051</v>
      </c>
      <c r="AE389">
        <f ca="1">Inputs!E16+(Inputs!G16-Inputs!E16)*BETAINV(RAND(),Model!J10,Model!K10)</f>
        <v>0.55081542324851407</v>
      </c>
      <c r="AF389">
        <f ca="1">(Inputs!H16+(Inputs!J16-Inputs!H16)*BETAINV(RAND(),Model!L10,Model!M10))*Inputs!$C$6</f>
        <v>54041.55026048288</v>
      </c>
      <c r="AG389">
        <f t="shared" ca="1" si="121"/>
        <v>0.42200493280045903</v>
      </c>
      <c r="AH389">
        <f t="shared" ca="1" si="122"/>
        <v>0.2309332055764296</v>
      </c>
      <c r="AI389">
        <f t="shared" ca="1" si="123"/>
        <v>0</v>
      </c>
      <c r="AJ389" s="47">
        <f t="shared" ca="1" si="124"/>
        <v>0</v>
      </c>
      <c r="AK389">
        <f t="shared" ca="1" si="125"/>
        <v>58513.971443616814</v>
      </c>
    </row>
    <row r="390" spans="2:37" x14ac:dyDescent="0.2">
      <c r="B390">
        <f ca="1">Inputs!B12+(Inputs!D12-Inputs!B12)*BETAINV(RAND(),Model!H6,Model!I6)</f>
        <v>5.4398911826606273</v>
      </c>
      <c r="C390">
        <f ca="1">Inputs!E12+(Inputs!G12-Inputs!E12)*BETAINV(RAND(),Model!J6,Model!K6)</f>
        <v>0.37528887713985382</v>
      </c>
      <c r="D390">
        <f ca="1">(Inputs!H12+(Inputs!J12-Inputs!H12)*BETAINV(RAND(),Model!L6,Model!M6))*Inputs!$C$6</f>
        <v>9093.6756630006712</v>
      </c>
      <c r="E390">
        <f t="shared" ca="1" si="105"/>
        <v>2.0415306537036981</v>
      </c>
      <c r="F390">
        <f t="shared" ca="1" si="106"/>
        <v>0.99535350630312125</v>
      </c>
      <c r="G390">
        <f t="shared" ca="1" si="107"/>
        <v>4</v>
      </c>
      <c r="H390" s="47">
        <f t="shared" ca="1" si="108"/>
        <v>36374.702652002685</v>
      </c>
      <c r="I390">
        <f ca="1">Inputs!B13+(Inputs!D13-Inputs!B13)*BETAINV(RAND(),Model!H7,Model!I7)</f>
        <v>3.3186504578963016</v>
      </c>
      <c r="J390">
        <f ca="1">Inputs!E13+(Inputs!G13-Inputs!E13)*BETAINV(RAND(),Model!J7,Model!K7)</f>
        <v>0.27395634738523789</v>
      </c>
      <c r="K390">
        <f ca="1">(Inputs!H13+(Inputs!J13-Inputs!H13)*BETAINV(RAND(),Model!L7,Model!M7))*Inputs!$C$6</f>
        <v>62943.548194285067</v>
      </c>
      <c r="L390">
        <f t="shared" ca="1" si="109"/>
        <v>0.90916535769361795</v>
      </c>
      <c r="M390">
        <f t="shared" ca="1" si="110"/>
        <v>0.34167089217900359</v>
      </c>
      <c r="N390">
        <f t="shared" ca="1" si="111"/>
        <v>0</v>
      </c>
      <c r="O390" s="47">
        <f t="shared" ca="1" si="112"/>
        <v>0</v>
      </c>
      <c r="P390">
        <f ca="1">Inputs!B14+(Inputs!D14-Inputs!B14)*BETAINV(RAND(),Model!H8,Model!I8)</f>
        <v>0.47949211237587153</v>
      </c>
      <c r="Q390">
        <f ca="1">Inputs!E14+(Inputs!G14-Inputs!E14)*BETAINV(RAND(),Model!J8,Model!K8)</f>
        <v>0.54057211418454265</v>
      </c>
      <c r="R390">
        <f ca="1">(Inputs!H14+(Inputs!J14-Inputs!H14)*BETAINV(RAND(),Model!L8,Model!M8))*Inputs!$C$6</f>
        <v>556956.34768824757</v>
      </c>
      <c r="S390">
        <f t="shared" ca="1" si="113"/>
        <v>0.25920006492183717</v>
      </c>
      <c r="T390">
        <f t="shared" ca="1" si="114"/>
        <v>0.23921398294612595</v>
      </c>
      <c r="U390">
        <f t="shared" ca="1" si="115"/>
        <v>0</v>
      </c>
      <c r="V390" s="47">
        <f t="shared" ca="1" si="116"/>
        <v>0</v>
      </c>
      <c r="W390">
        <f ca="1">Inputs!B15+(Inputs!D15-Inputs!B15)*BETAINV(RAND(),Model!H9,Model!I9)</f>
        <v>1.5203950323016691</v>
      </c>
      <c r="X390">
        <f ca="1">Inputs!E15+(Inputs!G15-Inputs!E15)*BETAINV(RAND(),Model!J9,Model!K9)</f>
        <v>0.50405629310158107</v>
      </c>
      <c r="Y390">
        <f ca="1">(Inputs!H15+(Inputs!J15-Inputs!H15)*BETAINV(RAND(),Model!L9,Model!M9))*Inputs!$C$6</f>
        <v>39071.542354887533</v>
      </c>
      <c r="Z390">
        <f t="shared" ca="1" si="117"/>
        <v>0.76636468403203795</v>
      </c>
      <c r="AA390">
        <f t="shared" ca="1" si="118"/>
        <v>0.9018662821814023</v>
      </c>
      <c r="AB390">
        <f t="shared" ca="1" si="119"/>
        <v>2</v>
      </c>
      <c r="AC390" s="47">
        <f t="shared" ca="1" si="120"/>
        <v>78143.084709775067</v>
      </c>
      <c r="AD390">
        <f ca="1">Inputs!B16+(Inputs!D16-Inputs!B16)*BETAINV(RAND(),Model!H10,Model!I10)</f>
        <v>0.61698342549401652</v>
      </c>
      <c r="AE390">
        <f ca="1">Inputs!E16+(Inputs!G16-Inputs!E16)*BETAINV(RAND(),Model!J10,Model!K10)</f>
        <v>0.60157465108677211</v>
      </c>
      <c r="AF390">
        <f ca="1">(Inputs!H16+(Inputs!J16-Inputs!H16)*BETAINV(RAND(),Model!L10,Model!M10))*Inputs!$C$6</f>
        <v>81783.085704795056</v>
      </c>
      <c r="AG390">
        <f t="shared" ca="1" si="121"/>
        <v>0.37116158891788442</v>
      </c>
      <c r="AH390">
        <f t="shared" ca="1" si="122"/>
        <v>0.40100436741987744</v>
      </c>
      <c r="AI390">
        <f t="shared" ca="1" si="123"/>
        <v>0</v>
      </c>
      <c r="AJ390" s="47">
        <f t="shared" ca="1" si="124"/>
        <v>0</v>
      </c>
      <c r="AK390">
        <f t="shared" ca="1" si="125"/>
        <v>114517.78736177775</v>
      </c>
    </row>
    <row r="391" spans="2:37" x14ac:dyDescent="0.2">
      <c r="B391">
        <f ca="1">Inputs!B12+(Inputs!D12-Inputs!B12)*BETAINV(RAND(),Model!H6,Model!I6)</f>
        <v>3.4393568014324729</v>
      </c>
      <c r="C391">
        <f ca="1">Inputs!E12+(Inputs!G12-Inputs!E12)*BETAINV(RAND(),Model!J6,Model!K6)</f>
        <v>0.31838196715804123</v>
      </c>
      <c r="D391">
        <f ca="1">(Inputs!H12+(Inputs!J12-Inputs!H12)*BETAINV(RAND(),Model!L6,Model!M6))*Inputs!$C$6</f>
        <v>25088.07149839952</v>
      </c>
      <c r="E391">
        <f t="shared" ca="1" si="105"/>
        <v>1.0950291841984594</v>
      </c>
      <c r="F391">
        <f t="shared" ca="1" si="106"/>
        <v>0.64013672567683721</v>
      </c>
      <c r="G391">
        <f t="shared" ca="1" si="107"/>
        <v>1</v>
      </c>
      <c r="H391" s="47">
        <f t="shared" ca="1" si="108"/>
        <v>25088.07149839952</v>
      </c>
      <c r="I391">
        <f ca="1">Inputs!B13+(Inputs!D13-Inputs!B13)*BETAINV(RAND(),Model!H7,Model!I7)</f>
        <v>2.1616131436654822</v>
      </c>
      <c r="J391">
        <f ca="1">Inputs!E13+(Inputs!G13-Inputs!E13)*BETAINV(RAND(),Model!J7,Model!K7)</f>
        <v>0.34622159161887522</v>
      </c>
      <c r="K391">
        <f ca="1">(Inputs!H13+(Inputs!J13-Inputs!H13)*BETAINV(RAND(),Model!L7,Model!M7))*Inputs!$C$6</f>
        <v>37444.670561015628</v>
      </c>
      <c r="L391">
        <f t="shared" ca="1" si="109"/>
        <v>0.74839714306414362</v>
      </c>
      <c r="M391">
        <f t="shared" ca="1" si="110"/>
        <v>5.3381756039066919E-2</v>
      </c>
      <c r="N391">
        <f t="shared" ca="1" si="111"/>
        <v>0</v>
      </c>
      <c r="O391" s="47">
        <f t="shared" ca="1" si="112"/>
        <v>0</v>
      </c>
      <c r="P391">
        <f ca="1">Inputs!B14+(Inputs!D14-Inputs!B14)*BETAINV(RAND(),Model!H8,Model!I8)</f>
        <v>0.52397921910329326</v>
      </c>
      <c r="Q391">
        <f ca="1">Inputs!E14+(Inputs!G14-Inputs!E14)*BETAINV(RAND(),Model!J8,Model!K8)</f>
        <v>0.65763651603110618</v>
      </c>
      <c r="R391">
        <f ca="1">(Inputs!H14+(Inputs!J14-Inputs!H14)*BETAINV(RAND(),Model!L8,Model!M8))*Inputs!$C$6</f>
        <v>405164.14804517815</v>
      </c>
      <c r="S391">
        <f t="shared" ca="1" si="113"/>
        <v>0.34458786812378939</v>
      </c>
      <c r="T391">
        <f t="shared" ca="1" si="114"/>
        <v>0.43013668299446162</v>
      </c>
      <c r="U391">
        <f t="shared" ca="1" si="115"/>
        <v>0</v>
      </c>
      <c r="V391" s="47">
        <f t="shared" ca="1" si="116"/>
        <v>0</v>
      </c>
      <c r="W391">
        <f ca="1">Inputs!B15+(Inputs!D15-Inputs!B15)*BETAINV(RAND(),Model!H9,Model!I9)</f>
        <v>1.612319633608257</v>
      </c>
      <c r="X391">
        <f ca="1">Inputs!E15+(Inputs!G15-Inputs!E15)*BETAINV(RAND(),Model!J9,Model!K9)</f>
        <v>0.26715244696010465</v>
      </c>
      <c r="Y391">
        <f ca="1">(Inputs!H15+(Inputs!J15-Inputs!H15)*BETAINV(RAND(),Model!L9,Model!M9))*Inputs!$C$6</f>
        <v>19401.899543377775</v>
      </c>
      <c r="Z391">
        <f t="shared" ca="1" si="117"/>
        <v>0.43073513540026526</v>
      </c>
      <c r="AA391">
        <f t="shared" ca="1" si="118"/>
        <v>0.32942985589826979</v>
      </c>
      <c r="AB391">
        <f t="shared" ca="1" si="119"/>
        <v>0</v>
      </c>
      <c r="AC391" s="47">
        <f t="shared" ca="1" si="120"/>
        <v>0</v>
      </c>
      <c r="AD391">
        <f ca="1">Inputs!B16+(Inputs!D16-Inputs!B16)*BETAINV(RAND(),Model!H10,Model!I10)</f>
        <v>0.47259363908605739</v>
      </c>
      <c r="AE391">
        <f ca="1">Inputs!E16+(Inputs!G16-Inputs!E16)*BETAINV(RAND(),Model!J10,Model!K10)</f>
        <v>0.40994942483979135</v>
      </c>
      <c r="AF391">
        <f ca="1">(Inputs!H16+(Inputs!J16-Inputs!H16)*BETAINV(RAND(),Model!L10,Model!M10))*Inputs!$C$6</f>
        <v>78785.741041985544</v>
      </c>
      <c r="AG391">
        <f t="shared" ca="1" si="121"/>
        <v>0.19373949052627318</v>
      </c>
      <c r="AH391">
        <f t="shared" ca="1" si="122"/>
        <v>0.41661140975484323</v>
      </c>
      <c r="AI391">
        <f t="shared" ca="1" si="123"/>
        <v>0</v>
      </c>
      <c r="AJ391" s="47">
        <f t="shared" ca="1" si="124"/>
        <v>0</v>
      </c>
      <c r="AK391">
        <f t="shared" ca="1" si="125"/>
        <v>25088.07149839952</v>
      </c>
    </row>
    <row r="392" spans="2:37" x14ac:dyDescent="0.2">
      <c r="B392">
        <f ca="1">Inputs!B12+(Inputs!D12-Inputs!B12)*BETAINV(RAND(),Model!H6,Model!I6)</f>
        <v>6.5423148027847926</v>
      </c>
      <c r="C392">
        <f ca="1">Inputs!E12+(Inputs!G12-Inputs!E12)*BETAINV(RAND(),Model!J6,Model!K6)</f>
        <v>0.41801237118347523</v>
      </c>
      <c r="D392">
        <f ca="1">(Inputs!H12+(Inputs!J12-Inputs!H12)*BETAINV(RAND(),Model!L6,Model!M6))*Inputs!$C$6</f>
        <v>11347.183656018811</v>
      </c>
      <c r="E392">
        <f t="shared" ca="1" si="105"/>
        <v>2.7347685237408212</v>
      </c>
      <c r="F392">
        <f t="shared" ca="1" si="106"/>
        <v>0.16215290345288069</v>
      </c>
      <c r="G392">
        <f t="shared" ca="1" si="107"/>
        <v>1</v>
      </c>
      <c r="H392" s="47">
        <f t="shared" ca="1" si="108"/>
        <v>11347.183656018811</v>
      </c>
      <c r="I392">
        <f ca="1">Inputs!B13+(Inputs!D13-Inputs!B13)*BETAINV(RAND(),Model!H7,Model!I7)</f>
        <v>2.3366738280474091</v>
      </c>
      <c r="J392">
        <f ca="1">Inputs!E13+(Inputs!G13-Inputs!E13)*BETAINV(RAND(),Model!J7,Model!K7)</f>
        <v>0.41773317170099133</v>
      </c>
      <c r="K392">
        <f ca="1">(Inputs!H13+(Inputs!J13-Inputs!H13)*BETAINV(RAND(),Model!L7,Model!M7))*Inputs!$C$6</f>
        <v>36041.915096609162</v>
      </c>
      <c r="L392">
        <f t="shared" ca="1" si="109"/>
        <v>0.97610616942094108</v>
      </c>
      <c r="M392">
        <f t="shared" ca="1" si="110"/>
        <v>0.17687820336767712</v>
      </c>
      <c r="N392">
        <f t="shared" ca="1" si="111"/>
        <v>0</v>
      </c>
      <c r="O392" s="47">
        <f t="shared" ca="1" si="112"/>
        <v>0</v>
      </c>
      <c r="P392">
        <f ca="1">Inputs!B14+(Inputs!D14-Inputs!B14)*BETAINV(RAND(),Model!H8,Model!I8)</f>
        <v>0.53320396215861787</v>
      </c>
      <c r="Q392">
        <f ca="1">Inputs!E14+(Inputs!G14-Inputs!E14)*BETAINV(RAND(),Model!J8,Model!K8)</f>
        <v>0.64294179524002648</v>
      </c>
      <c r="R392">
        <f ca="1">(Inputs!H14+(Inputs!J14-Inputs!H14)*BETAINV(RAND(),Model!L8,Model!M8))*Inputs!$C$6</f>
        <v>282536.73206116958</v>
      </c>
      <c r="S392">
        <f t="shared" ca="1" si="113"/>
        <v>0.34281911265935694</v>
      </c>
      <c r="T392">
        <f t="shared" ca="1" si="114"/>
        <v>2.1162072032733903E-2</v>
      </c>
      <c r="U392">
        <f t="shared" ca="1" si="115"/>
        <v>0</v>
      </c>
      <c r="V392" s="47">
        <f t="shared" ca="1" si="116"/>
        <v>0</v>
      </c>
      <c r="W392">
        <f ca="1">Inputs!B15+(Inputs!D15-Inputs!B15)*BETAINV(RAND(),Model!H9,Model!I9)</f>
        <v>2.0619433803451326</v>
      </c>
      <c r="X392">
        <f ca="1">Inputs!E15+(Inputs!G15-Inputs!E15)*BETAINV(RAND(),Model!J9,Model!K9)</f>
        <v>0.46049043782163357</v>
      </c>
      <c r="Y392">
        <f ca="1">(Inputs!H15+(Inputs!J15-Inputs!H15)*BETAINV(RAND(),Model!L9,Model!M9))*Inputs!$C$6</f>
        <v>40358.084044789546</v>
      </c>
      <c r="Z392">
        <f t="shared" ca="1" si="117"/>
        <v>0.94950520997854926</v>
      </c>
      <c r="AA392">
        <f t="shared" ca="1" si="118"/>
        <v>0.72066104653509011</v>
      </c>
      <c r="AB392">
        <f t="shared" ca="1" si="119"/>
        <v>1</v>
      </c>
      <c r="AC392" s="47">
        <f t="shared" ca="1" si="120"/>
        <v>40358.084044789546</v>
      </c>
      <c r="AD392">
        <f ca="1">Inputs!B16+(Inputs!D16-Inputs!B16)*BETAINV(RAND(),Model!H10,Model!I10)</f>
        <v>1.0859704299067183</v>
      </c>
      <c r="AE392">
        <f ca="1">Inputs!E16+(Inputs!G16-Inputs!E16)*BETAINV(RAND(),Model!J10,Model!K10)</f>
        <v>0.58431584957770111</v>
      </c>
      <c r="AF392">
        <f ca="1">(Inputs!H16+(Inputs!J16-Inputs!H16)*BETAINV(RAND(),Model!L10,Model!M10))*Inputs!$C$6</f>
        <v>94237.325965074808</v>
      </c>
      <c r="AG392">
        <f t="shared" ca="1" si="121"/>
        <v>0.63454973436720541</v>
      </c>
      <c r="AH392">
        <f t="shared" ca="1" si="122"/>
        <v>0.82375347231868801</v>
      </c>
      <c r="AI392">
        <f t="shared" ca="1" si="123"/>
        <v>1</v>
      </c>
      <c r="AJ392" s="47">
        <f t="shared" ca="1" si="124"/>
        <v>94237.325965074808</v>
      </c>
      <c r="AK392">
        <f t="shared" ca="1" si="125"/>
        <v>145942.59366588318</v>
      </c>
    </row>
    <row r="393" spans="2:37" x14ac:dyDescent="0.2">
      <c r="B393">
        <f ca="1">Inputs!B12+(Inputs!D12-Inputs!B12)*BETAINV(RAND(),Model!H6,Model!I6)</f>
        <v>1.7906491076702888</v>
      </c>
      <c r="C393">
        <f ca="1">Inputs!E12+(Inputs!G12-Inputs!E12)*BETAINV(RAND(),Model!J6,Model!K6)</f>
        <v>0.36113271890727638</v>
      </c>
      <c r="D393">
        <f ca="1">(Inputs!H12+(Inputs!J12-Inputs!H12)*BETAINV(RAND(),Model!L6,Model!M6))*Inputs!$C$6</f>
        <v>11634.95738846974</v>
      </c>
      <c r="E393">
        <f t="shared" ca="1" si="105"/>
        <v>0.64666198086185966</v>
      </c>
      <c r="F393">
        <f t="shared" ca="1" si="106"/>
        <v>0.65041764560563731</v>
      </c>
      <c r="G393">
        <f t="shared" ca="1" si="107"/>
        <v>1</v>
      </c>
      <c r="H393" s="47">
        <f t="shared" ca="1" si="108"/>
        <v>11634.95738846974</v>
      </c>
      <c r="I393">
        <f ca="1">Inputs!B13+(Inputs!D13-Inputs!B13)*BETAINV(RAND(),Model!H7,Model!I7)</f>
        <v>1.1406149468970079</v>
      </c>
      <c r="J393">
        <f ca="1">Inputs!E13+(Inputs!G13-Inputs!E13)*BETAINV(RAND(),Model!J7,Model!K7)</f>
        <v>0.32870865836308782</v>
      </c>
      <c r="K393">
        <f ca="1">(Inputs!H13+(Inputs!J13-Inputs!H13)*BETAINV(RAND(),Model!L7,Model!M7))*Inputs!$C$6</f>
        <v>50044.311099171631</v>
      </c>
      <c r="L393">
        <f t="shared" ca="1" si="109"/>
        <v>0.37493000890340011</v>
      </c>
      <c r="M393">
        <f t="shared" ca="1" si="110"/>
        <v>0.48645827775324424</v>
      </c>
      <c r="N393">
        <f t="shared" ca="1" si="111"/>
        <v>0</v>
      </c>
      <c r="O393" s="47">
        <f t="shared" ca="1" si="112"/>
        <v>0</v>
      </c>
      <c r="P393">
        <f ca="1">Inputs!B14+(Inputs!D14-Inputs!B14)*BETAINV(RAND(),Model!H8,Model!I8)</f>
        <v>0.33255111232013784</v>
      </c>
      <c r="Q393">
        <f ca="1">Inputs!E14+(Inputs!G14-Inputs!E14)*BETAINV(RAND(),Model!J8,Model!K8)</f>
        <v>0.67283017943299639</v>
      </c>
      <c r="R393">
        <f ca="1">(Inputs!H14+(Inputs!J14-Inputs!H14)*BETAINV(RAND(),Model!L8,Model!M8))*Inputs!$C$6</f>
        <v>416536.06596681703</v>
      </c>
      <c r="S393">
        <f t="shared" ca="1" si="113"/>
        <v>0.22375042457300087</v>
      </c>
      <c r="T393">
        <f t="shared" ca="1" si="114"/>
        <v>0.34319614753892036</v>
      </c>
      <c r="U393">
        <f t="shared" ca="1" si="115"/>
        <v>0</v>
      </c>
      <c r="V393" s="47">
        <f t="shared" ca="1" si="116"/>
        <v>0</v>
      </c>
      <c r="W393">
        <f ca="1">Inputs!B15+(Inputs!D15-Inputs!B15)*BETAINV(RAND(),Model!H9,Model!I9)</f>
        <v>1.6867611876678621</v>
      </c>
      <c r="X393">
        <f ca="1">Inputs!E15+(Inputs!G15-Inputs!E15)*BETAINV(RAND(),Model!J9,Model!K9)</f>
        <v>0.53088125737209135</v>
      </c>
      <c r="Y393">
        <f ca="1">(Inputs!H15+(Inputs!J15-Inputs!H15)*BETAINV(RAND(),Model!L9,Model!M9))*Inputs!$C$6</f>
        <v>28967.618849359707</v>
      </c>
      <c r="Z393">
        <f t="shared" ca="1" si="117"/>
        <v>0.89546990019555683</v>
      </c>
      <c r="AA393">
        <f t="shared" ca="1" si="118"/>
        <v>8.0749431928617055E-2</v>
      </c>
      <c r="AB393">
        <f t="shared" ca="1" si="119"/>
        <v>0</v>
      </c>
      <c r="AC393" s="47">
        <f t="shared" ca="1" si="120"/>
        <v>0</v>
      </c>
      <c r="AD393">
        <f ca="1">Inputs!B16+(Inputs!D16-Inputs!B16)*BETAINV(RAND(),Model!H10,Model!I10)</f>
        <v>0.40216985196155464</v>
      </c>
      <c r="AE393">
        <f ca="1">Inputs!E16+(Inputs!G16-Inputs!E16)*BETAINV(RAND(),Model!J10,Model!K10)</f>
        <v>0.61330535662175822</v>
      </c>
      <c r="AF393">
        <f ca="1">(Inputs!H16+(Inputs!J16-Inputs!H16)*BETAINV(RAND(),Model!L10,Model!M10))*Inputs!$C$6</f>
        <v>97120.00357359671</v>
      </c>
      <c r="AG393">
        <f t="shared" ca="1" si="121"/>
        <v>0.24665292447980097</v>
      </c>
      <c r="AH393">
        <f t="shared" ca="1" si="122"/>
        <v>0.83654928775321458</v>
      </c>
      <c r="AI393">
        <f t="shared" ca="1" si="123"/>
        <v>1</v>
      </c>
      <c r="AJ393" s="47">
        <f t="shared" ca="1" si="124"/>
        <v>97120.00357359671</v>
      </c>
      <c r="AK393">
        <f t="shared" ca="1" si="125"/>
        <v>108754.96096206646</v>
      </c>
    </row>
    <row r="394" spans="2:37" x14ac:dyDescent="0.2">
      <c r="B394">
        <f ca="1">Inputs!B12+(Inputs!D12-Inputs!B12)*BETAINV(RAND(),Model!H6,Model!I6)</f>
        <v>2.2910022456451618</v>
      </c>
      <c r="C394">
        <f ca="1">Inputs!E12+(Inputs!G12-Inputs!E12)*BETAINV(RAND(),Model!J6,Model!K6)</f>
        <v>0.44266952109891144</v>
      </c>
      <c r="D394">
        <f ca="1">(Inputs!H12+(Inputs!J12-Inputs!H12)*BETAINV(RAND(),Model!L6,Model!M6))*Inputs!$C$6</f>
        <v>13878.031237731242</v>
      </c>
      <c r="E394">
        <f t="shared" ca="1" si="105"/>
        <v>1.0141568669162744</v>
      </c>
      <c r="F394">
        <f t="shared" ca="1" si="106"/>
        <v>0.16194384451174393</v>
      </c>
      <c r="G394">
        <f t="shared" ca="1" si="107"/>
        <v>0</v>
      </c>
      <c r="H394" s="47">
        <f t="shared" ca="1" si="108"/>
        <v>0</v>
      </c>
      <c r="I394">
        <f ca="1">Inputs!B13+(Inputs!D13-Inputs!B13)*BETAINV(RAND(),Model!H7,Model!I7)</f>
        <v>1.1634245491774873</v>
      </c>
      <c r="J394">
        <f ca="1">Inputs!E13+(Inputs!G13-Inputs!E13)*BETAINV(RAND(),Model!J7,Model!K7)</f>
        <v>0.27118258567784581</v>
      </c>
      <c r="K394">
        <f ca="1">(Inputs!H13+(Inputs!J13-Inputs!H13)*BETAINV(RAND(),Model!L7,Model!M7))*Inputs!$C$6</f>
        <v>53363.326393755342</v>
      </c>
      <c r="L394">
        <f t="shared" ca="1" si="109"/>
        <v>0.31550047748703308</v>
      </c>
      <c r="M394">
        <f t="shared" ca="1" si="110"/>
        <v>0.50238289666444169</v>
      </c>
      <c r="N394">
        <f t="shared" ca="1" si="111"/>
        <v>0</v>
      </c>
      <c r="O394" s="47">
        <f t="shared" ca="1" si="112"/>
        <v>0</v>
      </c>
      <c r="P394">
        <f ca="1">Inputs!B14+(Inputs!D14-Inputs!B14)*BETAINV(RAND(),Model!H8,Model!I8)</f>
        <v>0.25192138214272264</v>
      </c>
      <c r="Q394">
        <f ca="1">Inputs!E14+(Inputs!G14-Inputs!E14)*BETAINV(RAND(),Model!J8,Model!K8)</f>
        <v>0.58821487532782113</v>
      </c>
      <c r="R394">
        <f ca="1">(Inputs!H14+(Inputs!J14-Inputs!H14)*BETAINV(RAND(),Model!L8,Model!M8))*Inputs!$C$6</f>
        <v>385894.41172485595</v>
      </c>
      <c r="S394">
        <f t="shared" ca="1" si="113"/>
        <v>0.14818390438949397</v>
      </c>
      <c r="T394">
        <f t="shared" ca="1" si="114"/>
        <v>0.92308321010485472</v>
      </c>
      <c r="U394">
        <f t="shared" ca="1" si="115"/>
        <v>1</v>
      </c>
      <c r="V394" s="47">
        <f t="shared" ca="1" si="116"/>
        <v>385894.41172485595</v>
      </c>
      <c r="W394">
        <f ca="1">Inputs!B15+(Inputs!D15-Inputs!B15)*BETAINV(RAND(),Model!H9,Model!I9)</f>
        <v>2.2117396714426549</v>
      </c>
      <c r="X394">
        <f ca="1">Inputs!E15+(Inputs!G15-Inputs!E15)*BETAINV(RAND(),Model!J9,Model!K9)</f>
        <v>0.51321274144980911</v>
      </c>
      <c r="Y394">
        <f ca="1">(Inputs!H15+(Inputs!J15-Inputs!H15)*BETAINV(RAND(),Model!L9,Model!M9))*Inputs!$C$6</f>
        <v>16422.845855737545</v>
      </c>
      <c r="Z394">
        <f t="shared" ca="1" si="117"/>
        <v>1.135092980154385</v>
      </c>
      <c r="AA394">
        <f t="shared" ca="1" si="118"/>
        <v>0.7443889291767386</v>
      </c>
      <c r="AB394">
        <f t="shared" ca="1" si="119"/>
        <v>2</v>
      </c>
      <c r="AC394" s="47">
        <f t="shared" ca="1" si="120"/>
        <v>32845.69171147509</v>
      </c>
      <c r="AD394">
        <f ca="1">Inputs!B16+(Inputs!D16-Inputs!B16)*BETAINV(RAND(),Model!H10,Model!I10)</f>
        <v>0.64388304501369575</v>
      </c>
      <c r="AE394">
        <f ca="1">Inputs!E16+(Inputs!G16-Inputs!E16)*BETAINV(RAND(),Model!J10,Model!K10)</f>
        <v>0.47266164999091426</v>
      </c>
      <c r="AF394">
        <f ca="1">(Inputs!H16+(Inputs!J16-Inputs!H16)*BETAINV(RAND(),Model!L10,Model!M10))*Inputs!$C$6</f>
        <v>99172.776221911321</v>
      </c>
      <c r="AG394">
        <f t="shared" ca="1" si="121"/>
        <v>0.30433882245734756</v>
      </c>
      <c r="AH394">
        <f t="shared" ca="1" si="122"/>
        <v>0.87851904102410494</v>
      </c>
      <c r="AI394">
        <f t="shared" ca="1" si="123"/>
        <v>1</v>
      </c>
      <c r="AJ394" s="47">
        <f t="shared" ca="1" si="124"/>
        <v>99172.776221911321</v>
      </c>
      <c r="AK394">
        <f t="shared" ca="1" si="125"/>
        <v>517912.87965824234</v>
      </c>
    </row>
    <row r="395" spans="2:37" x14ac:dyDescent="0.2">
      <c r="B395">
        <f ca="1">Inputs!B12+(Inputs!D12-Inputs!B12)*BETAINV(RAND(),Model!H6,Model!I6)</f>
        <v>3.4112239400176261</v>
      </c>
      <c r="C395">
        <f ca="1">Inputs!E12+(Inputs!G12-Inputs!E12)*BETAINV(RAND(),Model!J6,Model!K6)</f>
        <v>0.4205836350734129</v>
      </c>
      <c r="D395">
        <f ca="1">(Inputs!H12+(Inputs!J12-Inputs!H12)*BETAINV(RAND(),Model!L6,Model!M6))*Inputs!$C$6</f>
        <v>18294.703551532075</v>
      </c>
      <c r="E395">
        <f t="shared" ca="1" si="105"/>
        <v>1.4347049647420629</v>
      </c>
      <c r="F395">
        <f t="shared" ca="1" si="106"/>
        <v>0.33931299783480495</v>
      </c>
      <c r="G395">
        <f t="shared" ca="1" si="107"/>
        <v>1</v>
      </c>
      <c r="H395" s="47">
        <f t="shared" ca="1" si="108"/>
        <v>18294.703551532075</v>
      </c>
      <c r="I395">
        <f ca="1">Inputs!B13+(Inputs!D13-Inputs!B13)*BETAINV(RAND(),Model!H7,Model!I7)</f>
        <v>1.0168921663031836</v>
      </c>
      <c r="J395">
        <f ca="1">Inputs!E13+(Inputs!G13-Inputs!E13)*BETAINV(RAND(),Model!J7,Model!K7)</f>
        <v>0.18587722658777375</v>
      </c>
      <c r="K395">
        <f ca="1">(Inputs!H13+(Inputs!J13-Inputs!H13)*BETAINV(RAND(),Model!L7,Model!M7))*Inputs!$C$6</f>
        <v>57571.32158196711</v>
      </c>
      <c r="L395">
        <f t="shared" ca="1" si="109"/>
        <v>0.18901709561126898</v>
      </c>
      <c r="M395">
        <f t="shared" ca="1" si="110"/>
        <v>0.27152823451993768</v>
      </c>
      <c r="N395">
        <f t="shared" ca="1" si="111"/>
        <v>0</v>
      </c>
      <c r="O395" s="47">
        <f t="shared" ca="1" si="112"/>
        <v>0</v>
      </c>
      <c r="P395">
        <f ca="1">Inputs!B14+(Inputs!D14-Inputs!B14)*BETAINV(RAND(),Model!H8,Model!I8)</f>
        <v>0.23695860174227829</v>
      </c>
      <c r="Q395">
        <f ca="1">Inputs!E14+(Inputs!G14-Inputs!E14)*BETAINV(RAND(),Model!J8,Model!K8)</f>
        <v>0.82908694338835898</v>
      </c>
      <c r="R395">
        <f ca="1">(Inputs!H14+(Inputs!J14-Inputs!H14)*BETAINV(RAND(),Model!L8,Model!M8))*Inputs!$C$6</f>
        <v>427979.39213379804</v>
      </c>
      <c r="S395">
        <f t="shared" ca="1" si="113"/>
        <v>0.19645928282808497</v>
      </c>
      <c r="T395">
        <f t="shared" ca="1" si="114"/>
        <v>0.1592032242639696</v>
      </c>
      <c r="U395">
        <f t="shared" ca="1" si="115"/>
        <v>0</v>
      </c>
      <c r="V395" s="47">
        <f t="shared" ca="1" si="116"/>
        <v>0</v>
      </c>
      <c r="W395">
        <f ca="1">Inputs!B15+(Inputs!D15-Inputs!B15)*BETAINV(RAND(),Model!H9,Model!I9)</f>
        <v>0.80045638559274268</v>
      </c>
      <c r="X395">
        <f ca="1">Inputs!E15+(Inputs!G15-Inputs!E15)*BETAINV(RAND(),Model!J9,Model!K9)</f>
        <v>0.32548940284394334</v>
      </c>
      <c r="Y395">
        <f ca="1">(Inputs!H15+(Inputs!J15-Inputs!H15)*BETAINV(RAND(),Model!L9,Model!M9))*Inputs!$C$6</f>
        <v>13466.111764713427</v>
      </c>
      <c r="Z395">
        <f t="shared" ca="1" si="117"/>
        <v>0.26054007094920306</v>
      </c>
      <c r="AA395">
        <f t="shared" ca="1" si="118"/>
        <v>0.2797701818296211</v>
      </c>
      <c r="AB395">
        <f t="shared" ca="1" si="119"/>
        <v>0</v>
      </c>
      <c r="AC395" s="47">
        <f t="shared" ca="1" si="120"/>
        <v>0</v>
      </c>
      <c r="AD395">
        <f ca="1">Inputs!B16+(Inputs!D16-Inputs!B16)*BETAINV(RAND(),Model!H10,Model!I10)</f>
        <v>0.82492552335566982</v>
      </c>
      <c r="AE395">
        <f ca="1">Inputs!E16+(Inputs!G16-Inputs!E16)*BETAINV(RAND(),Model!J10,Model!K10)</f>
        <v>0.50128167801134882</v>
      </c>
      <c r="AF395">
        <f ca="1">(Inputs!H16+(Inputs!J16-Inputs!H16)*BETAINV(RAND(),Model!L10,Model!M10))*Inputs!$C$6</f>
        <v>79225.501822313207</v>
      </c>
      <c r="AG395">
        <f t="shared" ca="1" si="121"/>
        <v>0.41352005058212027</v>
      </c>
      <c r="AH395">
        <f t="shared" ca="1" si="122"/>
        <v>0.37503461380345082</v>
      </c>
      <c r="AI395">
        <f t="shared" ca="1" si="123"/>
        <v>0</v>
      </c>
      <c r="AJ395" s="47">
        <f t="shared" ca="1" si="124"/>
        <v>0</v>
      </c>
      <c r="AK395">
        <f t="shared" ca="1" si="125"/>
        <v>18294.703551532075</v>
      </c>
    </row>
    <row r="396" spans="2:37" x14ac:dyDescent="0.2">
      <c r="B396">
        <f ca="1">Inputs!B12+(Inputs!D12-Inputs!B12)*BETAINV(RAND(),Model!H6,Model!I6)</f>
        <v>4.8106814636185655</v>
      </c>
      <c r="C396">
        <f ca="1">Inputs!E12+(Inputs!G12-Inputs!E12)*BETAINV(RAND(),Model!J6,Model!K6)</f>
        <v>0.21281335384402411</v>
      </c>
      <c r="D396">
        <f ca="1">(Inputs!H12+(Inputs!J12-Inputs!H12)*BETAINV(RAND(),Model!L6,Model!M6))*Inputs!$C$6</f>
        <v>16036.254547250719</v>
      </c>
      <c r="E396">
        <f t="shared" ref="E396:E459" ca="1" si="126">B396*C396</f>
        <v>1.0237772565479455</v>
      </c>
      <c r="F396">
        <f t="shared" ref="F396:F459" ca="1" si="127">RAND()</f>
        <v>0.19152897788154855</v>
      </c>
      <c r="G396">
        <f t="shared" ref="G396:G459" ca="1" si="128">IF(F396&lt;EXP(-E396),0,IF(F396&lt;EXP(-E396)*(1+E396),1,IF(F396&lt;EXP(-E396)*(1+E396+E396^2/2),2,IF(F396&lt;EXP(-E396)*(1+E396+E396^2/2+E396^3/6),3,4))))</f>
        <v>0</v>
      </c>
      <c r="H396" s="47">
        <f t="shared" ref="H396:H459" ca="1" si="129">G396*D396</f>
        <v>0</v>
      </c>
      <c r="I396">
        <f ca="1">Inputs!B13+(Inputs!D13-Inputs!B13)*BETAINV(RAND(),Model!H7,Model!I7)</f>
        <v>2.2351185034698862</v>
      </c>
      <c r="J396">
        <f ca="1">Inputs!E13+(Inputs!G13-Inputs!E13)*BETAINV(RAND(),Model!J7,Model!K7)</f>
        <v>0.16132274539091451</v>
      </c>
      <c r="K396">
        <f ca="1">(Inputs!H13+(Inputs!J13-Inputs!H13)*BETAINV(RAND(),Model!L7,Model!M7))*Inputs!$C$6</f>
        <v>35483.726281920717</v>
      </c>
      <c r="L396">
        <f t="shared" ref="L396:L459" ca="1" si="130">I396*J396</f>
        <v>0.36057545325379431</v>
      </c>
      <c r="M396">
        <f t="shared" ref="M396:M459" ca="1" si="131">RAND()</f>
        <v>0.68010689315669137</v>
      </c>
      <c r="N396">
        <f t="shared" ref="N396:N459" ca="1" si="132">IF(M396&lt;EXP(-L396),0,IF(M396&lt;EXP(-L396)*(1+L396),1,IF(M396&lt;EXP(-L396)*(1+L396+L396^2/2),2,IF(M396&lt;EXP(-L396)*(1+L396+L396^2/2+L396^3/6),3,4))))</f>
        <v>0</v>
      </c>
      <c r="O396" s="47">
        <f t="shared" ref="O396:O459" ca="1" si="133">N396*K396</f>
        <v>0</v>
      </c>
      <c r="P396">
        <f ca="1">Inputs!B14+(Inputs!D14-Inputs!B14)*BETAINV(RAND(),Model!H8,Model!I8)</f>
        <v>0.16140060700225917</v>
      </c>
      <c r="Q396">
        <f ca="1">Inputs!E14+(Inputs!G14-Inputs!E14)*BETAINV(RAND(),Model!J8,Model!K8)</f>
        <v>0.59451480710204962</v>
      </c>
      <c r="R396">
        <f ca="1">(Inputs!H14+(Inputs!J14-Inputs!H14)*BETAINV(RAND(),Model!L8,Model!M8))*Inputs!$C$6</f>
        <v>350177.8741917981</v>
      </c>
      <c r="S396">
        <f t="shared" ref="S396:S459" ca="1" si="134">P396*Q396</f>
        <v>9.595505073810183E-2</v>
      </c>
      <c r="T396">
        <f t="shared" ref="T396:T459" ca="1" si="135">RAND()</f>
        <v>0.82558054565955874</v>
      </c>
      <c r="U396">
        <f t="shared" ref="U396:U459" ca="1" si="136">IF(T396&lt;EXP(-S396),0,IF(T396&lt;EXP(-S396)*(1+S396),1,IF(T396&lt;EXP(-S396)*(1+S396+S396^2/2),2,IF(T396&lt;EXP(-S396)*(1+S396+S396^2/2+S396^3/6),3,4))))</f>
        <v>0</v>
      </c>
      <c r="V396" s="47">
        <f t="shared" ref="V396:V459" ca="1" si="137">U396*R396</f>
        <v>0</v>
      </c>
      <c r="W396">
        <f ca="1">Inputs!B15+(Inputs!D15-Inputs!B15)*BETAINV(RAND(),Model!H9,Model!I9)</f>
        <v>1.5971385685716526</v>
      </c>
      <c r="X396">
        <f ca="1">Inputs!E15+(Inputs!G15-Inputs!E15)*BETAINV(RAND(),Model!J9,Model!K9)</f>
        <v>0.50548241763038537</v>
      </c>
      <c r="Y396">
        <f ca="1">(Inputs!H15+(Inputs!J15-Inputs!H15)*BETAINV(RAND(),Model!L9,Model!M9))*Inputs!$C$6</f>
        <v>54380.085092789821</v>
      </c>
      <c r="Z396">
        <f t="shared" ref="Z396:Z459" ca="1" si="138">W396*X396</f>
        <v>0.80732546493233204</v>
      </c>
      <c r="AA396">
        <f t="shared" ref="AA396:AA459" ca="1" si="139">RAND()</f>
        <v>2.2904170069673047E-3</v>
      </c>
      <c r="AB396">
        <f t="shared" ref="AB396:AB459" ca="1" si="140">IF(AA396&lt;EXP(-Z396),0,IF(AA396&lt;EXP(-Z396)*(1+Z396),1,IF(AA396&lt;EXP(-Z396)*(1+Z396+Z396^2/2),2,IF(AA396&lt;EXP(-Z396)*(1+Z396+Z396^2/2+Z396^3/6),3,4))))</f>
        <v>0</v>
      </c>
      <c r="AC396" s="47">
        <f t="shared" ref="AC396:AC459" ca="1" si="141">AB396*Y396</f>
        <v>0</v>
      </c>
      <c r="AD396">
        <f ca="1">Inputs!B16+(Inputs!D16-Inputs!B16)*BETAINV(RAND(),Model!H10,Model!I10)</f>
        <v>0.5914132584420968</v>
      </c>
      <c r="AE396">
        <f ca="1">Inputs!E16+(Inputs!G16-Inputs!E16)*BETAINV(RAND(),Model!J10,Model!K10)</f>
        <v>0.59704536761798022</v>
      </c>
      <c r="AF396">
        <f ca="1">(Inputs!H16+(Inputs!J16-Inputs!H16)*BETAINV(RAND(),Model!L10,Model!M10))*Inputs!$C$6</f>
        <v>130180.4545385848</v>
      </c>
      <c r="AG396">
        <f t="shared" ref="AG396:AG459" ca="1" si="142">AD396*AE396</f>
        <v>0.35310054630070925</v>
      </c>
      <c r="AH396">
        <f t="shared" ref="AH396:AH459" ca="1" si="143">RAND()</f>
        <v>0.52778090305500647</v>
      </c>
      <c r="AI396">
        <f t="shared" ref="AI396:AI459" ca="1" si="144">IF(AH396&lt;EXP(-AG396),0,IF(AH396&lt;EXP(-AG396)*(1+AG396),1,IF(AH396&lt;EXP(-AG396)*(1+AG396+AG396^2/2),2,IF(AH396&lt;EXP(-AG396)*(1+AG396+AG396^2/2+AG396^3/6),3,4))))</f>
        <v>0</v>
      </c>
      <c r="AJ396" s="47">
        <f t="shared" ref="AJ396:AJ459" ca="1" si="145">AI396*AF396</f>
        <v>0</v>
      </c>
      <c r="AK396">
        <f t="shared" ref="AK396:AK459" ca="1" si="146">H396+O396+V396+AC396+AJ396</f>
        <v>0</v>
      </c>
    </row>
    <row r="397" spans="2:37" x14ac:dyDescent="0.2">
      <c r="B397">
        <f ca="1">Inputs!B12+(Inputs!D12-Inputs!B12)*BETAINV(RAND(),Model!H6,Model!I6)</f>
        <v>5.8524184417488634</v>
      </c>
      <c r="C397">
        <f ca="1">Inputs!E12+(Inputs!G12-Inputs!E12)*BETAINV(RAND(),Model!J6,Model!K6)</f>
        <v>0.32051023075914481</v>
      </c>
      <c r="D397">
        <f ca="1">(Inputs!H12+(Inputs!J12-Inputs!H12)*BETAINV(RAND(),Model!L6,Model!M6))*Inputs!$C$6</f>
        <v>28383.732255136925</v>
      </c>
      <c r="E397">
        <f t="shared" ca="1" si="126"/>
        <v>1.8757599852640028</v>
      </c>
      <c r="F397">
        <f t="shared" ca="1" si="127"/>
        <v>0.13879712165583113</v>
      </c>
      <c r="G397">
        <f t="shared" ca="1" si="128"/>
        <v>0</v>
      </c>
      <c r="H397" s="47">
        <f t="shared" ca="1" si="129"/>
        <v>0</v>
      </c>
      <c r="I397">
        <f ca="1">Inputs!B13+(Inputs!D13-Inputs!B13)*BETAINV(RAND(),Model!H7,Model!I7)</f>
        <v>1.280672998850976</v>
      </c>
      <c r="J397">
        <f ca="1">Inputs!E13+(Inputs!G13-Inputs!E13)*BETAINV(RAND(),Model!J7,Model!K7)</f>
        <v>0.20163912794680605</v>
      </c>
      <c r="K397">
        <f ca="1">(Inputs!H13+(Inputs!J13-Inputs!H13)*BETAINV(RAND(),Model!L7,Model!M7))*Inputs!$C$6</f>
        <v>15470.158733504242</v>
      </c>
      <c r="L397">
        <f t="shared" ca="1" si="130"/>
        <v>0.25823378667333174</v>
      </c>
      <c r="M397">
        <f t="shared" ca="1" si="131"/>
        <v>0.45309436606557485</v>
      </c>
      <c r="N397">
        <f t="shared" ca="1" si="132"/>
        <v>0</v>
      </c>
      <c r="O397" s="47">
        <f t="shared" ca="1" si="133"/>
        <v>0</v>
      </c>
      <c r="P397">
        <f ca="1">Inputs!B14+(Inputs!D14-Inputs!B14)*BETAINV(RAND(),Model!H8,Model!I8)</f>
        <v>0.20028653026555532</v>
      </c>
      <c r="Q397">
        <f ca="1">Inputs!E14+(Inputs!G14-Inputs!E14)*BETAINV(RAND(),Model!J8,Model!K8)</f>
        <v>0.58014244437973594</v>
      </c>
      <c r="R397">
        <f ca="1">(Inputs!H14+(Inputs!J14-Inputs!H14)*BETAINV(RAND(),Model!L8,Model!M8))*Inputs!$C$6</f>
        <v>301670.80523821781</v>
      </c>
      <c r="S397">
        <f t="shared" ca="1" si="134"/>
        <v>0.11619471724459522</v>
      </c>
      <c r="T397">
        <f t="shared" ca="1" si="135"/>
        <v>0.69747436307834398</v>
      </c>
      <c r="U397">
        <f t="shared" ca="1" si="136"/>
        <v>0</v>
      </c>
      <c r="V397" s="47">
        <f t="shared" ca="1" si="137"/>
        <v>0</v>
      </c>
      <c r="W397">
        <f ca="1">Inputs!B15+(Inputs!D15-Inputs!B15)*BETAINV(RAND(),Model!H9,Model!I9)</f>
        <v>0.51475575406680329</v>
      </c>
      <c r="X397">
        <f ca="1">Inputs!E15+(Inputs!G15-Inputs!E15)*BETAINV(RAND(),Model!J9,Model!K9)</f>
        <v>0.36561752222323418</v>
      </c>
      <c r="Y397">
        <f ca="1">(Inputs!H15+(Inputs!J15-Inputs!H15)*BETAINV(RAND(),Model!L9,Model!M9))*Inputs!$C$6</f>
        <v>55770.779759786288</v>
      </c>
      <c r="Z397">
        <f t="shared" ca="1" si="138"/>
        <v>0.18820372335205712</v>
      </c>
      <c r="AA397">
        <f t="shared" ca="1" si="139"/>
        <v>0.89696003808314662</v>
      </c>
      <c r="AB397">
        <f t="shared" ca="1" si="140"/>
        <v>1</v>
      </c>
      <c r="AC397" s="47">
        <f t="shared" ca="1" si="141"/>
        <v>55770.779759786288</v>
      </c>
      <c r="AD397">
        <f ca="1">Inputs!B16+(Inputs!D16-Inputs!B16)*BETAINV(RAND(),Model!H10,Model!I10)</f>
        <v>0.32017226060107234</v>
      </c>
      <c r="AE397">
        <f ca="1">Inputs!E16+(Inputs!G16-Inputs!E16)*BETAINV(RAND(),Model!J10,Model!K10)</f>
        <v>0.65912780472700672</v>
      </c>
      <c r="AF397">
        <f ca="1">(Inputs!H16+(Inputs!J16-Inputs!H16)*BETAINV(RAND(),Model!L10,Model!M10))*Inputs!$C$6</f>
        <v>39871.197476392888</v>
      </c>
      <c r="AG397">
        <f t="shared" ca="1" si="142"/>
        <v>0.21103443926446791</v>
      </c>
      <c r="AH397">
        <f t="shared" ca="1" si="143"/>
        <v>0.55936582363690568</v>
      </c>
      <c r="AI397">
        <f t="shared" ca="1" si="144"/>
        <v>0</v>
      </c>
      <c r="AJ397" s="47">
        <f t="shared" ca="1" si="145"/>
        <v>0</v>
      </c>
      <c r="AK397">
        <f t="shared" ca="1" si="146"/>
        <v>55770.779759786288</v>
      </c>
    </row>
    <row r="398" spans="2:37" x14ac:dyDescent="0.2">
      <c r="B398">
        <f ca="1">Inputs!B12+(Inputs!D12-Inputs!B12)*BETAINV(RAND(),Model!H6,Model!I6)</f>
        <v>6.392860247839268</v>
      </c>
      <c r="C398">
        <f ca="1">Inputs!E12+(Inputs!G12-Inputs!E12)*BETAINV(RAND(),Model!J6,Model!K6)</f>
        <v>0.43831009589834757</v>
      </c>
      <c r="D398">
        <f ca="1">(Inputs!H12+(Inputs!J12-Inputs!H12)*BETAINV(RAND(),Model!L6,Model!M6))*Inputs!$C$6</f>
        <v>46491.478431294454</v>
      </c>
      <c r="E398">
        <f t="shared" ca="1" si="126"/>
        <v>2.8020551882951636</v>
      </c>
      <c r="F398">
        <f t="shared" ca="1" si="127"/>
        <v>0.88384613224670705</v>
      </c>
      <c r="G398">
        <f t="shared" ca="1" si="128"/>
        <v>4</v>
      </c>
      <c r="H398" s="47">
        <f t="shared" ca="1" si="129"/>
        <v>185965.91372517782</v>
      </c>
      <c r="I398">
        <f ca="1">Inputs!B13+(Inputs!D13-Inputs!B13)*BETAINV(RAND(),Model!H7,Model!I7)</f>
        <v>2.5824963423172718</v>
      </c>
      <c r="J398">
        <f ca="1">Inputs!E13+(Inputs!G13-Inputs!E13)*BETAINV(RAND(),Model!J7,Model!K7)</f>
        <v>0.31851633935583934</v>
      </c>
      <c r="K398">
        <f ca="1">(Inputs!H13+(Inputs!J13-Inputs!H13)*BETAINV(RAND(),Model!L7,Model!M7))*Inputs!$C$6</f>
        <v>20097.50063188994</v>
      </c>
      <c r="L398">
        <f t="shared" ca="1" si="130"/>
        <v>0.822567281354742</v>
      </c>
      <c r="M398">
        <f t="shared" ca="1" si="131"/>
        <v>0.65421052829457738</v>
      </c>
      <c r="N398">
        <f t="shared" ca="1" si="132"/>
        <v>1</v>
      </c>
      <c r="O398" s="47">
        <f t="shared" ca="1" si="133"/>
        <v>20097.50063188994</v>
      </c>
      <c r="P398">
        <f ca="1">Inputs!B14+(Inputs!D14-Inputs!B14)*BETAINV(RAND(),Model!H8,Model!I8)</f>
        <v>0.14090457066576287</v>
      </c>
      <c r="Q398">
        <f ca="1">Inputs!E14+(Inputs!G14-Inputs!E14)*BETAINV(RAND(),Model!J8,Model!K8)</f>
        <v>0.4595009091764341</v>
      </c>
      <c r="R398">
        <f ca="1">(Inputs!H14+(Inputs!J14-Inputs!H14)*BETAINV(RAND(),Model!L8,Model!M8))*Inputs!$C$6</f>
        <v>377582.77646742435</v>
      </c>
      <c r="S398">
        <f t="shared" ca="1" si="134"/>
        <v>6.4745778328033146E-2</v>
      </c>
      <c r="T398">
        <f t="shared" ca="1" si="135"/>
        <v>0.45021866681875078</v>
      </c>
      <c r="U398">
        <f t="shared" ca="1" si="136"/>
        <v>0</v>
      </c>
      <c r="V398" s="47">
        <f t="shared" ca="1" si="137"/>
        <v>0</v>
      </c>
      <c r="W398">
        <f ca="1">Inputs!B15+(Inputs!D15-Inputs!B15)*BETAINV(RAND(),Model!H9,Model!I9)</f>
        <v>1.2738485712316077</v>
      </c>
      <c r="X398">
        <f ca="1">Inputs!E15+(Inputs!G15-Inputs!E15)*BETAINV(RAND(),Model!J9,Model!K9)</f>
        <v>0.33027840470565173</v>
      </c>
      <c r="Y398">
        <f ca="1">(Inputs!H15+(Inputs!J15-Inputs!H15)*BETAINV(RAND(),Model!L9,Model!M9))*Inputs!$C$6</f>
        <v>12139.655749387821</v>
      </c>
      <c r="Z398">
        <f t="shared" ca="1" si="138"/>
        <v>0.42072467394294916</v>
      </c>
      <c r="AA398">
        <f t="shared" ca="1" si="139"/>
        <v>7.4811882721561695E-2</v>
      </c>
      <c r="AB398">
        <f t="shared" ca="1" si="140"/>
        <v>0</v>
      </c>
      <c r="AC398" s="47">
        <f t="shared" ca="1" si="141"/>
        <v>0</v>
      </c>
      <c r="AD398">
        <f ca="1">Inputs!B16+(Inputs!D16-Inputs!B16)*BETAINV(RAND(),Model!H10,Model!I10)</f>
        <v>0.49744029847903393</v>
      </c>
      <c r="AE398">
        <f ca="1">Inputs!E16+(Inputs!G16-Inputs!E16)*BETAINV(RAND(),Model!J10,Model!K10)</f>
        <v>0.68907112427519968</v>
      </c>
      <c r="AF398">
        <f ca="1">(Inputs!H16+(Inputs!J16-Inputs!H16)*BETAINV(RAND(),Model!L10,Model!M10))*Inputs!$C$6</f>
        <v>121652.30999965384</v>
      </c>
      <c r="AG398">
        <f t="shared" ca="1" si="142"/>
        <v>0.34277174573273883</v>
      </c>
      <c r="AH398">
        <f t="shared" ca="1" si="143"/>
        <v>0.97077559084165099</v>
      </c>
      <c r="AI398">
        <f t="shared" ca="1" si="144"/>
        <v>2</v>
      </c>
      <c r="AJ398" s="47">
        <f t="shared" ca="1" si="145"/>
        <v>243304.61999930767</v>
      </c>
      <c r="AK398">
        <f t="shared" ca="1" si="146"/>
        <v>449368.03435637546</v>
      </c>
    </row>
    <row r="399" spans="2:37" x14ac:dyDescent="0.2">
      <c r="B399">
        <f ca="1">Inputs!B12+(Inputs!D12-Inputs!B12)*BETAINV(RAND(),Model!H6,Model!I6)</f>
        <v>2.7392959399083256</v>
      </c>
      <c r="C399">
        <f ca="1">Inputs!E12+(Inputs!G12-Inputs!E12)*BETAINV(RAND(),Model!J6,Model!K6)</f>
        <v>0.26871581061462974</v>
      </c>
      <c r="D399">
        <f ca="1">(Inputs!H12+(Inputs!J12-Inputs!H12)*BETAINV(RAND(),Model!L6,Model!M6))*Inputs!$C$6</f>
        <v>36738.63750159886</v>
      </c>
      <c r="E399">
        <f t="shared" ca="1" si="126"/>
        <v>0.73609212900582977</v>
      </c>
      <c r="F399">
        <f t="shared" ca="1" si="127"/>
        <v>0.30846002920774895</v>
      </c>
      <c r="G399">
        <f t="shared" ca="1" si="128"/>
        <v>0</v>
      </c>
      <c r="H399" s="47">
        <f t="shared" ca="1" si="129"/>
        <v>0</v>
      </c>
      <c r="I399">
        <f ca="1">Inputs!B13+(Inputs!D13-Inputs!B13)*BETAINV(RAND(),Model!H7,Model!I7)</f>
        <v>1.7920863963457065</v>
      </c>
      <c r="J399">
        <f ca="1">Inputs!E13+(Inputs!G13-Inputs!E13)*BETAINV(RAND(),Model!J7,Model!K7)</f>
        <v>0.23921554418318702</v>
      </c>
      <c r="K399">
        <f ca="1">(Inputs!H13+(Inputs!J13-Inputs!H13)*BETAINV(RAND(),Model!L7,Model!M7))*Inputs!$C$6</f>
        <v>15267.962320273515</v>
      </c>
      <c r="L399">
        <f t="shared" ca="1" si="130"/>
        <v>0.42869492252512476</v>
      </c>
      <c r="M399">
        <f t="shared" ca="1" si="131"/>
        <v>0.77441306269932797</v>
      </c>
      <c r="N399">
        <f t="shared" ca="1" si="132"/>
        <v>1</v>
      </c>
      <c r="O399" s="47">
        <f t="shared" ca="1" si="133"/>
        <v>15267.962320273515</v>
      </c>
      <c r="P399">
        <f ca="1">Inputs!B14+(Inputs!D14-Inputs!B14)*BETAINV(RAND(),Model!H8,Model!I8)</f>
        <v>0.14628096901545384</v>
      </c>
      <c r="Q399">
        <f ca="1">Inputs!E14+(Inputs!G14-Inputs!E14)*BETAINV(RAND(),Model!J8,Model!K8)</f>
        <v>0.75366835525713949</v>
      </c>
      <c r="R399">
        <f ca="1">(Inputs!H14+(Inputs!J14-Inputs!H14)*BETAINV(RAND(),Model!L8,Model!M8))*Inputs!$C$6</f>
        <v>214097.62164619248</v>
      </c>
      <c r="S399">
        <f t="shared" ca="1" si="134"/>
        <v>0.11024733732329768</v>
      </c>
      <c r="T399">
        <f t="shared" ca="1" si="135"/>
        <v>0.5620151193066486</v>
      </c>
      <c r="U399">
        <f t="shared" ca="1" si="136"/>
        <v>0</v>
      </c>
      <c r="V399" s="47">
        <f t="shared" ca="1" si="137"/>
        <v>0</v>
      </c>
      <c r="W399">
        <f ca="1">Inputs!B15+(Inputs!D15-Inputs!B15)*BETAINV(RAND(),Model!H9,Model!I9)</f>
        <v>1.2354963913587633</v>
      </c>
      <c r="X399">
        <f ca="1">Inputs!E15+(Inputs!G15-Inputs!E15)*BETAINV(RAND(),Model!J9,Model!K9)</f>
        <v>0.32966636489830548</v>
      </c>
      <c r="Y399">
        <f ca="1">(Inputs!H15+(Inputs!J15-Inputs!H15)*BETAINV(RAND(),Model!L9,Model!M9))*Inputs!$C$6</f>
        <v>19633.877616983511</v>
      </c>
      <c r="Z399">
        <f t="shared" ca="1" si="138"/>
        <v>0.40730160418421768</v>
      </c>
      <c r="AA399">
        <f t="shared" ca="1" si="139"/>
        <v>0.69377317043994058</v>
      </c>
      <c r="AB399">
        <f t="shared" ca="1" si="140"/>
        <v>1</v>
      </c>
      <c r="AC399" s="47">
        <f t="shared" ca="1" si="141"/>
        <v>19633.877616983511</v>
      </c>
      <c r="AD399">
        <f ca="1">Inputs!B16+(Inputs!D16-Inputs!B16)*BETAINV(RAND(),Model!H10,Model!I10)</f>
        <v>0.74998326378177738</v>
      </c>
      <c r="AE399">
        <f ca="1">Inputs!E16+(Inputs!G16-Inputs!E16)*BETAINV(RAND(),Model!J10,Model!K10)</f>
        <v>0.6622449926514522</v>
      </c>
      <c r="AF399">
        <f ca="1">(Inputs!H16+(Inputs!J16-Inputs!H16)*BETAINV(RAND(),Model!L10,Model!M10))*Inputs!$C$6</f>
        <v>109540.52805516603</v>
      </c>
      <c r="AG399">
        <f t="shared" ca="1" si="142"/>
        <v>0.49667266101187529</v>
      </c>
      <c r="AH399">
        <f t="shared" ca="1" si="143"/>
        <v>0.23494930568709183</v>
      </c>
      <c r="AI399">
        <f t="shared" ca="1" si="144"/>
        <v>0</v>
      </c>
      <c r="AJ399" s="47">
        <f t="shared" ca="1" si="145"/>
        <v>0</v>
      </c>
      <c r="AK399">
        <f t="shared" ca="1" si="146"/>
        <v>34901.839937257027</v>
      </c>
    </row>
    <row r="400" spans="2:37" x14ac:dyDescent="0.2">
      <c r="B400">
        <f ca="1">Inputs!B12+(Inputs!D12-Inputs!B12)*BETAINV(RAND(),Model!H6,Model!I6)</f>
        <v>4.0663825286783295</v>
      </c>
      <c r="C400">
        <f ca="1">Inputs!E12+(Inputs!G12-Inputs!E12)*BETAINV(RAND(),Model!J6,Model!K6)</f>
        <v>0.45006455201631457</v>
      </c>
      <c r="D400">
        <f ca="1">(Inputs!H12+(Inputs!J12-Inputs!H12)*BETAINV(RAND(),Model!L6,Model!M6))*Inputs!$C$6</f>
        <v>56197.972799868105</v>
      </c>
      <c r="E400">
        <f t="shared" ca="1" si="126"/>
        <v>1.8301346310965807</v>
      </c>
      <c r="F400">
        <f t="shared" ca="1" si="127"/>
        <v>0.98123522694184384</v>
      </c>
      <c r="G400">
        <f t="shared" ca="1" si="128"/>
        <v>4</v>
      </c>
      <c r="H400" s="47">
        <f t="shared" ca="1" si="129"/>
        <v>224791.89119947242</v>
      </c>
      <c r="I400">
        <f ca="1">Inputs!B13+(Inputs!D13-Inputs!B13)*BETAINV(RAND(),Model!H7,Model!I7)</f>
        <v>0.89213322469170864</v>
      </c>
      <c r="J400">
        <f ca="1">Inputs!E13+(Inputs!G13-Inputs!E13)*BETAINV(RAND(),Model!J7,Model!K7)</f>
        <v>0.34187293503918303</v>
      </c>
      <c r="K400">
        <f ca="1">(Inputs!H13+(Inputs!J13-Inputs!H13)*BETAINV(RAND(),Model!L7,Model!M7))*Inputs!$C$6</f>
        <v>42984.270948809004</v>
      </c>
      <c r="L400">
        <f t="shared" ca="1" si="130"/>
        <v>0.30499620397132537</v>
      </c>
      <c r="M400">
        <f t="shared" ca="1" si="131"/>
        <v>1.58076970868537E-3</v>
      </c>
      <c r="N400">
        <f t="shared" ca="1" si="132"/>
        <v>0</v>
      </c>
      <c r="O400" s="47">
        <f t="shared" ca="1" si="133"/>
        <v>0</v>
      </c>
      <c r="P400">
        <f ca="1">Inputs!B14+(Inputs!D14-Inputs!B14)*BETAINV(RAND(),Model!H8,Model!I8)</f>
        <v>0.2297946090227731</v>
      </c>
      <c r="Q400">
        <f ca="1">Inputs!E14+(Inputs!G14-Inputs!E14)*BETAINV(RAND(),Model!J8,Model!K8)</f>
        <v>0.8062242624928313</v>
      </c>
      <c r="R400">
        <f ca="1">(Inputs!H14+(Inputs!J14-Inputs!H14)*BETAINV(RAND(),Model!L8,Model!M8))*Inputs!$C$6</f>
        <v>317732.00277052773</v>
      </c>
      <c r="S400">
        <f t="shared" ca="1" si="134"/>
        <v>0.18526598918421375</v>
      </c>
      <c r="T400">
        <f t="shared" ca="1" si="135"/>
        <v>2.881147952968266E-2</v>
      </c>
      <c r="U400">
        <f t="shared" ca="1" si="136"/>
        <v>0</v>
      </c>
      <c r="V400" s="47">
        <f t="shared" ca="1" si="137"/>
        <v>0</v>
      </c>
      <c r="W400">
        <f ca="1">Inputs!B15+(Inputs!D15-Inputs!B15)*BETAINV(RAND(),Model!H9,Model!I9)</f>
        <v>1.1720120268827507</v>
      </c>
      <c r="X400">
        <f ca="1">Inputs!E15+(Inputs!G15-Inputs!E15)*BETAINV(RAND(),Model!J9,Model!K9)</f>
        <v>0.38866028969719074</v>
      </c>
      <c r="Y400">
        <f ca="1">(Inputs!H15+(Inputs!J15-Inputs!H15)*BETAINV(RAND(),Model!L9,Model!M9))*Inputs!$C$6</f>
        <v>62754.016520275873</v>
      </c>
      <c r="Z400">
        <f t="shared" ca="1" si="138"/>
        <v>0.4555145338968416</v>
      </c>
      <c r="AA400">
        <f t="shared" ca="1" si="139"/>
        <v>0.38011587678045144</v>
      </c>
      <c r="AB400">
        <f t="shared" ca="1" si="140"/>
        <v>0</v>
      </c>
      <c r="AC400" s="47">
        <f t="shared" ca="1" si="141"/>
        <v>0</v>
      </c>
      <c r="AD400">
        <f ca="1">Inputs!B16+(Inputs!D16-Inputs!B16)*BETAINV(RAND(),Model!H10,Model!I10)</f>
        <v>0.60824133473236119</v>
      </c>
      <c r="AE400">
        <f ca="1">Inputs!E16+(Inputs!G16-Inputs!E16)*BETAINV(RAND(),Model!J10,Model!K10)</f>
        <v>0.59740798696974662</v>
      </c>
      <c r="AF400">
        <f ca="1">(Inputs!H16+(Inputs!J16-Inputs!H16)*BETAINV(RAND(),Model!L10,Model!M10))*Inputs!$C$6</f>
        <v>56485.024453738799</v>
      </c>
      <c r="AG400">
        <f t="shared" ca="1" si="142"/>
        <v>0.36336823137425173</v>
      </c>
      <c r="AH400">
        <f t="shared" ca="1" si="143"/>
        <v>0.591793249975753</v>
      </c>
      <c r="AI400">
        <f t="shared" ca="1" si="144"/>
        <v>0</v>
      </c>
      <c r="AJ400" s="47">
        <f t="shared" ca="1" si="145"/>
        <v>0</v>
      </c>
      <c r="AK400">
        <f t="shared" ca="1" si="146"/>
        <v>224791.89119947242</v>
      </c>
    </row>
    <row r="401" spans="2:37" x14ac:dyDescent="0.2">
      <c r="B401">
        <f ca="1">Inputs!B12+(Inputs!D12-Inputs!B12)*BETAINV(RAND(),Model!H6,Model!I6)</f>
        <v>3.8616176831545501</v>
      </c>
      <c r="C401">
        <f ca="1">Inputs!E12+(Inputs!G12-Inputs!E12)*BETAINV(RAND(),Model!J6,Model!K6)</f>
        <v>0.43424919515629001</v>
      </c>
      <c r="D401">
        <f ca="1">(Inputs!H12+(Inputs!J12-Inputs!H12)*BETAINV(RAND(),Model!L6,Model!M6))*Inputs!$C$6</f>
        <v>25499.768977084714</v>
      </c>
      <c r="E401">
        <f t="shared" ca="1" si="126"/>
        <v>1.6769043709111606</v>
      </c>
      <c r="F401">
        <f t="shared" ca="1" si="127"/>
        <v>0.98367156325008831</v>
      </c>
      <c r="G401">
        <f t="shared" ca="1" si="128"/>
        <v>4</v>
      </c>
      <c r="H401" s="47">
        <f t="shared" ca="1" si="129"/>
        <v>101999.07590833885</v>
      </c>
      <c r="I401">
        <f ca="1">Inputs!B13+(Inputs!D13-Inputs!B13)*BETAINV(RAND(),Model!H7,Model!I7)</f>
        <v>1.3862439117638781</v>
      </c>
      <c r="J401">
        <f ca="1">Inputs!E13+(Inputs!G13-Inputs!E13)*BETAINV(RAND(),Model!J7,Model!K7)</f>
        <v>0.19147547404961801</v>
      </c>
      <c r="K401">
        <f ca="1">(Inputs!H13+(Inputs!J13-Inputs!H13)*BETAINV(RAND(),Model!L7,Model!M7))*Inputs!$C$6</f>
        <v>29785.955876974869</v>
      </c>
      <c r="L401">
        <f t="shared" ca="1" si="130"/>
        <v>0.2654317101533854</v>
      </c>
      <c r="M401">
        <f t="shared" ca="1" si="131"/>
        <v>0.25066588218630648</v>
      </c>
      <c r="N401">
        <f t="shared" ca="1" si="132"/>
        <v>0</v>
      </c>
      <c r="O401" s="47">
        <f t="shared" ca="1" si="133"/>
        <v>0</v>
      </c>
      <c r="P401">
        <f ca="1">Inputs!B14+(Inputs!D14-Inputs!B14)*BETAINV(RAND(),Model!H8,Model!I8)</f>
        <v>0.48171065838477511</v>
      </c>
      <c r="Q401">
        <f ca="1">Inputs!E14+(Inputs!G14-Inputs!E14)*BETAINV(RAND(),Model!J8,Model!K8)</f>
        <v>0.60841274290256719</v>
      </c>
      <c r="R401">
        <f ca="1">(Inputs!H14+(Inputs!J14-Inputs!H14)*BETAINV(RAND(),Model!L8,Model!M8))*Inputs!$C$6</f>
        <v>630184.84325300925</v>
      </c>
      <c r="S401">
        <f t="shared" ca="1" si="134"/>
        <v>0.29307890295328254</v>
      </c>
      <c r="T401">
        <f t="shared" ca="1" si="135"/>
        <v>0.60784426139527625</v>
      </c>
      <c r="U401">
        <f t="shared" ca="1" si="136"/>
        <v>0</v>
      </c>
      <c r="V401" s="47">
        <f t="shared" ca="1" si="137"/>
        <v>0</v>
      </c>
      <c r="W401">
        <f ca="1">Inputs!B15+(Inputs!D15-Inputs!B15)*BETAINV(RAND(),Model!H9,Model!I9)</f>
        <v>1.09170933370037</v>
      </c>
      <c r="X401">
        <f ca="1">Inputs!E15+(Inputs!G15-Inputs!E15)*BETAINV(RAND(),Model!J9,Model!K9)</f>
        <v>0.47131041078948266</v>
      </c>
      <c r="Y401">
        <f ca="1">(Inputs!H15+(Inputs!J15-Inputs!H15)*BETAINV(RAND(),Model!L9,Model!M9))*Inputs!$C$6</f>
        <v>42936.447841620866</v>
      </c>
      <c r="Z401">
        <f t="shared" ca="1" si="138"/>
        <v>0.51453397452903382</v>
      </c>
      <c r="AA401">
        <f t="shared" ca="1" si="139"/>
        <v>0.26157486421840181</v>
      </c>
      <c r="AB401">
        <f t="shared" ca="1" si="140"/>
        <v>0</v>
      </c>
      <c r="AC401" s="47">
        <f t="shared" ca="1" si="141"/>
        <v>0</v>
      </c>
      <c r="AD401">
        <f ca="1">Inputs!B16+(Inputs!D16-Inputs!B16)*BETAINV(RAND(),Model!H10,Model!I10)</f>
        <v>0.9306979874188972</v>
      </c>
      <c r="AE401">
        <f ca="1">Inputs!E16+(Inputs!G16-Inputs!E16)*BETAINV(RAND(),Model!J10,Model!K10)</f>
        <v>0.56252962069106893</v>
      </c>
      <c r="AF401">
        <f ca="1">(Inputs!H16+(Inputs!J16-Inputs!H16)*BETAINV(RAND(),Model!L10,Model!M10))*Inputs!$C$6</f>
        <v>111677.04743013311</v>
      </c>
      <c r="AG401">
        <f t="shared" ca="1" si="142"/>
        <v>0.52354518584069354</v>
      </c>
      <c r="AH401">
        <f t="shared" ca="1" si="143"/>
        <v>0.59372592733193297</v>
      </c>
      <c r="AI401">
        <f t="shared" ca="1" si="144"/>
        <v>1</v>
      </c>
      <c r="AJ401" s="47">
        <f t="shared" ca="1" si="145"/>
        <v>111677.04743013311</v>
      </c>
      <c r="AK401">
        <f t="shared" ca="1" si="146"/>
        <v>213676.12333847198</v>
      </c>
    </row>
    <row r="402" spans="2:37" x14ac:dyDescent="0.2">
      <c r="B402">
        <f ca="1">Inputs!B12+(Inputs!D12-Inputs!B12)*BETAINV(RAND(),Model!H6,Model!I6)</f>
        <v>2.9894560531799002</v>
      </c>
      <c r="C402">
        <f ca="1">Inputs!E12+(Inputs!G12-Inputs!E12)*BETAINV(RAND(),Model!J6,Model!K6)</f>
        <v>0.33761653032237371</v>
      </c>
      <c r="D402">
        <f ca="1">(Inputs!H12+(Inputs!J12-Inputs!H12)*BETAINV(RAND(),Model!L6,Model!M6))*Inputs!$C$6</f>
        <v>43835.932203991033</v>
      </c>
      <c r="E402">
        <f t="shared" ca="1" si="126"/>
        <v>1.0092897802258154</v>
      </c>
      <c r="F402">
        <f t="shared" ca="1" si="127"/>
        <v>0.42878057467140229</v>
      </c>
      <c r="G402">
        <f t="shared" ca="1" si="128"/>
        <v>1</v>
      </c>
      <c r="H402" s="47">
        <f t="shared" ca="1" si="129"/>
        <v>43835.932203991033</v>
      </c>
      <c r="I402">
        <f ca="1">Inputs!B13+(Inputs!D13-Inputs!B13)*BETAINV(RAND(),Model!H7,Model!I7)</f>
        <v>3.4529168011690174</v>
      </c>
      <c r="J402">
        <f ca="1">Inputs!E13+(Inputs!G13-Inputs!E13)*BETAINV(RAND(),Model!J7,Model!K7)</f>
        <v>0.11458198397244129</v>
      </c>
      <c r="K402">
        <f ca="1">(Inputs!H13+(Inputs!J13-Inputs!H13)*BETAINV(RAND(),Model!L7,Model!M7))*Inputs!$C$6</f>
        <v>18237.5087110698</v>
      </c>
      <c r="L402">
        <f t="shared" ca="1" si="130"/>
        <v>0.39564205756972159</v>
      </c>
      <c r="M402">
        <f t="shared" ca="1" si="131"/>
        <v>0.71948683700081584</v>
      </c>
      <c r="N402">
        <f t="shared" ca="1" si="132"/>
        <v>1</v>
      </c>
      <c r="O402" s="47">
        <f t="shared" ca="1" si="133"/>
        <v>18237.5087110698</v>
      </c>
      <c r="P402">
        <f ca="1">Inputs!B14+(Inputs!D14-Inputs!B14)*BETAINV(RAND(),Model!H8,Model!I8)</f>
        <v>0.34886904054078405</v>
      </c>
      <c r="Q402">
        <f ca="1">Inputs!E14+(Inputs!G14-Inputs!E14)*BETAINV(RAND(),Model!J8,Model!K8)</f>
        <v>0.49173517164560432</v>
      </c>
      <c r="R402">
        <f ca="1">(Inputs!H14+(Inputs!J14-Inputs!H14)*BETAINV(RAND(),Model!L8,Model!M8))*Inputs!$C$6</f>
        <v>346104.64975712623</v>
      </c>
      <c r="S402">
        <f t="shared" ca="1" si="134"/>
        <v>0.17155117753215973</v>
      </c>
      <c r="T402">
        <f t="shared" ca="1" si="135"/>
        <v>0.13094187659647294</v>
      </c>
      <c r="U402">
        <f t="shared" ca="1" si="136"/>
        <v>0</v>
      </c>
      <c r="V402" s="47">
        <f t="shared" ca="1" si="137"/>
        <v>0</v>
      </c>
      <c r="W402">
        <f ca="1">Inputs!B15+(Inputs!D15-Inputs!B15)*BETAINV(RAND(),Model!H9,Model!I9)</f>
        <v>1.0635124283545339</v>
      </c>
      <c r="X402">
        <f ca="1">Inputs!E15+(Inputs!G15-Inputs!E15)*BETAINV(RAND(),Model!J9,Model!K9)</f>
        <v>0.40042109178258012</v>
      </c>
      <c r="Y402">
        <f ca="1">(Inputs!H15+(Inputs!J15-Inputs!H15)*BETAINV(RAND(),Model!L9,Model!M9))*Inputs!$C$6</f>
        <v>18805.623014759865</v>
      </c>
      <c r="Z402">
        <f t="shared" ca="1" si="138"/>
        <v>0.42585280768606548</v>
      </c>
      <c r="AA402">
        <f t="shared" ca="1" si="139"/>
        <v>0.33056218739463006</v>
      </c>
      <c r="AB402">
        <f t="shared" ca="1" si="140"/>
        <v>0</v>
      </c>
      <c r="AC402" s="47">
        <f t="shared" ca="1" si="141"/>
        <v>0</v>
      </c>
      <c r="AD402">
        <f ca="1">Inputs!B16+(Inputs!D16-Inputs!B16)*BETAINV(RAND(),Model!H10,Model!I10)</f>
        <v>0.28178441392504511</v>
      </c>
      <c r="AE402">
        <f ca="1">Inputs!E16+(Inputs!G16-Inputs!E16)*BETAINV(RAND(),Model!J10,Model!K10)</f>
        <v>0.4925311740113974</v>
      </c>
      <c r="AF402">
        <f ca="1">(Inputs!H16+(Inputs!J16-Inputs!H16)*BETAINV(RAND(),Model!L10,Model!M10))*Inputs!$C$6</f>
        <v>92691.745956412036</v>
      </c>
      <c r="AG402">
        <f t="shared" ca="1" si="142"/>
        <v>0.13878760820861602</v>
      </c>
      <c r="AH402">
        <f t="shared" ca="1" si="143"/>
        <v>0.78816903617167877</v>
      </c>
      <c r="AI402">
        <f t="shared" ca="1" si="144"/>
        <v>0</v>
      </c>
      <c r="AJ402" s="47">
        <f t="shared" ca="1" si="145"/>
        <v>0</v>
      </c>
      <c r="AK402">
        <f t="shared" ca="1" si="146"/>
        <v>62073.440915060834</v>
      </c>
    </row>
    <row r="403" spans="2:37" x14ac:dyDescent="0.2">
      <c r="B403">
        <f ca="1">Inputs!B12+(Inputs!D12-Inputs!B12)*BETAINV(RAND(),Model!H6,Model!I6)</f>
        <v>1.9759914079668313</v>
      </c>
      <c r="C403">
        <f ca="1">Inputs!E12+(Inputs!G12-Inputs!E12)*BETAINV(RAND(),Model!J6,Model!K6)</f>
        <v>0.39207409265332555</v>
      </c>
      <c r="D403">
        <f ca="1">(Inputs!H12+(Inputs!J12-Inputs!H12)*BETAINV(RAND(),Model!L6,Model!M6))*Inputs!$C$6</f>
        <v>18767.258155554267</v>
      </c>
      <c r="E403">
        <f t="shared" ca="1" si="126"/>
        <v>0.77473503836936264</v>
      </c>
      <c r="F403">
        <f t="shared" ca="1" si="127"/>
        <v>0.89827731863580451</v>
      </c>
      <c r="G403">
        <f t="shared" ca="1" si="128"/>
        <v>2</v>
      </c>
      <c r="H403" s="47">
        <f t="shared" ca="1" si="129"/>
        <v>37534.516311108535</v>
      </c>
      <c r="I403">
        <f ca="1">Inputs!B13+(Inputs!D13-Inputs!B13)*BETAINV(RAND(),Model!H7,Model!I7)</f>
        <v>3.4815383335887122</v>
      </c>
      <c r="J403">
        <f ca="1">Inputs!E13+(Inputs!G13-Inputs!E13)*BETAINV(RAND(),Model!J7,Model!K7)</f>
        <v>0.30112460654414996</v>
      </c>
      <c r="K403">
        <f ca="1">(Inputs!H13+(Inputs!J13-Inputs!H13)*BETAINV(RAND(),Model!L7,Model!M7))*Inputs!$C$6</f>
        <v>24817.987626631108</v>
      </c>
      <c r="L403">
        <f t="shared" ca="1" si="130"/>
        <v>1.0483768608702766</v>
      </c>
      <c r="M403">
        <f t="shared" ca="1" si="131"/>
        <v>0.75940773817493967</v>
      </c>
      <c r="N403">
        <f t="shared" ca="1" si="132"/>
        <v>2</v>
      </c>
      <c r="O403" s="47">
        <f t="shared" ca="1" si="133"/>
        <v>49635.975253262215</v>
      </c>
      <c r="P403">
        <f ca="1">Inputs!B14+(Inputs!D14-Inputs!B14)*BETAINV(RAND(),Model!H8,Model!I8)</f>
        <v>0.21697330180284211</v>
      </c>
      <c r="Q403">
        <f ca="1">Inputs!E14+(Inputs!G14-Inputs!E14)*BETAINV(RAND(),Model!J8,Model!K8)</f>
        <v>0.37515257763535337</v>
      </c>
      <c r="R403">
        <f ca="1">(Inputs!H14+(Inputs!J14-Inputs!H14)*BETAINV(RAND(),Model!L8,Model!M8))*Inputs!$C$6</f>
        <v>238936.53699709789</v>
      </c>
      <c r="S403">
        <f t="shared" ca="1" si="134"/>
        <v>8.1398093449389683E-2</v>
      </c>
      <c r="T403">
        <f t="shared" ca="1" si="135"/>
        <v>0.17104714686793665</v>
      </c>
      <c r="U403">
        <f t="shared" ca="1" si="136"/>
        <v>0</v>
      </c>
      <c r="V403" s="47">
        <f t="shared" ca="1" si="137"/>
        <v>0</v>
      </c>
      <c r="W403">
        <f ca="1">Inputs!B15+(Inputs!D15-Inputs!B15)*BETAINV(RAND(),Model!H9,Model!I9)</f>
        <v>0.8093073786953997</v>
      </c>
      <c r="X403">
        <f ca="1">Inputs!E15+(Inputs!G15-Inputs!E15)*BETAINV(RAND(),Model!J9,Model!K9)</f>
        <v>0.53666768372184182</v>
      </c>
      <c r="Y403">
        <f ca="1">(Inputs!H15+(Inputs!J15-Inputs!H15)*BETAINV(RAND(),Model!L9,Model!M9))*Inputs!$C$6</f>
        <v>29064.536809195557</v>
      </c>
      <c r="Z403">
        <f t="shared" ca="1" si="138"/>
        <v>0.43432911634345561</v>
      </c>
      <c r="AA403">
        <f t="shared" ca="1" si="139"/>
        <v>0.94450931634279678</v>
      </c>
      <c r="AB403">
        <f t="shared" ca="1" si="140"/>
        <v>2</v>
      </c>
      <c r="AC403" s="47">
        <f t="shared" ca="1" si="141"/>
        <v>58129.073618391114</v>
      </c>
      <c r="AD403">
        <f ca="1">Inputs!B16+(Inputs!D16-Inputs!B16)*BETAINV(RAND(),Model!H10,Model!I10)</f>
        <v>0.42794928674919475</v>
      </c>
      <c r="AE403">
        <f ca="1">Inputs!E16+(Inputs!G16-Inputs!E16)*BETAINV(RAND(),Model!J10,Model!K10)</f>
        <v>0.51549805155977158</v>
      </c>
      <c r="AF403">
        <f ca="1">(Inputs!H16+(Inputs!J16-Inputs!H16)*BETAINV(RAND(),Model!L10,Model!M10))*Inputs!$C$6</f>
        <v>106363.72156540252</v>
      </c>
      <c r="AG403">
        <f t="shared" ca="1" si="142"/>
        <v>0.22060702348560388</v>
      </c>
      <c r="AH403">
        <f t="shared" ca="1" si="143"/>
        <v>9.9325997238236985E-2</v>
      </c>
      <c r="AI403">
        <f t="shared" ca="1" si="144"/>
        <v>0</v>
      </c>
      <c r="AJ403" s="47">
        <f t="shared" ca="1" si="145"/>
        <v>0</v>
      </c>
      <c r="AK403">
        <f t="shared" ca="1" si="146"/>
        <v>145299.56518276187</v>
      </c>
    </row>
    <row r="404" spans="2:37" x14ac:dyDescent="0.2">
      <c r="B404">
        <f ca="1">Inputs!B12+(Inputs!D12-Inputs!B12)*BETAINV(RAND(),Model!H6,Model!I6)</f>
        <v>2.7168425636883442</v>
      </c>
      <c r="C404">
        <f ca="1">Inputs!E12+(Inputs!G12-Inputs!E12)*BETAINV(RAND(),Model!J6,Model!K6)</f>
        <v>0.39543141021003764</v>
      </c>
      <c r="D404">
        <f ca="1">(Inputs!H12+(Inputs!J12-Inputs!H12)*BETAINV(RAND(),Model!L6,Model!M6))*Inputs!$C$6</f>
        <v>31143.726641932459</v>
      </c>
      <c r="E404">
        <f t="shared" ca="1" si="126"/>
        <v>1.074324886277936</v>
      </c>
      <c r="F404">
        <f t="shared" ca="1" si="127"/>
        <v>0.41486868006268218</v>
      </c>
      <c r="G404">
        <f t="shared" ca="1" si="128"/>
        <v>1</v>
      </c>
      <c r="H404" s="47">
        <f t="shared" ca="1" si="129"/>
        <v>31143.726641932459</v>
      </c>
      <c r="I404">
        <f ca="1">Inputs!B13+(Inputs!D13-Inputs!B13)*BETAINV(RAND(),Model!H7,Model!I7)</f>
        <v>2.0824500409795328</v>
      </c>
      <c r="J404">
        <f ca="1">Inputs!E13+(Inputs!G13-Inputs!E13)*BETAINV(RAND(),Model!J7,Model!K7)</f>
        <v>0.23748762034762472</v>
      </c>
      <c r="K404">
        <f ca="1">(Inputs!H13+(Inputs!J13-Inputs!H13)*BETAINV(RAND(),Model!L7,Model!M7))*Inputs!$C$6</f>
        <v>37441.787830417881</v>
      </c>
      <c r="L404">
        <f t="shared" ca="1" si="130"/>
        <v>0.4945561047250428</v>
      </c>
      <c r="M404">
        <f t="shared" ca="1" si="131"/>
        <v>0.68330915279070814</v>
      </c>
      <c r="N404">
        <f t="shared" ca="1" si="132"/>
        <v>1</v>
      </c>
      <c r="O404" s="47">
        <f t="shared" ca="1" si="133"/>
        <v>37441.787830417881</v>
      </c>
      <c r="P404">
        <f ca="1">Inputs!B14+(Inputs!D14-Inputs!B14)*BETAINV(RAND(),Model!H8,Model!I8)</f>
        <v>0.43686751628540066</v>
      </c>
      <c r="Q404">
        <f ca="1">Inputs!E14+(Inputs!G14-Inputs!E14)*BETAINV(RAND(),Model!J8,Model!K8)</f>
        <v>0.78972616425311615</v>
      </c>
      <c r="R404">
        <f ca="1">(Inputs!H14+(Inputs!J14-Inputs!H14)*BETAINV(RAND(),Model!L8,Model!M8))*Inputs!$C$6</f>
        <v>391903.06851083238</v>
      </c>
      <c r="S404">
        <f t="shared" ca="1" si="134"/>
        <v>0.34500570792285523</v>
      </c>
      <c r="T404">
        <f t="shared" ca="1" si="135"/>
        <v>0.71310363585208481</v>
      </c>
      <c r="U404">
        <f t="shared" ca="1" si="136"/>
        <v>1</v>
      </c>
      <c r="V404" s="47">
        <f t="shared" ca="1" si="137"/>
        <v>391903.06851083238</v>
      </c>
      <c r="W404">
        <f ca="1">Inputs!B15+(Inputs!D15-Inputs!B15)*BETAINV(RAND(),Model!H9,Model!I9)</f>
        <v>1.3000636308129436</v>
      </c>
      <c r="X404">
        <f ca="1">Inputs!E15+(Inputs!G15-Inputs!E15)*BETAINV(RAND(),Model!J9,Model!K9)</f>
        <v>0.39619410622049045</v>
      </c>
      <c r="Y404">
        <f ca="1">(Inputs!H15+(Inputs!J15-Inputs!H15)*BETAINV(RAND(),Model!L9,Model!M9))*Inputs!$C$6</f>
        <v>39223.148773013447</v>
      </c>
      <c r="Z404">
        <f t="shared" ca="1" si="138"/>
        <v>0.51507754823969987</v>
      </c>
      <c r="AA404">
        <f t="shared" ca="1" si="139"/>
        <v>0.49038770636211804</v>
      </c>
      <c r="AB404">
        <f t="shared" ca="1" si="140"/>
        <v>0</v>
      </c>
      <c r="AC404" s="47">
        <f t="shared" ca="1" si="141"/>
        <v>0</v>
      </c>
      <c r="AD404">
        <f ca="1">Inputs!B16+(Inputs!D16-Inputs!B16)*BETAINV(RAND(),Model!H10,Model!I10)</f>
        <v>0.72405138743923514</v>
      </c>
      <c r="AE404">
        <f ca="1">Inputs!E16+(Inputs!G16-Inputs!E16)*BETAINV(RAND(),Model!J10,Model!K10)</f>
        <v>0.64749310239322855</v>
      </c>
      <c r="AF404">
        <f ca="1">(Inputs!H16+(Inputs!J16-Inputs!H16)*BETAINV(RAND(),Model!L10,Model!M10))*Inputs!$C$6</f>
        <v>133894.23978430481</v>
      </c>
      <c r="AG404">
        <f t="shared" ca="1" si="142"/>
        <v>0.46881827914515189</v>
      </c>
      <c r="AH404">
        <f t="shared" ca="1" si="143"/>
        <v>0.66370418196463088</v>
      </c>
      <c r="AI404">
        <f t="shared" ca="1" si="144"/>
        <v>1</v>
      </c>
      <c r="AJ404" s="47">
        <f t="shared" ca="1" si="145"/>
        <v>133894.23978430481</v>
      </c>
      <c r="AK404">
        <f t="shared" ca="1" si="146"/>
        <v>594382.82276748749</v>
      </c>
    </row>
    <row r="405" spans="2:37" x14ac:dyDescent="0.2">
      <c r="B405">
        <f ca="1">Inputs!B12+(Inputs!D12-Inputs!B12)*BETAINV(RAND(),Model!H6,Model!I6)</f>
        <v>3.1204230899387011</v>
      </c>
      <c r="C405">
        <f ca="1">Inputs!E12+(Inputs!G12-Inputs!E12)*BETAINV(RAND(),Model!J6,Model!K6)</f>
        <v>0.24392844706297317</v>
      </c>
      <c r="D405">
        <f ca="1">(Inputs!H12+(Inputs!J12-Inputs!H12)*BETAINV(RAND(),Model!L6,Model!M6))*Inputs!$C$6</f>
        <v>29167.480484653319</v>
      </c>
      <c r="E405">
        <f t="shared" ca="1" si="126"/>
        <v>0.76115995850819163</v>
      </c>
      <c r="F405">
        <f t="shared" ca="1" si="127"/>
        <v>0.81158988297591517</v>
      </c>
      <c r="G405">
        <f t="shared" ca="1" si="128"/>
        <v>1</v>
      </c>
      <c r="H405" s="47">
        <f t="shared" ca="1" si="129"/>
        <v>29167.480484653319</v>
      </c>
      <c r="I405">
        <f ca="1">Inputs!B13+(Inputs!D13-Inputs!B13)*BETAINV(RAND(),Model!H7,Model!I7)</f>
        <v>2.6313442873528543</v>
      </c>
      <c r="J405">
        <f ca="1">Inputs!E13+(Inputs!G13-Inputs!E13)*BETAINV(RAND(),Model!J7,Model!K7)</f>
        <v>0.32269529733816898</v>
      </c>
      <c r="K405">
        <f ca="1">(Inputs!H13+(Inputs!J13-Inputs!H13)*BETAINV(RAND(),Model!L7,Model!M7))*Inputs!$C$6</f>
        <v>37895.658270618747</v>
      </c>
      <c r="L405">
        <f t="shared" ca="1" si="130"/>
        <v>0.84912242720642173</v>
      </c>
      <c r="M405">
        <f t="shared" ca="1" si="131"/>
        <v>0.33251751749222402</v>
      </c>
      <c r="N405">
        <f t="shared" ca="1" si="132"/>
        <v>0</v>
      </c>
      <c r="O405" s="47">
        <f t="shared" ca="1" si="133"/>
        <v>0</v>
      </c>
      <c r="P405">
        <f ca="1">Inputs!B14+(Inputs!D14-Inputs!B14)*BETAINV(RAND(),Model!H8,Model!I8)</f>
        <v>0.26775227614312791</v>
      </c>
      <c r="Q405">
        <f ca="1">Inputs!E14+(Inputs!G14-Inputs!E14)*BETAINV(RAND(),Model!J8,Model!K8)</f>
        <v>0.43102232178518807</v>
      </c>
      <c r="R405">
        <f ca="1">(Inputs!H14+(Inputs!J14-Inputs!H14)*BETAINV(RAND(),Model!L8,Model!M8))*Inputs!$C$6</f>
        <v>306806.3766292666</v>
      </c>
      <c r="S405">
        <f t="shared" ca="1" si="134"/>
        <v>0.11540720772647982</v>
      </c>
      <c r="T405">
        <f t="shared" ca="1" si="135"/>
        <v>0.37190596192085124</v>
      </c>
      <c r="U405">
        <f t="shared" ca="1" si="136"/>
        <v>0</v>
      </c>
      <c r="V405" s="47">
        <f t="shared" ca="1" si="137"/>
        <v>0</v>
      </c>
      <c r="W405">
        <f ca="1">Inputs!B15+(Inputs!D15-Inputs!B15)*BETAINV(RAND(),Model!H9,Model!I9)</f>
        <v>0.35843194832802694</v>
      </c>
      <c r="X405">
        <f ca="1">Inputs!E15+(Inputs!G15-Inputs!E15)*BETAINV(RAND(),Model!J9,Model!K9)</f>
        <v>0.50700247055316527</v>
      </c>
      <c r="Y405">
        <f ca="1">(Inputs!H15+(Inputs!J15-Inputs!H15)*BETAINV(RAND(),Model!L9,Model!M9))*Inputs!$C$6</f>
        <v>34881.822627409711</v>
      </c>
      <c r="Z405">
        <f t="shared" ca="1" si="138"/>
        <v>0.18172588332749415</v>
      </c>
      <c r="AA405">
        <f t="shared" ca="1" si="139"/>
        <v>0.9720767132410969</v>
      </c>
      <c r="AB405">
        <f t="shared" ca="1" si="140"/>
        <v>1</v>
      </c>
      <c r="AC405" s="47">
        <f t="shared" ca="1" si="141"/>
        <v>34881.822627409711</v>
      </c>
      <c r="AD405">
        <f ca="1">Inputs!B16+(Inputs!D16-Inputs!B16)*BETAINV(RAND(),Model!H10,Model!I10)</f>
        <v>0.45491745660520783</v>
      </c>
      <c r="AE405">
        <f ca="1">Inputs!E16+(Inputs!G16-Inputs!E16)*BETAINV(RAND(),Model!J10,Model!K10)</f>
        <v>0.47620661729149028</v>
      </c>
      <c r="AF405">
        <f ca="1">(Inputs!H16+(Inputs!J16-Inputs!H16)*BETAINV(RAND(),Model!L10,Model!M10))*Inputs!$C$6</f>
        <v>64998.692142861051</v>
      </c>
      <c r="AG405">
        <f t="shared" ca="1" si="142"/>
        <v>0.21663470315681435</v>
      </c>
      <c r="AH405">
        <f t="shared" ca="1" si="143"/>
        <v>0.11039586807818902</v>
      </c>
      <c r="AI405">
        <f t="shared" ca="1" si="144"/>
        <v>0</v>
      </c>
      <c r="AJ405" s="47">
        <f t="shared" ca="1" si="145"/>
        <v>0</v>
      </c>
      <c r="AK405">
        <f t="shared" ca="1" si="146"/>
        <v>64049.303112063033</v>
      </c>
    </row>
    <row r="406" spans="2:37" x14ac:dyDescent="0.2">
      <c r="B406">
        <f ca="1">Inputs!B12+(Inputs!D12-Inputs!B12)*BETAINV(RAND(),Model!H6,Model!I6)</f>
        <v>3.6415341085120607</v>
      </c>
      <c r="C406">
        <f ca="1">Inputs!E12+(Inputs!G12-Inputs!E12)*BETAINV(RAND(),Model!J6,Model!K6)</f>
        <v>0.40508898598260756</v>
      </c>
      <c r="D406">
        <f ca="1">(Inputs!H12+(Inputs!J12-Inputs!H12)*BETAINV(RAND(),Model!L6,Model!M6))*Inputs!$C$6</f>
        <v>17719.700001268946</v>
      </c>
      <c r="E406">
        <f t="shared" ca="1" si="126"/>
        <v>1.4751453594382296</v>
      </c>
      <c r="F406">
        <f t="shared" ca="1" si="127"/>
        <v>7.5758882441253061E-2</v>
      </c>
      <c r="G406">
        <f t="shared" ca="1" si="128"/>
        <v>0</v>
      </c>
      <c r="H406" s="47">
        <f t="shared" ca="1" si="129"/>
        <v>0</v>
      </c>
      <c r="I406">
        <f ca="1">Inputs!B13+(Inputs!D13-Inputs!B13)*BETAINV(RAND(),Model!H7,Model!I7)</f>
        <v>1.0104764174342744</v>
      </c>
      <c r="J406">
        <f ca="1">Inputs!E13+(Inputs!G13-Inputs!E13)*BETAINV(RAND(),Model!J7,Model!K7)</f>
        <v>0.31385497513769589</v>
      </c>
      <c r="K406">
        <f ca="1">(Inputs!H13+(Inputs!J13-Inputs!H13)*BETAINV(RAND(),Model!L7,Model!M7))*Inputs!$C$6</f>
        <v>97411.282685299899</v>
      </c>
      <c r="L406">
        <f t="shared" ca="1" si="130"/>
        <v>0.3171430508710622</v>
      </c>
      <c r="M406">
        <f t="shared" ca="1" si="131"/>
        <v>0.77978684126607312</v>
      </c>
      <c r="N406">
        <f t="shared" ca="1" si="132"/>
        <v>1</v>
      </c>
      <c r="O406" s="47">
        <f t="shared" ca="1" si="133"/>
        <v>97411.282685299899</v>
      </c>
      <c r="P406">
        <f ca="1">Inputs!B14+(Inputs!D14-Inputs!B14)*BETAINV(RAND(),Model!H8,Model!I8)</f>
        <v>0.46901173956621822</v>
      </c>
      <c r="Q406">
        <f ca="1">Inputs!E14+(Inputs!G14-Inputs!E14)*BETAINV(RAND(),Model!J8,Model!K8)</f>
        <v>0.74382352820923603</v>
      </c>
      <c r="R406">
        <f ca="1">(Inputs!H14+(Inputs!J14-Inputs!H14)*BETAINV(RAND(),Model!L8,Model!M8))*Inputs!$C$6</f>
        <v>208235.27210173968</v>
      </c>
      <c r="S406">
        <f t="shared" ca="1" si="134"/>
        <v>0.34886196689569576</v>
      </c>
      <c r="T406">
        <f t="shared" ca="1" si="135"/>
        <v>7.7701811153923273E-2</v>
      </c>
      <c r="U406">
        <f t="shared" ca="1" si="136"/>
        <v>0</v>
      </c>
      <c r="V406" s="47">
        <f t="shared" ca="1" si="137"/>
        <v>0</v>
      </c>
      <c r="W406">
        <f ca="1">Inputs!B15+(Inputs!D15-Inputs!B15)*BETAINV(RAND(),Model!H9,Model!I9)</f>
        <v>2.1273909445541581</v>
      </c>
      <c r="X406">
        <f ca="1">Inputs!E15+(Inputs!G15-Inputs!E15)*BETAINV(RAND(),Model!J9,Model!K9)</f>
        <v>0.33809176207479869</v>
      </c>
      <c r="Y406">
        <f ca="1">(Inputs!H15+(Inputs!J15-Inputs!H15)*BETAINV(RAND(),Model!L9,Model!M9))*Inputs!$C$6</f>
        <v>41152.419838968854</v>
      </c>
      <c r="Z406">
        <f t="shared" ca="1" si="138"/>
        <v>0.71925335306628568</v>
      </c>
      <c r="AA406">
        <f t="shared" ca="1" si="139"/>
        <v>0.9922025527153705</v>
      </c>
      <c r="AB406">
        <f t="shared" ca="1" si="140"/>
        <v>3</v>
      </c>
      <c r="AC406" s="47">
        <f t="shared" ca="1" si="141"/>
        <v>123457.25951690656</v>
      </c>
      <c r="AD406">
        <f ca="1">Inputs!B16+(Inputs!D16-Inputs!B16)*BETAINV(RAND(),Model!H10,Model!I10)</f>
        <v>1.0905761788244996</v>
      </c>
      <c r="AE406">
        <f ca="1">Inputs!E16+(Inputs!G16-Inputs!E16)*BETAINV(RAND(),Model!J10,Model!K10)</f>
        <v>0.58492201888917827</v>
      </c>
      <c r="AF406">
        <f ca="1">(Inputs!H16+(Inputs!J16-Inputs!H16)*BETAINV(RAND(),Model!L10,Model!M10))*Inputs!$C$6</f>
        <v>96254.860939501334</v>
      </c>
      <c r="AG406">
        <f t="shared" ca="1" si="142"/>
        <v>0.63790202027047183</v>
      </c>
      <c r="AH406">
        <f t="shared" ca="1" si="143"/>
        <v>0.6747352067665231</v>
      </c>
      <c r="AI406">
        <f t="shared" ca="1" si="144"/>
        <v>1</v>
      </c>
      <c r="AJ406" s="47">
        <f t="shared" ca="1" si="145"/>
        <v>96254.860939501334</v>
      </c>
      <c r="AK406">
        <f t="shared" ca="1" si="146"/>
        <v>317123.40314170776</v>
      </c>
    </row>
    <row r="407" spans="2:37" x14ac:dyDescent="0.2">
      <c r="B407">
        <f ca="1">Inputs!B12+(Inputs!D12-Inputs!B12)*BETAINV(RAND(),Model!H6,Model!I6)</f>
        <v>4.8390150610943117</v>
      </c>
      <c r="C407">
        <f ca="1">Inputs!E12+(Inputs!G12-Inputs!E12)*BETAINV(RAND(),Model!J6,Model!K6)</f>
        <v>0.37907503931703812</v>
      </c>
      <c r="D407">
        <f ca="1">(Inputs!H12+(Inputs!J12-Inputs!H12)*BETAINV(RAND(),Model!L6,Model!M6))*Inputs!$C$6</f>
        <v>35548.527830775027</v>
      </c>
      <c r="E407">
        <f t="shared" ca="1" si="126"/>
        <v>1.8343498245400658</v>
      </c>
      <c r="F407">
        <f t="shared" ca="1" si="127"/>
        <v>0.3812880974330336</v>
      </c>
      <c r="G407">
        <f t="shared" ca="1" si="128"/>
        <v>1</v>
      </c>
      <c r="H407" s="47">
        <f t="shared" ca="1" si="129"/>
        <v>35548.527830775027</v>
      </c>
      <c r="I407">
        <f ca="1">Inputs!B13+(Inputs!D13-Inputs!B13)*BETAINV(RAND(),Model!H7,Model!I7)</f>
        <v>2.0916286077175705</v>
      </c>
      <c r="J407">
        <f ca="1">Inputs!E13+(Inputs!G13-Inputs!E13)*BETAINV(RAND(),Model!J7,Model!K7)</f>
        <v>0.36110896542559479</v>
      </c>
      <c r="K407">
        <f ca="1">(Inputs!H13+(Inputs!J13-Inputs!H13)*BETAINV(RAND(),Model!L7,Model!M7))*Inputs!$C$6</f>
        <v>70261.116334007689</v>
      </c>
      <c r="L407">
        <f t="shared" ca="1" si="130"/>
        <v>0.75530584258746913</v>
      </c>
      <c r="M407">
        <f t="shared" ca="1" si="131"/>
        <v>0.60070431270418312</v>
      </c>
      <c r="N407">
        <f t="shared" ca="1" si="132"/>
        <v>1</v>
      </c>
      <c r="O407" s="47">
        <f t="shared" ca="1" si="133"/>
        <v>70261.116334007689</v>
      </c>
      <c r="P407">
        <f ca="1">Inputs!B14+(Inputs!D14-Inputs!B14)*BETAINV(RAND(),Model!H8,Model!I8)</f>
        <v>0.27838027061621617</v>
      </c>
      <c r="Q407">
        <f ca="1">Inputs!E14+(Inputs!G14-Inputs!E14)*BETAINV(RAND(),Model!J8,Model!K8)</f>
        <v>0.4430012368940357</v>
      </c>
      <c r="R407">
        <f ca="1">(Inputs!H14+(Inputs!J14-Inputs!H14)*BETAINV(RAND(),Model!L8,Model!M8))*Inputs!$C$6</f>
        <v>461689.94079002703</v>
      </c>
      <c r="S407">
        <f t="shared" ca="1" si="134"/>
        <v>0.12332280420988015</v>
      </c>
      <c r="T407">
        <f t="shared" ca="1" si="135"/>
        <v>0.85017934109527726</v>
      </c>
      <c r="U407">
        <f t="shared" ca="1" si="136"/>
        <v>0</v>
      </c>
      <c r="V407" s="47">
        <f t="shared" ca="1" si="137"/>
        <v>0</v>
      </c>
      <c r="W407">
        <f ca="1">Inputs!B15+(Inputs!D15-Inputs!B15)*BETAINV(RAND(),Model!H9,Model!I9)</f>
        <v>1.2564845514562768</v>
      </c>
      <c r="X407">
        <f ca="1">Inputs!E15+(Inputs!G15-Inputs!E15)*BETAINV(RAND(),Model!J9,Model!K9)</f>
        <v>0.43873113080775394</v>
      </c>
      <c r="Y407">
        <f ca="1">(Inputs!H15+(Inputs!J15-Inputs!H15)*BETAINV(RAND(),Model!L9,Model!M9))*Inputs!$C$6</f>
        <v>46538.651894608025</v>
      </c>
      <c r="Z407">
        <f t="shared" ca="1" si="138"/>
        <v>0.55125888810288581</v>
      </c>
      <c r="AA407">
        <f t="shared" ca="1" si="139"/>
        <v>0.45462139479111929</v>
      </c>
      <c r="AB407">
        <f t="shared" ca="1" si="140"/>
        <v>0</v>
      </c>
      <c r="AC407" s="47">
        <f t="shared" ca="1" si="141"/>
        <v>0</v>
      </c>
      <c r="AD407">
        <f ca="1">Inputs!B16+(Inputs!D16-Inputs!B16)*BETAINV(RAND(),Model!H10,Model!I10)</f>
        <v>0.84030474504173847</v>
      </c>
      <c r="AE407">
        <f ca="1">Inputs!E16+(Inputs!G16-Inputs!E16)*BETAINV(RAND(),Model!J10,Model!K10)</f>
        <v>0.6459923206281486</v>
      </c>
      <c r="AF407">
        <f ca="1">(Inputs!H16+(Inputs!J16-Inputs!H16)*BETAINV(RAND(),Model!L10,Model!M10))*Inputs!$C$6</f>
        <v>56617.082005939897</v>
      </c>
      <c r="AG407">
        <f t="shared" ca="1" si="142"/>
        <v>0.54283041228435736</v>
      </c>
      <c r="AH407">
        <f t="shared" ca="1" si="143"/>
        <v>0.45179359176016964</v>
      </c>
      <c r="AI407">
        <f t="shared" ca="1" si="144"/>
        <v>0</v>
      </c>
      <c r="AJ407" s="47">
        <f t="shared" ca="1" si="145"/>
        <v>0</v>
      </c>
      <c r="AK407">
        <f t="shared" ca="1" si="146"/>
        <v>105809.64416478272</v>
      </c>
    </row>
    <row r="408" spans="2:37" x14ac:dyDescent="0.2">
      <c r="B408">
        <f ca="1">Inputs!B12+(Inputs!D12-Inputs!B12)*BETAINV(RAND(),Model!H6,Model!I6)</f>
        <v>2.713766907984704</v>
      </c>
      <c r="C408">
        <f ca="1">Inputs!E12+(Inputs!G12-Inputs!E12)*BETAINV(RAND(),Model!J6,Model!K6)</f>
        <v>0.19667910138536551</v>
      </c>
      <c r="D408">
        <f ca="1">(Inputs!H12+(Inputs!J12-Inputs!H12)*BETAINV(RAND(),Model!L6,Model!M6))*Inputs!$C$6</f>
        <v>24091.754389426311</v>
      </c>
      <c r="E408">
        <f t="shared" ca="1" si="126"/>
        <v>0.53374123683177344</v>
      </c>
      <c r="F408">
        <f t="shared" ca="1" si="127"/>
        <v>0.58937507815953105</v>
      </c>
      <c r="G408">
        <f t="shared" ca="1" si="128"/>
        <v>1</v>
      </c>
      <c r="H408" s="47">
        <f t="shared" ca="1" si="129"/>
        <v>24091.754389426311</v>
      </c>
      <c r="I408">
        <f ca="1">Inputs!B13+(Inputs!D13-Inputs!B13)*BETAINV(RAND(),Model!H7,Model!I7)</f>
        <v>3.7650771232948061</v>
      </c>
      <c r="J408">
        <f ca="1">Inputs!E13+(Inputs!G13-Inputs!E13)*BETAINV(RAND(),Model!J7,Model!K7)</f>
        <v>0.25768134943674348</v>
      </c>
      <c r="K408">
        <f ca="1">(Inputs!H13+(Inputs!J13-Inputs!H13)*BETAINV(RAND(),Model!L7,Model!M7))*Inputs!$C$6</f>
        <v>36053.464168782695</v>
      </c>
      <c r="L408">
        <f t="shared" ca="1" si="130"/>
        <v>0.97019015386401786</v>
      </c>
      <c r="M408">
        <f t="shared" ca="1" si="131"/>
        <v>0.93789345332141139</v>
      </c>
      <c r="N408">
        <f t="shared" ca="1" si="132"/>
        <v>3</v>
      </c>
      <c r="O408" s="47">
        <f t="shared" ca="1" si="133"/>
        <v>108160.39250634809</v>
      </c>
      <c r="P408">
        <f ca="1">Inputs!B14+(Inputs!D14-Inputs!B14)*BETAINV(RAND(),Model!H8,Model!I8)</f>
        <v>0.20096605498650455</v>
      </c>
      <c r="Q408">
        <f ca="1">Inputs!E14+(Inputs!G14-Inputs!E14)*BETAINV(RAND(),Model!J8,Model!K8)</f>
        <v>0.63418785096729946</v>
      </c>
      <c r="R408">
        <f ca="1">(Inputs!H14+(Inputs!J14-Inputs!H14)*BETAINV(RAND(),Model!L8,Model!M8))*Inputs!$C$6</f>
        <v>384436.58896559768</v>
      </c>
      <c r="S408">
        <f t="shared" ca="1" si="134"/>
        <v>0.12745023052926746</v>
      </c>
      <c r="T408">
        <f t="shared" ca="1" si="135"/>
        <v>0.34870407447587404</v>
      </c>
      <c r="U408">
        <f t="shared" ca="1" si="136"/>
        <v>0</v>
      </c>
      <c r="V408" s="47">
        <f t="shared" ca="1" si="137"/>
        <v>0</v>
      </c>
      <c r="W408">
        <f ca="1">Inputs!B15+(Inputs!D15-Inputs!B15)*BETAINV(RAND(),Model!H9,Model!I9)</f>
        <v>1.01364257768338</v>
      </c>
      <c r="X408">
        <f ca="1">Inputs!E15+(Inputs!G15-Inputs!E15)*BETAINV(RAND(),Model!J9,Model!K9)</f>
        <v>0.38175147582307278</v>
      </c>
      <c r="Y408">
        <f ca="1">(Inputs!H15+(Inputs!J15-Inputs!H15)*BETAINV(RAND(),Model!L9,Model!M9))*Inputs!$C$6</f>
        <v>33011.565444281201</v>
      </c>
      <c r="Z408">
        <f t="shared" ca="1" si="138"/>
        <v>0.38695954998773402</v>
      </c>
      <c r="AA408">
        <f t="shared" ca="1" si="139"/>
        <v>0.69984125110307516</v>
      </c>
      <c r="AB408">
        <f t="shared" ca="1" si="140"/>
        <v>1</v>
      </c>
      <c r="AC408" s="47">
        <f t="shared" ca="1" si="141"/>
        <v>33011.565444281201</v>
      </c>
      <c r="AD408">
        <f ca="1">Inputs!B16+(Inputs!D16-Inputs!B16)*BETAINV(RAND(),Model!H10,Model!I10)</f>
        <v>0.44673851193095954</v>
      </c>
      <c r="AE408">
        <f ca="1">Inputs!E16+(Inputs!G16-Inputs!E16)*BETAINV(RAND(),Model!J10,Model!K10)</f>
        <v>0.57025441823125156</v>
      </c>
      <c r="AF408">
        <f ca="1">(Inputs!H16+(Inputs!J16-Inputs!H16)*BETAINV(RAND(),Model!L10,Model!M10))*Inputs!$C$6</f>
        <v>64407.302741651882</v>
      </c>
      <c r="AG408">
        <f t="shared" ca="1" si="142"/>
        <v>0.25475461022268436</v>
      </c>
      <c r="AH408">
        <f t="shared" ca="1" si="143"/>
        <v>0.20730585539137802</v>
      </c>
      <c r="AI408">
        <f t="shared" ca="1" si="144"/>
        <v>0</v>
      </c>
      <c r="AJ408" s="47">
        <f t="shared" ca="1" si="145"/>
        <v>0</v>
      </c>
      <c r="AK408">
        <f t="shared" ca="1" si="146"/>
        <v>165263.71234005562</v>
      </c>
    </row>
    <row r="409" spans="2:37" x14ac:dyDescent="0.2">
      <c r="B409">
        <f ca="1">Inputs!B12+(Inputs!D12-Inputs!B12)*BETAINV(RAND(),Model!H6,Model!I6)</f>
        <v>3.1939598591919323</v>
      </c>
      <c r="C409">
        <f ca="1">Inputs!E12+(Inputs!G12-Inputs!E12)*BETAINV(RAND(),Model!J6,Model!K6)</f>
        <v>0.33950297617887287</v>
      </c>
      <c r="D409">
        <f ca="1">(Inputs!H12+(Inputs!J12-Inputs!H12)*BETAINV(RAND(),Model!L6,Model!M6))*Inputs!$C$6</f>
        <v>22877.848012195653</v>
      </c>
      <c r="E409">
        <f t="shared" ca="1" si="126"/>
        <v>1.0843588779915148</v>
      </c>
      <c r="F409">
        <f t="shared" ca="1" si="127"/>
        <v>0.61532773748600222</v>
      </c>
      <c r="G409">
        <f t="shared" ca="1" si="128"/>
        <v>1</v>
      </c>
      <c r="H409" s="47">
        <f t="shared" ca="1" si="129"/>
        <v>22877.848012195653</v>
      </c>
      <c r="I409">
        <f ca="1">Inputs!B13+(Inputs!D13-Inputs!B13)*BETAINV(RAND(),Model!H7,Model!I7)</f>
        <v>1.3650670228128039</v>
      </c>
      <c r="J409">
        <f ca="1">Inputs!E13+(Inputs!G13-Inputs!E13)*BETAINV(RAND(),Model!J7,Model!K7)</f>
        <v>0.31247182003330809</v>
      </c>
      <c r="K409">
        <f ca="1">(Inputs!H13+(Inputs!J13-Inputs!H13)*BETAINV(RAND(),Model!L7,Model!M7))*Inputs!$C$6</f>
        <v>56343.022994376392</v>
      </c>
      <c r="L409">
        <f t="shared" ca="1" si="130"/>
        <v>0.42654497708576611</v>
      </c>
      <c r="M409">
        <f t="shared" ca="1" si="131"/>
        <v>0.88603017378569726</v>
      </c>
      <c r="N409">
        <f t="shared" ca="1" si="132"/>
        <v>1</v>
      </c>
      <c r="O409" s="47">
        <f t="shared" ca="1" si="133"/>
        <v>56343.022994376392</v>
      </c>
      <c r="P409">
        <f ca="1">Inputs!B14+(Inputs!D14-Inputs!B14)*BETAINV(RAND(),Model!H8,Model!I8)</f>
        <v>0.12573506169480042</v>
      </c>
      <c r="Q409">
        <f ca="1">Inputs!E14+(Inputs!G14-Inputs!E14)*BETAINV(RAND(),Model!J8,Model!K8)</f>
        <v>0.51872393900025382</v>
      </c>
      <c r="R409">
        <f ca="1">(Inputs!H14+(Inputs!J14-Inputs!H14)*BETAINV(RAND(),Model!L8,Model!M8))*Inputs!$C$6</f>
        <v>189569.08360618149</v>
      </c>
      <c r="S409">
        <f t="shared" ca="1" si="134"/>
        <v>6.5221786472766802E-2</v>
      </c>
      <c r="T409">
        <f t="shared" ca="1" si="135"/>
        <v>0.91899557565120027</v>
      </c>
      <c r="U409">
        <f t="shared" ca="1" si="136"/>
        <v>0</v>
      </c>
      <c r="V409" s="47">
        <f t="shared" ca="1" si="137"/>
        <v>0</v>
      </c>
      <c r="W409">
        <f ca="1">Inputs!B15+(Inputs!D15-Inputs!B15)*BETAINV(RAND(),Model!H9,Model!I9)</f>
        <v>1.6185562369250124</v>
      </c>
      <c r="X409">
        <f ca="1">Inputs!E15+(Inputs!G15-Inputs!E15)*BETAINV(RAND(),Model!J9,Model!K9)</f>
        <v>0.34638403260771017</v>
      </c>
      <c r="Y409">
        <f ca="1">(Inputs!H15+(Inputs!J15-Inputs!H15)*BETAINV(RAND(),Model!L9,Model!M9))*Inputs!$C$6</f>
        <v>44207.738309617118</v>
      </c>
      <c r="Z409">
        <f t="shared" ca="1" si="138"/>
        <v>0.56064203634844612</v>
      </c>
      <c r="AA409">
        <f t="shared" ca="1" si="139"/>
        <v>0.63245483771260158</v>
      </c>
      <c r="AB409">
        <f t="shared" ca="1" si="140"/>
        <v>1</v>
      </c>
      <c r="AC409" s="47">
        <f t="shared" ca="1" si="141"/>
        <v>44207.738309617118</v>
      </c>
      <c r="AD409">
        <f ca="1">Inputs!B16+(Inputs!D16-Inputs!B16)*BETAINV(RAND(),Model!H10,Model!I10)</f>
        <v>0.53219529119267062</v>
      </c>
      <c r="AE409">
        <f ca="1">Inputs!E16+(Inputs!G16-Inputs!E16)*BETAINV(RAND(),Model!J10,Model!K10)</f>
        <v>0.5562778870719336</v>
      </c>
      <c r="AF409">
        <f ca="1">(Inputs!H16+(Inputs!J16-Inputs!H16)*BETAINV(RAND(),Model!L10,Model!M10))*Inputs!$C$6</f>
        <v>93477.750090125424</v>
      </c>
      <c r="AG409">
        <f t="shared" ca="1" si="142"/>
        <v>0.29604847209429125</v>
      </c>
      <c r="AH409">
        <f t="shared" ca="1" si="143"/>
        <v>0.27205224222530111</v>
      </c>
      <c r="AI409">
        <f t="shared" ca="1" si="144"/>
        <v>0</v>
      </c>
      <c r="AJ409" s="47">
        <f t="shared" ca="1" si="145"/>
        <v>0</v>
      </c>
      <c r="AK409">
        <f t="shared" ca="1" si="146"/>
        <v>123428.60931618916</v>
      </c>
    </row>
    <row r="410" spans="2:37" x14ac:dyDescent="0.2">
      <c r="B410">
        <f ca="1">Inputs!B12+(Inputs!D12-Inputs!B12)*BETAINV(RAND(),Model!H6,Model!I6)</f>
        <v>1.4372316309841984</v>
      </c>
      <c r="C410">
        <f ca="1">Inputs!E12+(Inputs!G12-Inputs!E12)*BETAINV(RAND(),Model!J6,Model!K6)</f>
        <v>0.25756766572063194</v>
      </c>
      <c r="D410">
        <f ca="1">(Inputs!H12+(Inputs!J12-Inputs!H12)*BETAINV(RAND(),Model!L6,Model!M6))*Inputs!$C$6</f>
        <v>12665.999157146187</v>
      </c>
      <c r="E410">
        <f t="shared" ca="1" si="126"/>
        <v>0.37018439629245664</v>
      </c>
      <c r="F410">
        <f t="shared" ca="1" si="127"/>
        <v>0.18089655823052253</v>
      </c>
      <c r="G410">
        <f t="shared" ca="1" si="128"/>
        <v>0</v>
      </c>
      <c r="H410" s="47">
        <f t="shared" ca="1" si="129"/>
        <v>0</v>
      </c>
      <c r="I410">
        <f ca="1">Inputs!B13+(Inputs!D13-Inputs!B13)*BETAINV(RAND(),Model!H7,Model!I7)</f>
        <v>3.2177287757973634</v>
      </c>
      <c r="J410">
        <f ca="1">Inputs!E13+(Inputs!G13-Inputs!E13)*BETAINV(RAND(),Model!J7,Model!K7)</f>
        <v>0.38846395936805755</v>
      </c>
      <c r="K410">
        <f ca="1">(Inputs!H13+(Inputs!J13-Inputs!H13)*BETAINV(RAND(),Model!L7,Model!M7))*Inputs!$C$6</f>
        <v>52702.372972607875</v>
      </c>
      <c r="L410">
        <f t="shared" ca="1" si="130"/>
        <v>1.2499716604187765</v>
      </c>
      <c r="M410">
        <f t="shared" ca="1" si="131"/>
        <v>4.6785398361330555E-2</v>
      </c>
      <c r="N410">
        <f t="shared" ca="1" si="132"/>
        <v>0</v>
      </c>
      <c r="O410" s="47">
        <f t="shared" ca="1" si="133"/>
        <v>0</v>
      </c>
      <c r="P410">
        <f ca="1">Inputs!B14+(Inputs!D14-Inputs!B14)*BETAINV(RAND(),Model!H8,Model!I8)</f>
        <v>0.44581206392534756</v>
      </c>
      <c r="Q410">
        <f ca="1">Inputs!E14+(Inputs!G14-Inputs!E14)*BETAINV(RAND(),Model!J8,Model!K8)</f>
        <v>0.68582836150815496</v>
      </c>
      <c r="R410">
        <f ca="1">(Inputs!H14+(Inputs!J14-Inputs!H14)*BETAINV(RAND(),Model!L8,Model!M8))*Inputs!$C$6</f>
        <v>492598.52838284412</v>
      </c>
      <c r="S410">
        <f t="shared" ca="1" si="134"/>
        <v>0.30575055734248996</v>
      </c>
      <c r="T410">
        <f t="shared" ca="1" si="135"/>
        <v>0.16427729332784724</v>
      </c>
      <c r="U410">
        <f t="shared" ca="1" si="136"/>
        <v>0</v>
      </c>
      <c r="V410" s="47">
        <f t="shared" ca="1" si="137"/>
        <v>0</v>
      </c>
      <c r="W410">
        <f ca="1">Inputs!B15+(Inputs!D15-Inputs!B15)*BETAINV(RAND(),Model!H9,Model!I9)</f>
        <v>1.2592674001904469</v>
      </c>
      <c r="X410">
        <f ca="1">Inputs!E15+(Inputs!G15-Inputs!E15)*BETAINV(RAND(),Model!J9,Model!K9)</f>
        <v>0.5619069492535762</v>
      </c>
      <c r="Y410">
        <f ca="1">(Inputs!H15+(Inputs!J15-Inputs!H15)*BETAINV(RAND(),Model!L9,Model!M9))*Inputs!$C$6</f>
        <v>24395.164910709002</v>
      </c>
      <c r="Z410">
        <f t="shared" ca="1" si="138"/>
        <v>0.70759110313549634</v>
      </c>
      <c r="AA410">
        <f t="shared" ca="1" si="139"/>
        <v>0.95219418193178829</v>
      </c>
      <c r="AB410">
        <f t="shared" ca="1" si="140"/>
        <v>2</v>
      </c>
      <c r="AC410" s="47">
        <f t="shared" ca="1" si="141"/>
        <v>48790.329821418003</v>
      </c>
      <c r="AD410">
        <f ca="1">Inputs!B16+(Inputs!D16-Inputs!B16)*BETAINV(RAND(),Model!H10,Model!I10)</f>
        <v>0.69563768775682266</v>
      </c>
      <c r="AE410">
        <f ca="1">Inputs!E16+(Inputs!G16-Inputs!E16)*BETAINV(RAND(),Model!J10,Model!K10)</f>
        <v>0.61322198610136347</v>
      </c>
      <c r="AF410">
        <f ca="1">(Inputs!H16+(Inputs!J16-Inputs!H16)*BETAINV(RAND(),Model!L10,Model!M10))*Inputs!$C$6</f>
        <v>74888.298969208641</v>
      </c>
      <c r="AG410">
        <f t="shared" ca="1" si="142"/>
        <v>0.42658032449319894</v>
      </c>
      <c r="AH410">
        <f t="shared" ca="1" si="143"/>
        <v>0.90015843539314644</v>
      </c>
      <c r="AI410">
        <f t="shared" ca="1" si="144"/>
        <v>1</v>
      </c>
      <c r="AJ410" s="47">
        <f t="shared" ca="1" si="145"/>
        <v>74888.298969208641</v>
      </c>
      <c r="AK410">
        <f t="shared" ca="1" si="146"/>
        <v>123678.62879062665</v>
      </c>
    </row>
    <row r="411" spans="2:37" x14ac:dyDescent="0.2">
      <c r="B411">
        <f ca="1">Inputs!B12+(Inputs!D12-Inputs!B12)*BETAINV(RAND(),Model!H6,Model!I6)</f>
        <v>3.2125569582760845</v>
      </c>
      <c r="C411">
        <f ca="1">Inputs!E12+(Inputs!G12-Inputs!E12)*BETAINV(RAND(),Model!J6,Model!K6)</f>
        <v>0.34781604616324602</v>
      </c>
      <c r="D411">
        <f ca="1">(Inputs!H12+(Inputs!J12-Inputs!H12)*BETAINV(RAND(),Model!L6,Model!M6))*Inputs!$C$6</f>
        <v>21889.533615827102</v>
      </c>
      <c r="E411">
        <f t="shared" ca="1" si="126"/>
        <v>1.1173788593018119</v>
      </c>
      <c r="F411">
        <f t="shared" ca="1" si="127"/>
        <v>9.6379127371752915E-3</v>
      </c>
      <c r="G411">
        <f t="shared" ca="1" si="128"/>
        <v>0</v>
      </c>
      <c r="H411" s="47">
        <f t="shared" ca="1" si="129"/>
        <v>0</v>
      </c>
      <c r="I411">
        <f ca="1">Inputs!B13+(Inputs!D13-Inputs!B13)*BETAINV(RAND(),Model!H7,Model!I7)</f>
        <v>1.7031266215093148</v>
      </c>
      <c r="J411">
        <f ca="1">Inputs!E13+(Inputs!G13-Inputs!E13)*BETAINV(RAND(),Model!J7,Model!K7)</f>
        <v>0.26098154355979419</v>
      </c>
      <c r="K411">
        <f ca="1">(Inputs!H13+(Inputs!J13-Inputs!H13)*BETAINV(RAND(),Model!L7,Model!M7))*Inputs!$C$6</f>
        <v>54567.700583968472</v>
      </c>
      <c r="L411">
        <f t="shared" ca="1" si="130"/>
        <v>0.44448461455927835</v>
      </c>
      <c r="M411">
        <f t="shared" ca="1" si="131"/>
        <v>0.76432131775099299</v>
      </c>
      <c r="N411">
        <f t="shared" ca="1" si="132"/>
        <v>1</v>
      </c>
      <c r="O411" s="47">
        <f t="shared" ca="1" si="133"/>
        <v>54567.700583968472</v>
      </c>
      <c r="P411">
        <f ca="1">Inputs!B14+(Inputs!D14-Inputs!B14)*BETAINV(RAND(),Model!H8,Model!I8)</f>
        <v>0.40077634643403914</v>
      </c>
      <c r="Q411">
        <f ca="1">Inputs!E14+(Inputs!G14-Inputs!E14)*BETAINV(RAND(),Model!J8,Model!K8)</f>
        <v>0.61651516210104995</v>
      </c>
      <c r="R411">
        <f ca="1">(Inputs!H14+(Inputs!J14-Inputs!H14)*BETAINV(RAND(),Model!L8,Model!M8))*Inputs!$C$6</f>
        <v>235409.04853940208</v>
      </c>
      <c r="S411">
        <f t="shared" ca="1" si="134"/>
        <v>0.24708469418804818</v>
      </c>
      <c r="T411">
        <f t="shared" ca="1" si="135"/>
        <v>0.41858755174918516</v>
      </c>
      <c r="U411">
        <f t="shared" ca="1" si="136"/>
        <v>0</v>
      </c>
      <c r="V411" s="47">
        <f t="shared" ca="1" si="137"/>
        <v>0</v>
      </c>
      <c r="W411">
        <f ca="1">Inputs!B15+(Inputs!D15-Inputs!B15)*BETAINV(RAND(),Model!H9,Model!I9)</f>
        <v>1.7300633274626804</v>
      </c>
      <c r="X411">
        <f ca="1">Inputs!E15+(Inputs!G15-Inputs!E15)*BETAINV(RAND(),Model!J9,Model!K9)</f>
        <v>0.37810940027109863</v>
      </c>
      <c r="Y411">
        <f ca="1">(Inputs!H15+(Inputs!J15-Inputs!H15)*BETAINV(RAND(),Model!L9,Model!M9))*Inputs!$C$6</f>
        <v>22601.061024700204</v>
      </c>
      <c r="Z411">
        <f t="shared" ca="1" si="138"/>
        <v>0.65415320717793546</v>
      </c>
      <c r="AA411">
        <f t="shared" ca="1" si="139"/>
        <v>0.63316798764913818</v>
      </c>
      <c r="AB411">
        <f t="shared" ca="1" si="140"/>
        <v>1</v>
      </c>
      <c r="AC411" s="47">
        <f t="shared" ca="1" si="141"/>
        <v>22601.061024700204</v>
      </c>
      <c r="AD411">
        <f ca="1">Inputs!B16+(Inputs!D16-Inputs!B16)*BETAINV(RAND(),Model!H10,Model!I10)</f>
        <v>0.4039337137858991</v>
      </c>
      <c r="AE411">
        <f ca="1">Inputs!E16+(Inputs!G16-Inputs!E16)*BETAINV(RAND(),Model!J10,Model!K10)</f>
        <v>0.71711138374841843</v>
      </c>
      <c r="AF411">
        <f ca="1">(Inputs!H16+(Inputs!J16-Inputs!H16)*BETAINV(RAND(),Model!L10,Model!M10))*Inputs!$C$6</f>
        <v>79277.992085556994</v>
      </c>
      <c r="AG411">
        <f t="shared" ca="1" si="142"/>
        <v>0.28966546443564373</v>
      </c>
      <c r="AH411">
        <f t="shared" ca="1" si="143"/>
        <v>0.19959873726889499</v>
      </c>
      <c r="AI411">
        <f t="shared" ca="1" si="144"/>
        <v>0</v>
      </c>
      <c r="AJ411" s="47">
        <f t="shared" ca="1" si="145"/>
        <v>0</v>
      </c>
      <c r="AK411">
        <f t="shared" ca="1" si="146"/>
        <v>77168.761608668676</v>
      </c>
    </row>
    <row r="412" spans="2:37" x14ac:dyDescent="0.2">
      <c r="B412">
        <f ca="1">Inputs!B12+(Inputs!D12-Inputs!B12)*BETAINV(RAND(),Model!H6,Model!I6)</f>
        <v>2.1483507868617799</v>
      </c>
      <c r="C412">
        <f ca="1">Inputs!E12+(Inputs!G12-Inputs!E12)*BETAINV(RAND(),Model!J6,Model!K6)</f>
        <v>0.36106539770008061</v>
      </c>
      <c r="D412">
        <f ca="1">(Inputs!H12+(Inputs!J12-Inputs!H12)*BETAINV(RAND(),Model!L6,Model!M6))*Inputs!$C$6</f>
        <v>29763.854546494313</v>
      </c>
      <c r="E412">
        <f t="shared" ca="1" si="126"/>
        <v>0.77569513125752965</v>
      </c>
      <c r="F412">
        <f t="shared" ca="1" si="127"/>
        <v>0.12507509441815057</v>
      </c>
      <c r="G412">
        <f t="shared" ca="1" si="128"/>
        <v>0</v>
      </c>
      <c r="H412" s="47">
        <f t="shared" ca="1" si="129"/>
        <v>0</v>
      </c>
      <c r="I412">
        <f ca="1">Inputs!B13+(Inputs!D13-Inputs!B13)*BETAINV(RAND(),Model!H7,Model!I7)</f>
        <v>4.1518585871866396</v>
      </c>
      <c r="J412">
        <f ca="1">Inputs!E13+(Inputs!G13-Inputs!E13)*BETAINV(RAND(),Model!J7,Model!K7)</f>
        <v>0.27093117150790003</v>
      </c>
      <c r="K412">
        <f ca="1">(Inputs!H13+(Inputs!J13-Inputs!H13)*BETAINV(RAND(),Model!L7,Model!M7))*Inputs!$C$6</f>
        <v>25070.722518626131</v>
      </c>
      <c r="L412">
        <f t="shared" ca="1" si="130"/>
        <v>1.1248679109616109</v>
      </c>
      <c r="M412">
        <f t="shared" ca="1" si="131"/>
        <v>0.99630358448439782</v>
      </c>
      <c r="N412">
        <f t="shared" ca="1" si="132"/>
        <v>4</v>
      </c>
      <c r="O412" s="47">
        <f t="shared" ca="1" si="133"/>
        <v>100282.89007450452</v>
      </c>
      <c r="P412">
        <f ca="1">Inputs!B14+(Inputs!D14-Inputs!B14)*BETAINV(RAND(),Model!H8,Model!I8)</f>
        <v>0.32099680104533196</v>
      </c>
      <c r="Q412">
        <f ca="1">Inputs!E14+(Inputs!G14-Inputs!E14)*BETAINV(RAND(),Model!J8,Model!K8)</f>
        <v>0.65062373339944979</v>
      </c>
      <c r="R412">
        <f ca="1">(Inputs!H14+(Inputs!J14-Inputs!H14)*BETAINV(RAND(),Model!L8,Model!M8))*Inputs!$C$6</f>
        <v>391332.55518628046</v>
      </c>
      <c r="S412">
        <f t="shared" ca="1" si="134"/>
        <v>0.20884813710539429</v>
      </c>
      <c r="T412">
        <f t="shared" ca="1" si="135"/>
        <v>8.9256517271573244E-2</v>
      </c>
      <c r="U412">
        <f t="shared" ca="1" si="136"/>
        <v>0</v>
      </c>
      <c r="V412" s="47">
        <f t="shared" ca="1" si="137"/>
        <v>0</v>
      </c>
      <c r="W412">
        <f ca="1">Inputs!B15+(Inputs!D15-Inputs!B15)*BETAINV(RAND(),Model!H9,Model!I9)</f>
        <v>1.1687596643555689</v>
      </c>
      <c r="X412">
        <f ca="1">Inputs!E15+(Inputs!G15-Inputs!E15)*BETAINV(RAND(),Model!J9,Model!K9)</f>
        <v>0.30435660510477225</v>
      </c>
      <c r="Y412">
        <f ca="1">(Inputs!H15+(Inputs!J15-Inputs!H15)*BETAINV(RAND(),Model!L9,Model!M9))*Inputs!$C$6</f>
        <v>51377.722831598869</v>
      </c>
      <c r="Z412">
        <f t="shared" ca="1" si="138"/>
        <v>0.35571972362665405</v>
      </c>
      <c r="AA412">
        <f t="shared" ca="1" si="139"/>
        <v>0.16285674882469037</v>
      </c>
      <c r="AB412">
        <f t="shared" ca="1" si="140"/>
        <v>0</v>
      </c>
      <c r="AC412" s="47">
        <f t="shared" ca="1" si="141"/>
        <v>0</v>
      </c>
      <c r="AD412">
        <f ca="1">Inputs!B16+(Inputs!D16-Inputs!B16)*BETAINV(RAND(),Model!H10,Model!I10)</f>
        <v>1.0550567543163345</v>
      </c>
      <c r="AE412">
        <f ca="1">Inputs!E16+(Inputs!G16-Inputs!E16)*BETAINV(RAND(),Model!J10,Model!K10)</f>
        <v>0.62510647140685949</v>
      </c>
      <c r="AF412">
        <f ca="1">(Inputs!H16+(Inputs!J16-Inputs!H16)*BETAINV(RAND(),Model!L10,Model!M10))*Inputs!$C$6</f>
        <v>91031.104672924746</v>
      </c>
      <c r="AG412">
        <f t="shared" ca="1" si="142"/>
        <v>0.65952280482465775</v>
      </c>
      <c r="AH412">
        <f t="shared" ca="1" si="143"/>
        <v>0.9882926648568725</v>
      </c>
      <c r="AI412">
        <f t="shared" ca="1" si="144"/>
        <v>3</v>
      </c>
      <c r="AJ412" s="47">
        <f t="shared" ca="1" si="145"/>
        <v>273093.31401877425</v>
      </c>
      <c r="AK412">
        <f t="shared" ca="1" si="146"/>
        <v>373376.20409327879</v>
      </c>
    </row>
    <row r="413" spans="2:37" x14ac:dyDescent="0.2">
      <c r="B413">
        <f ca="1">Inputs!B12+(Inputs!D12-Inputs!B12)*BETAINV(RAND(),Model!H6,Model!I6)</f>
        <v>4.5575602020361856</v>
      </c>
      <c r="C413">
        <f ca="1">Inputs!E12+(Inputs!G12-Inputs!E12)*BETAINV(RAND(),Model!J6,Model!K6)</f>
        <v>0.31716627749249443</v>
      </c>
      <c r="D413">
        <f ca="1">(Inputs!H12+(Inputs!J12-Inputs!H12)*BETAINV(RAND(),Model!L6,Model!M6))*Inputs!$C$6</f>
        <v>18770.032369084314</v>
      </c>
      <c r="E413">
        <f t="shared" ca="1" si="126"/>
        <v>1.4455044037277578</v>
      </c>
      <c r="F413">
        <f t="shared" ca="1" si="127"/>
        <v>8.7616347519045457E-2</v>
      </c>
      <c r="G413">
        <f t="shared" ca="1" si="128"/>
        <v>0</v>
      </c>
      <c r="H413" s="47">
        <f t="shared" ca="1" si="129"/>
        <v>0</v>
      </c>
      <c r="I413">
        <f ca="1">Inputs!B13+(Inputs!D13-Inputs!B13)*BETAINV(RAND(),Model!H7,Model!I7)</f>
        <v>2.00031971436082</v>
      </c>
      <c r="J413">
        <f ca="1">Inputs!E13+(Inputs!G13-Inputs!E13)*BETAINV(RAND(),Model!J7,Model!K7)</f>
        <v>0.29511376632983827</v>
      </c>
      <c r="K413">
        <f ca="1">(Inputs!H13+(Inputs!J13-Inputs!H13)*BETAINV(RAND(),Model!L7,Model!M7))*Inputs!$C$6</f>
        <v>21603.088979943328</v>
      </c>
      <c r="L413">
        <f t="shared" ca="1" si="130"/>
        <v>0.59032188476884784</v>
      </c>
      <c r="M413">
        <f t="shared" ca="1" si="131"/>
        <v>0.93965991226705503</v>
      </c>
      <c r="N413">
        <f t="shared" ca="1" si="132"/>
        <v>2</v>
      </c>
      <c r="O413" s="47">
        <f t="shared" ca="1" si="133"/>
        <v>43206.177959886656</v>
      </c>
      <c r="P413">
        <f ca="1">Inputs!B14+(Inputs!D14-Inputs!B14)*BETAINV(RAND(),Model!H8,Model!I8)</f>
        <v>0.24573011212432308</v>
      </c>
      <c r="Q413">
        <f ca="1">Inputs!E14+(Inputs!G14-Inputs!E14)*BETAINV(RAND(),Model!J8,Model!K8)</f>
        <v>0.65901494393164051</v>
      </c>
      <c r="R413">
        <f ca="1">(Inputs!H14+(Inputs!J14-Inputs!H14)*BETAINV(RAND(),Model!L8,Model!M8))*Inputs!$C$6</f>
        <v>463252.73625834228</v>
      </c>
      <c r="S413">
        <f t="shared" ca="1" si="134"/>
        <v>0.16193981606392652</v>
      </c>
      <c r="T413">
        <f t="shared" ca="1" si="135"/>
        <v>0.64934472487916151</v>
      </c>
      <c r="U413">
        <f t="shared" ca="1" si="136"/>
        <v>0</v>
      </c>
      <c r="V413" s="47">
        <f t="shared" ca="1" si="137"/>
        <v>0</v>
      </c>
      <c r="W413">
        <f ca="1">Inputs!B15+(Inputs!D15-Inputs!B15)*BETAINV(RAND(),Model!H9,Model!I9)</f>
        <v>1.2706165429549603</v>
      </c>
      <c r="X413">
        <f ca="1">Inputs!E15+(Inputs!G15-Inputs!E15)*BETAINV(RAND(),Model!J9,Model!K9)</f>
        <v>0.42445000969116709</v>
      </c>
      <c r="Y413">
        <f ca="1">(Inputs!H15+(Inputs!J15-Inputs!H15)*BETAINV(RAND(),Model!L9,Model!M9))*Inputs!$C$6</f>
        <v>51621.093646907968</v>
      </c>
      <c r="Z413">
        <f t="shared" ca="1" si="138"/>
        <v>0.53931320397099014</v>
      </c>
      <c r="AA413">
        <f t="shared" ca="1" si="139"/>
        <v>0.82106986469505694</v>
      </c>
      <c r="AB413">
        <f t="shared" ca="1" si="140"/>
        <v>1</v>
      </c>
      <c r="AC413" s="47">
        <f t="shared" ca="1" si="141"/>
        <v>51621.093646907968</v>
      </c>
      <c r="AD413">
        <f ca="1">Inputs!B16+(Inputs!D16-Inputs!B16)*BETAINV(RAND(),Model!H10,Model!I10)</f>
        <v>0.90794703842505364</v>
      </c>
      <c r="AE413">
        <f ca="1">Inputs!E16+(Inputs!G16-Inputs!E16)*BETAINV(RAND(),Model!J10,Model!K10)</f>
        <v>0.62495152567418288</v>
      </c>
      <c r="AF413">
        <f ca="1">(Inputs!H16+(Inputs!J16-Inputs!H16)*BETAINV(RAND(),Model!L10,Model!M10))*Inputs!$C$6</f>
        <v>145428.79102543968</v>
      </c>
      <c r="AG413">
        <f t="shared" ca="1" si="142"/>
        <v>0.56742288689509324</v>
      </c>
      <c r="AH413">
        <f t="shared" ca="1" si="143"/>
        <v>0.11260080360424174</v>
      </c>
      <c r="AI413">
        <f t="shared" ca="1" si="144"/>
        <v>0</v>
      </c>
      <c r="AJ413" s="47">
        <f t="shared" ca="1" si="145"/>
        <v>0</v>
      </c>
      <c r="AK413">
        <f t="shared" ca="1" si="146"/>
        <v>94827.271606794617</v>
      </c>
    </row>
    <row r="414" spans="2:37" x14ac:dyDescent="0.2">
      <c r="B414">
        <f ca="1">Inputs!B12+(Inputs!D12-Inputs!B12)*BETAINV(RAND(),Model!H6,Model!I6)</f>
        <v>3.1907034948981439</v>
      </c>
      <c r="C414">
        <f ca="1">Inputs!E12+(Inputs!G12-Inputs!E12)*BETAINV(RAND(),Model!J6,Model!K6)</f>
        <v>0.22642848984018793</v>
      </c>
      <c r="D414">
        <f ca="1">(Inputs!H12+(Inputs!J12-Inputs!H12)*BETAINV(RAND(),Model!L6,Model!M6))*Inputs!$C$6</f>
        <v>19443.431527745601</v>
      </c>
      <c r="E414">
        <f t="shared" ca="1" si="126"/>
        <v>0.72246617387759648</v>
      </c>
      <c r="F414">
        <f t="shared" ca="1" si="127"/>
        <v>0.83908862908342285</v>
      </c>
      <c r="G414">
        <f t="shared" ca="1" si="128"/>
        <v>2</v>
      </c>
      <c r="H414" s="47">
        <f t="shared" ca="1" si="129"/>
        <v>38886.863055491202</v>
      </c>
      <c r="I414">
        <f ca="1">Inputs!B13+(Inputs!D13-Inputs!B13)*BETAINV(RAND(),Model!H7,Model!I7)</f>
        <v>2.2031836845208179</v>
      </c>
      <c r="J414">
        <f ca="1">Inputs!E13+(Inputs!G13-Inputs!E13)*BETAINV(RAND(),Model!J7,Model!K7)</f>
        <v>0.21700706143877499</v>
      </c>
      <c r="K414">
        <f ca="1">(Inputs!H13+(Inputs!J13-Inputs!H13)*BETAINV(RAND(),Model!L7,Model!M7))*Inputs!$C$6</f>
        <v>74982.102263458932</v>
      </c>
      <c r="L414">
        <f t="shared" ca="1" si="130"/>
        <v>0.47810641718771579</v>
      </c>
      <c r="M414">
        <f t="shared" ca="1" si="131"/>
        <v>0.63809629037359294</v>
      </c>
      <c r="N414">
        <f t="shared" ca="1" si="132"/>
        <v>1</v>
      </c>
      <c r="O414" s="47">
        <f t="shared" ca="1" si="133"/>
        <v>74982.102263458932</v>
      </c>
      <c r="P414">
        <f ca="1">Inputs!B14+(Inputs!D14-Inputs!B14)*BETAINV(RAND(),Model!H8,Model!I8)</f>
        <v>0.21841619568826898</v>
      </c>
      <c r="Q414">
        <f ca="1">Inputs!E14+(Inputs!G14-Inputs!E14)*BETAINV(RAND(),Model!J8,Model!K8)</f>
        <v>0.48142419029428241</v>
      </c>
      <c r="R414">
        <f ca="1">(Inputs!H14+(Inputs!J14-Inputs!H14)*BETAINV(RAND(),Model!L8,Model!M8))*Inputs!$C$6</f>
        <v>450220.27707817726</v>
      </c>
      <c r="S414">
        <f t="shared" ca="1" si="134"/>
        <v>0.10515084015638243</v>
      </c>
      <c r="T414">
        <f t="shared" ca="1" si="135"/>
        <v>0.31461092548432601</v>
      </c>
      <c r="U414">
        <f t="shared" ca="1" si="136"/>
        <v>0</v>
      </c>
      <c r="V414" s="47">
        <f t="shared" ca="1" si="137"/>
        <v>0</v>
      </c>
      <c r="W414">
        <f ca="1">Inputs!B15+(Inputs!D15-Inputs!B15)*BETAINV(RAND(),Model!H9,Model!I9)</f>
        <v>0.47245670040465737</v>
      </c>
      <c r="X414">
        <f ca="1">Inputs!E15+(Inputs!G15-Inputs!E15)*BETAINV(RAND(),Model!J9,Model!K9)</f>
        <v>0.41329090161119231</v>
      </c>
      <c r="Y414">
        <f ca="1">(Inputs!H15+(Inputs!J15-Inputs!H15)*BETAINV(RAND(),Model!L9,Model!M9))*Inputs!$C$6</f>
        <v>28716.700698456109</v>
      </c>
      <c r="Z414">
        <f t="shared" ca="1" si="138"/>
        <v>0.1952620556824898</v>
      </c>
      <c r="AA414">
        <f t="shared" ca="1" si="139"/>
        <v>0.78300484067380083</v>
      </c>
      <c r="AB414">
        <f t="shared" ca="1" si="140"/>
        <v>0</v>
      </c>
      <c r="AC414" s="47">
        <f t="shared" ca="1" si="141"/>
        <v>0</v>
      </c>
      <c r="AD414">
        <f ca="1">Inputs!B16+(Inputs!D16-Inputs!B16)*BETAINV(RAND(),Model!H10,Model!I10)</f>
        <v>0.94457744041822056</v>
      </c>
      <c r="AE414">
        <f ca="1">Inputs!E16+(Inputs!G16-Inputs!E16)*BETAINV(RAND(),Model!J10,Model!K10)</f>
        <v>0.6159515627700779</v>
      </c>
      <c r="AF414">
        <f ca="1">(Inputs!H16+(Inputs!J16-Inputs!H16)*BETAINV(RAND(),Model!L10,Model!M10))*Inputs!$C$6</f>
        <v>146959.96651271594</v>
      </c>
      <c r="AG414">
        <f t="shared" ca="1" si="142"/>
        <v>0.58181395058296315</v>
      </c>
      <c r="AH414">
        <f t="shared" ca="1" si="143"/>
        <v>0.26717184124884075</v>
      </c>
      <c r="AI414">
        <f t="shared" ca="1" si="144"/>
        <v>0</v>
      </c>
      <c r="AJ414" s="47">
        <f t="shared" ca="1" si="145"/>
        <v>0</v>
      </c>
      <c r="AK414">
        <f t="shared" ca="1" si="146"/>
        <v>113868.96531895013</v>
      </c>
    </row>
    <row r="415" spans="2:37" x14ac:dyDescent="0.2">
      <c r="B415">
        <f ca="1">Inputs!B12+(Inputs!D12-Inputs!B12)*BETAINV(RAND(),Model!H6,Model!I6)</f>
        <v>2.8570120624178643</v>
      </c>
      <c r="C415">
        <f ca="1">Inputs!E12+(Inputs!G12-Inputs!E12)*BETAINV(RAND(),Model!J6,Model!K6)</f>
        <v>0.31064689416893965</v>
      </c>
      <c r="D415">
        <f ca="1">(Inputs!H12+(Inputs!J12-Inputs!H12)*BETAINV(RAND(),Model!L6,Model!M6))*Inputs!$C$6</f>
        <v>12253.678569835562</v>
      </c>
      <c r="E415">
        <f t="shared" ca="1" si="126"/>
        <v>0.8875219237933063</v>
      </c>
      <c r="F415">
        <f t="shared" ca="1" si="127"/>
        <v>0.81834696444085886</v>
      </c>
      <c r="G415">
        <f t="shared" ca="1" si="128"/>
        <v>2</v>
      </c>
      <c r="H415" s="47">
        <f t="shared" ca="1" si="129"/>
        <v>24507.357139671123</v>
      </c>
      <c r="I415">
        <f ca="1">Inputs!B13+(Inputs!D13-Inputs!B13)*BETAINV(RAND(),Model!H7,Model!I7)</f>
        <v>2.8596018947087773</v>
      </c>
      <c r="J415">
        <f ca="1">Inputs!E13+(Inputs!G13-Inputs!E13)*BETAINV(RAND(),Model!J7,Model!K7)</f>
        <v>0.34411786653981935</v>
      </c>
      <c r="K415">
        <f ca="1">(Inputs!H13+(Inputs!J13-Inputs!H13)*BETAINV(RAND(),Model!L7,Model!M7))*Inputs!$C$6</f>
        <v>40879.586271473323</v>
      </c>
      <c r="L415">
        <f t="shared" ca="1" si="130"/>
        <v>0.98404010316040957</v>
      </c>
      <c r="M415">
        <f t="shared" ca="1" si="131"/>
        <v>0.29084390209463429</v>
      </c>
      <c r="N415">
        <f t="shared" ca="1" si="132"/>
        <v>0</v>
      </c>
      <c r="O415" s="47">
        <f t="shared" ca="1" si="133"/>
        <v>0</v>
      </c>
      <c r="P415">
        <f ca="1">Inputs!B14+(Inputs!D14-Inputs!B14)*BETAINV(RAND(),Model!H8,Model!I8)</f>
        <v>0.3940584183256981</v>
      </c>
      <c r="Q415">
        <f ca="1">Inputs!E14+(Inputs!G14-Inputs!E14)*BETAINV(RAND(),Model!J8,Model!K8)</f>
        <v>0.6579422282941465</v>
      </c>
      <c r="R415">
        <f ca="1">(Inputs!H14+(Inputs!J14-Inputs!H14)*BETAINV(RAND(),Model!L8,Model!M8))*Inputs!$C$6</f>
        <v>499791.81600266107</v>
      </c>
      <c r="S415">
        <f t="shared" ca="1" si="134"/>
        <v>0.25926767383127675</v>
      </c>
      <c r="T415">
        <f t="shared" ca="1" si="135"/>
        <v>0.25140806877406141</v>
      </c>
      <c r="U415">
        <f t="shared" ca="1" si="136"/>
        <v>0</v>
      </c>
      <c r="V415" s="47">
        <f t="shared" ca="1" si="137"/>
        <v>0</v>
      </c>
      <c r="W415">
        <f ca="1">Inputs!B15+(Inputs!D15-Inputs!B15)*BETAINV(RAND(),Model!H9,Model!I9)</f>
        <v>0.77579547325401199</v>
      </c>
      <c r="X415">
        <f ca="1">Inputs!E15+(Inputs!G15-Inputs!E15)*BETAINV(RAND(),Model!J9,Model!K9)</f>
        <v>0.24212590679779583</v>
      </c>
      <c r="Y415">
        <f ca="1">(Inputs!H15+(Inputs!J15-Inputs!H15)*BETAINV(RAND(),Model!L9,Model!M9))*Inputs!$C$6</f>
        <v>21631.544075504342</v>
      </c>
      <c r="Z415">
        <f t="shared" ca="1" si="138"/>
        <v>0.18784018245125281</v>
      </c>
      <c r="AA415">
        <f t="shared" ca="1" si="139"/>
        <v>0.36310333134082706</v>
      </c>
      <c r="AB415">
        <f t="shared" ca="1" si="140"/>
        <v>0</v>
      </c>
      <c r="AC415" s="47">
        <f t="shared" ca="1" si="141"/>
        <v>0</v>
      </c>
      <c r="AD415">
        <f ca="1">Inputs!B16+(Inputs!D16-Inputs!B16)*BETAINV(RAND(),Model!H10,Model!I10)</f>
        <v>0.38523315413523773</v>
      </c>
      <c r="AE415">
        <f ca="1">Inputs!E16+(Inputs!G16-Inputs!E16)*BETAINV(RAND(),Model!J10,Model!K10)</f>
        <v>0.63553213021798527</v>
      </c>
      <c r="AF415">
        <f ca="1">(Inputs!H16+(Inputs!J16-Inputs!H16)*BETAINV(RAND(),Model!L10,Model!M10))*Inputs!$C$6</f>
        <v>77290.395419998604</v>
      </c>
      <c r="AG415">
        <f t="shared" ca="1" si="142"/>
        <v>0.24482804707816111</v>
      </c>
      <c r="AH415">
        <f t="shared" ca="1" si="143"/>
        <v>0.12855015160624039</v>
      </c>
      <c r="AI415">
        <f t="shared" ca="1" si="144"/>
        <v>0</v>
      </c>
      <c r="AJ415" s="47">
        <f t="shared" ca="1" si="145"/>
        <v>0</v>
      </c>
      <c r="AK415">
        <f t="shared" ca="1" si="146"/>
        <v>24507.357139671123</v>
      </c>
    </row>
    <row r="416" spans="2:37" x14ac:dyDescent="0.2">
      <c r="B416">
        <f ca="1">Inputs!B12+(Inputs!D12-Inputs!B12)*BETAINV(RAND(),Model!H6,Model!I6)</f>
        <v>3.1248232394843876</v>
      </c>
      <c r="C416">
        <f ca="1">Inputs!E12+(Inputs!G12-Inputs!E12)*BETAINV(RAND(),Model!J6,Model!K6)</f>
        <v>0.25340506274212177</v>
      </c>
      <c r="D416">
        <f ca="1">(Inputs!H12+(Inputs!J12-Inputs!H12)*BETAINV(RAND(),Model!L6,Model!M6))*Inputs!$C$6</f>
        <v>19423.569087326869</v>
      </c>
      <c r="E416">
        <f t="shared" ca="1" si="126"/>
        <v>0.79184602905958146</v>
      </c>
      <c r="F416">
        <f t="shared" ca="1" si="127"/>
        <v>0.38463630073836019</v>
      </c>
      <c r="G416">
        <f t="shared" ca="1" si="128"/>
        <v>0</v>
      </c>
      <c r="H416" s="47">
        <f t="shared" ca="1" si="129"/>
        <v>0</v>
      </c>
      <c r="I416">
        <f ca="1">Inputs!B13+(Inputs!D13-Inputs!B13)*BETAINV(RAND(),Model!H7,Model!I7)</f>
        <v>2.6231992085756839</v>
      </c>
      <c r="J416">
        <f ca="1">Inputs!E13+(Inputs!G13-Inputs!E13)*BETAINV(RAND(),Model!J7,Model!K7)</f>
        <v>0.29389882569725334</v>
      </c>
      <c r="K416">
        <f ca="1">(Inputs!H13+(Inputs!J13-Inputs!H13)*BETAINV(RAND(),Model!L7,Model!M7))*Inputs!$C$6</f>
        <v>16378.760594280515</v>
      </c>
      <c r="L416">
        <f t="shared" ca="1" si="130"/>
        <v>0.77095516697035782</v>
      </c>
      <c r="M416">
        <f t="shared" ca="1" si="131"/>
        <v>0.80796306182031774</v>
      </c>
      <c r="N416">
        <f t="shared" ca="1" si="132"/>
        <v>1</v>
      </c>
      <c r="O416" s="47">
        <f t="shared" ca="1" si="133"/>
        <v>16378.760594280515</v>
      </c>
      <c r="P416">
        <f ca="1">Inputs!B14+(Inputs!D14-Inputs!B14)*BETAINV(RAND(),Model!H8,Model!I8)</f>
        <v>0.36763123346658622</v>
      </c>
      <c r="Q416">
        <f ca="1">Inputs!E14+(Inputs!G14-Inputs!E14)*BETAINV(RAND(),Model!J8,Model!K8)</f>
        <v>0.50940594004476059</v>
      </c>
      <c r="R416">
        <f ca="1">(Inputs!H14+(Inputs!J14-Inputs!H14)*BETAINV(RAND(),Model!L8,Model!M8))*Inputs!$C$6</f>
        <v>532928.91733115003</v>
      </c>
      <c r="S416">
        <f t="shared" ca="1" si="134"/>
        <v>0.18727353407386119</v>
      </c>
      <c r="T416">
        <f t="shared" ca="1" si="135"/>
        <v>0.3309947891519841</v>
      </c>
      <c r="U416">
        <f t="shared" ca="1" si="136"/>
        <v>0</v>
      </c>
      <c r="V416" s="47">
        <f t="shared" ca="1" si="137"/>
        <v>0</v>
      </c>
      <c r="W416">
        <f ca="1">Inputs!B15+(Inputs!D15-Inputs!B15)*BETAINV(RAND(),Model!H9,Model!I9)</f>
        <v>1.5554070400555162</v>
      </c>
      <c r="X416">
        <f ca="1">Inputs!E15+(Inputs!G15-Inputs!E15)*BETAINV(RAND(),Model!J9,Model!K9)</f>
        <v>0.64684455367370997</v>
      </c>
      <c r="Y416">
        <f ca="1">(Inputs!H15+(Inputs!J15-Inputs!H15)*BETAINV(RAND(),Model!L9,Model!M9))*Inputs!$C$6</f>
        <v>55318.987388131842</v>
      </c>
      <c r="Z416">
        <f t="shared" ca="1" si="138"/>
        <v>1.0061065726056566</v>
      </c>
      <c r="AA416">
        <f t="shared" ca="1" si="139"/>
        <v>5.1011108379722891E-2</v>
      </c>
      <c r="AB416">
        <f t="shared" ca="1" si="140"/>
        <v>0</v>
      </c>
      <c r="AC416" s="47">
        <f t="shared" ca="1" si="141"/>
        <v>0</v>
      </c>
      <c r="AD416">
        <f ca="1">Inputs!B16+(Inputs!D16-Inputs!B16)*BETAINV(RAND(),Model!H10,Model!I10)</f>
        <v>0.39887219387445566</v>
      </c>
      <c r="AE416">
        <f ca="1">Inputs!E16+(Inputs!G16-Inputs!E16)*BETAINV(RAND(),Model!J10,Model!K10)</f>
        <v>0.67119234532513683</v>
      </c>
      <c r="AF416">
        <f ca="1">(Inputs!H16+(Inputs!J16-Inputs!H16)*BETAINV(RAND(),Model!L10,Model!M10))*Inputs!$C$6</f>
        <v>102773.5778319128</v>
      </c>
      <c r="AG416">
        <f t="shared" ca="1" si="142"/>
        <v>0.26771996329157854</v>
      </c>
      <c r="AH416">
        <f t="shared" ca="1" si="143"/>
        <v>0.41881715684543297</v>
      </c>
      <c r="AI416">
        <f t="shared" ca="1" si="144"/>
        <v>0</v>
      </c>
      <c r="AJ416" s="47">
        <f t="shared" ca="1" si="145"/>
        <v>0</v>
      </c>
      <c r="AK416">
        <f t="shared" ca="1" si="146"/>
        <v>16378.760594280515</v>
      </c>
    </row>
    <row r="417" spans="2:37" x14ac:dyDescent="0.2">
      <c r="B417">
        <f ca="1">Inputs!B12+(Inputs!D12-Inputs!B12)*BETAINV(RAND(),Model!H6,Model!I6)</f>
        <v>1.5665529451169053</v>
      </c>
      <c r="C417">
        <f ca="1">Inputs!E12+(Inputs!G12-Inputs!E12)*BETAINV(RAND(),Model!J6,Model!K6)</f>
        <v>0.25434859441371249</v>
      </c>
      <c r="D417">
        <f ca="1">(Inputs!H12+(Inputs!J12-Inputs!H12)*BETAINV(RAND(),Model!L6,Model!M6))*Inputs!$C$6</f>
        <v>15082.034997016579</v>
      </c>
      <c r="E417">
        <f t="shared" ca="1" si="126"/>
        <v>0.39845053966514654</v>
      </c>
      <c r="F417">
        <f t="shared" ca="1" si="127"/>
        <v>0.15181339286964157</v>
      </c>
      <c r="G417">
        <f t="shared" ca="1" si="128"/>
        <v>0</v>
      </c>
      <c r="H417" s="47">
        <f t="shared" ca="1" si="129"/>
        <v>0</v>
      </c>
      <c r="I417">
        <f ca="1">Inputs!B13+(Inputs!D13-Inputs!B13)*BETAINV(RAND(),Model!H7,Model!I7)</f>
        <v>1.9406513458216539</v>
      </c>
      <c r="J417">
        <f ca="1">Inputs!E13+(Inputs!G13-Inputs!E13)*BETAINV(RAND(),Model!J7,Model!K7)</f>
        <v>0.29821388349490507</v>
      </c>
      <c r="K417">
        <f ca="1">(Inputs!H13+(Inputs!J13-Inputs!H13)*BETAINV(RAND(),Model!L7,Model!M7))*Inputs!$C$6</f>
        <v>38764.284836580453</v>
      </c>
      <c r="L417">
        <f t="shared" ca="1" si="130"/>
        <v>0.57872917434708948</v>
      </c>
      <c r="M417">
        <f t="shared" ca="1" si="131"/>
        <v>0.88668959192519625</v>
      </c>
      <c r="N417">
        <f t="shared" ca="1" si="132"/>
        <v>2</v>
      </c>
      <c r="O417" s="47">
        <f t="shared" ca="1" si="133"/>
        <v>77528.569673160906</v>
      </c>
      <c r="P417">
        <f ca="1">Inputs!B14+(Inputs!D14-Inputs!B14)*BETAINV(RAND(),Model!H8,Model!I8)</f>
        <v>0.38470641522820237</v>
      </c>
      <c r="Q417">
        <f ca="1">Inputs!E14+(Inputs!G14-Inputs!E14)*BETAINV(RAND(),Model!J8,Model!K8)</f>
        <v>0.75796307471440794</v>
      </c>
      <c r="R417">
        <f ca="1">(Inputs!H14+(Inputs!J14-Inputs!H14)*BETAINV(RAND(),Model!L8,Model!M8))*Inputs!$C$6</f>
        <v>549543.05014398356</v>
      </c>
      <c r="S417">
        <f t="shared" ca="1" si="134"/>
        <v>0.29159325734872599</v>
      </c>
      <c r="T417">
        <f t="shared" ca="1" si="135"/>
        <v>1.3678266791409155E-2</v>
      </c>
      <c r="U417">
        <f t="shared" ca="1" si="136"/>
        <v>0</v>
      </c>
      <c r="V417" s="47">
        <f t="shared" ca="1" si="137"/>
        <v>0</v>
      </c>
      <c r="W417">
        <f ca="1">Inputs!B15+(Inputs!D15-Inputs!B15)*BETAINV(RAND(),Model!H9,Model!I9)</f>
        <v>0.99637712489871255</v>
      </c>
      <c r="X417">
        <f ca="1">Inputs!E15+(Inputs!G15-Inputs!E15)*BETAINV(RAND(),Model!J9,Model!K9)</f>
        <v>0.47476610396755908</v>
      </c>
      <c r="Y417">
        <f ca="1">(Inputs!H15+(Inputs!J15-Inputs!H15)*BETAINV(RAND(),Model!L9,Model!M9))*Inputs!$C$6</f>
        <v>32251.595696456901</v>
      </c>
      <c r="Z417">
        <f t="shared" ca="1" si="138"/>
        <v>0.47304608567055978</v>
      </c>
      <c r="AA417">
        <f t="shared" ca="1" si="139"/>
        <v>0.69501239138596682</v>
      </c>
      <c r="AB417">
        <f t="shared" ca="1" si="140"/>
        <v>1</v>
      </c>
      <c r="AC417" s="47">
        <f t="shared" ca="1" si="141"/>
        <v>32251.595696456901</v>
      </c>
      <c r="AD417">
        <f ca="1">Inputs!B16+(Inputs!D16-Inputs!B16)*BETAINV(RAND(),Model!H10,Model!I10)</f>
        <v>0.34814496628728453</v>
      </c>
      <c r="AE417">
        <f ca="1">Inputs!E16+(Inputs!G16-Inputs!E16)*BETAINV(RAND(),Model!J10,Model!K10)</f>
        <v>0.54316299394876411</v>
      </c>
      <c r="AF417">
        <f ca="1">(Inputs!H16+(Inputs!J16-Inputs!H16)*BETAINV(RAND(),Model!L10,Model!M10))*Inputs!$C$6</f>
        <v>116401.77762132324</v>
      </c>
      <c r="AG417">
        <f t="shared" ca="1" si="142"/>
        <v>0.18909946221679302</v>
      </c>
      <c r="AH417">
        <f t="shared" ca="1" si="143"/>
        <v>0.78333093366593787</v>
      </c>
      <c r="AI417">
        <f t="shared" ca="1" si="144"/>
        <v>0</v>
      </c>
      <c r="AJ417" s="47">
        <f t="shared" ca="1" si="145"/>
        <v>0</v>
      </c>
      <c r="AK417">
        <f t="shared" ca="1" si="146"/>
        <v>109780.16536961781</v>
      </c>
    </row>
    <row r="418" spans="2:37" x14ac:dyDescent="0.2">
      <c r="B418">
        <f ca="1">Inputs!B12+(Inputs!D12-Inputs!B12)*BETAINV(RAND(),Model!H6,Model!I6)</f>
        <v>2.819706923795462</v>
      </c>
      <c r="C418">
        <f ca="1">Inputs!E12+(Inputs!G12-Inputs!E12)*BETAINV(RAND(),Model!J6,Model!K6)</f>
        <v>0.37677726652468724</v>
      </c>
      <c r="D418">
        <f ca="1">(Inputs!H12+(Inputs!J12-Inputs!H12)*BETAINV(RAND(),Model!L6,Model!M6))*Inputs!$C$6</f>
        <v>35276.699980273348</v>
      </c>
      <c r="E418">
        <f t="shared" ca="1" si="126"/>
        <v>1.0624014671483888</v>
      </c>
      <c r="F418">
        <f t="shared" ca="1" si="127"/>
        <v>0.39329531125411732</v>
      </c>
      <c r="G418">
        <f t="shared" ca="1" si="128"/>
        <v>1</v>
      </c>
      <c r="H418" s="47">
        <f t="shared" ca="1" si="129"/>
        <v>35276.699980273348</v>
      </c>
      <c r="I418">
        <f ca="1">Inputs!B13+(Inputs!D13-Inputs!B13)*BETAINV(RAND(),Model!H7,Model!I7)</f>
        <v>3.6945531438963495</v>
      </c>
      <c r="J418">
        <f ca="1">Inputs!E13+(Inputs!G13-Inputs!E13)*BETAINV(RAND(),Model!J7,Model!K7)</f>
        <v>0.32963171117958351</v>
      </c>
      <c r="K418">
        <f ca="1">(Inputs!H13+(Inputs!J13-Inputs!H13)*BETAINV(RAND(),Model!L7,Model!M7))*Inputs!$C$6</f>
        <v>27474.317605215318</v>
      </c>
      <c r="L418">
        <f t="shared" ca="1" si="130"/>
        <v>1.2178418748664637</v>
      </c>
      <c r="M418">
        <f t="shared" ca="1" si="131"/>
        <v>0.36905432552981166</v>
      </c>
      <c r="N418">
        <f t="shared" ca="1" si="132"/>
        <v>1</v>
      </c>
      <c r="O418" s="47">
        <f t="shared" ca="1" si="133"/>
        <v>27474.317605215318</v>
      </c>
      <c r="P418">
        <f ca="1">Inputs!B14+(Inputs!D14-Inputs!B14)*BETAINV(RAND(),Model!H8,Model!I8)</f>
        <v>0.44054072833239599</v>
      </c>
      <c r="Q418">
        <f ca="1">Inputs!E14+(Inputs!G14-Inputs!E14)*BETAINV(RAND(),Model!J8,Model!K8)</f>
        <v>0.73407101264224939</v>
      </c>
      <c r="R418">
        <f ca="1">(Inputs!H14+(Inputs!J14-Inputs!H14)*BETAINV(RAND(),Model!L8,Model!M8))*Inputs!$C$6</f>
        <v>442515.16690351174</v>
      </c>
      <c r="S418">
        <f t="shared" ca="1" si="134"/>
        <v>0.32338817855711599</v>
      </c>
      <c r="T418">
        <f t="shared" ca="1" si="135"/>
        <v>0.62039148297001379</v>
      </c>
      <c r="U418">
        <f t="shared" ca="1" si="136"/>
        <v>0</v>
      </c>
      <c r="V418" s="47">
        <f t="shared" ca="1" si="137"/>
        <v>0</v>
      </c>
      <c r="W418">
        <f ca="1">Inputs!B15+(Inputs!D15-Inputs!B15)*BETAINV(RAND(),Model!H9,Model!I9)</f>
        <v>1.4092497647356057</v>
      </c>
      <c r="X418">
        <f ca="1">Inputs!E15+(Inputs!G15-Inputs!E15)*BETAINV(RAND(),Model!J9,Model!K9)</f>
        <v>0.43819056103522602</v>
      </c>
      <c r="Y418">
        <f ca="1">(Inputs!H15+(Inputs!J15-Inputs!H15)*BETAINV(RAND(),Model!L9,Model!M9))*Inputs!$C$6</f>
        <v>38131.610217339141</v>
      </c>
      <c r="Z418">
        <f t="shared" ca="1" si="138"/>
        <v>0.61751994504825536</v>
      </c>
      <c r="AA418">
        <f t="shared" ca="1" si="139"/>
        <v>0.72764570248794191</v>
      </c>
      <c r="AB418">
        <f t="shared" ca="1" si="140"/>
        <v>1</v>
      </c>
      <c r="AC418" s="47">
        <f t="shared" ca="1" si="141"/>
        <v>38131.610217339141</v>
      </c>
      <c r="AD418">
        <f ca="1">Inputs!B16+(Inputs!D16-Inputs!B16)*BETAINV(RAND(),Model!H10,Model!I10)</f>
        <v>0.38748688414249244</v>
      </c>
      <c r="AE418">
        <f ca="1">Inputs!E16+(Inputs!G16-Inputs!E16)*BETAINV(RAND(),Model!J10,Model!K10)</f>
        <v>0.53601395197295321</v>
      </c>
      <c r="AF418">
        <f ca="1">(Inputs!H16+(Inputs!J16-Inputs!H16)*BETAINV(RAND(),Model!L10,Model!M10))*Inputs!$C$6</f>
        <v>67307.276275244687</v>
      </c>
      <c r="AG418">
        <f t="shared" ca="1" si="142"/>
        <v>0.20769837610690323</v>
      </c>
      <c r="AH418">
        <f t="shared" ca="1" si="143"/>
        <v>0.76553256852939655</v>
      </c>
      <c r="AI418">
        <f t="shared" ca="1" si="144"/>
        <v>0</v>
      </c>
      <c r="AJ418" s="47">
        <f t="shared" ca="1" si="145"/>
        <v>0</v>
      </c>
      <c r="AK418">
        <f t="shared" ca="1" si="146"/>
        <v>100882.6278028278</v>
      </c>
    </row>
    <row r="419" spans="2:37" x14ac:dyDescent="0.2">
      <c r="B419">
        <f ca="1">Inputs!B12+(Inputs!D12-Inputs!B12)*BETAINV(RAND(),Model!H6,Model!I6)</f>
        <v>2.6924947634479888</v>
      </c>
      <c r="C419">
        <f ca="1">Inputs!E12+(Inputs!G12-Inputs!E12)*BETAINV(RAND(),Model!J6,Model!K6)</f>
        <v>0.34517312753263762</v>
      </c>
      <c r="D419">
        <f ca="1">(Inputs!H12+(Inputs!J12-Inputs!H12)*BETAINV(RAND(),Model!L6,Model!M6))*Inputs!$C$6</f>
        <v>34273.67776521873</v>
      </c>
      <c r="E419">
        <f t="shared" ca="1" si="126"/>
        <v>0.92937683836459162</v>
      </c>
      <c r="F419">
        <f t="shared" ca="1" si="127"/>
        <v>0.34112042764935435</v>
      </c>
      <c r="G419">
        <f t="shared" ca="1" si="128"/>
        <v>0</v>
      </c>
      <c r="H419" s="47">
        <f t="shared" ca="1" si="129"/>
        <v>0</v>
      </c>
      <c r="I419">
        <f ca="1">Inputs!B13+(Inputs!D13-Inputs!B13)*BETAINV(RAND(),Model!H7,Model!I7)</f>
        <v>1.8042162720609383</v>
      </c>
      <c r="J419">
        <f ca="1">Inputs!E13+(Inputs!G13-Inputs!E13)*BETAINV(RAND(),Model!J7,Model!K7)</f>
        <v>0.311053365230547</v>
      </c>
      <c r="K419">
        <f ca="1">(Inputs!H13+(Inputs!J13-Inputs!H13)*BETAINV(RAND(),Model!L7,Model!M7))*Inputs!$C$6</f>
        <v>15041.823747806537</v>
      </c>
      <c r="L419">
        <f t="shared" ca="1" si="130"/>
        <v>0.56120754302826692</v>
      </c>
      <c r="M419">
        <f t="shared" ca="1" si="131"/>
        <v>0.5787269974138971</v>
      </c>
      <c r="N419">
        <f t="shared" ca="1" si="132"/>
        <v>1</v>
      </c>
      <c r="O419" s="47">
        <f t="shared" ca="1" si="133"/>
        <v>15041.823747806537</v>
      </c>
      <c r="P419">
        <f ca="1">Inputs!B14+(Inputs!D14-Inputs!B14)*BETAINV(RAND(),Model!H8,Model!I8)</f>
        <v>0.5164125321573656</v>
      </c>
      <c r="Q419">
        <f ca="1">Inputs!E14+(Inputs!G14-Inputs!E14)*BETAINV(RAND(),Model!J8,Model!K8)</f>
        <v>0.51531680428353432</v>
      </c>
      <c r="R419">
        <f ca="1">(Inputs!H14+(Inputs!J14-Inputs!H14)*BETAINV(RAND(),Model!L8,Model!M8))*Inputs!$C$6</f>
        <v>364560.45776123711</v>
      </c>
      <c r="S419">
        <f t="shared" ca="1" si="134"/>
        <v>0.26611605576330155</v>
      </c>
      <c r="T419">
        <f t="shared" ca="1" si="135"/>
        <v>5.4359070563550382E-2</v>
      </c>
      <c r="U419">
        <f t="shared" ca="1" si="136"/>
        <v>0</v>
      </c>
      <c r="V419" s="47">
        <f t="shared" ca="1" si="137"/>
        <v>0</v>
      </c>
      <c r="W419">
        <f ca="1">Inputs!B15+(Inputs!D15-Inputs!B15)*BETAINV(RAND(),Model!H9,Model!I9)</f>
        <v>2.3926685079496068</v>
      </c>
      <c r="X419">
        <f ca="1">Inputs!E15+(Inputs!G15-Inputs!E15)*BETAINV(RAND(),Model!J9,Model!K9)</f>
        <v>0.46544078571671244</v>
      </c>
      <c r="Y419">
        <f ca="1">(Inputs!H15+(Inputs!J15-Inputs!H15)*BETAINV(RAND(),Model!L9,Model!M9))*Inputs!$C$6</f>
        <v>18242.671020446847</v>
      </c>
      <c r="Z419">
        <f t="shared" ca="1" si="138"/>
        <v>1.1136455102996989</v>
      </c>
      <c r="AA419">
        <f t="shared" ca="1" si="139"/>
        <v>0.15850150718990053</v>
      </c>
      <c r="AB419">
        <f t="shared" ca="1" si="140"/>
        <v>0</v>
      </c>
      <c r="AC419" s="47">
        <f t="shared" ca="1" si="141"/>
        <v>0</v>
      </c>
      <c r="AD419">
        <f ca="1">Inputs!B16+(Inputs!D16-Inputs!B16)*BETAINV(RAND(),Model!H10,Model!I10)</f>
        <v>0.90261090110196252</v>
      </c>
      <c r="AE419">
        <f ca="1">Inputs!E16+(Inputs!G16-Inputs!E16)*BETAINV(RAND(),Model!J10,Model!K10)</f>
        <v>0.62069293789106783</v>
      </c>
      <c r="AF419">
        <f ca="1">(Inputs!H16+(Inputs!J16-Inputs!H16)*BETAINV(RAND(),Model!L10,Model!M10))*Inputs!$C$6</f>
        <v>62497.765877133977</v>
      </c>
      <c r="AG419">
        <f t="shared" ca="1" si="142"/>
        <v>0.5602442119774812</v>
      </c>
      <c r="AH419">
        <f t="shared" ca="1" si="143"/>
        <v>9.8225751403267281E-2</v>
      </c>
      <c r="AI419">
        <f t="shared" ca="1" si="144"/>
        <v>0</v>
      </c>
      <c r="AJ419" s="47">
        <f t="shared" ca="1" si="145"/>
        <v>0</v>
      </c>
      <c r="AK419">
        <f t="shared" ca="1" si="146"/>
        <v>15041.823747806537</v>
      </c>
    </row>
    <row r="420" spans="2:37" x14ac:dyDescent="0.2">
      <c r="B420">
        <f ca="1">Inputs!B12+(Inputs!D12-Inputs!B12)*BETAINV(RAND(),Model!H6,Model!I6)</f>
        <v>2.8372158126164737</v>
      </c>
      <c r="C420">
        <f ca="1">Inputs!E12+(Inputs!G12-Inputs!E12)*BETAINV(RAND(),Model!J6,Model!K6)</f>
        <v>0.21477664977858374</v>
      </c>
      <c r="D420">
        <f ca="1">(Inputs!H12+(Inputs!J12-Inputs!H12)*BETAINV(RAND(),Model!L6,Model!M6))*Inputs!$C$6</f>
        <v>25839.927937441025</v>
      </c>
      <c r="E420">
        <f t="shared" ca="1" si="126"/>
        <v>0.60936770693258824</v>
      </c>
      <c r="F420">
        <f t="shared" ca="1" si="127"/>
        <v>0.11317118182675079</v>
      </c>
      <c r="G420">
        <f t="shared" ca="1" si="128"/>
        <v>0</v>
      </c>
      <c r="H420" s="47">
        <f t="shared" ca="1" si="129"/>
        <v>0</v>
      </c>
      <c r="I420">
        <f ca="1">Inputs!B13+(Inputs!D13-Inputs!B13)*BETAINV(RAND(),Model!H7,Model!I7)</f>
        <v>2.0658748350227389</v>
      </c>
      <c r="J420">
        <f ca="1">Inputs!E13+(Inputs!G13-Inputs!E13)*BETAINV(RAND(),Model!J7,Model!K7)</f>
        <v>0.3371103495331183</v>
      </c>
      <c r="K420">
        <f ca="1">(Inputs!H13+(Inputs!J13-Inputs!H13)*BETAINV(RAND(),Model!L7,Model!M7))*Inputs!$C$6</f>
        <v>49204.91349497989</v>
      </c>
      <c r="L420">
        <f t="shared" ca="1" si="130"/>
        <v>0.69642778772618863</v>
      </c>
      <c r="M420">
        <f t="shared" ca="1" si="131"/>
        <v>0.33068309302956822</v>
      </c>
      <c r="N420">
        <f t="shared" ca="1" si="132"/>
        <v>0</v>
      </c>
      <c r="O420" s="47">
        <f t="shared" ca="1" si="133"/>
        <v>0</v>
      </c>
      <c r="P420">
        <f ca="1">Inputs!B14+(Inputs!D14-Inputs!B14)*BETAINV(RAND(),Model!H8,Model!I8)</f>
        <v>0.17044162495684606</v>
      </c>
      <c r="Q420">
        <f ca="1">Inputs!E14+(Inputs!G14-Inputs!E14)*BETAINV(RAND(),Model!J8,Model!K8)</f>
        <v>0.71629170597940517</v>
      </c>
      <c r="R420">
        <f ca="1">(Inputs!H14+(Inputs!J14-Inputs!H14)*BETAINV(RAND(),Model!L8,Model!M8))*Inputs!$C$6</f>
        <v>244381.09137757431</v>
      </c>
      <c r="S420">
        <f t="shared" ca="1" si="134"/>
        <v>0.12208592231024122</v>
      </c>
      <c r="T420">
        <f t="shared" ca="1" si="135"/>
        <v>0.11085269523425634</v>
      </c>
      <c r="U420">
        <f t="shared" ca="1" si="136"/>
        <v>0</v>
      </c>
      <c r="V420" s="47">
        <f t="shared" ca="1" si="137"/>
        <v>0</v>
      </c>
      <c r="W420">
        <f ca="1">Inputs!B15+(Inputs!D15-Inputs!B15)*BETAINV(RAND(),Model!H9,Model!I9)</f>
        <v>1.3582238239995732</v>
      </c>
      <c r="X420">
        <f ca="1">Inputs!E15+(Inputs!G15-Inputs!E15)*BETAINV(RAND(),Model!J9,Model!K9)</f>
        <v>0.42009955482707839</v>
      </c>
      <c r="Y420">
        <f ca="1">(Inputs!H15+(Inputs!J15-Inputs!H15)*BETAINV(RAND(),Model!L9,Model!M9))*Inputs!$C$6</f>
        <v>22436.837008342744</v>
      </c>
      <c r="Z420">
        <f t="shared" ca="1" si="138"/>
        <v>0.57058922381775279</v>
      </c>
      <c r="AA420">
        <f t="shared" ca="1" si="139"/>
        <v>0.40449509166769726</v>
      </c>
      <c r="AB420">
        <f t="shared" ca="1" si="140"/>
        <v>0</v>
      </c>
      <c r="AC420" s="47">
        <f t="shared" ca="1" si="141"/>
        <v>0</v>
      </c>
      <c r="AD420">
        <f ca="1">Inputs!B16+(Inputs!D16-Inputs!B16)*BETAINV(RAND(),Model!H10,Model!I10)</f>
        <v>0.49861948777776371</v>
      </c>
      <c r="AE420">
        <f ca="1">Inputs!E16+(Inputs!G16-Inputs!E16)*BETAINV(RAND(),Model!J10,Model!K10)</f>
        <v>0.67458283656343332</v>
      </c>
      <c r="AF420">
        <f ca="1">(Inputs!H16+(Inputs!J16-Inputs!H16)*BETAINV(RAND(),Model!L10,Model!M10))*Inputs!$C$6</f>
        <v>101562.914923752</v>
      </c>
      <c r="AG420">
        <f t="shared" ca="1" si="142"/>
        <v>0.33636014843093004</v>
      </c>
      <c r="AH420">
        <f t="shared" ca="1" si="143"/>
        <v>6.2214134587550429E-3</v>
      </c>
      <c r="AI420">
        <f t="shared" ca="1" si="144"/>
        <v>0</v>
      </c>
      <c r="AJ420" s="47">
        <f t="shared" ca="1" si="145"/>
        <v>0</v>
      </c>
      <c r="AK420">
        <f t="shared" ca="1" si="146"/>
        <v>0</v>
      </c>
    </row>
    <row r="421" spans="2:37" x14ac:dyDescent="0.2">
      <c r="B421">
        <f ca="1">Inputs!B12+(Inputs!D12-Inputs!B12)*BETAINV(RAND(),Model!H6,Model!I6)</f>
        <v>4.1073743706569807</v>
      </c>
      <c r="C421">
        <f ca="1">Inputs!E12+(Inputs!G12-Inputs!E12)*BETAINV(RAND(),Model!J6,Model!K6)</f>
        <v>0.44620612486178468</v>
      </c>
      <c r="D421">
        <f ca="1">(Inputs!H12+(Inputs!J12-Inputs!H12)*BETAINV(RAND(),Model!L6,Model!M6))*Inputs!$C$6</f>
        <v>38711.458811573844</v>
      </c>
      <c r="E421">
        <f t="shared" ca="1" si="126"/>
        <v>1.8327356012874629</v>
      </c>
      <c r="F421">
        <f t="shared" ca="1" si="127"/>
        <v>0.28982041123266011</v>
      </c>
      <c r="G421">
        <f t="shared" ca="1" si="128"/>
        <v>1</v>
      </c>
      <c r="H421" s="47">
        <f t="shared" ca="1" si="129"/>
        <v>38711.458811573844</v>
      </c>
      <c r="I421">
        <f ca="1">Inputs!B13+(Inputs!D13-Inputs!B13)*BETAINV(RAND(),Model!H7,Model!I7)</f>
        <v>2.5052490090838551</v>
      </c>
      <c r="J421">
        <f ca="1">Inputs!E13+(Inputs!G13-Inputs!E13)*BETAINV(RAND(),Model!J7,Model!K7)</f>
        <v>0.24795344203051561</v>
      </c>
      <c r="K421">
        <f ca="1">(Inputs!H13+(Inputs!J13-Inputs!H13)*BETAINV(RAND(),Model!L7,Model!M7))*Inputs!$C$6</f>
        <v>55001.825562495549</v>
      </c>
      <c r="L421">
        <f t="shared" ca="1" si="130"/>
        <v>0.62118511494588036</v>
      </c>
      <c r="M421">
        <f t="shared" ca="1" si="131"/>
        <v>0.33319148958407874</v>
      </c>
      <c r="N421">
        <f t="shared" ca="1" si="132"/>
        <v>0</v>
      </c>
      <c r="O421" s="47">
        <f t="shared" ca="1" si="133"/>
        <v>0</v>
      </c>
      <c r="P421">
        <f ca="1">Inputs!B14+(Inputs!D14-Inputs!B14)*BETAINV(RAND(),Model!H8,Model!I8)</f>
        <v>0.25656981311034227</v>
      </c>
      <c r="Q421">
        <f ca="1">Inputs!E14+(Inputs!G14-Inputs!E14)*BETAINV(RAND(),Model!J8,Model!K8)</f>
        <v>0.46956944906927167</v>
      </c>
      <c r="R421">
        <f ca="1">(Inputs!H14+(Inputs!J14-Inputs!H14)*BETAINV(RAND(),Model!L8,Model!M8))*Inputs!$C$6</f>
        <v>357319.72997060302</v>
      </c>
      <c r="S421">
        <f t="shared" ca="1" si="134"/>
        <v>0.12047734579002942</v>
      </c>
      <c r="T421">
        <f t="shared" ca="1" si="135"/>
        <v>3.2427314627195836E-3</v>
      </c>
      <c r="U421">
        <f t="shared" ca="1" si="136"/>
        <v>0</v>
      </c>
      <c r="V421" s="47">
        <f t="shared" ca="1" si="137"/>
        <v>0</v>
      </c>
      <c r="W421">
        <f ca="1">Inputs!B15+(Inputs!D15-Inputs!B15)*BETAINV(RAND(),Model!H9,Model!I9)</f>
        <v>0.5724705682777752</v>
      </c>
      <c r="X421">
        <f ca="1">Inputs!E15+(Inputs!G15-Inputs!E15)*BETAINV(RAND(),Model!J9,Model!K9)</f>
        <v>0.60512771788507402</v>
      </c>
      <c r="Y421">
        <f ca="1">(Inputs!H15+(Inputs!J15-Inputs!H15)*BETAINV(RAND(),Model!L9,Model!M9))*Inputs!$C$6</f>
        <v>19617.952327354749</v>
      </c>
      <c r="Z421">
        <f t="shared" ca="1" si="138"/>
        <v>0.34641780853830156</v>
      </c>
      <c r="AA421">
        <f t="shared" ca="1" si="139"/>
        <v>0.12032030451936127</v>
      </c>
      <c r="AB421">
        <f t="shared" ca="1" si="140"/>
        <v>0</v>
      </c>
      <c r="AC421" s="47">
        <f t="shared" ca="1" si="141"/>
        <v>0</v>
      </c>
      <c r="AD421">
        <f ca="1">Inputs!B16+(Inputs!D16-Inputs!B16)*BETAINV(RAND(),Model!H10,Model!I10)</f>
        <v>1.0199341564552582</v>
      </c>
      <c r="AE421">
        <f ca="1">Inputs!E16+(Inputs!G16-Inputs!E16)*BETAINV(RAND(),Model!J10,Model!K10)</f>
        <v>0.57375470642318915</v>
      </c>
      <c r="AF421">
        <f ca="1">(Inputs!H16+(Inputs!J16-Inputs!H16)*BETAINV(RAND(),Model!L10,Model!M10))*Inputs!$C$6</f>
        <v>117915.96601757579</v>
      </c>
      <c r="AG421">
        <f t="shared" ca="1" si="142"/>
        <v>0.58519202250796976</v>
      </c>
      <c r="AH421">
        <f t="shared" ca="1" si="143"/>
        <v>3.5187815111908605E-2</v>
      </c>
      <c r="AI421">
        <f t="shared" ca="1" si="144"/>
        <v>0</v>
      </c>
      <c r="AJ421" s="47">
        <f t="shared" ca="1" si="145"/>
        <v>0</v>
      </c>
      <c r="AK421">
        <f t="shared" ca="1" si="146"/>
        <v>38711.458811573844</v>
      </c>
    </row>
    <row r="422" spans="2:37" x14ac:dyDescent="0.2">
      <c r="B422">
        <f ca="1">Inputs!B12+(Inputs!D12-Inputs!B12)*BETAINV(RAND(),Model!H6,Model!I6)</f>
        <v>3.0808007254099801</v>
      </c>
      <c r="C422">
        <f ca="1">Inputs!E12+(Inputs!G12-Inputs!E12)*BETAINV(RAND(),Model!J6,Model!K6)</f>
        <v>0.20686308906088213</v>
      </c>
      <c r="D422">
        <f ca="1">(Inputs!H12+(Inputs!J12-Inputs!H12)*BETAINV(RAND(),Model!L6,Model!M6))*Inputs!$C$6</f>
        <v>59408.462774407948</v>
      </c>
      <c r="E422">
        <f t="shared" ca="1" si="126"/>
        <v>0.63730395483931501</v>
      </c>
      <c r="F422">
        <f t="shared" ca="1" si="127"/>
        <v>8.4417798071382055E-2</v>
      </c>
      <c r="G422">
        <f t="shared" ca="1" si="128"/>
        <v>0</v>
      </c>
      <c r="H422" s="47">
        <f t="shared" ca="1" si="129"/>
        <v>0</v>
      </c>
      <c r="I422">
        <f ca="1">Inputs!B13+(Inputs!D13-Inputs!B13)*BETAINV(RAND(),Model!H7,Model!I7)</f>
        <v>1.1985368914551238</v>
      </c>
      <c r="J422">
        <f ca="1">Inputs!E13+(Inputs!G13-Inputs!E13)*BETAINV(RAND(),Model!J7,Model!K7)</f>
        <v>0.16073591171694282</v>
      </c>
      <c r="K422">
        <f ca="1">(Inputs!H13+(Inputs!J13-Inputs!H13)*BETAINV(RAND(),Model!L7,Model!M7))*Inputs!$C$6</f>
        <v>38579.866827703874</v>
      </c>
      <c r="L422">
        <f t="shared" ca="1" si="130"/>
        <v>0.19264791997442984</v>
      </c>
      <c r="M422">
        <f t="shared" ca="1" si="131"/>
        <v>0.90749027803624405</v>
      </c>
      <c r="N422">
        <f t="shared" ca="1" si="132"/>
        <v>1</v>
      </c>
      <c r="O422" s="47">
        <f t="shared" ca="1" si="133"/>
        <v>38579.866827703874</v>
      </c>
      <c r="P422">
        <f ca="1">Inputs!B14+(Inputs!D14-Inputs!B14)*BETAINV(RAND(),Model!H8,Model!I8)</f>
        <v>0.3235417842699011</v>
      </c>
      <c r="Q422">
        <f ca="1">Inputs!E14+(Inputs!G14-Inputs!E14)*BETAINV(RAND(),Model!J8,Model!K8)</f>
        <v>0.56865192772470452</v>
      </c>
      <c r="R422">
        <f ca="1">(Inputs!H14+(Inputs!J14-Inputs!H14)*BETAINV(RAND(),Model!L8,Model!M8))*Inputs!$C$6</f>
        <v>510062.8981656963</v>
      </c>
      <c r="S422">
        <f t="shared" ca="1" si="134"/>
        <v>0.18398265932456975</v>
      </c>
      <c r="T422">
        <f t="shared" ca="1" si="135"/>
        <v>2.6627375097988626E-2</v>
      </c>
      <c r="U422">
        <f t="shared" ca="1" si="136"/>
        <v>0</v>
      </c>
      <c r="V422" s="47">
        <f t="shared" ca="1" si="137"/>
        <v>0</v>
      </c>
      <c r="W422">
        <f ca="1">Inputs!B15+(Inputs!D15-Inputs!B15)*BETAINV(RAND(),Model!H9,Model!I9)</f>
        <v>1.3551326217467401</v>
      </c>
      <c r="X422">
        <f ca="1">Inputs!E15+(Inputs!G15-Inputs!E15)*BETAINV(RAND(),Model!J9,Model!K9)</f>
        <v>0.23736748986823034</v>
      </c>
      <c r="Y422">
        <f ca="1">(Inputs!H15+(Inputs!J15-Inputs!H15)*BETAINV(RAND(),Model!L9,Model!M9))*Inputs!$C$6</f>
        <v>30822.860884171532</v>
      </c>
      <c r="Z422">
        <f t="shared" ca="1" si="138"/>
        <v>0.32166442886257773</v>
      </c>
      <c r="AA422">
        <f t="shared" ca="1" si="139"/>
        <v>0.78162203239448436</v>
      </c>
      <c r="AB422">
        <f t="shared" ca="1" si="140"/>
        <v>1</v>
      </c>
      <c r="AC422" s="47">
        <f t="shared" ca="1" si="141"/>
        <v>30822.860884171532</v>
      </c>
      <c r="AD422">
        <f ca="1">Inputs!B16+(Inputs!D16-Inputs!B16)*BETAINV(RAND(),Model!H10,Model!I10)</f>
        <v>0.49963394988728571</v>
      </c>
      <c r="AE422">
        <f ca="1">Inputs!E16+(Inputs!G16-Inputs!E16)*BETAINV(RAND(),Model!J10,Model!K10)</f>
        <v>0.71316311073644911</v>
      </c>
      <c r="AF422">
        <f ca="1">(Inputs!H16+(Inputs!J16-Inputs!H16)*BETAINV(RAND(),Model!L10,Model!M10))*Inputs!$C$6</f>
        <v>77566.007432485058</v>
      </c>
      <c r="AG422">
        <f t="shared" ca="1" si="142"/>
        <v>0.35632050193115583</v>
      </c>
      <c r="AH422">
        <f t="shared" ca="1" si="143"/>
        <v>0.83175392923424907</v>
      </c>
      <c r="AI422">
        <f t="shared" ca="1" si="144"/>
        <v>1</v>
      </c>
      <c r="AJ422" s="47">
        <f t="shared" ca="1" si="145"/>
        <v>77566.007432485058</v>
      </c>
      <c r="AK422">
        <f t="shared" ca="1" si="146"/>
        <v>146968.73514436046</v>
      </c>
    </row>
    <row r="423" spans="2:37" x14ac:dyDescent="0.2">
      <c r="B423">
        <f ca="1">Inputs!B12+(Inputs!D12-Inputs!B12)*BETAINV(RAND(),Model!H6,Model!I6)</f>
        <v>2.2941433525546211</v>
      </c>
      <c r="C423">
        <f ca="1">Inputs!E12+(Inputs!G12-Inputs!E12)*BETAINV(RAND(),Model!J6,Model!K6)</f>
        <v>0.42308055650877807</v>
      </c>
      <c r="D423">
        <f ca="1">(Inputs!H12+(Inputs!J12-Inputs!H12)*BETAINV(RAND(),Model!L6,Model!M6))*Inputs!$C$6</f>
        <v>10488.877351869394</v>
      </c>
      <c r="E423">
        <f t="shared" ca="1" si="126"/>
        <v>0.97060744630972295</v>
      </c>
      <c r="F423">
        <f t="shared" ca="1" si="127"/>
        <v>0.55970468113086114</v>
      </c>
      <c r="G423">
        <f t="shared" ca="1" si="128"/>
        <v>1</v>
      </c>
      <c r="H423" s="47">
        <f t="shared" ca="1" si="129"/>
        <v>10488.877351869394</v>
      </c>
      <c r="I423">
        <f ca="1">Inputs!B13+(Inputs!D13-Inputs!B13)*BETAINV(RAND(),Model!H7,Model!I7)</f>
        <v>3.6361932812420052</v>
      </c>
      <c r="J423">
        <f ca="1">Inputs!E13+(Inputs!G13-Inputs!E13)*BETAINV(RAND(),Model!J7,Model!K7)</f>
        <v>0.2345046096238988</v>
      </c>
      <c r="K423">
        <f ca="1">(Inputs!H13+(Inputs!J13-Inputs!H13)*BETAINV(RAND(),Model!L7,Model!M7))*Inputs!$C$6</f>
        <v>31915.115824837627</v>
      </c>
      <c r="L423">
        <f t="shared" ca="1" si="130"/>
        <v>0.85270408593470004</v>
      </c>
      <c r="M423">
        <f t="shared" ca="1" si="131"/>
        <v>0.76026210075934919</v>
      </c>
      <c r="N423">
        <f t="shared" ca="1" si="132"/>
        <v>1</v>
      </c>
      <c r="O423" s="47">
        <f t="shared" ca="1" si="133"/>
        <v>31915.115824837627</v>
      </c>
      <c r="P423">
        <f ca="1">Inputs!B14+(Inputs!D14-Inputs!B14)*BETAINV(RAND(),Model!H8,Model!I8)</f>
        <v>0.34727941621909475</v>
      </c>
      <c r="Q423">
        <f ca="1">Inputs!E14+(Inputs!G14-Inputs!E14)*BETAINV(RAND(),Model!J8,Model!K8)</f>
        <v>0.40364217510087852</v>
      </c>
      <c r="R423">
        <f ca="1">(Inputs!H14+(Inputs!J14-Inputs!H14)*BETAINV(RAND(),Model!L8,Model!M8))*Inputs!$C$6</f>
        <v>447578.1611865962</v>
      </c>
      <c r="S423">
        <f t="shared" ca="1" si="134"/>
        <v>0.1401766189304387</v>
      </c>
      <c r="T423">
        <f t="shared" ca="1" si="135"/>
        <v>0.755758657057094</v>
      </c>
      <c r="U423">
        <f t="shared" ca="1" si="136"/>
        <v>0</v>
      </c>
      <c r="V423" s="47">
        <f t="shared" ca="1" si="137"/>
        <v>0</v>
      </c>
      <c r="W423">
        <f ca="1">Inputs!B15+(Inputs!D15-Inputs!B15)*BETAINV(RAND(),Model!H9,Model!I9)</f>
        <v>0.57885809782126274</v>
      </c>
      <c r="X423">
        <f ca="1">Inputs!E15+(Inputs!G15-Inputs!E15)*BETAINV(RAND(),Model!J9,Model!K9)</f>
        <v>0.44374250514364355</v>
      </c>
      <c r="Y423">
        <f ca="1">(Inputs!H15+(Inputs!J15-Inputs!H15)*BETAINV(RAND(),Model!L9,Model!M9))*Inputs!$C$6</f>
        <v>10582.764257467483</v>
      </c>
      <c r="Z423">
        <f t="shared" ca="1" si="138"/>
        <v>0.25686394244989141</v>
      </c>
      <c r="AA423">
        <f t="shared" ca="1" si="139"/>
        <v>0.7833110641116976</v>
      </c>
      <c r="AB423">
        <f t="shared" ca="1" si="140"/>
        <v>1</v>
      </c>
      <c r="AC423" s="47">
        <f t="shared" ca="1" si="141"/>
        <v>10582.764257467483</v>
      </c>
      <c r="AD423">
        <f ca="1">Inputs!B16+(Inputs!D16-Inputs!B16)*BETAINV(RAND(),Model!H10,Model!I10)</f>
        <v>1.1632967565796248</v>
      </c>
      <c r="AE423">
        <f ca="1">Inputs!E16+(Inputs!G16-Inputs!E16)*BETAINV(RAND(),Model!J10,Model!K10)</f>
        <v>0.70139461047702245</v>
      </c>
      <c r="AF423">
        <f ca="1">(Inputs!H16+(Inputs!J16-Inputs!H16)*BETAINV(RAND(),Model!L10,Model!M10))*Inputs!$C$6</f>
        <v>113500.30658856047</v>
      </c>
      <c r="AG423">
        <f t="shared" ca="1" si="142"/>
        <v>0.81593007545034957</v>
      </c>
      <c r="AH423">
        <f t="shared" ca="1" si="143"/>
        <v>0.12826182915209339</v>
      </c>
      <c r="AI423">
        <f t="shared" ca="1" si="144"/>
        <v>0</v>
      </c>
      <c r="AJ423" s="47">
        <f t="shared" ca="1" si="145"/>
        <v>0</v>
      </c>
      <c r="AK423">
        <f t="shared" ca="1" si="146"/>
        <v>52986.757434174506</v>
      </c>
    </row>
    <row r="424" spans="2:37" x14ac:dyDescent="0.2">
      <c r="B424">
        <f ca="1">Inputs!B12+(Inputs!D12-Inputs!B12)*BETAINV(RAND(),Model!H6,Model!I6)</f>
        <v>3.3537228258136405</v>
      </c>
      <c r="C424">
        <f ca="1">Inputs!E12+(Inputs!G12-Inputs!E12)*BETAINV(RAND(),Model!J6,Model!K6)</f>
        <v>0.31340000601702084</v>
      </c>
      <c r="D424">
        <f ca="1">(Inputs!H12+(Inputs!J12-Inputs!H12)*BETAINV(RAND(),Model!L6,Model!M6))*Inputs!$C$6</f>
        <v>12091.526897033873</v>
      </c>
      <c r="E424">
        <f t="shared" ca="1" si="126"/>
        <v>1.0510567537894151</v>
      </c>
      <c r="F424">
        <f t="shared" ca="1" si="127"/>
        <v>0.71801867507714834</v>
      </c>
      <c r="G424">
        <f t="shared" ca="1" si="128"/>
        <v>2</v>
      </c>
      <c r="H424" s="47">
        <f t="shared" ca="1" si="129"/>
        <v>24183.053794067746</v>
      </c>
      <c r="I424">
        <f ca="1">Inputs!B13+(Inputs!D13-Inputs!B13)*BETAINV(RAND(),Model!H7,Model!I7)</f>
        <v>1.7161307234089447</v>
      </c>
      <c r="J424">
        <f ca="1">Inputs!E13+(Inputs!G13-Inputs!E13)*BETAINV(RAND(),Model!J7,Model!K7)</f>
        <v>0.2826536891087772</v>
      </c>
      <c r="K424">
        <f ca="1">(Inputs!H13+(Inputs!J13-Inputs!H13)*BETAINV(RAND(),Model!L7,Model!M7))*Inputs!$C$6</f>
        <v>45161.384031861831</v>
      </c>
      <c r="L424">
        <f t="shared" ca="1" si="130"/>
        <v>0.48507067996445274</v>
      </c>
      <c r="M424">
        <f t="shared" ca="1" si="131"/>
        <v>0.70503356999807476</v>
      </c>
      <c r="N424">
        <f t="shared" ca="1" si="132"/>
        <v>1</v>
      </c>
      <c r="O424" s="47">
        <f t="shared" ca="1" si="133"/>
        <v>45161.384031861831</v>
      </c>
      <c r="P424">
        <f ca="1">Inputs!B14+(Inputs!D14-Inputs!B14)*BETAINV(RAND(),Model!H8,Model!I8)</f>
        <v>0.19170671946835205</v>
      </c>
      <c r="Q424">
        <f ca="1">Inputs!E14+(Inputs!G14-Inputs!E14)*BETAINV(RAND(),Model!J8,Model!K8)</f>
        <v>0.54122741951472575</v>
      </c>
      <c r="R424">
        <f ca="1">(Inputs!H14+(Inputs!J14-Inputs!H14)*BETAINV(RAND(),Model!L8,Model!M8))*Inputs!$C$6</f>
        <v>492374.60976967192</v>
      </c>
      <c r="S424">
        <f t="shared" ca="1" si="134"/>
        <v>0.10375693308148962</v>
      </c>
      <c r="T424">
        <f t="shared" ca="1" si="135"/>
        <v>0.78661062161162065</v>
      </c>
      <c r="U424">
        <f t="shared" ca="1" si="136"/>
        <v>0</v>
      </c>
      <c r="V424" s="47">
        <f t="shared" ca="1" si="137"/>
        <v>0</v>
      </c>
      <c r="W424">
        <f ca="1">Inputs!B15+(Inputs!D15-Inputs!B15)*BETAINV(RAND(),Model!H9,Model!I9)</f>
        <v>2.4649598722554247</v>
      </c>
      <c r="X424">
        <f ca="1">Inputs!E15+(Inputs!G15-Inputs!E15)*BETAINV(RAND(),Model!J9,Model!K9)</f>
        <v>0.31938335359665626</v>
      </c>
      <c r="Y424">
        <f ca="1">(Inputs!H15+(Inputs!J15-Inputs!H15)*BETAINV(RAND(),Model!L9,Model!M9))*Inputs!$C$6</f>
        <v>38586.676979183991</v>
      </c>
      <c r="Z424">
        <f t="shared" ca="1" si="138"/>
        <v>0.78726715048212292</v>
      </c>
      <c r="AA424">
        <f t="shared" ca="1" si="139"/>
        <v>0.15425637510147139</v>
      </c>
      <c r="AB424">
        <f t="shared" ca="1" si="140"/>
        <v>0</v>
      </c>
      <c r="AC424" s="47">
        <f t="shared" ca="1" si="141"/>
        <v>0</v>
      </c>
      <c r="AD424">
        <f ca="1">Inputs!B16+(Inputs!D16-Inputs!B16)*BETAINV(RAND(),Model!H10,Model!I10)</f>
        <v>0.62511530284035599</v>
      </c>
      <c r="AE424">
        <f ca="1">Inputs!E16+(Inputs!G16-Inputs!E16)*BETAINV(RAND(),Model!J10,Model!K10)</f>
        <v>0.44573645129492695</v>
      </c>
      <c r="AF424">
        <f ca="1">(Inputs!H16+(Inputs!J16-Inputs!H16)*BETAINV(RAND(),Model!L10,Model!M10))*Inputs!$C$6</f>
        <v>81566.596240090075</v>
      </c>
      <c r="AG424">
        <f t="shared" ca="1" si="142"/>
        <v>0.27863667673821385</v>
      </c>
      <c r="AH424">
        <f t="shared" ca="1" si="143"/>
        <v>0.95687160566277429</v>
      </c>
      <c r="AI424">
        <f t="shared" ca="1" si="144"/>
        <v>1</v>
      </c>
      <c r="AJ424" s="47">
        <f t="shared" ca="1" si="145"/>
        <v>81566.596240090075</v>
      </c>
      <c r="AK424">
        <f t="shared" ca="1" si="146"/>
        <v>150911.03406601964</v>
      </c>
    </row>
    <row r="425" spans="2:37" x14ac:dyDescent="0.2">
      <c r="B425">
        <f ca="1">Inputs!B12+(Inputs!D12-Inputs!B12)*BETAINV(RAND(),Model!H6,Model!I6)</f>
        <v>2.0500182440710244</v>
      </c>
      <c r="C425">
        <f ca="1">Inputs!E12+(Inputs!G12-Inputs!E12)*BETAINV(RAND(),Model!J6,Model!K6)</f>
        <v>0.37782965663915863</v>
      </c>
      <c r="D425">
        <f ca="1">(Inputs!H12+(Inputs!J12-Inputs!H12)*BETAINV(RAND(),Model!L6,Model!M6))*Inputs!$C$6</f>
        <v>17150.50252780168</v>
      </c>
      <c r="E425">
        <f t="shared" ca="1" si="126"/>
        <v>0.77455768926136603</v>
      </c>
      <c r="F425">
        <f t="shared" ca="1" si="127"/>
        <v>3.742419860577062E-2</v>
      </c>
      <c r="G425">
        <f t="shared" ca="1" si="128"/>
        <v>0</v>
      </c>
      <c r="H425" s="47">
        <f t="shared" ca="1" si="129"/>
        <v>0</v>
      </c>
      <c r="I425">
        <f ca="1">Inputs!B13+(Inputs!D13-Inputs!B13)*BETAINV(RAND(),Model!H7,Model!I7)</f>
        <v>2.3110187517239202</v>
      </c>
      <c r="J425">
        <f ca="1">Inputs!E13+(Inputs!G13-Inputs!E13)*BETAINV(RAND(),Model!J7,Model!K7)</f>
        <v>0.26276398265167944</v>
      </c>
      <c r="K425">
        <f ca="1">(Inputs!H13+(Inputs!J13-Inputs!H13)*BETAINV(RAND(),Model!L7,Model!M7))*Inputs!$C$6</f>
        <v>62605.008586257434</v>
      </c>
      <c r="L425">
        <f t="shared" ca="1" si="130"/>
        <v>0.60725249118569002</v>
      </c>
      <c r="M425">
        <f t="shared" ca="1" si="131"/>
        <v>0.88323707456791201</v>
      </c>
      <c r="N425">
        <f t="shared" ca="1" si="132"/>
        <v>2</v>
      </c>
      <c r="O425" s="47">
        <f t="shared" ca="1" si="133"/>
        <v>125210.01717251487</v>
      </c>
      <c r="P425">
        <f ca="1">Inputs!B14+(Inputs!D14-Inputs!B14)*BETAINV(RAND(),Model!H8,Model!I8)</f>
        <v>0.16320560434001774</v>
      </c>
      <c r="Q425">
        <f ca="1">Inputs!E14+(Inputs!G14-Inputs!E14)*BETAINV(RAND(),Model!J8,Model!K8)</f>
        <v>0.41007031943399669</v>
      </c>
      <c r="R425">
        <f ca="1">(Inputs!H14+(Inputs!J14-Inputs!H14)*BETAINV(RAND(),Model!L8,Model!M8))*Inputs!$C$6</f>
        <v>383815.11492206197</v>
      </c>
      <c r="S425">
        <f t="shared" ca="1" si="134"/>
        <v>6.6925774305129554E-2</v>
      </c>
      <c r="T425">
        <f t="shared" ca="1" si="135"/>
        <v>0.82952093133881977</v>
      </c>
      <c r="U425">
        <f t="shared" ca="1" si="136"/>
        <v>0</v>
      </c>
      <c r="V425" s="47">
        <f t="shared" ca="1" si="137"/>
        <v>0</v>
      </c>
      <c r="W425">
        <f ca="1">Inputs!B15+(Inputs!D15-Inputs!B15)*BETAINV(RAND(),Model!H9,Model!I9)</f>
        <v>0.34588997163968654</v>
      </c>
      <c r="X425">
        <f ca="1">Inputs!E15+(Inputs!G15-Inputs!E15)*BETAINV(RAND(),Model!J9,Model!K9)</f>
        <v>0.54560613424673865</v>
      </c>
      <c r="Y425">
        <f ca="1">(Inputs!H15+(Inputs!J15-Inputs!H15)*BETAINV(RAND(),Model!L9,Model!M9))*Inputs!$C$6</f>
        <v>28396.757478850839</v>
      </c>
      <c r="Z425">
        <f t="shared" ca="1" si="138"/>
        <v>0.18871969030104344</v>
      </c>
      <c r="AA425">
        <f t="shared" ca="1" si="139"/>
        <v>0.54080496446031845</v>
      </c>
      <c r="AB425">
        <f t="shared" ca="1" si="140"/>
        <v>0</v>
      </c>
      <c r="AC425" s="47">
        <f t="shared" ca="1" si="141"/>
        <v>0</v>
      </c>
      <c r="AD425">
        <f ca="1">Inputs!B16+(Inputs!D16-Inputs!B16)*BETAINV(RAND(),Model!H10,Model!I10)</f>
        <v>0.44902453885725691</v>
      </c>
      <c r="AE425">
        <f ca="1">Inputs!E16+(Inputs!G16-Inputs!E16)*BETAINV(RAND(),Model!J10,Model!K10)</f>
        <v>0.64491509422688842</v>
      </c>
      <c r="AF425">
        <f ca="1">(Inputs!H16+(Inputs!J16-Inputs!H16)*BETAINV(RAND(),Model!L10,Model!M10))*Inputs!$C$6</f>
        <v>42236.288787591468</v>
      </c>
      <c r="AG425">
        <f t="shared" ca="1" si="142"/>
        <v>0.28958270278731296</v>
      </c>
      <c r="AH425">
        <f t="shared" ca="1" si="143"/>
        <v>0.33303978494269504</v>
      </c>
      <c r="AI425">
        <f t="shared" ca="1" si="144"/>
        <v>0</v>
      </c>
      <c r="AJ425" s="47">
        <f t="shared" ca="1" si="145"/>
        <v>0</v>
      </c>
      <c r="AK425">
        <f t="shared" ca="1" si="146"/>
        <v>125210.01717251487</v>
      </c>
    </row>
    <row r="426" spans="2:37" x14ac:dyDescent="0.2">
      <c r="B426">
        <f ca="1">Inputs!B12+(Inputs!D12-Inputs!B12)*BETAINV(RAND(),Model!H6,Model!I6)</f>
        <v>2.707219477713096</v>
      </c>
      <c r="C426">
        <f ca="1">Inputs!E12+(Inputs!G12-Inputs!E12)*BETAINV(RAND(),Model!J6,Model!K6)</f>
        <v>0.28263638076199921</v>
      </c>
      <c r="D426">
        <f ca="1">(Inputs!H12+(Inputs!J12-Inputs!H12)*BETAINV(RAND(),Model!L6,Model!M6))*Inputs!$C$6</f>
        <v>26051.518927229732</v>
      </c>
      <c r="E426">
        <f t="shared" ca="1" si="126"/>
        <v>0.76515871510921918</v>
      </c>
      <c r="F426">
        <f t="shared" ca="1" si="127"/>
        <v>0.87241025016449325</v>
      </c>
      <c r="G426">
        <f t="shared" ca="1" si="128"/>
        <v>2</v>
      </c>
      <c r="H426" s="47">
        <f t="shared" ca="1" si="129"/>
        <v>52103.037854459464</v>
      </c>
      <c r="I426">
        <f ca="1">Inputs!B13+(Inputs!D13-Inputs!B13)*BETAINV(RAND(),Model!H7,Model!I7)</f>
        <v>1.7069259655551501</v>
      </c>
      <c r="J426">
        <f ca="1">Inputs!E13+(Inputs!G13-Inputs!E13)*BETAINV(RAND(),Model!J7,Model!K7)</f>
        <v>0.15430569710063635</v>
      </c>
      <c r="K426">
        <f ca="1">(Inputs!H13+(Inputs!J13-Inputs!H13)*BETAINV(RAND(),Model!L7,Model!M7))*Inputs!$C$6</f>
        <v>30306.083548584473</v>
      </c>
      <c r="L426">
        <f t="shared" ca="1" si="130"/>
        <v>0.26338840101416422</v>
      </c>
      <c r="M426">
        <f t="shared" ca="1" si="131"/>
        <v>0.56822150312110853</v>
      </c>
      <c r="N426">
        <f t="shared" ca="1" si="132"/>
        <v>0</v>
      </c>
      <c r="O426" s="47">
        <f t="shared" ca="1" si="133"/>
        <v>0</v>
      </c>
      <c r="P426">
        <f ca="1">Inputs!B14+(Inputs!D14-Inputs!B14)*BETAINV(RAND(),Model!H8,Model!I8)</f>
        <v>0.38686181481576776</v>
      </c>
      <c r="Q426">
        <f ca="1">Inputs!E14+(Inputs!G14-Inputs!E14)*BETAINV(RAND(),Model!J8,Model!K8)</f>
        <v>0.57286358882189203</v>
      </c>
      <c r="R426">
        <f ca="1">(Inputs!H14+(Inputs!J14-Inputs!H14)*BETAINV(RAND(),Model!L8,Model!M8))*Inputs!$C$6</f>
        <v>405765.35219053051</v>
      </c>
      <c r="S426">
        <f t="shared" ca="1" si="134"/>
        <v>0.22161904761351092</v>
      </c>
      <c r="T426">
        <f t="shared" ca="1" si="135"/>
        <v>0.51922175763824063</v>
      </c>
      <c r="U426">
        <f t="shared" ca="1" si="136"/>
        <v>0</v>
      </c>
      <c r="V426" s="47">
        <f t="shared" ca="1" si="137"/>
        <v>0</v>
      </c>
      <c r="W426">
        <f ca="1">Inputs!B15+(Inputs!D15-Inputs!B15)*BETAINV(RAND(),Model!H9,Model!I9)</f>
        <v>1.4962720851055682</v>
      </c>
      <c r="X426">
        <f ca="1">Inputs!E15+(Inputs!G15-Inputs!E15)*BETAINV(RAND(),Model!J9,Model!K9)</f>
        <v>0.54372461360550328</v>
      </c>
      <c r="Y426">
        <f ca="1">(Inputs!H15+(Inputs!J15-Inputs!H15)*BETAINV(RAND(),Model!L9,Model!M9))*Inputs!$C$6</f>
        <v>32337.475600440932</v>
      </c>
      <c r="Z426">
        <f t="shared" ca="1" si="138"/>
        <v>0.81355996132272579</v>
      </c>
      <c r="AA426">
        <f t="shared" ca="1" si="139"/>
        <v>0.12039038796718282</v>
      </c>
      <c r="AB426">
        <f t="shared" ca="1" si="140"/>
        <v>0</v>
      </c>
      <c r="AC426" s="47">
        <f t="shared" ca="1" si="141"/>
        <v>0</v>
      </c>
      <c r="AD426">
        <f ca="1">Inputs!B16+(Inputs!D16-Inputs!B16)*BETAINV(RAND(),Model!H10,Model!I10)</f>
        <v>0.60330723962715016</v>
      </c>
      <c r="AE426">
        <f ca="1">Inputs!E16+(Inputs!G16-Inputs!E16)*BETAINV(RAND(),Model!J10,Model!K10)</f>
        <v>0.59812370015710803</v>
      </c>
      <c r="AF426">
        <f ca="1">(Inputs!H16+(Inputs!J16-Inputs!H16)*BETAINV(RAND(),Model!L10,Model!M10))*Inputs!$C$6</f>
        <v>83073.66843903024</v>
      </c>
      <c r="AG426">
        <f t="shared" ca="1" si="142"/>
        <v>0.36085235849736208</v>
      </c>
      <c r="AH426">
        <f t="shared" ca="1" si="143"/>
        <v>0.59190809608589479</v>
      </c>
      <c r="AI426">
        <f t="shared" ca="1" si="144"/>
        <v>0</v>
      </c>
      <c r="AJ426" s="47">
        <f t="shared" ca="1" si="145"/>
        <v>0</v>
      </c>
      <c r="AK426">
        <f t="shared" ca="1" si="146"/>
        <v>52103.037854459464</v>
      </c>
    </row>
    <row r="427" spans="2:37" x14ac:dyDescent="0.2">
      <c r="B427">
        <f ca="1">Inputs!B12+(Inputs!D12-Inputs!B12)*BETAINV(RAND(),Model!H6,Model!I6)</f>
        <v>3.4412523013222125</v>
      </c>
      <c r="C427">
        <f ca="1">Inputs!E12+(Inputs!G12-Inputs!E12)*BETAINV(RAND(),Model!J6,Model!K6)</f>
        <v>0.29242073124021428</v>
      </c>
      <c r="D427">
        <f ca="1">(Inputs!H12+(Inputs!J12-Inputs!H12)*BETAINV(RAND(),Model!L6,Model!M6))*Inputs!$C$6</f>
        <v>8648.0477341336191</v>
      </c>
      <c r="E427">
        <f t="shared" ca="1" si="126"/>
        <v>1.0062935143347116</v>
      </c>
      <c r="F427">
        <f t="shared" ca="1" si="127"/>
        <v>0.20984315757181837</v>
      </c>
      <c r="G427">
        <f t="shared" ca="1" si="128"/>
        <v>0</v>
      </c>
      <c r="H427" s="47">
        <f t="shared" ca="1" si="129"/>
        <v>0</v>
      </c>
      <c r="I427">
        <f ca="1">Inputs!B13+(Inputs!D13-Inputs!B13)*BETAINV(RAND(),Model!H7,Model!I7)</f>
        <v>2.3851170106190445</v>
      </c>
      <c r="J427">
        <f ca="1">Inputs!E13+(Inputs!G13-Inputs!E13)*BETAINV(RAND(),Model!J7,Model!K7)</f>
        <v>0.22297932501965118</v>
      </c>
      <c r="K427">
        <f ca="1">(Inputs!H13+(Inputs!J13-Inputs!H13)*BETAINV(RAND(),Model!L7,Model!M7))*Inputs!$C$6</f>
        <v>65815.711224076207</v>
      </c>
      <c r="L427">
        <f t="shared" ca="1" si="130"/>
        <v>0.53183178112072271</v>
      </c>
      <c r="M427">
        <f t="shared" ca="1" si="131"/>
        <v>0.71238880626851031</v>
      </c>
      <c r="N427">
        <f t="shared" ca="1" si="132"/>
        <v>1</v>
      </c>
      <c r="O427" s="47">
        <f t="shared" ca="1" si="133"/>
        <v>65815.711224076207</v>
      </c>
      <c r="P427">
        <f ca="1">Inputs!B14+(Inputs!D14-Inputs!B14)*BETAINV(RAND(),Model!H8,Model!I8)</f>
        <v>0.22968649755996684</v>
      </c>
      <c r="Q427">
        <f ca="1">Inputs!E14+(Inputs!G14-Inputs!E14)*BETAINV(RAND(),Model!J8,Model!K8)</f>
        <v>0.61390987404028685</v>
      </c>
      <c r="R427">
        <f ca="1">(Inputs!H14+(Inputs!J14-Inputs!H14)*BETAINV(RAND(),Model!L8,Model!M8))*Inputs!$C$6</f>
        <v>274047.95069420943</v>
      </c>
      <c r="S427">
        <f t="shared" ca="1" si="134"/>
        <v>0.14100680878579389</v>
      </c>
      <c r="T427">
        <f t="shared" ca="1" si="135"/>
        <v>0.3583110116577265</v>
      </c>
      <c r="U427">
        <f t="shared" ca="1" si="136"/>
        <v>0</v>
      </c>
      <c r="V427" s="47">
        <f t="shared" ca="1" si="137"/>
        <v>0</v>
      </c>
      <c r="W427">
        <f ca="1">Inputs!B15+(Inputs!D15-Inputs!B15)*BETAINV(RAND(),Model!H9,Model!I9)</f>
        <v>0.72232074507754285</v>
      </c>
      <c r="X427">
        <f ca="1">Inputs!E15+(Inputs!G15-Inputs!E15)*BETAINV(RAND(),Model!J9,Model!K9)</f>
        <v>0.28327422534939534</v>
      </c>
      <c r="Y427">
        <f ca="1">(Inputs!H15+(Inputs!J15-Inputs!H15)*BETAINV(RAND(),Model!L9,Model!M9))*Inputs!$C$6</f>
        <v>32377.140433810349</v>
      </c>
      <c r="Z427">
        <f t="shared" ca="1" si="138"/>
        <v>0.20461484951563902</v>
      </c>
      <c r="AA427">
        <f t="shared" ca="1" si="139"/>
        <v>0.38188879299392142</v>
      </c>
      <c r="AB427">
        <f t="shared" ca="1" si="140"/>
        <v>0</v>
      </c>
      <c r="AC427" s="47">
        <f t="shared" ca="1" si="141"/>
        <v>0</v>
      </c>
      <c r="AD427">
        <f ca="1">Inputs!B16+(Inputs!D16-Inputs!B16)*BETAINV(RAND(),Model!H10,Model!I10)</f>
        <v>0.70883335040688955</v>
      </c>
      <c r="AE427">
        <f ca="1">Inputs!E16+(Inputs!G16-Inputs!E16)*BETAINV(RAND(),Model!J10,Model!K10)</f>
        <v>0.62909527658924391</v>
      </c>
      <c r="AF427">
        <f ca="1">(Inputs!H16+(Inputs!J16-Inputs!H16)*BETAINV(RAND(),Model!L10,Model!M10))*Inputs!$C$6</f>
        <v>97254.632194360413</v>
      </c>
      <c r="AG427">
        <f t="shared" ca="1" si="142"/>
        <v>0.44592371262990266</v>
      </c>
      <c r="AH427">
        <f t="shared" ca="1" si="143"/>
        <v>0.80865161162834687</v>
      </c>
      <c r="AI427">
        <f t="shared" ca="1" si="144"/>
        <v>1</v>
      </c>
      <c r="AJ427" s="47">
        <f t="shared" ca="1" si="145"/>
        <v>97254.632194360413</v>
      </c>
      <c r="AK427">
        <f t="shared" ca="1" si="146"/>
        <v>163070.34341843662</v>
      </c>
    </row>
    <row r="428" spans="2:37" x14ac:dyDescent="0.2">
      <c r="B428">
        <f ca="1">Inputs!B12+(Inputs!D12-Inputs!B12)*BETAINV(RAND(),Model!H6,Model!I6)</f>
        <v>4.9310933138758433</v>
      </c>
      <c r="C428">
        <f ca="1">Inputs!E12+(Inputs!G12-Inputs!E12)*BETAINV(RAND(),Model!J6,Model!K6)</f>
        <v>0.35853811563119153</v>
      </c>
      <c r="D428">
        <f ca="1">(Inputs!H12+(Inputs!J12-Inputs!H12)*BETAINV(RAND(),Model!L6,Model!M6))*Inputs!$C$6</f>
        <v>26740.016694153321</v>
      </c>
      <c r="E428">
        <f t="shared" ca="1" si="126"/>
        <v>1.7679849047586125</v>
      </c>
      <c r="F428">
        <f t="shared" ca="1" si="127"/>
        <v>0.60681206123136988</v>
      </c>
      <c r="G428">
        <f t="shared" ca="1" si="128"/>
        <v>2</v>
      </c>
      <c r="H428" s="47">
        <f t="shared" ca="1" si="129"/>
        <v>53480.033388306641</v>
      </c>
      <c r="I428">
        <f ca="1">Inputs!B13+(Inputs!D13-Inputs!B13)*BETAINV(RAND(),Model!H7,Model!I7)</f>
        <v>2.8314502728801605</v>
      </c>
      <c r="J428">
        <f ca="1">Inputs!E13+(Inputs!G13-Inputs!E13)*BETAINV(RAND(),Model!J7,Model!K7)</f>
        <v>0.39079438411123746</v>
      </c>
      <c r="K428">
        <f ca="1">(Inputs!H13+(Inputs!J13-Inputs!H13)*BETAINV(RAND(),Model!L7,Model!M7))*Inputs!$C$6</f>
        <v>32358.755935760644</v>
      </c>
      <c r="L428">
        <f t="shared" ca="1" si="130"/>
        <v>1.1065148655317976</v>
      </c>
      <c r="M428">
        <f t="shared" ca="1" si="131"/>
        <v>0.62205755562241893</v>
      </c>
      <c r="N428">
        <f t="shared" ca="1" si="132"/>
        <v>1</v>
      </c>
      <c r="O428" s="47">
        <f t="shared" ca="1" si="133"/>
        <v>32358.755935760644</v>
      </c>
      <c r="P428">
        <f ca="1">Inputs!B14+(Inputs!D14-Inputs!B14)*BETAINV(RAND(),Model!H8,Model!I8)</f>
        <v>0.50667451187762114</v>
      </c>
      <c r="Q428">
        <f ca="1">Inputs!E14+(Inputs!G14-Inputs!E14)*BETAINV(RAND(),Model!J8,Model!K8)</f>
        <v>0.74503550339461311</v>
      </c>
      <c r="R428">
        <f ca="1">(Inputs!H14+(Inputs!J14-Inputs!H14)*BETAINV(RAND(),Model!L8,Model!M8))*Inputs!$C$6</f>
        <v>258954.23144827661</v>
      </c>
      <c r="S428">
        <f t="shared" ca="1" si="134"/>
        <v>0.37749050001396334</v>
      </c>
      <c r="T428">
        <f t="shared" ca="1" si="135"/>
        <v>0.74636666325890577</v>
      </c>
      <c r="U428">
        <f t="shared" ca="1" si="136"/>
        <v>1</v>
      </c>
      <c r="V428" s="47">
        <f t="shared" ca="1" si="137"/>
        <v>258954.23144827661</v>
      </c>
      <c r="W428">
        <f ca="1">Inputs!B15+(Inputs!D15-Inputs!B15)*BETAINV(RAND(),Model!H9,Model!I9)</f>
        <v>1.2157994072127483</v>
      </c>
      <c r="X428">
        <f ca="1">Inputs!E15+(Inputs!G15-Inputs!E15)*BETAINV(RAND(),Model!J9,Model!K9)</f>
        <v>0.5313675522422372</v>
      </c>
      <c r="Y428">
        <f ca="1">(Inputs!H15+(Inputs!J15-Inputs!H15)*BETAINV(RAND(),Model!L9,Model!M9))*Inputs!$C$6</f>
        <v>28628.64858222548</v>
      </c>
      <c r="Z428">
        <f t="shared" ca="1" si="138"/>
        <v>0.646036355028201</v>
      </c>
      <c r="AA428">
        <f t="shared" ca="1" si="139"/>
        <v>0.95142070722705852</v>
      </c>
      <c r="AB428">
        <f t="shared" ca="1" si="140"/>
        <v>2</v>
      </c>
      <c r="AC428" s="47">
        <f t="shared" ca="1" si="141"/>
        <v>57257.29716445096</v>
      </c>
      <c r="AD428">
        <f ca="1">Inputs!B16+(Inputs!D16-Inputs!B16)*BETAINV(RAND(),Model!H10,Model!I10)</f>
        <v>0.75235834179915173</v>
      </c>
      <c r="AE428">
        <f ca="1">Inputs!E16+(Inputs!G16-Inputs!E16)*BETAINV(RAND(),Model!J10,Model!K10)</f>
        <v>0.52854211768270265</v>
      </c>
      <c r="AF428">
        <f ca="1">(Inputs!H16+(Inputs!J16-Inputs!H16)*BETAINV(RAND(),Model!L10,Model!M10))*Inputs!$C$6</f>
        <v>67821.794915600069</v>
      </c>
      <c r="AG428">
        <f t="shared" ca="1" si="142"/>
        <v>0.39765307123077026</v>
      </c>
      <c r="AH428">
        <f t="shared" ca="1" si="143"/>
        <v>0.6896525951448389</v>
      </c>
      <c r="AI428">
        <f t="shared" ca="1" si="144"/>
        <v>1</v>
      </c>
      <c r="AJ428" s="47">
        <f t="shared" ca="1" si="145"/>
        <v>67821.794915600069</v>
      </c>
      <c r="AK428">
        <f t="shared" ca="1" si="146"/>
        <v>469872.11285239493</v>
      </c>
    </row>
    <row r="429" spans="2:37" x14ac:dyDescent="0.2">
      <c r="B429">
        <f ca="1">Inputs!B12+(Inputs!D12-Inputs!B12)*BETAINV(RAND(),Model!H6,Model!I6)</f>
        <v>4.204587135900578</v>
      </c>
      <c r="C429">
        <f ca="1">Inputs!E12+(Inputs!G12-Inputs!E12)*BETAINV(RAND(),Model!J6,Model!K6)</f>
        <v>0.20889652973193962</v>
      </c>
      <c r="D429">
        <f ca="1">(Inputs!H12+(Inputs!J12-Inputs!H12)*BETAINV(RAND(),Model!L6,Model!M6))*Inputs!$C$6</f>
        <v>63528.676022448279</v>
      </c>
      <c r="E429">
        <f t="shared" ca="1" si="126"/>
        <v>0.87832366164518594</v>
      </c>
      <c r="F429">
        <f t="shared" ca="1" si="127"/>
        <v>0.83705719865923345</v>
      </c>
      <c r="G429">
        <f t="shared" ca="1" si="128"/>
        <v>2</v>
      </c>
      <c r="H429" s="47">
        <f t="shared" ca="1" si="129"/>
        <v>127057.35204489656</v>
      </c>
      <c r="I429">
        <f ca="1">Inputs!B13+(Inputs!D13-Inputs!B13)*BETAINV(RAND(),Model!H7,Model!I7)</f>
        <v>4.1951067879069859</v>
      </c>
      <c r="J429">
        <f ca="1">Inputs!E13+(Inputs!G13-Inputs!E13)*BETAINV(RAND(),Model!J7,Model!K7)</f>
        <v>0.21930083287397537</v>
      </c>
      <c r="K429">
        <f ca="1">(Inputs!H13+(Inputs!J13-Inputs!H13)*BETAINV(RAND(),Model!L7,Model!M7))*Inputs!$C$6</f>
        <v>27236.866649658845</v>
      </c>
      <c r="L429">
        <f t="shared" ca="1" si="130"/>
        <v>0.91999041258326952</v>
      </c>
      <c r="M429">
        <f t="shared" ca="1" si="131"/>
        <v>4.7807834770084323E-2</v>
      </c>
      <c r="N429">
        <f t="shared" ca="1" si="132"/>
        <v>0</v>
      </c>
      <c r="O429" s="47">
        <f t="shared" ca="1" si="133"/>
        <v>0</v>
      </c>
      <c r="P429">
        <f ca="1">Inputs!B14+(Inputs!D14-Inputs!B14)*BETAINV(RAND(),Model!H8,Model!I8)</f>
        <v>0.50014457850996663</v>
      </c>
      <c r="Q429">
        <f ca="1">Inputs!E14+(Inputs!G14-Inputs!E14)*BETAINV(RAND(),Model!J8,Model!K8)</f>
        <v>0.83268197799798838</v>
      </c>
      <c r="R429">
        <f ca="1">(Inputs!H14+(Inputs!J14-Inputs!H14)*BETAINV(RAND(),Model!L8,Model!M8))*Inputs!$C$6</f>
        <v>398606.45481274667</v>
      </c>
      <c r="S429">
        <f t="shared" ca="1" si="134"/>
        <v>0.41646137691864921</v>
      </c>
      <c r="T429">
        <f t="shared" ca="1" si="135"/>
        <v>0.54613627596923975</v>
      </c>
      <c r="U429">
        <f t="shared" ca="1" si="136"/>
        <v>0</v>
      </c>
      <c r="V429" s="47">
        <f t="shared" ca="1" si="137"/>
        <v>0</v>
      </c>
      <c r="W429">
        <f ca="1">Inputs!B15+(Inputs!D15-Inputs!B15)*BETAINV(RAND(),Model!H9,Model!I9)</f>
        <v>0.9819019918103149</v>
      </c>
      <c r="X429">
        <f ca="1">Inputs!E15+(Inputs!G15-Inputs!E15)*BETAINV(RAND(),Model!J9,Model!K9)</f>
        <v>0.4809360279812912</v>
      </c>
      <c r="Y429">
        <f ca="1">(Inputs!H15+(Inputs!J15-Inputs!H15)*BETAINV(RAND(),Model!L9,Model!M9))*Inputs!$C$6</f>
        <v>23770.993885582073</v>
      </c>
      <c r="Z429">
        <f t="shared" ca="1" si="138"/>
        <v>0.47223204380817119</v>
      </c>
      <c r="AA429">
        <f t="shared" ca="1" si="139"/>
        <v>0.98545266914222995</v>
      </c>
      <c r="AB429">
        <f t="shared" ca="1" si="140"/>
        <v>2</v>
      </c>
      <c r="AC429" s="47">
        <f t="shared" ca="1" si="141"/>
        <v>47541.987771164146</v>
      </c>
      <c r="AD429">
        <f ca="1">Inputs!B16+(Inputs!D16-Inputs!B16)*BETAINV(RAND(),Model!H10,Model!I10)</f>
        <v>0.89743605506653101</v>
      </c>
      <c r="AE429">
        <f ca="1">Inputs!E16+(Inputs!G16-Inputs!E16)*BETAINV(RAND(),Model!J10,Model!K10)</f>
        <v>0.55377129405411074</v>
      </c>
      <c r="AF429">
        <f ca="1">(Inputs!H16+(Inputs!J16-Inputs!H16)*BETAINV(RAND(),Model!L10,Model!M10))*Inputs!$C$6</f>
        <v>117373.001354079</v>
      </c>
      <c r="AG429">
        <f t="shared" ca="1" si="142"/>
        <v>0.49697432554500909</v>
      </c>
      <c r="AH429">
        <f t="shared" ca="1" si="143"/>
        <v>5.1927380281583169E-2</v>
      </c>
      <c r="AI429">
        <f t="shared" ca="1" si="144"/>
        <v>0</v>
      </c>
      <c r="AJ429" s="47">
        <f t="shared" ca="1" si="145"/>
        <v>0</v>
      </c>
      <c r="AK429">
        <f t="shared" ca="1" si="146"/>
        <v>174599.3398160607</v>
      </c>
    </row>
    <row r="430" spans="2:37" x14ac:dyDescent="0.2">
      <c r="B430">
        <f ca="1">Inputs!B12+(Inputs!D12-Inputs!B12)*BETAINV(RAND(),Model!H6,Model!I6)</f>
        <v>4.1103786941462088</v>
      </c>
      <c r="C430">
        <f ca="1">Inputs!E12+(Inputs!G12-Inputs!E12)*BETAINV(RAND(),Model!J6,Model!K6)</f>
        <v>0.34383422913098582</v>
      </c>
      <c r="D430">
        <f ca="1">(Inputs!H12+(Inputs!J12-Inputs!H12)*BETAINV(RAND(),Model!L6,Model!M6))*Inputs!$C$6</f>
        <v>42318.168324356142</v>
      </c>
      <c r="E430">
        <f t="shared" ca="1" si="126"/>
        <v>1.4132888897381899</v>
      </c>
      <c r="F430">
        <f t="shared" ca="1" si="127"/>
        <v>0.70796077154301484</v>
      </c>
      <c r="G430">
        <f t="shared" ca="1" si="128"/>
        <v>2</v>
      </c>
      <c r="H430" s="47">
        <f t="shared" ca="1" si="129"/>
        <v>84636.336648712284</v>
      </c>
      <c r="I430">
        <f ca="1">Inputs!B13+(Inputs!D13-Inputs!B13)*BETAINV(RAND(),Model!H7,Model!I7)</f>
        <v>3.335978549957602</v>
      </c>
      <c r="J430">
        <f ca="1">Inputs!E13+(Inputs!G13-Inputs!E13)*BETAINV(RAND(),Model!J7,Model!K7)</f>
        <v>0.32056968065236591</v>
      </c>
      <c r="K430">
        <f ca="1">(Inputs!H13+(Inputs!J13-Inputs!H13)*BETAINV(RAND(),Model!L7,Model!M7))*Inputs!$C$6</f>
        <v>32994.640911590301</v>
      </c>
      <c r="L430">
        <f t="shared" ca="1" si="130"/>
        <v>1.0694135784230512</v>
      </c>
      <c r="M430">
        <f t="shared" ca="1" si="131"/>
        <v>0.53306730451924811</v>
      </c>
      <c r="N430">
        <f t="shared" ca="1" si="132"/>
        <v>1</v>
      </c>
      <c r="O430" s="47">
        <f t="shared" ca="1" si="133"/>
        <v>32994.640911590301</v>
      </c>
      <c r="P430">
        <f ca="1">Inputs!B14+(Inputs!D14-Inputs!B14)*BETAINV(RAND(),Model!H8,Model!I8)</f>
        <v>0.22139327075606208</v>
      </c>
      <c r="Q430">
        <f ca="1">Inputs!E14+(Inputs!G14-Inputs!E14)*BETAINV(RAND(),Model!J8,Model!K8)</f>
        <v>0.61548326561171862</v>
      </c>
      <c r="R430">
        <f ca="1">(Inputs!H14+(Inputs!J14-Inputs!H14)*BETAINV(RAND(),Model!L8,Model!M8))*Inputs!$C$6</f>
        <v>326013.50662526238</v>
      </c>
      <c r="S430">
        <f t="shared" ca="1" si="134"/>
        <v>0.13626385326940049</v>
      </c>
      <c r="T430">
        <f t="shared" ca="1" si="135"/>
        <v>0.18692742161819098</v>
      </c>
      <c r="U430">
        <f t="shared" ca="1" si="136"/>
        <v>0</v>
      </c>
      <c r="V430" s="47">
        <f t="shared" ca="1" si="137"/>
        <v>0</v>
      </c>
      <c r="W430">
        <f ca="1">Inputs!B15+(Inputs!D15-Inputs!B15)*BETAINV(RAND(),Model!H9,Model!I9)</f>
        <v>0.79779924013121573</v>
      </c>
      <c r="X430">
        <f ca="1">Inputs!E15+(Inputs!G15-Inputs!E15)*BETAINV(RAND(),Model!J9,Model!K9)</f>
        <v>0.40270141484925437</v>
      </c>
      <c r="Y430">
        <f ca="1">(Inputs!H15+(Inputs!J15-Inputs!H15)*BETAINV(RAND(),Model!L9,Model!M9))*Inputs!$C$6</f>
        <v>40272.284065410015</v>
      </c>
      <c r="Z430">
        <f t="shared" ca="1" si="138"/>
        <v>0.32127488276650062</v>
      </c>
      <c r="AA430">
        <f t="shared" ca="1" si="139"/>
        <v>0.28152908815750166</v>
      </c>
      <c r="AB430">
        <f t="shared" ca="1" si="140"/>
        <v>0</v>
      </c>
      <c r="AC430" s="47">
        <f t="shared" ca="1" si="141"/>
        <v>0</v>
      </c>
      <c r="AD430">
        <f ca="1">Inputs!B16+(Inputs!D16-Inputs!B16)*BETAINV(RAND(),Model!H10,Model!I10)</f>
        <v>0.85544237553254621</v>
      </c>
      <c r="AE430">
        <f ca="1">Inputs!E16+(Inputs!G16-Inputs!E16)*BETAINV(RAND(),Model!J10,Model!K10)</f>
        <v>0.6683569689129788</v>
      </c>
      <c r="AF430">
        <f ca="1">(Inputs!H16+(Inputs!J16-Inputs!H16)*BETAINV(RAND(),Model!L10,Model!M10))*Inputs!$C$6</f>
        <v>121700.64393185133</v>
      </c>
      <c r="AG430">
        <f t="shared" ca="1" si="142"/>
        <v>0.5717408731906507</v>
      </c>
      <c r="AH430">
        <f t="shared" ca="1" si="143"/>
        <v>0.11895147630607361</v>
      </c>
      <c r="AI430">
        <f t="shared" ca="1" si="144"/>
        <v>0</v>
      </c>
      <c r="AJ430" s="47">
        <f t="shared" ca="1" si="145"/>
        <v>0</v>
      </c>
      <c r="AK430">
        <f t="shared" ca="1" si="146"/>
        <v>117630.97756030259</v>
      </c>
    </row>
    <row r="431" spans="2:37" x14ac:dyDescent="0.2">
      <c r="B431">
        <f ca="1">Inputs!B12+(Inputs!D12-Inputs!B12)*BETAINV(RAND(),Model!H6,Model!I6)</f>
        <v>5.7072192628448315</v>
      </c>
      <c r="C431">
        <f ca="1">Inputs!E12+(Inputs!G12-Inputs!E12)*BETAINV(RAND(),Model!J6,Model!K6)</f>
        <v>0.29478002771662587</v>
      </c>
      <c r="D431">
        <f ca="1">(Inputs!H12+(Inputs!J12-Inputs!H12)*BETAINV(RAND(),Model!L6,Model!M6))*Inputs!$C$6</f>
        <v>30920.500344046082</v>
      </c>
      <c r="E431">
        <f t="shared" ca="1" si="126"/>
        <v>1.6823742524862606</v>
      </c>
      <c r="F431">
        <f t="shared" ca="1" si="127"/>
        <v>0.90122622279109699</v>
      </c>
      <c r="G431">
        <f t="shared" ca="1" si="128"/>
        <v>3</v>
      </c>
      <c r="H431" s="47">
        <f t="shared" ca="1" si="129"/>
        <v>92761.501032138243</v>
      </c>
      <c r="I431">
        <f ca="1">Inputs!B13+(Inputs!D13-Inputs!B13)*BETAINV(RAND(),Model!H7,Model!I7)</f>
        <v>0.96633695786393103</v>
      </c>
      <c r="J431">
        <f ca="1">Inputs!E13+(Inputs!G13-Inputs!E13)*BETAINV(RAND(),Model!J7,Model!K7)</f>
        <v>0.1431398732031757</v>
      </c>
      <c r="K431">
        <f ca="1">(Inputs!H13+(Inputs!J13-Inputs!H13)*BETAINV(RAND(),Model!L7,Model!M7))*Inputs!$C$6</f>
        <v>47516.171660313623</v>
      </c>
      <c r="L431">
        <f t="shared" ca="1" si="130"/>
        <v>0.13832134962018564</v>
      </c>
      <c r="M431">
        <f t="shared" ca="1" si="131"/>
        <v>0.82985428776957182</v>
      </c>
      <c r="N431">
        <f t="shared" ca="1" si="132"/>
        <v>0</v>
      </c>
      <c r="O431" s="47">
        <f t="shared" ca="1" si="133"/>
        <v>0</v>
      </c>
      <c r="P431">
        <f ca="1">Inputs!B14+(Inputs!D14-Inputs!B14)*BETAINV(RAND(),Model!H8,Model!I8)</f>
        <v>0.28150577633065099</v>
      </c>
      <c r="Q431">
        <f ca="1">Inputs!E14+(Inputs!G14-Inputs!E14)*BETAINV(RAND(),Model!J8,Model!K8)</f>
        <v>0.70433171644767478</v>
      </c>
      <c r="R431">
        <f ca="1">(Inputs!H14+(Inputs!J14-Inputs!H14)*BETAINV(RAND(),Model!L8,Model!M8))*Inputs!$C$6</f>
        <v>238753.22750211463</v>
      </c>
      <c r="S431">
        <f t="shared" ca="1" si="134"/>
        <v>0.19827344663290264</v>
      </c>
      <c r="T431">
        <f t="shared" ca="1" si="135"/>
        <v>0.36127923055308531</v>
      </c>
      <c r="U431">
        <f t="shared" ca="1" si="136"/>
        <v>0</v>
      </c>
      <c r="V431" s="47">
        <f t="shared" ca="1" si="137"/>
        <v>0</v>
      </c>
      <c r="W431">
        <f ca="1">Inputs!B15+(Inputs!D15-Inputs!B15)*BETAINV(RAND(),Model!H9,Model!I9)</f>
        <v>2.0076857696218471</v>
      </c>
      <c r="X431">
        <f ca="1">Inputs!E15+(Inputs!G15-Inputs!E15)*BETAINV(RAND(),Model!J9,Model!K9)</f>
        <v>0.49237978771601076</v>
      </c>
      <c r="Y431">
        <f ca="1">(Inputs!H15+(Inputs!J15-Inputs!H15)*BETAINV(RAND(),Model!L9,Model!M9))*Inputs!$C$6</f>
        <v>38880.467630112114</v>
      </c>
      <c r="Z431">
        <f t="shared" ca="1" si="138"/>
        <v>0.98854389304686074</v>
      </c>
      <c r="AA431">
        <f t="shared" ca="1" si="139"/>
        <v>0.57491522337296108</v>
      </c>
      <c r="AB431">
        <f t="shared" ca="1" si="140"/>
        <v>1</v>
      </c>
      <c r="AC431" s="47">
        <f t="shared" ca="1" si="141"/>
        <v>38880.467630112114</v>
      </c>
      <c r="AD431">
        <f ca="1">Inputs!B16+(Inputs!D16-Inputs!B16)*BETAINV(RAND(),Model!H10,Model!I10)</f>
        <v>0.45214969684697887</v>
      </c>
      <c r="AE431">
        <f ca="1">Inputs!E16+(Inputs!G16-Inputs!E16)*BETAINV(RAND(),Model!J10,Model!K10)</f>
        <v>0.65697508857463993</v>
      </c>
      <c r="AF431">
        <f ca="1">(Inputs!H16+(Inputs!J16-Inputs!H16)*BETAINV(RAND(),Model!L10,Model!M10))*Inputs!$C$6</f>
        <v>141530.13475788245</v>
      </c>
      <c r="AG431">
        <f t="shared" ca="1" si="142"/>
        <v>0.29705108713504053</v>
      </c>
      <c r="AH431">
        <f t="shared" ca="1" si="143"/>
        <v>0.99146294815454061</v>
      </c>
      <c r="AI431">
        <f t="shared" ca="1" si="144"/>
        <v>2</v>
      </c>
      <c r="AJ431" s="47">
        <f t="shared" ca="1" si="145"/>
        <v>283060.2695157649</v>
      </c>
      <c r="AK431">
        <f t="shared" ca="1" si="146"/>
        <v>414702.23817801522</v>
      </c>
    </row>
    <row r="432" spans="2:37" x14ac:dyDescent="0.2">
      <c r="B432">
        <f ca="1">Inputs!B12+(Inputs!D12-Inputs!B12)*BETAINV(RAND(),Model!H6,Model!I6)</f>
        <v>4.0168519579695836</v>
      </c>
      <c r="C432">
        <f ca="1">Inputs!E12+(Inputs!G12-Inputs!E12)*BETAINV(RAND(),Model!J6,Model!K6)</f>
        <v>0.31141122689301903</v>
      </c>
      <c r="D432">
        <f ca="1">(Inputs!H12+(Inputs!J12-Inputs!H12)*BETAINV(RAND(),Model!L6,Model!M6))*Inputs!$C$6</f>
        <v>49041.995130222902</v>
      </c>
      <c r="E432">
        <f t="shared" ca="1" si="126"/>
        <v>1.2508927964789338</v>
      </c>
      <c r="F432">
        <f t="shared" ca="1" si="127"/>
        <v>0.41519362999629195</v>
      </c>
      <c r="G432">
        <f t="shared" ca="1" si="128"/>
        <v>1</v>
      </c>
      <c r="H432" s="47">
        <f t="shared" ca="1" si="129"/>
        <v>49041.995130222902</v>
      </c>
      <c r="I432">
        <f ca="1">Inputs!B13+(Inputs!D13-Inputs!B13)*BETAINV(RAND(),Model!H7,Model!I7)</f>
        <v>2.4115353203195586</v>
      </c>
      <c r="J432">
        <f ca="1">Inputs!E13+(Inputs!G13-Inputs!E13)*BETAINV(RAND(),Model!J7,Model!K7)</f>
        <v>0.22579289181294548</v>
      </c>
      <c r="K432">
        <f ca="1">(Inputs!H13+(Inputs!J13-Inputs!H13)*BETAINV(RAND(),Model!L7,Model!M7))*Inputs!$C$6</f>
        <v>24869.61781093814</v>
      </c>
      <c r="L432">
        <f t="shared" ca="1" si="130"/>
        <v>0.54450753368401095</v>
      </c>
      <c r="M432">
        <f t="shared" ca="1" si="131"/>
        <v>0.48365069704944297</v>
      </c>
      <c r="N432">
        <f t="shared" ca="1" si="132"/>
        <v>0</v>
      </c>
      <c r="O432" s="47">
        <f t="shared" ca="1" si="133"/>
        <v>0</v>
      </c>
      <c r="P432">
        <f ca="1">Inputs!B14+(Inputs!D14-Inputs!B14)*BETAINV(RAND(),Model!H8,Model!I8)</f>
        <v>0.46219332750352016</v>
      </c>
      <c r="Q432">
        <f ca="1">Inputs!E14+(Inputs!G14-Inputs!E14)*BETAINV(RAND(),Model!J8,Model!K8)</f>
        <v>0.47471627499630537</v>
      </c>
      <c r="R432">
        <f ca="1">(Inputs!H14+(Inputs!J14-Inputs!H14)*BETAINV(RAND(),Model!L8,Model!M8))*Inputs!$C$6</f>
        <v>280026.76117437944</v>
      </c>
      <c r="S432">
        <f t="shared" ca="1" si="134"/>
        <v>0.2194106947606185</v>
      </c>
      <c r="T432">
        <f t="shared" ca="1" si="135"/>
        <v>0.33344965001178273</v>
      </c>
      <c r="U432">
        <f t="shared" ca="1" si="136"/>
        <v>0</v>
      </c>
      <c r="V432" s="47">
        <f t="shared" ca="1" si="137"/>
        <v>0</v>
      </c>
      <c r="W432">
        <f ca="1">Inputs!B15+(Inputs!D15-Inputs!B15)*BETAINV(RAND(),Model!H9,Model!I9)</f>
        <v>0.78129124469322342</v>
      </c>
      <c r="X432">
        <f ca="1">Inputs!E15+(Inputs!G15-Inputs!E15)*BETAINV(RAND(),Model!J9,Model!K9)</f>
        <v>0.32895012369133136</v>
      </c>
      <c r="Y432">
        <f ca="1">(Inputs!H15+(Inputs!J15-Inputs!H15)*BETAINV(RAND(),Model!L9,Model!M9))*Inputs!$C$6</f>
        <v>25399.645272368547</v>
      </c>
      <c r="Z432">
        <f t="shared" ca="1" si="138"/>
        <v>0.25700585158079009</v>
      </c>
      <c r="AA432">
        <f t="shared" ca="1" si="139"/>
        <v>0.56609617117862365</v>
      </c>
      <c r="AB432">
        <f t="shared" ca="1" si="140"/>
        <v>0</v>
      </c>
      <c r="AC432" s="47">
        <f t="shared" ca="1" si="141"/>
        <v>0</v>
      </c>
      <c r="AD432">
        <f ca="1">Inputs!B16+(Inputs!D16-Inputs!B16)*BETAINV(RAND(),Model!H10,Model!I10)</f>
        <v>0.5220053563569037</v>
      </c>
      <c r="AE432">
        <f ca="1">Inputs!E16+(Inputs!G16-Inputs!E16)*BETAINV(RAND(),Model!J10,Model!K10)</f>
        <v>0.56275416291443547</v>
      </c>
      <c r="AF432">
        <f ca="1">(Inputs!H16+(Inputs!J16-Inputs!H16)*BETAINV(RAND(),Model!L10,Model!M10))*Inputs!$C$6</f>
        <v>86674.856923258398</v>
      </c>
      <c r="AG432">
        <f t="shared" ca="1" si="142"/>
        <v>0.29376068735348093</v>
      </c>
      <c r="AH432">
        <f t="shared" ca="1" si="143"/>
        <v>0.93152689992854942</v>
      </c>
      <c r="AI432">
        <f t="shared" ca="1" si="144"/>
        <v>1</v>
      </c>
      <c r="AJ432" s="47">
        <f t="shared" ca="1" si="145"/>
        <v>86674.856923258398</v>
      </c>
      <c r="AK432">
        <f t="shared" ca="1" si="146"/>
        <v>135716.8520534813</v>
      </c>
    </row>
    <row r="433" spans="2:37" x14ac:dyDescent="0.2">
      <c r="B433">
        <f ca="1">Inputs!B12+(Inputs!D12-Inputs!B12)*BETAINV(RAND(),Model!H6,Model!I6)</f>
        <v>4.0648393989988305</v>
      </c>
      <c r="C433">
        <f ca="1">Inputs!E12+(Inputs!G12-Inputs!E12)*BETAINV(RAND(),Model!J6,Model!K6)</f>
        <v>0.22168470310151187</v>
      </c>
      <c r="D433">
        <f ca="1">(Inputs!H12+(Inputs!J12-Inputs!H12)*BETAINV(RAND(),Model!L6,Model!M6))*Inputs!$C$6</f>
        <v>37675.655685645594</v>
      </c>
      <c r="E433">
        <f t="shared" ca="1" si="126"/>
        <v>0.90111271532238368</v>
      </c>
      <c r="F433">
        <f t="shared" ca="1" si="127"/>
        <v>0.20674223034667349</v>
      </c>
      <c r="G433">
        <f t="shared" ca="1" si="128"/>
        <v>0</v>
      </c>
      <c r="H433" s="47">
        <f t="shared" ca="1" si="129"/>
        <v>0</v>
      </c>
      <c r="I433">
        <f ca="1">Inputs!B13+(Inputs!D13-Inputs!B13)*BETAINV(RAND(),Model!H7,Model!I7)</f>
        <v>1.9797333841060152</v>
      </c>
      <c r="J433">
        <f ca="1">Inputs!E13+(Inputs!G13-Inputs!E13)*BETAINV(RAND(),Model!J7,Model!K7)</f>
        <v>0.26116055561673968</v>
      </c>
      <c r="K433">
        <f ca="1">(Inputs!H13+(Inputs!J13-Inputs!H13)*BETAINV(RAND(),Model!L7,Model!M7))*Inputs!$C$6</f>
        <v>34783.122453497388</v>
      </c>
      <c r="L433">
        <f t="shared" ca="1" si="130"/>
        <v>0.51702827056613521</v>
      </c>
      <c r="M433">
        <f t="shared" ca="1" si="131"/>
        <v>0.7641425167391217</v>
      </c>
      <c r="N433">
        <f t="shared" ca="1" si="132"/>
        <v>1</v>
      </c>
      <c r="O433" s="47">
        <f t="shared" ca="1" si="133"/>
        <v>34783.122453497388</v>
      </c>
      <c r="P433">
        <f ca="1">Inputs!B14+(Inputs!D14-Inputs!B14)*BETAINV(RAND(),Model!H8,Model!I8)</f>
        <v>0.45351955847218706</v>
      </c>
      <c r="Q433">
        <f ca="1">Inputs!E14+(Inputs!G14-Inputs!E14)*BETAINV(RAND(),Model!J8,Model!K8)</f>
        <v>0.55068449783107898</v>
      </c>
      <c r="R433">
        <f ca="1">(Inputs!H14+(Inputs!J14-Inputs!H14)*BETAINV(RAND(),Model!L8,Model!M8))*Inputs!$C$6</f>
        <v>365909.47934213572</v>
      </c>
      <c r="S433">
        <f t="shared" ca="1" si="134"/>
        <v>0.249746190313829</v>
      </c>
      <c r="T433">
        <f t="shared" ca="1" si="135"/>
        <v>0.86611821451839532</v>
      </c>
      <c r="U433">
        <f t="shared" ca="1" si="136"/>
        <v>1</v>
      </c>
      <c r="V433" s="47">
        <f t="shared" ca="1" si="137"/>
        <v>365909.47934213572</v>
      </c>
      <c r="W433">
        <f ca="1">Inputs!B15+(Inputs!D15-Inputs!B15)*BETAINV(RAND(),Model!H9,Model!I9)</f>
        <v>1.0598266528540177</v>
      </c>
      <c r="X433">
        <f ca="1">Inputs!E15+(Inputs!G15-Inputs!E15)*BETAINV(RAND(),Model!J9,Model!K9)</f>
        <v>0.31112842838255683</v>
      </c>
      <c r="Y433">
        <f ca="1">(Inputs!H15+(Inputs!J15-Inputs!H15)*BETAINV(RAND(),Model!L9,Model!M9))*Inputs!$C$6</f>
        <v>27624.1880115317</v>
      </c>
      <c r="Z433">
        <f t="shared" ca="1" si="138"/>
        <v>0.32974220086041617</v>
      </c>
      <c r="AA433">
        <f t="shared" ca="1" si="139"/>
        <v>0.63700276397714972</v>
      </c>
      <c r="AB433">
        <f t="shared" ca="1" si="140"/>
        <v>0</v>
      </c>
      <c r="AC433" s="47">
        <f t="shared" ca="1" si="141"/>
        <v>0</v>
      </c>
      <c r="AD433">
        <f ca="1">Inputs!B16+(Inputs!D16-Inputs!B16)*BETAINV(RAND(),Model!H10,Model!I10)</f>
        <v>0.56086384120707877</v>
      </c>
      <c r="AE433">
        <f ca="1">Inputs!E16+(Inputs!G16-Inputs!E16)*BETAINV(RAND(),Model!J10,Model!K10)</f>
        <v>0.62335739249351496</v>
      </c>
      <c r="AF433">
        <f ca="1">(Inputs!H16+(Inputs!J16-Inputs!H16)*BETAINV(RAND(),Model!L10,Model!M10))*Inputs!$C$6</f>
        <v>83504.596916668801</v>
      </c>
      <c r="AG433">
        <f t="shared" ca="1" si="142"/>
        <v>0.34961862159874146</v>
      </c>
      <c r="AH433">
        <f t="shared" ca="1" si="143"/>
        <v>0.98105020206211291</v>
      </c>
      <c r="AI433">
        <f t="shared" ca="1" si="144"/>
        <v>2</v>
      </c>
      <c r="AJ433" s="47">
        <f t="shared" ca="1" si="145"/>
        <v>167009.1938333376</v>
      </c>
      <c r="AK433">
        <f t="shared" ca="1" si="146"/>
        <v>567701.79562897072</v>
      </c>
    </row>
    <row r="434" spans="2:37" x14ac:dyDescent="0.2">
      <c r="B434">
        <f ca="1">Inputs!B12+(Inputs!D12-Inputs!B12)*BETAINV(RAND(),Model!H6,Model!I6)</f>
        <v>3.2198656565074861</v>
      </c>
      <c r="C434">
        <f ca="1">Inputs!E12+(Inputs!G12-Inputs!E12)*BETAINV(RAND(),Model!J6,Model!K6)</f>
        <v>0.21107613977706052</v>
      </c>
      <c r="D434">
        <f ca="1">(Inputs!H12+(Inputs!J12-Inputs!H12)*BETAINV(RAND(),Model!L6,Model!M6))*Inputs!$C$6</f>
        <v>29291.189621172482</v>
      </c>
      <c r="E434">
        <f t="shared" ca="1" si="126"/>
        <v>0.67963681337633086</v>
      </c>
      <c r="F434">
        <f t="shared" ca="1" si="127"/>
        <v>0.61696350798464317</v>
      </c>
      <c r="G434">
        <f t="shared" ca="1" si="128"/>
        <v>1</v>
      </c>
      <c r="H434" s="47">
        <f t="shared" ca="1" si="129"/>
        <v>29291.189621172482</v>
      </c>
      <c r="I434">
        <f ca="1">Inputs!B13+(Inputs!D13-Inputs!B13)*BETAINV(RAND(),Model!H7,Model!I7)</f>
        <v>2.3774745947733162</v>
      </c>
      <c r="J434">
        <f ca="1">Inputs!E13+(Inputs!G13-Inputs!E13)*BETAINV(RAND(),Model!J7,Model!K7)</f>
        <v>0.13606703367403139</v>
      </c>
      <c r="K434">
        <f ca="1">(Inputs!H13+(Inputs!J13-Inputs!H13)*BETAINV(RAND(),Model!L7,Model!M7))*Inputs!$C$6</f>
        <v>52883.505636941387</v>
      </c>
      <c r="L434">
        <f t="shared" ca="1" si="130"/>
        <v>0.32349591574617498</v>
      </c>
      <c r="M434">
        <f t="shared" ca="1" si="131"/>
        <v>0.15225048240517547</v>
      </c>
      <c r="N434">
        <f t="shared" ca="1" si="132"/>
        <v>0</v>
      </c>
      <c r="O434" s="47">
        <f t="shared" ca="1" si="133"/>
        <v>0</v>
      </c>
      <c r="P434">
        <f ca="1">Inputs!B14+(Inputs!D14-Inputs!B14)*BETAINV(RAND(),Model!H8,Model!I8)</f>
        <v>0.47942323227269501</v>
      </c>
      <c r="Q434">
        <f ca="1">Inputs!E14+(Inputs!G14-Inputs!E14)*BETAINV(RAND(),Model!J8,Model!K8)</f>
        <v>0.6722734848596178</v>
      </c>
      <c r="R434">
        <f ca="1">(Inputs!H14+(Inputs!J14-Inputs!H14)*BETAINV(RAND(),Model!L8,Model!M8))*Inputs!$C$6</f>
        <v>314937.49630480673</v>
      </c>
      <c r="S434">
        <f t="shared" ca="1" si="134"/>
        <v>0.32230352708262666</v>
      </c>
      <c r="T434">
        <f t="shared" ca="1" si="135"/>
        <v>0.54340451170226078</v>
      </c>
      <c r="U434">
        <f t="shared" ca="1" si="136"/>
        <v>0</v>
      </c>
      <c r="V434" s="47">
        <f t="shared" ca="1" si="137"/>
        <v>0</v>
      </c>
      <c r="W434">
        <f ca="1">Inputs!B15+(Inputs!D15-Inputs!B15)*BETAINV(RAND(),Model!H9,Model!I9)</f>
        <v>1.5145181154222243</v>
      </c>
      <c r="X434">
        <f ca="1">Inputs!E15+(Inputs!G15-Inputs!E15)*BETAINV(RAND(),Model!J9,Model!K9)</f>
        <v>0.48535153504853801</v>
      </c>
      <c r="Y434">
        <f ca="1">(Inputs!H15+(Inputs!J15-Inputs!H15)*BETAINV(RAND(),Model!L9,Model!M9))*Inputs!$C$6</f>
        <v>20181.911509164405</v>
      </c>
      <c r="Z434">
        <f t="shared" ca="1" si="138"/>
        <v>0.73507369217899543</v>
      </c>
      <c r="AA434">
        <f t="shared" ca="1" si="139"/>
        <v>0.30324067453330517</v>
      </c>
      <c r="AB434">
        <f t="shared" ca="1" si="140"/>
        <v>0</v>
      </c>
      <c r="AC434" s="47">
        <f t="shared" ca="1" si="141"/>
        <v>0</v>
      </c>
      <c r="AD434">
        <f ca="1">Inputs!B16+(Inputs!D16-Inputs!B16)*BETAINV(RAND(),Model!H10,Model!I10)</f>
        <v>1.1210009371287459</v>
      </c>
      <c r="AE434">
        <f ca="1">Inputs!E16+(Inputs!G16-Inputs!E16)*BETAINV(RAND(),Model!J10,Model!K10)</f>
        <v>0.77813457232737204</v>
      </c>
      <c r="AF434">
        <f ca="1">(Inputs!H16+(Inputs!J16-Inputs!H16)*BETAINV(RAND(),Model!L10,Model!M10))*Inputs!$C$6</f>
        <v>68354.541689200574</v>
      </c>
      <c r="AG434">
        <f t="shared" ca="1" si="142"/>
        <v>0.87228958479125995</v>
      </c>
      <c r="AH434">
        <f t="shared" ca="1" si="143"/>
        <v>0.3987076579000306</v>
      </c>
      <c r="AI434">
        <f t="shared" ca="1" si="144"/>
        <v>0</v>
      </c>
      <c r="AJ434" s="47">
        <f t="shared" ca="1" si="145"/>
        <v>0</v>
      </c>
      <c r="AK434">
        <f t="shared" ca="1" si="146"/>
        <v>29291.189621172482</v>
      </c>
    </row>
    <row r="435" spans="2:37" x14ac:dyDescent="0.2">
      <c r="B435">
        <f ca="1">Inputs!B12+(Inputs!D12-Inputs!B12)*BETAINV(RAND(),Model!H6,Model!I6)</f>
        <v>3.7016253528599976</v>
      </c>
      <c r="C435">
        <f ca="1">Inputs!E12+(Inputs!G12-Inputs!E12)*BETAINV(RAND(),Model!J6,Model!K6)</f>
        <v>0.36565150359356957</v>
      </c>
      <c r="D435">
        <f ca="1">(Inputs!H12+(Inputs!J12-Inputs!H12)*BETAINV(RAND(),Model!L6,Model!M6))*Inputs!$C$6</f>
        <v>37519.35633569755</v>
      </c>
      <c r="E435">
        <f t="shared" ca="1" si="126"/>
        <v>1.3535048760133357</v>
      </c>
      <c r="F435">
        <f t="shared" ca="1" si="127"/>
        <v>0.79149363810086104</v>
      </c>
      <c r="G435">
        <f t="shared" ca="1" si="128"/>
        <v>2</v>
      </c>
      <c r="H435" s="47">
        <f t="shared" ca="1" si="129"/>
        <v>75038.7126713951</v>
      </c>
      <c r="I435">
        <f ca="1">Inputs!B13+(Inputs!D13-Inputs!B13)*BETAINV(RAND(),Model!H7,Model!I7)</f>
        <v>1.8119792142121851</v>
      </c>
      <c r="J435">
        <f ca="1">Inputs!E13+(Inputs!G13-Inputs!E13)*BETAINV(RAND(),Model!J7,Model!K7)</f>
        <v>0.24702418195325462</v>
      </c>
      <c r="K435">
        <f ca="1">(Inputs!H13+(Inputs!J13-Inputs!H13)*BETAINV(RAND(),Model!L7,Model!M7))*Inputs!$C$6</f>
        <v>61994.148101108723</v>
      </c>
      <c r="L435">
        <f t="shared" ca="1" si="130"/>
        <v>0.44760268310706613</v>
      </c>
      <c r="M435">
        <f t="shared" ca="1" si="131"/>
        <v>0.8900592496700368</v>
      </c>
      <c r="N435">
        <f t="shared" ca="1" si="132"/>
        <v>1</v>
      </c>
      <c r="O435" s="47">
        <f t="shared" ca="1" si="133"/>
        <v>61994.148101108723</v>
      </c>
      <c r="P435">
        <f ca="1">Inputs!B14+(Inputs!D14-Inputs!B14)*BETAINV(RAND(),Model!H8,Model!I8)</f>
        <v>0.306346020257383</v>
      </c>
      <c r="Q435">
        <f ca="1">Inputs!E14+(Inputs!G14-Inputs!E14)*BETAINV(RAND(),Model!J8,Model!K8)</f>
        <v>0.40348149125582189</v>
      </c>
      <c r="R435">
        <f ca="1">(Inputs!H14+(Inputs!J14-Inputs!H14)*BETAINV(RAND(),Model!L8,Model!M8))*Inputs!$C$6</f>
        <v>625696.87706657499</v>
      </c>
      <c r="S435">
        <f t="shared" ca="1" si="134"/>
        <v>0.12360494909373511</v>
      </c>
      <c r="T435">
        <f t="shared" ca="1" si="135"/>
        <v>0.1844430034930733</v>
      </c>
      <c r="U435">
        <f t="shared" ca="1" si="136"/>
        <v>0</v>
      </c>
      <c r="V435" s="47">
        <f t="shared" ca="1" si="137"/>
        <v>0</v>
      </c>
      <c r="W435">
        <f ca="1">Inputs!B15+(Inputs!D15-Inputs!B15)*BETAINV(RAND(),Model!H9,Model!I9)</f>
        <v>1.9268507505114048</v>
      </c>
      <c r="X435">
        <f ca="1">Inputs!E15+(Inputs!G15-Inputs!E15)*BETAINV(RAND(),Model!J9,Model!K9)</f>
        <v>0.36229236579360757</v>
      </c>
      <c r="Y435">
        <f ca="1">(Inputs!H15+(Inputs!J15-Inputs!H15)*BETAINV(RAND(),Model!L9,Model!M9))*Inputs!$C$6</f>
        <v>17315.839813889925</v>
      </c>
      <c r="Z435">
        <f t="shared" ca="1" si="138"/>
        <v>0.69808331693396508</v>
      </c>
      <c r="AA435">
        <f t="shared" ca="1" si="139"/>
        <v>2.2324666314333608E-2</v>
      </c>
      <c r="AB435">
        <f t="shared" ca="1" si="140"/>
        <v>0</v>
      </c>
      <c r="AC435" s="47">
        <f t="shared" ca="1" si="141"/>
        <v>0</v>
      </c>
      <c r="AD435">
        <f ca="1">Inputs!B16+(Inputs!D16-Inputs!B16)*BETAINV(RAND(),Model!H10,Model!I10)</f>
        <v>0.86005712552281488</v>
      </c>
      <c r="AE435">
        <f ca="1">Inputs!E16+(Inputs!G16-Inputs!E16)*BETAINV(RAND(),Model!J10,Model!K10)</f>
        <v>0.62933231386250965</v>
      </c>
      <c r="AF435">
        <f ca="1">(Inputs!H16+(Inputs!J16-Inputs!H16)*BETAINV(RAND(),Model!L10,Model!M10))*Inputs!$C$6</f>
        <v>132135.25737727762</v>
      </c>
      <c r="AG435">
        <f t="shared" ca="1" si="142"/>
        <v>0.54126174085921197</v>
      </c>
      <c r="AH435">
        <f t="shared" ca="1" si="143"/>
        <v>0.96320952373632629</v>
      </c>
      <c r="AI435">
        <f t="shared" ca="1" si="144"/>
        <v>2</v>
      </c>
      <c r="AJ435" s="47">
        <f t="shared" ca="1" si="145"/>
        <v>264270.51475455525</v>
      </c>
      <c r="AK435">
        <f t="shared" ca="1" si="146"/>
        <v>401303.37552705908</v>
      </c>
    </row>
    <row r="436" spans="2:37" x14ac:dyDescent="0.2">
      <c r="B436">
        <f ca="1">Inputs!B12+(Inputs!D12-Inputs!B12)*BETAINV(RAND(),Model!H6,Model!I6)</f>
        <v>3.4950426712574019</v>
      </c>
      <c r="C436">
        <f ca="1">Inputs!E12+(Inputs!G12-Inputs!E12)*BETAINV(RAND(),Model!J6,Model!K6)</f>
        <v>0.47697329202494287</v>
      </c>
      <c r="D436">
        <f ca="1">(Inputs!H12+(Inputs!J12-Inputs!H12)*BETAINV(RAND(),Model!L6,Model!M6))*Inputs!$C$6</f>
        <v>39528.846599581753</v>
      </c>
      <c r="E436">
        <f t="shared" ca="1" si="126"/>
        <v>1.6670420086772932</v>
      </c>
      <c r="F436">
        <f t="shared" ca="1" si="127"/>
        <v>0.23088000980524859</v>
      </c>
      <c r="G436">
        <f t="shared" ca="1" si="128"/>
        <v>1</v>
      </c>
      <c r="H436" s="47">
        <f t="shared" ca="1" si="129"/>
        <v>39528.846599581753</v>
      </c>
      <c r="I436">
        <f ca="1">Inputs!B13+(Inputs!D13-Inputs!B13)*BETAINV(RAND(),Model!H7,Model!I7)</f>
        <v>1.8536596209999958</v>
      </c>
      <c r="J436">
        <f ca="1">Inputs!E13+(Inputs!G13-Inputs!E13)*BETAINV(RAND(),Model!J7,Model!K7)</f>
        <v>0.30360813291249478</v>
      </c>
      <c r="K436">
        <f ca="1">(Inputs!H13+(Inputs!J13-Inputs!H13)*BETAINV(RAND(),Model!L7,Model!M7))*Inputs!$C$6</f>
        <v>18117.814000841114</v>
      </c>
      <c r="L436">
        <f t="shared" ca="1" si="130"/>
        <v>0.56278613658709142</v>
      </c>
      <c r="M436">
        <f t="shared" ca="1" si="131"/>
        <v>0.18448426257358974</v>
      </c>
      <c r="N436">
        <f t="shared" ca="1" si="132"/>
        <v>0</v>
      </c>
      <c r="O436" s="47">
        <f t="shared" ca="1" si="133"/>
        <v>0</v>
      </c>
      <c r="P436">
        <f ca="1">Inputs!B14+(Inputs!D14-Inputs!B14)*BETAINV(RAND(),Model!H8,Model!I8)</f>
        <v>0.19091298446093835</v>
      </c>
      <c r="Q436">
        <f ca="1">Inputs!E14+(Inputs!G14-Inputs!E14)*BETAINV(RAND(),Model!J8,Model!K8)</f>
        <v>0.66241857475689381</v>
      </c>
      <c r="R436">
        <f ca="1">(Inputs!H14+(Inputs!J14-Inputs!H14)*BETAINV(RAND(),Model!L8,Model!M8))*Inputs!$C$6</f>
        <v>512939.38266512146</v>
      </c>
      <c r="S436">
        <f t="shared" ca="1" si="134"/>
        <v>0.12646430706919981</v>
      </c>
      <c r="T436">
        <f t="shared" ca="1" si="135"/>
        <v>0.84538382409326684</v>
      </c>
      <c r="U436">
        <f t="shared" ca="1" si="136"/>
        <v>0</v>
      </c>
      <c r="V436" s="47">
        <f t="shared" ca="1" si="137"/>
        <v>0</v>
      </c>
      <c r="W436">
        <f ca="1">Inputs!B15+(Inputs!D15-Inputs!B15)*BETAINV(RAND(),Model!H9,Model!I9)</f>
        <v>1.2713041164657137</v>
      </c>
      <c r="X436">
        <f ca="1">Inputs!E15+(Inputs!G15-Inputs!E15)*BETAINV(RAND(),Model!J9,Model!K9)</f>
        <v>0.365088833479009</v>
      </c>
      <c r="Y436">
        <f ca="1">(Inputs!H15+(Inputs!J15-Inputs!H15)*BETAINV(RAND(),Model!L9,Model!M9))*Inputs!$C$6</f>
        <v>11867.97414405344</v>
      </c>
      <c r="Z436">
        <f t="shared" ca="1" si="138"/>
        <v>0.46413893687752961</v>
      </c>
      <c r="AA436">
        <f t="shared" ca="1" si="139"/>
        <v>0.59698210091655257</v>
      </c>
      <c r="AB436">
        <f t="shared" ca="1" si="140"/>
        <v>0</v>
      </c>
      <c r="AC436" s="47">
        <f t="shared" ca="1" si="141"/>
        <v>0</v>
      </c>
      <c r="AD436">
        <f ca="1">Inputs!B16+(Inputs!D16-Inputs!B16)*BETAINV(RAND(),Model!H10,Model!I10)</f>
        <v>1.1099715965154535</v>
      </c>
      <c r="AE436">
        <f ca="1">Inputs!E16+(Inputs!G16-Inputs!E16)*BETAINV(RAND(),Model!J10,Model!K10)</f>
        <v>0.59256960534530401</v>
      </c>
      <c r="AF436">
        <f ca="1">(Inputs!H16+(Inputs!J16-Inputs!H16)*BETAINV(RAND(),Model!L10,Model!M10))*Inputs!$C$6</f>
        <v>66695.678848683543</v>
      </c>
      <c r="AG436">
        <f t="shared" ca="1" si="142"/>
        <v>0.65773543089165931</v>
      </c>
      <c r="AH436">
        <f t="shared" ca="1" si="143"/>
        <v>0.130183593287163</v>
      </c>
      <c r="AI436">
        <f t="shared" ca="1" si="144"/>
        <v>0</v>
      </c>
      <c r="AJ436" s="47">
        <f t="shared" ca="1" si="145"/>
        <v>0</v>
      </c>
      <c r="AK436">
        <f t="shared" ca="1" si="146"/>
        <v>39528.846599581753</v>
      </c>
    </row>
    <row r="437" spans="2:37" x14ac:dyDescent="0.2">
      <c r="B437">
        <f ca="1">Inputs!B12+(Inputs!D12-Inputs!B12)*BETAINV(RAND(),Model!H6,Model!I6)</f>
        <v>2.1071473748731946</v>
      </c>
      <c r="C437">
        <f ca="1">Inputs!E12+(Inputs!G12-Inputs!E12)*BETAINV(RAND(),Model!J6,Model!K6)</f>
        <v>0.3119544633692326</v>
      </c>
      <c r="D437">
        <f ca="1">(Inputs!H12+(Inputs!J12-Inputs!H12)*BETAINV(RAND(),Model!L6,Model!M6))*Inputs!$C$6</f>
        <v>22684.000297383234</v>
      </c>
      <c r="E437">
        <f t="shared" ca="1" si="126"/>
        <v>0.65733402856845458</v>
      </c>
      <c r="F437">
        <f t="shared" ca="1" si="127"/>
        <v>0.99727954835640176</v>
      </c>
      <c r="G437">
        <f t="shared" ca="1" si="128"/>
        <v>4</v>
      </c>
      <c r="H437" s="47">
        <f t="shared" ca="1" si="129"/>
        <v>90736.001189532937</v>
      </c>
      <c r="I437">
        <f ca="1">Inputs!B13+(Inputs!D13-Inputs!B13)*BETAINV(RAND(),Model!H7,Model!I7)</f>
        <v>1.2792905257435421</v>
      </c>
      <c r="J437">
        <f ca="1">Inputs!E13+(Inputs!G13-Inputs!E13)*BETAINV(RAND(),Model!J7,Model!K7)</f>
        <v>0.15347364474087971</v>
      </c>
      <c r="K437">
        <f ca="1">(Inputs!H13+(Inputs!J13-Inputs!H13)*BETAINV(RAND(),Model!L7,Model!M7))*Inputs!$C$6</f>
        <v>15318.312932405568</v>
      </c>
      <c r="L437">
        <f t="shared" ca="1" si="130"/>
        <v>0.19633737966833761</v>
      </c>
      <c r="M437">
        <f t="shared" ca="1" si="131"/>
        <v>0.24437325765337992</v>
      </c>
      <c r="N437">
        <f t="shared" ca="1" si="132"/>
        <v>0</v>
      </c>
      <c r="O437" s="47">
        <f t="shared" ca="1" si="133"/>
        <v>0</v>
      </c>
      <c r="P437">
        <f ca="1">Inputs!B14+(Inputs!D14-Inputs!B14)*BETAINV(RAND(),Model!H8,Model!I8)</f>
        <v>0.27417256679122015</v>
      </c>
      <c r="Q437">
        <f ca="1">Inputs!E14+(Inputs!G14-Inputs!E14)*BETAINV(RAND(),Model!J8,Model!K8)</f>
        <v>0.75864704595812504</v>
      </c>
      <c r="R437">
        <f ca="1">(Inputs!H14+(Inputs!J14-Inputs!H14)*BETAINV(RAND(),Model!L8,Model!M8))*Inputs!$C$6</f>
        <v>320793.41851710284</v>
      </c>
      <c r="S437">
        <f t="shared" ca="1" si="134"/>
        <v>0.2080002078789159</v>
      </c>
      <c r="T437">
        <f t="shared" ca="1" si="135"/>
        <v>0.54201475914887964</v>
      </c>
      <c r="U437">
        <f t="shared" ca="1" si="136"/>
        <v>0</v>
      </c>
      <c r="V437" s="47">
        <f t="shared" ca="1" si="137"/>
        <v>0</v>
      </c>
      <c r="W437">
        <f ca="1">Inputs!B15+(Inputs!D15-Inputs!B15)*BETAINV(RAND(),Model!H9,Model!I9)</f>
        <v>1.0916348293760736</v>
      </c>
      <c r="X437">
        <f ca="1">Inputs!E15+(Inputs!G15-Inputs!E15)*BETAINV(RAND(),Model!J9,Model!K9)</f>
        <v>0.42753964745878015</v>
      </c>
      <c r="Y437">
        <f ca="1">(Inputs!H15+(Inputs!J15-Inputs!H15)*BETAINV(RAND(),Model!L9,Model!M9))*Inputs!$C$6</f>
        <v>33876.512864677548</v>
      </c>
      <c r="Z437">
        <f t="shared" ca="1" si="138"/>
        <v>0.46671717010517211</v>
      </c>
      <c r="AA437">
        <f t="shared" ca="1" si="139"/>
        <v>0.40614946782839823</v>
      </c>
      <c r="AB437">
        <f t="shared" ca="1" si="140"/>
        <v>0</v>
      </c>
      <c r="AC437" s="47">
        <f t="shared" ca="1" si="141"/>
        <v>0</v>
      </c>
      <c r="AD437">
        <f ca="1">Inputs!B16+(Inputs!D16-Inputs!B16)*BETAINV(RAND(),Model!H10,Model!I10)</f>
        <v>0.69378681469246517</v>
      </c>
      <c r="AE437">
        <f ca="1">Inputs!E16+(Inputs!G16-Inputs!E16)*BETAINV(RAND(),Model!J10,Model!K10)</f>
        <v>0.56337050628017571</v>
      </c>
      <c r="AF437">
        <f ca="1">(Inputs!H16+(Inputs!J16-Inputs!H16)*BETAINV(RAND(),Model!L10,Model!M10))*Inputs!$C$6</f>
        <v>70186.998319034799</v>
      </c>
      <c r="AG437">
        <f t="shared" ca="1" si="142"/>
        <v>0.39085902904380454</v>
      </c>
      <c r="AH437">
        <f t="shared" ca="1" si="143"/>
        <v>0.13487451406597439</v>
      </c>
      <c r="AI437">
        <f t="shared" ca="1" si="144"/>
        <v>0</v>
      </c>
      <c r="AJ437" s="47">
        <f t="shared" ca="1" si="145"/>
        <v>0</v>
      </c>
      <c r="AK437">
        <f t="shared" ca="1" si="146"/>
        <v>90736.001189532937</v>
      </c>
    </row>
    <row r="438" spans="2:37" x14ac:dyDescent="0.2">
      <c r="B438">
        <f ca="1">Inputs!B12+(Inputs!D12-Inputs!B12)*BETAINV(RAND(),Model!H6,Model!I6)</f>
        <v>2.0918875671965305</v>
      </c>
      <c r="C438">
        <f ca="1">Inputs!E12+(Inputs!G12-Inputs!E12)*BETAINV(RAND(),Model!J6,Model!K6)</f>
        <v>0.37301679020132583</v>
      </c>
      <c r="D438">
        <f ca="1">(Inputs!H12+(Inputs!J12-Inputs!H12)*BETAINV(RAND(),Model!L6,Model!M6))*Inputs!$C$6</f>
        <v>19560.899088882466</v>
      </c>
      <c r="E438">
        <f t="shared" ca="1" si="126"/>
        <v>0.78030918577771013</v>
      </c>
      <c r="F438">
        <f t="shared" ca="1" si="127"/>
        <v>0.34680539663378429</v>
      </c>
      <c r="G438">
        <f t="shared" ca="1" si="128"/>
        <v>0</v>
      </c>
      <c r="H438" s="47">
        <f t="shared" ca="1" si="129"/>
        <v>0</v>
      </c>
      <c r="I438">
        <f ca="1">Inputs!B13+(Inputs!D13-Inputs!B13)*BETAINV(RAND(),Model!H7,Model!I7)</f>
        <v>3.3493948998223408</v>
      </c>
      <c r="J438">
        <f ca="1">Inputs!E13+(Inputs!G13-Inputs!E13)*BETAINV(RAND(),Model!J7,Model!K7)</f>
        <v>0.21600020627232175</v>
      </c>
      <c r="K438">
        <f ca="1">(Inputs!H13+(Inputs!J13-Inputs!H13)*BETAINV(RAND(),Model!L7,Model!M7))*Inputs!$C$6</f>
        <v>61759.506726633044</v>
      </c>
      <c r="L438">
        <f t="shared" ca="1" si="130"/>
        <v>0.72346998924908801</v>
      </c>
      <c r="M438">
        <f t="shared" ca="1" si="131"/>
        <v>0.36785023244179249</v>
      </c>
      <c r="N438">
        <f t="shared" ca="1" si="132"/>
        <v>0</v>
      </c>
      <c r="O438" s="47">
        <f t="shared" ca="1" si="133"/>
        <v>0</v>
      </c>
      <c r="P438">
        <f ca="1">Inputs!B14+(Inputs!D14-Inputs!B14)*BETAINV(RAND(),Model!H8,Model!I8)</f>
        <v>0.23490729394396273</v>
      </c>
      <c r="Q438">
        <f ca="1">Inputs!E14+(Inputs!G14-Inputs!E14)*BETAINV(RAND(),Model!J8,Model!K8)</f>
        <v>0.66383672028083995</v>
      </c>
      <c r="R438">
        <f ca="1">(Inputs!H14+(Inputs!J14-Inputs!H14)*BETAINV(RAND(),Model!L8,Model!M8))*Inputs!$C$6</f>
        <v>340652.11663831479</v>
      </c>
      <c r="S438">
        <f t="shared" ca="1" si="134"/>
        <v>0.15594008758180744</v>
      </c>
      <c r="T438">
        <f t="shared" ca="1" si="135"/>
        <v>0.211172743108753</v>
      </c>
      <c r="U438">
        <f t="shared" ca="1" si="136"/>
        <v>0</v>
      </c>
      <c r="V438" s="47">
        <f t="shared" ca="1" si="137"/>
        <v>0</v>
      </c>
      <c r="W438">
        <f ca="1">Inputs!B15+(Inputs!D15-Inputs!B15)*BETAINV(RAND(),Model!H9,Model!I9)</f>
        <v>2.1576550957155289</v>
      </c>
      <c r="X438">
        <f ca="1">Inputs!E15+(Inputs!G15-Inputs!E15)*BETAINV(RAND(),Model!J9,Model!K9)</f>
        <v>0.4572247027848777</v>
      </c>
      <c r="Y438">
        <f ca="1">(Inputs!H15+(Inputs!J15-Inputs!H15)*BETAINV(RAND(),Model!L9,Model!M9))*Inputs!$C$6</f>
        <v>10212.951284545106</v>
      </c>
      <c r="Z438">
        <f t="shared" ca="1" si="138"/>
        <v>0.98653320985080961</v>
      </c>
      <c r="AA438">
        <f t="shared" ca="1" si="139"/>
        <v>0.42672957024743607</v>
      </c>
      <c r="AB438">
        <f t="shared" ca="1" si="140"/>
        <v>1</v>
      </c>
      <c r="AC438" s="47">
        <f t="shared" ca="1" si="141"/>
        <v>10212.951284545106</v>
      </c>
      <c r="AD438">
        <f ca="1">Inputs!B16+(Inputs!D16-Inputs!B16)*BETAINV(RAND(),Model!H10,Model!I10)</f>
        <v>0.62172943013727189</v>
      </c>
      <c r="AE438">
        <f ca="1">Inputs!E16+(Inputs!G16-Inputs!E16)*BETAINV(RAND(),Model!J10,Model!K10)</f>
        <v>0.63036171126063767</v>
      </c>
      <c r="AF438">
        <f ca="1">(Inputs!H16+(Inputs!J16-Inputs!H16)*BETAINV(RAND(),Model!L10,Model!M10))*Inputs!$C$6</f>
        <v>190017.38629815949</v>
      </c>
      <c r="AG438">
        <f t="shared" ca="1" si="142"/>
        <v>0.39191442752243177</v>
      </c>
      <c r="AH438">
        <f t="shared" ca="1" si="143"/>
        <v>0.53295504269629401</v>
      </c>
      <c r="AI438">
        <f t="shared" ca="1" si="144"/>
        <v>0</v>
      </c>
      <c r="AJ438" s="47">
        <f t="shared" ca="1" si="145"/>
        <v>0</v>
      </c>
      <c r="AK438">
        <f t="shared" ca="1" si="146"/>
        <v>10212.951284545106</v>
      </c>
    </row>
    <row r="439" spans="2:37" x14ac:dyDescent="0.2">
      <c r="B439">
        <f ca="1">Inputs!B12+(Inputs!D12-Inputs!B12)*BETAINV(RAND(),Model!H6,Model!I6)</f>
        <v>7.1865399782308774</v>
      </c>
      <c r="C439">
        <f ca="1">Inputs!E12+(Inputs!G12-Inputs!E12)*BETAINV(RAND(),Model!J6,Model!K6)</f>
        <v>0.33104338512914461</v>
      </c>
      <c r="D439">
        <f ca="1">(Inputs!H12+(Inputs!J12-Inputs!H12)*BETAINV(RAND(),Model!L6,Model!M6))*Inputs!$C$6</f>
        <v>40415.509813880184</v>
      </c>
      <c r="E439">
        <f t="shared" ca="1" si="126"/>
        <v>2.379056521759479</v>
      </c>
      <c r="F439">
        <f t="shared" ca="1" si="127"/>
        <v>0.1658604385516248</v>
      </c>
      <c r="G439">
        <f t="shared" ca="1" si="128"/>
        <v>1</v>
      </c>
      <c r="H439" s="47">
        <f t="shared" ca="1" si="129"/>
        <v>40415.509813880184</v>
      </c>
      <c r="I439">
        <f ca="1">Inputs!B13+(Inputs!D13-Inputs!B13)*BETAINV(RAND(),Model!H7,Model!I7)</f>
        <v>2.9013840277155492</v>
      </c>
      <c r="J439">
        <f ca="1">Inputs!E13+(Inputs!G13-Inputs!E13)*BETAINV(RAND(),Model!J7,Model!K7)</f>
        <v>0.33134548832835353</v>
      </c>
      <c r="K439">
        <f ca="1">(Inputs!H13+(Inputs!J13-Inputs!H13)*BETAINV(RAND(),Model!L7,Model!M7))*Inputs!$C$6</f>
        <v>46788.449389876027</v>
      </c>
      <c r="L439">
        <f t="shared" ca="1" si="130"/>
        <v>0.96136050749149382</v>
      </c>
      <c r="M439">
        <f t="shared" ca="1" si="131"/>
        <v>4.8009165456441627E-2</v>
      </c>
      <c r="N439">
        <f t="shared" ca="1" si="132"/>
        <v>0</v>
      </c>
      <c r="O439" s="47">
        <f t="shared" ca="1" si="133"/>
        <v>0</v>
      </c>
      <c r="P439">
        <f ca="1">Inputs!B14+(Inputs!D14-Inputs!B14)*BETAINV(RAND(),Model!H8,Model!I8)</f>
        <v>0.29044404466138785</v>
      </c>
      <c r="Q439">
        <f ca="1">Inputs!E14+(Inputs!G14-Inputs!E14)*BETAINV(RAND(),Model!J8,Model!K8)</f>
        <v>0.66571152649432985</v>
      </c>
      <c r="R439">
        <f ca="1">(Inputs!H14+(Inputs!J14-Inputs!H14)*BETAINV(RAND(),Model!L8,Model!M8))*Inputs!$C$6</f>
        <v>315352.61260690191</v>
      </c>
      <c r="S439">
        <f t="shared" ca="1" si="134"/>
        <v>0.19335194833271982</v>
      </c>
      <c r="T439">
        <f t="shared" ca="1" si="135"/>
        <v>0.60175812562322106</v>
      </c>
      <c r="U439">
        <f t="shared" ca="1" si="136"/>
        <v>0</v>
      </c>
      <c r="V439" s="47">
        <f t="shared" ca="1" si="137"/>
        <v>0</v>
      </c>
      <c r="W439">
        <f ca="1">Inputs!B15+(Inputs!D15-Inputs!B15)*BETAINV(RAND(),Model!H9,Model!I9)</f>
        <v>1.024854080571163</v>
      </c>
      <c r="X439">
        <f ca="1">Inputs!E15+(Inputs!G15-Inputs!E15)*BETAINV(RAND(),Model!J9,Model!K9)</f>
        <v>0.5479639655543167</v>
      </c>
      <c r="Y439">
        <f ca="1">(Inputs!H15+(Inputs!J15-Inputs!H15)*BETAINV(RAND(),Model!L9,Model!M9))*Inputs!$C$6</f>
        <v>23162.75895668711</v>
      </c>
      <c r="Z439">
        <f t="shared" ca="1" si="138"/>
        <v>0.56158310610429762</v>
      </c>
      <c r="AA439">
        <f t="shared" ca="1" si="139"/>
        <v>0.53047193378455093</v>
      </c>
      <c r="AB439">
        <f t="shared" ca="1" si="140"/>
        <v>0</v>
      </c>
      <c r="AC439" s="47">
        <f t="shared" ca="1" si="141"/>
        <v>0</v>
      </c>
      <c r="AD439">
        <f ca="1">Inputs!B16+(Inputs!D16-Inputs!B16)*BETAINV(RAND(),Model!H10,Model!I10)</f>
        <v>1.0246754486868022</v>
      </c>
      <c r="AE439">
        <f ca="1">Inputs!E16+(Inputs!G16-Inputs!E16)*BETAINV(RAND(),Model!J10,Model!K10)</f>
        <v>0.70438741282847972</v>
      </c>
      <c r="AF439">
        <f ca="1">(Inputs!H16+(Inputs!J16-Inputs!H16)*BETAINV(RAND(),Model!L10,Model!M10))*Inputs!$C$6</f>
        <v>80015.561771655848</v>
      </c>
      <c r="AG439">
        <f t="shared" ca="1" si="142"/>
        <v>0.72176848828935825</v>
      </c>
      <c r="AH439">
        <f t="shared" ca="1" si="143"/>
        <v>8.3740022224450206E-2</v>
      </c>
      <c r="AI439">
        <f t="shared" ca="1" si="144"/>
        <v>0</v>
      </c>
      <c r="AJ439" s="47">
        <f t="shared" ca="1" si="145"/>
        <v>0</v>
      </c>
      <c r="AK439">
        <f t="shared" ca="1" si="146"/>
        <v>40415.509813880184</v>
      </c>
    </row>
    <row r="440" spans="2:37" x14ac:dyDescent="0.2">
      <c r="B440">
        <f ca="1">Inputs!B12+(Inputs!D12-Inputs!B12)*BETAINV(RAND(),Model!H6,Model!I6)</f>
        <v>3.3347360251526323</v>
      </c>
      <c r="C440">
        <f ca="1">Inputs!E12+(Inputs!G12-Inputs!E12)*BETAINV(RAND(),Model!J6,Model!K6)</f>
        <v>0.20215854858022972</v>
      </c>
      <c r="D440">
        <f ca="1">(Inputs!H12+(Inputs!J12-Inputs!H12)*BETAINV(RAND(),Model!L6,Model!M6))*Inputs!$C$6</f>
        <v>34489.851466056083</v>
      </c>
      <c r="E440">
        <f t="shared" ca="1" si="126"/>
        <v>0.67414539474306057</v>
      </c>
      <c r="F440">
        <f t="shared" ca="1" si="127"/>
        <v>0.35810007879100136</v>
      </c>
      <c r="G440">
        <f t="shared" ca="1" si="128"/>
        <v>0</v>
      </c>
      <c r="H440" s="47">
        <f t="shared" ca="1" si="129"/>
        <v>0</v>
      </c>
      <c r="I440">
        <f ca="1">Inputs!B13+(Inputs!D13-Inputs!B13)*BETAINV(RAND(),Model!H7,Model!I7)</f>
        <v>2.6225706551263839</v>
      </c>
      <c r="J440">
        <f ca="1">Inputs!E13+(Inputs!G13-Inputs!E13)*BETAINV(RAND(),Model!J7,Model!K7)</f>
        <v>0.33302952580446848</v>
      </c>
      <c r="K440">
        <f ca="1">(Inputs!H13+(Inputs!J13-Inputs!H13)*BETAINV(RAND(),Model!L7,Model!M7))*Inputs!$C$6</f>
        <v>60201.791675204629</v>
      </c>
      <c r="L440">
        <f t="shared" ca="1" si="130"/>
        <v>0.87339346166545384</v>
      </c>
      <c r="M440">
        <f t="shared" ca="1" si="131"/>
        <v>0.61515885688064575</v>
      </c>
      <c r="N440">
        <f t="shared" ca="1" si="132"/>
        <v>1</v>
      </c>
      <c r="O440" s="47">
        <f t="shared" ca="1" si="133"/>
        <v>60201.791675204629</v>
      </c>
      <c r="P440">
        <f ca="1">Inputs!B14+(Inputs!D14-Inputs!B14)*BETAINV(RAND(),Model!H8,Model!I8)</f>
        <v>0.50810049026447834</v>
      </c>
      <c r="Q440">
        <f ca="1">Inputs!E14+(Inputs!G14-Inputs!E14)*BETAINV(RAND(),Model!J8,Model!K8)</f>
        <v>0.72140928077873345</v>
      </c>
      <c r="R440">
        <f ca="1">(Inputs!H14+(Inputs!J14-Inputs!H14)*BETAINV(RAND(),Model!L8,Model!M8))*Inputs!$C$6</f>
        <v>227663.49295423087</v>
      </c>
      <c r="S440">
        <f t="shared" ca="1" si="134"/>
        <v>0.36654840924501919</v>
      </c>
      <c r="T440">
        <f t="shared" ca="1" si="135"/>
        <v>0.16729858474921544</v>
      </c>
      <c r="U440">
        <f t="shared" ca="1" si="136"/>
        <v>0</v>
      </c>
      <c r="V440" s="47">
        <f t="shared" ca="1" si="137"/>
        <v>0</v>
      </c>
      <c r="W440">
        <f ca="1">Inputs!B15+(Inputs!D15-Inputs!B15)*BETAINV(RAND(),Model!H9,Model!I9)</f>
        <v>1.7901857805290267</v>
      </c>
      <c r="X440">
        <f ca="1">Inputs!E15+(Inputs!G15-Inputs!E15)*BETAINV(RAND(),Model!J9,Model!K9)</f>
        <v>0.58550033736323237</v>
      </c>
      <c r="Y440">
        <f ca="1">(Inputs!H15+(Inputs!J15-Inputs!H15)*BETAINV(RAND(),Model!L9,Model!M9))*Inputs!$C$6</f>
        <v>39825.028137829242</v>
      </c>
      <c r="Z440">
        <f t="shared" ca="1" si="138"/>
        <v>1.0481543784426066</v>
      </c>
      <c r="AA440">
        <f t="shared" ca="1" si="139"/>
        <v>0.34819408352410375</v>
      </c>
      <c r="AB440">
        <f t="shared" ca="1" si="140"/>
        <v>0</v>
      </c>
      <c r="AC440" s="47">
        <f t="shared" ca="1" si="141"/>
        <v>0</v>
      </c>
      <c r="AD440">
        <f ca="1">Inputs!B16+(Inputs!D16-Inputs!B16)*BETAINV(RAND(),Model!H10,Model!I10)</f>
        <v>1.1374475040535816</v>
      </c>
      <c r="AE440">
        <f ca="1">Inputs!E16+(Inputs!G16-Inputs!E16)*BETAINV(RAND(),Model!J10,Model!K10)</f>
        <v>0.57323826796931177</v>
      </c>
      <c r="AF440">
        <f ca="1">(Inputs!H16+(Inputs!J16-Inputs!H16)*BETAINV(RAND(),Model!L10,Model!M10))*Inputs!$C$6</f>
        <v>85411.22650820647</v>
      </c>
      <c r="AG440">
        <f t="shared" ca="1" si="142"/>
        <v>0.65202843712969183</v>
      </c>
      <c r="AH440">
        <f t="shared" ca="1" si="143"/>
        <v>0.18859207573503534</v>
      </c>
      <c r="AI440">
        <f t="shared" ca="1" si="144"/>
        <v>0</v>
      </c>
      <c r="AJ440" s="47">
        <f t="shared" ca="1" si="145"/>
        <v>0</v>
      </c>
      <c r="AK440">
        <f t="shared" ca="1" si="146"/>
        <v>60201.791675204629</v>
      </c>
    </row>
    <row r="441" spans="2:37" x14ac:dyDescent="0.2">
      <c r="B441">
        <f ca="1">Inputs!B12+(Inputs!D12-Inputs!B12)*BETAINV(RAND(),Model!H6,Model!I6)</f>
        <v>2.0849475233491512</v>
      </c>
      <c r="C441">
        <f ca="1">Inputs!E12+(Inputs!G12-Inputs!E12)*BETAINV(RAND(),Model!J6,Model!K6)</f>
        <v>0.18771644866463433</v>
      </c>
      <c r="D441">
        <f ca="1">(Inputs!H12+(Inputs!J12-Inputs!H12)*BETAINV(RAND(),Model!L6,Model!M6))*Inputs!$C$6</f>
        <v>24756.966857003601</v>
      </c>
      <c r="E441">
        <f t="shared" ca="1" si="126"/>
        <v>0.39137894473522744</v>
      </c>
      <c r="F441">
        <f t="shared" ca="1" si="127"/>
        <v>0.93939295575348791</v>
      </c>
      <c r="G441">
        <f t="shared" ca="1" si="128"/>
        <v>1</v>
      </c>
      <c r="H441" s="47">
        <f t="shared" ca="1" si="129"/>
        <v>24756.966857003601</v>
      </c>
      <c r="I441">
        <f ca="1">Inputs!B13+(Inputs!D13-Inputs!B13)*BETAINV(RAND(),Model!H7,Model!I7)</f>
        <v>1.6208771714895698</v>
      </c>
      <c r="J441">
        <f ca="1">Inputs!E13+(Inputs!G13-Inputs!E13)*BETAINV(RAND(),Model!J7,Model!K7)</f>
        <v>0.21004362879443078</v>
      </c>
      <c r="K441">
        <f ca="1">(Inputs!H13+(Inputs!J13-Inputs!H13)*BETAINV(RAND(),Model!L7,Model!M7))*Inputs!$C$6</f>
        <v>79377.411382236343</v>
      </c>
      <c r="L441">
        <f t="shared" ca="1" si="130"/>
        <v>0.34045492292972213</v>
      </c>
      <c r="M441">
        <f t="shared" ca="1" si="131"/>
        <v>0.75747948528256748</v>
      </c>
      <c r="N441">
        <f t="shared" ca="1" si="132"/>
        <v>1</v>
      </c>
      <c r="O441" s="47">
        <f t="shared" ca="1" si="133"/>
        <v>79377.411382236343</v>
      </c>
      <c r="P441">
        <f ca="1">Inputs!B14+(Inputs!D14-Inputs!B14)*BETAINV(RAND(),Model!H8,Model!I8)</f>
        <v>0.24484150649707115</v>
      </c>
      <c r="Q441">
        <f ca="1">Inputs!E14+(Inputs!G14-Inputs!E14)*BETAINV(RAND(),Model!J8,Model!K8)</f>
        <v>0.76343614988818886</v>
      </c>
      <c r="R441">
        <f ca="1">(Inputs!H14+(Inputs!J14-Inputs!H14)*BETAINV(RAND(),Model!L8,Model!M8))*Inputs!$C$6</f>
        <v>334398.67248645611</v>
      </c>
      <c r="S441">
        <f t="shared" ca="1" si="134"/>
        <v>0.18692085705294798</v>
      </c>
      <c r="T441">
        <f t="shared" ca="1" si="135"/>
        <v>0.78877127623168741</v>
      </c>
      <c r="U441">
        <f t="shared" ca="1" si="136"/>
        <v>0</v>
      </c>
      <c r="V441" s="47">
        <f t="shared" ca="1" si="137"/>
        <v>0</v>
      </c>
      <c r="W441">
        <f ca="1">Inputs!B15+(Inputs!D15-Inputs!B15)*BETAINV(RAND(),Model!H9,Model!I9)</f>
        <v>1.0008697915073788</v>
      </c>
      <c r="X441">
        <f ca="1">Inputs!E15+(Inputs!G15-Inputs!E15)*BETAINV(RAND(),Model!J9,Model!K9)</f>
        <v>0.35149856357794362</v>
      </c>
      <c r="Y441">
        <f ca="1">(Inputs!H15+(Inputs!J15-Inputs!H15)*BETAINV(RAND(),Model!L9,Model!M9))*Inputs!$C$6</f>
        <v>47679.452914624308</v>
      </c>
      <c r="Z441">
        <f t="shared" ca="1" si="138"/>
        <v>0.35180429404339958</v>
      </c>
      <c r="AA441">
        <f t="shared" ca="1" si="139"/>
        <v>0.77447308358737432</v>
      </c>
      <c r="AB441">
        <f t="shared" ca="1" si="140"/>
        <v>1</v>
      </c>
      <c r="AC441" s="47">
        <f t="shared" ca="1" si="141"/>
        <v>47679.452914624308</v>
      </c>
      <c r="AD441">
        <f ca="1">Inputs!B16+(Inputs!D16-Inputs!B16)*BETAINV(RAND(),Model!H10,Model!I10)</f>
        <v>0.42231297783239596</v>
      </c>
      <c r="AE441">
        <f ca="1">Inputs!E16+(Inputs!G16-Inputs!E16)*BETAINV(RAND(),Model!J10,Model!K10)</f>
        <v>0.56865863352737567</v>
      </c>
      <c r="AF441">
        <f ca="1">(Inputs!H16+(Inputs!J16-Inputs!H16)*BETAINV(RAND(),Model!L10,Model!M10))*Inputs!$C$6</f>
        <v>81679.644232534629</v>
      </c>
      <c r="AG441">
        <f t="shared" ca="1" si="142"/>
        <v>0.24015192089504719</v>
      </c>
      <c r="AH441">
        <f t="shared" ca="1" si="143"/>
        <v>0.85821362925806211</v>
      </c>
      <c r="AI441">
        <f t="shared" ca="1" si="144"/>
        <v>1</v>
      </c>
      <c r="AJ441" s="47">
        <f t="shared" ca="1" si="145"/>
        <v>81679.644232534629</v>
      </c>
      <c r="AK441">
        <f t="shared" ca="1" si="146"/>
        <v>233493.47538639887</v>
      </c>
    </row>
    <row r="442" spans="2:37" x14ac:dyDescent="0.2">
      <c r="B442">
        <f ca="1">Inputs!B12+(Inputs!D12-Inputs!B12)*BETAINV(RAND(),Model!H6,Model!I6)</f>
        <v>5.4775047940135204</v>
      </c>
      <c r="C442">
        <f ca="1">Inputs!E12+(Inputs!G12-Inputs!E12)*BETAINV(RAND(),Model!J6,Model!K6)</f>
        <v>0.3609863933870272</v>
      </c>
      <c r="D442">
        <f ca="1">(Inputs!H12+(Inputs!J12-Inputs!H12)*BETAINV(RAND(),Model!L6,Model!M6))*Inputs!$C$6</f>
        <v>24693.361250623824</v>
      </c>
      <c r="E442">
        <f t="shared" ca="1" si="126"/>
        <v>1.9773047003510922</v>
      </c>
      <c r="F442">
        <f t="shared" ca="1" si="127"/>
        <v>0.71274128183296515</v>
      </c>
      <c r="G442">
        <f t="shared" ca="1" si="128"/>
        <v>3</v>
      </c>
      <c r="H442" s="47">
        <f t="shared" ca="1" si="129"/>
        <v>74080.083751871469</v>
      </c>
      <c r="I442">
        <f ca="1">Inputs!B13+(Inputs!D13-Inputs!B13)*BETAINV(RAND(),Model!H7,Model!I7)</f>
        <v>2.5195226820493422</v>
      </c>
      <c r="J442">
        <f ca="1">Inputs!E13+(Inputs!G13-Inputs!E13)*BETAINV(RAND(),Model!J7,Model!K7)</f>
        <v>0.30147352904464086</v>
      </c>
      <c r="K442">
        <f ca="1">(Inputs!H13+(Inputs!J13-Inputs!H13)*BETAINV(RAND(),Model!L7,Model!M7))*Inputs!$C$6</f>
        <v>30143.110673022704</v>
      </c>
      <c r="L442">
        <f t="shared" ca="1" si="130"/>
        <v>0.75956939446543381</v>
      </c>
      <c r="M442">
        <f t="shared" ca="1" si="131"/>
        <v>0.90864645374717479</v>
      </c>
      <c r="N442">
        <f t="shared" ca="1" si="132"/>
        <v>2</v>
      </c>
      <c r="O442" s="47">
        <f t="shared" ca="1" si="133"/>
        <v>60286.221346045408</v>
      </c>
      <c r="P442">
        <f ca="1">Inputs!B14+(Inputs!D14-Inputs!B14)*BETAINV(RAND(),Model!H8,Model!I8)</f>
        <v>0.162507027166433</v>
      </c>
      <c r="Q442">
        <f ca="1">Inputs!E14+(Inputs!G14-Inputs!E14)*BETAINV(RAND(),Model!J8,Model!K8)</f>
        <v>0.76651714491907086</v>
      </c>
      <c r="R442">
        <f ca="1">(Inputs!H14+(Inputs!J14-Inputs!H14)*BETAINV(RAND(),Model!L8,Model!M8))*Inputs!$C$6</f>
        <v>432339.98543188826</v>
      </c>
      <c r="S442">
        <f t="shared" ca="1" si="134"/>
        <v>0.12456442249290012</v>
      </c>
      <c r="T442">
        <f t="shared" ca="1" si="135"/>
        <v>0.78801243076053906</v>
      </c>
      <c r="U442">
        <f t="shared" ca="1" si="136"/>
        <v>0</v>
      </c>
      <c r="V442" s="47">
        <f t="shared" ca="1" si="137"/>
        <v>0</v>
      </c>
      <c r="W442">
        <f ca="1">Inputs!B15+(Inputs!D15-Inputs!B15)*BETAINV(RAND(),Model!H9,Model!I9)</f>
        <v>1.9322256253842309</v>
      </c>
      <c r="X442">
        <f ca="1">Inputs!E15+(Inputs!G15-Inputs!E15)*BETAINV(RAND(),Model!J9,Model!K9)</f>
        <v>0.26171407535109542</v>
      </c>
      <c r="Y442">
        <f ca="1">(Inputs!H15+(Inputs!J15-Inputs!H15)*BETAINV(RAND(),Model!L9,Model!M9))*Inputs!$C$6</f>
        <v>31758.432994121304</v>
      </c>
      <c r="Z442">
        <f t="shared" ca="1" si="138"/>
        <v>0.50569064291712607</v>
      </c>
      <c r="AA442">
        <f t="shared" ca="1" si="139"/>
        <v>4.9316944765072757E-2</v>
      </c>
      <c r="AB442">
        <f t="shared" ca="1" si="140"/>
        <v>0</v>
      </c>
      <c r="AC442" s="47">
        <f t="shared" ca="1" si="141"/>
        <v>0</v>
      </c>
      <c r="AD442">
        <f ca="1">Inputs!B16+(Inputs!D16-Inputs!B16)*BETAINV(RAND(),Model!H10,Model!I10)</f>
        <v>0.6303640979493067</v>
      </c>
      <c r="AE442">
        <f ca="1">Inputs!E16+(Inputs!G16-Inputs!E16)*BETAINV(RAND(),Model!J10,Model!K10)</f>
        <v>0.51939789820164906</v>
      </c>
      <c r="AF442">
        <f ca="1">(Inputs!H16+(Inputs!J16-Inputs!H16)*BETAINV(RAND(),Model!L10,Model!M10))*Inputs!$C$6</f>
        <v>115684.13331975113</v>
      </c>
      <c r="AG442">
        <f t="shared" ca="1" si="142"/>
        <v>0.32740978757664835</v>
      </c>
      <c r="AH442">
        <f t="shared" ca="1" si="143"/>
        <v>0.60235783463227988</v>
      </c>
      <c r="AI442">
        <f t="shared" ca="1" si="144"/>
        <v>0</v>
      </c>
      <c r="AJ442" s="47">
        <f t="shared" ca="1" si="145"/>
        <v>0</v>
      </c>
      <c r="AK442">
        <f t="shared" ca="1" si="146"/>
        <v>134366.30509791686</v>
      </c>
    </row>
    <row r="443" spans="2:37" x14ac:dyDescent="0.2">
      <c r="B443">
        <f ca="1">Inputs!B12+(Inputs!D12-Inputs!B12)*BETAINV(RAND(),Model!H6,Model!I6)</f>
        <v>3.5550414076898207</v>
      </c>
      <c r="C443">
        <f ca="1">Inputs!E12+(Inputs!G12-Inputs!E12)*BETAINV(RAND(),Model!J6,Model!K6)</f>
        <v>0.3566538718321266</v>
      </c>
      <c r="D443">
        <f ca="1">(Inputs!H12+(Inputs!J12-Inputs!H12)*BETAINV(RAND(),Model!L6,Model!M6))*Inputs!$C$6</f>
        <v>22035.41124913665</v>
      </c>
      <c r="E443">
        <f t="shared" ca="1" si="126"/>
        <v>1.2679192825761083</v>
      </c>
      <c r="F443">
        <f t="shared" ca="1" si="127"/>
        <v>0.49812147424903386</v>
      </c>
      <c r="G443">
        <f t="shared" ca="1" si="128"/>
        <v>1</v>
      </c>
      <c r="H443" s="47">
        <f t="shared" ca="1" si="129"/>
        <v>22035.41124913665</v>
      </c>
      <c r="I443">
        <f ca="1">Inputs!B13+(Inputs!D13-Inputs!B13)*BETAINV(RAND(),Model!H7,Model!I7)</f>
        <v>2.2814916514912404</v>
      </c>
      <c r="J443">
        <f ca="1">Inputs!E13+(Inputs!G13-Inputs!E13)*BETAINV(RAND(),Model!J7,Model!K7)</f>
        <v>0.22688872884509526</v>
      </c>
      <c r="K443">
        <f ca="1">(Inputs!H13+(Inputs!J13-Inputs!H13)*BETAINV(RAND(),Model!L7,Model!M7))*Inputs!$C$6</f>
        <v>63603.888967086546</v>
      </c>
      <c r="L443">
        <f t="shared" ca="1" si="130"/>
        <v>0.51764474067754462</v>
      </c>
      <c r="M443">
        <f t="shared" ca="1" si="131"/>
        <v>0.43592065562384252</v>
      </c>
      <c r="N443">
        <f t="shared" ca="1" si="132"/>
        <v>0</v>
      </c>
      <c r="O443" s="47">
        <f t="shared" ca="1" si="133"/>
        <v>0</v>
      </c>
      <c r="P443">
        <f ca="1">Inputs!B14+(Inputs!D14-Inputs!B14)*BETAINV(RAND(),Model!H8,Model!I8)</f>
        <v>0.15334857562346885</v>
      </c>
      <c r="Q443">
        <f ca="1">Inputs!E14+(Inputs!G14-Inputs!E14)*BETAINV(RAND(),Model!J8,Model!K8)</f>
        <v>0.66639800026245344</v>
      </c>
      <c r="R443">
        <f ca="1">(Inputs!H14+(Inputs!J14-Inputs!H14)*BETAINV(RAND(),Model!L8,Model!M8))*Inputs!$C$6</f>
        <v>178499.58667237891</v>
      </c>
      <c r="S443">
        <f t="shared" ca="1" si="134"/>
        <v>0.10219118413857525</v>
      </c>
      <c r="T443">
        <f t="shared" ca="1" si="135"/>
        <v>0.31459826002113755</v>
      </c>
      <c r="U443">
        <f t="shared" ca="1" si="136"/>
        <v>0</v>
      </c>
      <c r="V443" s="47">
        <f t="shared" ca="1" si="137"/>
        <v>0</v>
      </c>
      <c r="W443">
        <f ca="1">Inputs!B15+(Inputs!D15-Inputs!B15)*BETAINV(RAND(),Model!H9,Model!I9)</f>
        <v>0.62464618141078176</v>
      </c>
      <c r="X443">
        <f ca="1">Inputs!E15+(Inputs!G15-Inputs!E15)*BETAINV(RAND(),Model!J9,Model!K9)</f>
        <v>0.48292065274895474</v>
      </c>
      <c r="Y443">
        <f ca="1">(Inputs!H15+(Inputs!J15-Inputs!H15)*BETAINV(RAND(),Model!L9,Model!M9))*Inputs!$C$6</f>
        <v>14823.378444154238</v>
      </c>
      <c r="Z443">
        <f t="shared" ca="1" si="138"/>
        <v>0.30165454166403671</v>
      </c>
      <c r="AA443">
        <f t="shared" ca="1" si="139"/>
        <v>0.30231210050062307</v>
      </c>
      <c r="AB443">
        <f t="shared" ca="1" si="140"/>
        <v>0</v>
      </c>
      <c r="AC443" s="47">
        <f t="shared" ca="1" si="141"/>
        <v>0</v>
      </c>
      <c r="AD443">
        <f ca="1">Inputs!B16+(Inputs!D16-Inputs!B16)*BETAINV(RAND(),Model!H10,Model!I10)</f>
        <v>0.67217859348692799</v>
      </c>
      <c r="AE443">
        <f ca="1">Inputs!E16+(Inputs!G16-Inputs!E16)*BETAINV(RAND(),Model!J10,Model!K10)</f>
        <v>0.65342218559916199</v>
      </c>
      <c r="AF443">
        <f ca="1">(Inputs!H16+(Inputs!J16-Inputs!H16)*BETAINV(RAND(),Model!L10,Model!M10))*Inputs!$C$6</f>
        <v>184770.03188396676</v>
      </c>
      <c r="AG443">
        <f t="shared" ca="1" si="142"/>
        <v>0.43921640566919912</v>
      </c>
      <c r="AH443">
        <f t="shared" ca="1" si="143"/>
        <v>0.21803566693338983</v>
      </c>
      <c r="AI443">
        <f t="shared" ca="1" si="144"/>
        <v>0</v>
      </c>
      <c r="AJ443" s="47">
        <f t="shared" ca="1" si="145"/>
        <v>0</v>
      </c>
      <c r="AK443">
        <f t="shared" ca="1" si="146"/>
        <v>22035.41124913665</v>
      </c>
    </row>
    <row r="444" spans="2:37" x14ac:dyDescent="0.2">
      <c r="B444">
        <f ca="1">Inputs!B12+(Inputs!D12-Inputs!B12)*BETAINV(RAND(),Model!H6,Model!I6)</f>
        <v>2.7521062665653266</v>
      </c>
      <c r="C444">
        <f ca="1">Inputs!E12+(Inputs!G12-Inputs!E12)*BETAINV(RAND(),Model!J6,Model!K6)</f>
        <v>0.37862643823141684</v>
      </c>
      <c r="D444">
        <f ca="1">(Inputs!H12+(Inputs!J12-Inputs!H12)*BETAINV(RAND(),Model!L6,Model!M6))*Inputs!$C$6</f>
        <v>31408.215347802892</v>
      </c>
      <c r="E444">
        <f t="shared" ca="1" si="126"/>
        <v>1.0420201933439919</v>
      </c>
      <c r="F444">
        <f t="shared" ca="1" si="127"/>
        <v>0.51460708718807713</v>
      </c>
      <c r="G444">
        <f t="shared" ca="1" si="128"/>
        <v>1</v>
      </c>
      <c r="H444" s="47">
        <f t="shared" ca="1" si="129"/>
        <v>31408.215347802892</v>
      </c>
      <c r="I444">
        <f ca="1">Inputs!B13+(Inputs!D13-Inputs!B13)*BETAINV(RAND(),Model!H7,Model!I7)</f>
        <v>2.5056199580378569</v>
      </c>
      <c r="J444">
        <f ca="1">Inputs!E13+(Inputs!G13-Inputs!E13)*BETAINV(RAND(),Model!J7,Model!K7)</f>
        <v>0.28333234421874276</v>
      </c>
      <c r="K444">
        <f ca="1">(Inputs!H13+(Inputs!J13-Inputs!H13)*BETAINV(RAND(),Model!L7,Model!M7))*Inputs!$C$6</f>
        <v>40254.696708979369</v>
      </c>
      <c r="L444">
        <f t="shared" ca="1" si="130"/>
        <v>0.70992317643213387</v>
      </c>
      <c r="M444">
        <f t="shared" ca="1" si="131"/>
        <v>0.40829325802445571</v>
      </c>
      <c r="N444">
        <f t="shared" ca="1" si="132"/>
        <v>0</v>
      </c>
      <c r="O444" s="47">
        <f t="shared" ca="1" si="133"/>
        <v>0</v>
      </c>
      <c r="P444">
        <f ca="1">Inputs!B14+(Inputs!D14-Inputs!B14)*BETAINV(RAND(),Model!H8,Model!I8)</f>
        <v>0.42255761581934759</v>
      </c>
      <c r="Q444">
        <f ca="1">Inputs!E14+(Inputs!G14-Inputs!E14)*BETAINV(RAND(),Model!J8,Model!K8)</f>
        <v>0.65289852510037205</v>
      </c>
      <c r="R444">
        <f ca="1">(Inputs!H14+(Inputs!J14-Inputs!H14)*BETAINV(RAND(),Model!L8,Model!M8))*Inputs!$C$6</f>
        <v>319329.31141481595</v>
      </c>
      <c r="S444">
        <f t="shared" ca="1" si="134"/>
        <v>0.27588724413838167</v>
      </c>
      <c r="T444">
        <f t="shared" ca="1" si="135"/>
        <v>0.59023015974853832</v>
      </c>
      <c r="U444">
        <f t="shared" ca="1" si="136"/>
        <v>0</v>
      </c>
      <c r="V444" s="47">
        <f t="shared" ca="1" si="137"/>
        <v>0</v>
      </c>
      <c r="W444">
        <f ca="1">Inputs!B15+(Inputs!D15-Inputs!B15)*BETAINV(RAND(),Model!H9,Model!I9)</f>
        <v>0.99704798590779165</v>
      </c>
      <c r="X444">
        <f ca="1">Inputs!E15+(Inputs!G15-Inputs!E15)*BETAINV(RAND(),Model!J9,Model!K9)</f>
        <v>0.30001739294147756</v>
      </c>
      <c r="Y444">
        <f ca="1">(Inputs!H15+(Inputs!J15-Inputs!H15)*BETAINV(RAND(),Model!L9,Model!M9))*Inputs!$C$6</f>
        <v>42027.140956084637</v>
      </c>
      <c r="Z444">
        <f t="shared" ca="1" si="138"/>
        <v>0.29913173736960669</v>
      </c>
      <c r="AA444">
        <f t="shared" ca="1" si="139"/>
        <v>0.50411532429108907</v>
      </c>
      <c r="AB444">
        <f t="shared" ca="1" si="140"/>
        <v>0</v>
      </c>
      <c r="AC444" s="47">
        <f t="shared" ca="1" si="141"/>
        <v>0</v>
      </c>
      <c r="AD444">
        <f ca="1">Inputs!B16+(Inputs!D16-Inputs!B16)*BETAINV(RAND(),Model!H10,Model!I10)</f>
        <v>0.65765741848114967</v>
      </c>
      <c r="AE444">
        <f ca="1">Inputs!E16+(Inputs!G16-Inputs!E16)*BETAINV(RAND(),Model!J10,Model!K10)</f>
        <v>0.57112868401541805</v>
      </c>
      <c r="AF444">
        <f ca="1">(Inputs!H16+(Inputs!J16-Inputs!H16)*BETAINV(RAND(),Model!L10,Model!M10))*Inputs!$C$6</f>
        <v>60128.422119744188</v>
      </c>
      <c r="AG444">
        <f t="shared" ca="1" si="142"/>
        <v>0.37560701595011609</v>
      </c>
      <c r="AH444">
        <f t="shared" ca="1" si="143"/>
        <v>0.63323108869862033</v>
      </c>
      <c r="AI444">
        <f t="shared" ca="1" si="144"/>
        <v>0</v>
      </c>
      <c r="AJ444" s="47">
        <f t="shared" ca="1" si="145"/>
        <v>0</v>
      </c>
      <c r="AK444">
        <f t="shared" ca="1" si="146"/>
        <v>31408.215347802892</v>
      </c>
    </row>
    <row r="445" spans="2:37" x14ac:dyDescent="0.2">
      <c r="B445">
        <f ca="1">Inputs!B12+(Inputs!D12-Inputs!B12)*BETAINV(RAND(),Model!H6,Model!I6)</f>
        <v>3.7648828297868371</v>
      </c>
      <c r="C445">
        <f ca="1">Inputs!E12+(Inputs!G12-Inputs!E12)*BETAINV(RAND(),Model!J6,Model!K6)</f>
        <v>0.32674564329878508</v>
      </c>
      <c r="D445">
        <f ca="1">(Inputs!H12+(Inputs!J12-Inputs!H12)*BETAINV(RAND(),Model!L6,Model!M6))*Inputs!$C$6</f>
        <v>32437.881058587242</v>
      </c>
      <c r="E445">
        <f t="shared" ca="1" si="126"/>
        <v>1.2301590621632505</v>
      </c>
      <c r="F445">
        <f t="shared" ca="1" si="127"/>
        <v>0.45040186154081319</v>
      </c>
      <c r="G445">
        <f t="shared" ca="1" si="128"/>
        <v>1</v>
      </c>
      <c r="H445" s="47">
        <f t="shared" ca="1" si="129"/>
        <v>32437.881058587242</v>
      </c>
      <c r="I445">
        <f ca="1">Inputs!B13+(Inputs!D13-Inputs!B13)*BETAINV(RAND(),Model!H7,Model!I7)</f>
        <v>2.1192144671179469</v>
      </c>
      <c r="J445">
        <f ca="1">Inputs!E13+(Inputs!G13-Inputs!E13)*BETAINV(RAND(),Model!J7,Model!K7)</f>
        <v>0.22695673432073007</v>
      </c>
      <c r="K445">
        <f ca="1">(Inputs!H13+(Inputs!J13-Inputs!H13)*BETAINV(RAND(),Model!L7,Model!M7))*Inputs!$C$6</f>
        <v>38477.577667326812</v>
      </c>
      <c r="L445">
        <f t="shared" ca="1" si="130"/>
        <v>0.48096999478233543</v>
      </c>
      <c r="M445">
        <f t="shared" ca="1" si="131"/>
        <v>0.9488569082700834</v>
      </c>
      <c r="N445">
        <f t="shared" ca="1" si="132"/>
        <v>2</v>
      </c>
      <c r="O445" s="47">
        <f t="shared" ca="1" si="133"/>
        <v>76955.155334653624</v>
      </c>
      <c r="P445">
        <f ca="1">Inputs!B14+(Inputs!D14-Inputs!B14)*BETAINV(RAND(),Model!H8,Model!I8)</f>
        <v>0.37301214280278949</v>
      </c>
      <c r="Q445">
        <f ca="1">Inputs!E14+(Inputs!G14-Inputs!E14)*BETAINV(RAND(),Model!J8,Model!K8)</f>
        <v>0.75213688928174283</v>
      </c>
      <c r="R445">
        <f ca="1">(Inputs!H14+(Inputs!J14-Inputs!H14)*BETAINV(RAND(),Model!L8,Model!M8))*Inputs!$C$6</f>
        <v>338185.56033072941</v>
      </c>
      <c r="S445">
        <f t="shared" ca="1" si="134"/>
        <v>0.28055619275200733</v>
      </c>
      <c r="T445">
        <f t="shared" ca="1" si="135"/>
        <v>5.1483181989823046E-2</v>
      </c>
      <c r="U445">
        <f t="shared" ca="1" si="136"/>
        <v>0</v>
      </c>
      <c r="V445" s="47">
        <f t="shared" ca="1" si="137"/>
        <v>0</v>
      </c>
      <c r="W445">
        <f ca="1">Inputs!B15+(Inputs!D15-Inputs!B15)*BETAINV(RAND(),Model!H9,Model!I9)</f>
        <v>0.5564363908875295</v>
      </c>
      <c r="X445">
        <f ca="1">Inputs!E15+(Inputs!G15-Inputs!E15)*BETAINV(RAND(),Model!J9,Model!K9)</f>
        <v>0.37885050548141652</v>
      </c>
      <c r="Y445">
        <f ca="1">(Inputs!H15+(Inputs!J15-Inputs!H15)*BETAINV(RAND(),Model!L9,Model!M9))*Inputs!$C$6</f>
        <v>22849.162820737241</v>
      </c>
      <c r="Z445">
        <f t="shared" ca="1" si="138"/>
        <v>0.21080620795599561</v>
      </c>
      <c r="AA445">
        <f t="shared" ca="1" si="139"/>
        <v>0.21034951576918759</v>
      </c>
      <c r="AB445">
        <f t="shared" ca="1" si="140"/>
        <v>0</v>
      </c>
      <c r="AC445" s="47">
        <f t="shared" ca="1" si="141"/>
        <v>0</v>
      </c>
      <c r="AD445">
        <f ca="1">Inputs!B16+(Inputs!D16-Inputs!B16)*BETAINV(RAND(),Model!H10,Model!I10)</f>
        <v>1.1308518841806341</v>
      </c>
      <c r="AE445">
        <f ca="1">Inputs!E16+(Inputs!G16-Inputs!E16)*BETAINV(RAND(),Model!J10,Model!K10)</f>
        <v>0.64663684798023702</v>
      </c>
      <c r="AF445">
        <f ca="1">(Inputs!H16+(Inputs!J16-Inputs!H16)*BETAINV(RAND(),Model!L10,Model!M10))*Inputs!$C$6</f>
        <v>137460.17274718679</v>
      </c>
      <c r="AG445">
        <f t="shared" ca="1" si="142"/>
        <v>0.73125049791907726</v>
      </c>
      <c r="AH445">
        <f t="shared" ca="1" si="143"/>
        <v>0.54007804145236216</v>
      </c>
      <c r="AI445">
        <f t="shared" ca="1" si="144"/>
        <v>1</v>
      </c>
      <c r="AJ445" s="47">
        <f t="shared" ca="1" si="145"/>
        <v>137460.17274718679</v>
      </c>
      <c r="AK445">
        <f t="shared" ca="1" si="146"/>
        <v>246853.20914042764</v>
      </c>
    </row>
    <row r="446" spans="2:37" x14ac:dyDescent="0.2">
      <c r="B446">
        <f ca="1">Inputs!B12+(Inputs!D12-Inputs!B12)*BETAINV(RAND(),Model!H6,Model!I6)</f>
        <v>2.2936781267301214</v>
      </c>
      <c r="C446">
        <f ca="1">Inputs!E12+(Inputs!G12-Inputs!E12)*BETAINV(RAND(),Model!J6,Model!K6)</f>
        <v>0.27212037418803331</v>
      </c>
      <c r="D446">
        <f ca="1">(Inputs!H12+(Inputs!J12-Inputs!H12)*BETAINV(RAND(),Model!L6,Model!M6))*Inputs!$C$6</f>
        <v>29413.601647530944</v>
      </c>
      <c r="E446">
        <f t="shared" ca="1" si="126"/>
        <v>0.62415655011270788</v>
      </c>
      <c r="F446">
        <f t="shared" ca="1" si="127"/>
        <v>0.68850878359469847</v>
      </c>
      <c r="G446">
        <f t="shared" ca="1" si="128"/>
        <v>1</v>
      </c>
      <c r="H446" s="47">
        <f t="shared" ca="1" si="129"/>
        <v>29413.601647530944</v>
      </c>
      <c r="I446">
        <f ca="1">Inputs!B13+(Inputs!D13-Inputs!B13)*BETAINV(RAND(),Model!H7,Model!I7)</f>
        <v>2.4311527619077808</v>
      </c>
      <c r="J446">
        <f ca="1">Inputs!E13+(Inputs!G13-Inputs!E13)*BETAINV(RAND(),Model!J7,Model!K7)</f>
        <v>0.17368246331816817</v>
      </c>
      <c r="K446">
        <f ca="1">(Inputs!H13+(Inputs!J13-Inputs!H13)*BETAINV(RAND(),Model!L7,Model!M7))*Inputs!$C$6</f>
        <v>41760.629782679505</v>
      </c>
      <c r="L446">
        <f t="shared" ca="1" si="130"/>
        <v>0.42224860039091139</v>
      </c>
      <c r="M446">
        <f t="shared" ca="1" si="131"/>
        <v>0.67776260031921953</v>
      </c>
      <c r="N446">
        <f t="shared" ca="1" si="132"/>
        <v>1</v>
      </c>
      <c r="O446" s="47">
        <f t="shared" ca="1" si="133"/>
        <v>41760.629782679505</v>
      </c>
      <c r="P446">
        <f ca="1">Inputs!B14+(Inputs!D14-Inputs!B14)*BETAINV(RAND(),Model!H8,Model!I8)</f>
        <v>0.26711126261825413</v>
      </c>
      <c r="Q446">
        <f ca="1">Inputs!E14+(Inputs!G14-Inputs!E14)*BETAINV(RAND(),Model!J8,Model!K8)</f>
        <v>0.71110084404878504</v>
      </c>
      <c r="R446">
        <f ca="1">(Inputs!H14+(Inputs!J14-Inputs!H14)*BETAINV(RAND(),Model!L8,Model!M8))*Inputs!$C$6</f>
        <v>317597.93746047968</v>
      </c>
      <c r="S446">
        <f t="shared" ca="1" si="134"/>
        <v>0.1899430443027772</v>
      </c>
      <c r="T446">
        <f t="shared" ca="1" si="135"/>
        <v>0.23879638883535137</v>
      </c>
      <c r="U446">
        <f t="shared" ca="1" si="136"/>
        <v>0</v>
      </c>
      <c r="V446" s="47">
        <f t="shared" ca="1" si="137"/>
        <v>0</v>
      </c>
      <c r="W446">
        <f ca="1">Inputs!B15+(Inputs!D15-Inputs!B15)*BETAINV(RAND(),Model!H9,Model!I9)</f>
        <v>1.2111220576341448</v>
      </c>
      <c r="X446">
        <f ca="1">Inputs!E15+(Inputs!G15-Inputs!E15)*BETAINV(RAND(),Model!J9,Model!K9)</f>
        <v>0.4398292977652084</v>
      </c>
      <c r="Y446">
        <f ca="1">(Inputs!H15+(Inputs!J15-Inputs!H15)*BETAINV(RAND(),Model!L9,Model!M9))*Inputs!$C$6</f>
        <v>23098.676152780597</v>
      </c>
      <c r="Z446">
        <f t="shared" ca="1" si="138"/>
        <v>0.5326869641171802</v>
      </c>
      <c r="AA446">
        <f t="shared" ca="1" si="139"/>
        <v>0.33912916617052336</v>
      </c>
      <c r="AB446">
        <f t="shared" ca="1" si="140"/>
        <v>0</v>
      </c>
      <c r="AC446" s="47">
        <f t="shared" ca="1" si="141"/>
        <v>0</v>
      </c>
      <c r="AD446">
        <f ca="1">Inputs!B16+(Inputs!D16-Inputs!B16)*BETAINV(RAND(),Model!H10,Model!I10)</f>
        <v>0.96644760868571034</v>
      </c>
      <c r="AE446">
        <f ca="1">Inputs!E16+(Inputs!G16-Inputs!E16)*BETAINV(RAND(),Model!J10,Model!K10)</f>
        <v>0.6717486881052841</v>
      </c>
      <c r="AF446">
        <f ca="1">(Inputs!H16+(Inputs!J16-Inputs!H16)*BETAINV(RAND(),Model!L10,Model!M10))*Inputs!$C$6</f>
        <v>70050.455643176931</v>
      </c>
      <c r="AG446">
        <f t="shared" ca="1" si="142"/>
        <v>0.64920991325711486</v>
      </c>
      <c r="AH446">
        <f t="shared" ca="1" si="143"/>
        <v>0.64989800056456171</v>
      </c>
      <c r="AI446">
        <f t="shared" ca="1" si="144"/>
        <v>1</v>
      </c>
      <c r="AJ446" s="47">
        <f t="shared" ca="1" si="145"/>
        <v>70050.455643176931</v>
      </c>
      <c r="AK446">
        <f t="shared" ca="1" si="146"/>
        <v>141224.68707338738</v>
      </c>
    </row>
    <row r="447" spans="2:37" x14ac:dyDescent="0.2">
      <c r="B447">
        <f ca="1">Inputs!B12+(Inputs!D12-Inputs!B12)*BETAINV(RAND(),Model!H6,Model!I6)</f>
        <v>4.5075069010139419</v>
      </c>
      <c r="C447">
        <f ca="1">Inputs!E12+(Inputs!G12-Inputs!E12)*BETAINV(RAND(),Model!J6,Model!K6)</f>
        <v>0.28403069336303699</v>
      </c>
      <c r="D447">
        <f ca="1">(Inputs!H12+(Inputs!J12-Inputs!H12)*BETAINV(RAND(),Model!L6,Model!M6))*Inputs!$C$6</f>
        <v>15922.011980214978</v>
      </c>
      <c r="E447">
        <f t="shared" ca="1" si="126"/>
        <v>1.2802703104336641</v>
      </c>
      <c r="F447">
        <f t="shared" ca="1" si="127"/>
        <v>0.30139174307345407</v>
      </c>
      <c r="G447">
        <f t="shared" ca="1" si="128"/>
        <v>1</v>
      </c>
      <c r="H447" s="47">
        <f t="shared" ca="1" si="129"/>
        <v>15922.011980214978</v>
      </c>
      <c r="I447">
        <f ca="1">Inputs!B13+(Inputs!D13-Inputs!B13)*BETAINV(RAND(),Model!H7,Model!I7)</f>
        <v>2.4960313403555876</v>
      </c>
      <c r="J447">
        <f ca="1">Inputs!E13+(Inputs!G13-Inputs!E13)*BETAINV(RAND(),Model!J7,Model!K7)</f>
        <v>0.36876150322197054</v>
      </c>
      <c r="K447">
        <f ca="1">(Inputs!H13+(Inputs!J13-Inputs!H13)*BETAINV(RAND(),Model!L7,Model!M7))*Inputs!$C$6</f>
        <v>39587.045140508126</v>
      </c>
      <c r="L447">
        <f t="shared" ca="1" si="130"/>
        <v>0.92044026915867649</v>
      </c>
      <c r="M447">
        <f t="shared" ca="1" si="131"/>
        <v>0.79074024565609324</v>
      </c>
      <c r="N447">
        <f t="shared" ca="1" si="132"/>
        <v>2</v>
      </c>
      <c r="O447" s="47">
        <f t="shared" ca="1" si="133"/>
        <v>79174.090281016252</v>
      </c>
      <c r="P447">
        <f ca="1">Inputs!B14+(Inputs!D14-Inputs!B14)*BETAINV(RAND(),Model!H8,Model!I8)</f>
        <v>0.2432529609197677</v>
      </c>
      <c r="Q447">
        <f ca="1">Inputs!E14+(Inputs!G14-Inputs!E14)*BETAINV(RAND(),Model!J8,Model!K8)</f>
        <v>0.61671704003182093</v>
      </c>
      <c r="R447">
        <f ca="1">(Inputs!H14+(Inputs!J14-Inputs!H14)*BETAINV(RAND(),Model!L8,Model!M8))*Inputs!$C$6</f>
        <v>200772.55574096472</v>
      </c>
      <c r="S447">
        <f t="shared" ca="1" si="134"/>
        <v>0.15001824603741534</v>
      </c>
      <c r="T447">
        <f t="shared" ca="1" si="135"/>
        <v>0.33767172877907847</v>
      </c>
      <c r="U447">
        <f t="shared" ca="1" si="136"/>
        <v>0</v>
      </c>
      <c r="V447" s="47">
        <f t="shared" ca="1" si="137"/>
        <v>0</v>
      </c>
      <c r="W447">
        <f ca="1">Inputs!B15+(Inputs!D15-Inputs!B15)*BETAINV(RAND(),Model!H9,Model!I9)</f>
        <v>1.3507233949564381</v>
      </c>
      <c r="X447">
        <f ca="1">Inputs!E15+(Inputs!G15-Inputs!E15)*BETAINV(RAND(),Model!J9,Model!K9)</f>
        <v>0.48633201536844695</v>
      </c>
      <c r="Y447">
        <f ca="1">(Inputs!H15+(Inputs!J15-Inputs!H15)*BETAINV(RAND(),Model!L9,Model!M9))*Inputs!$C$6</f>
        <v>16113.750107446756</v>
      </c>
      <c r="Z447">
        <f t="shared" ca="1" si="138"/>
        <v>0.65690003087447535</v>
      </c>
      <c r="AA447">
        <f t="shared" ca="1" si="139"/>
        <v>0.80042378508439394</v>
      </c>
      <c r="AB447">
        <f t="shared" ca="1" si="140"/>
        <v>1</v>
      </c>
      <c r="AC447" s="47">
        <f t="shared" ca="1" si="141"/>
        <v>16113.750107446756</v>
      </c>
      <c r="AD447">
        <f ca="1">Inputs!B16+(Inputs!D16-Inputs!B16)*BETAINV(RAND(),Model!H10,Model!I10)</f>
        <v>1.0336850799155075</v>
      </c>
      <c r="AE447">
        <f ca="1">Inputs!E16+(Inputs!G16-Inputs!E16)*BETAINV(RAND(),Model!J10,Model!K10)</f>
        <v>0.61195245974320744</v>
      </c>
      <c r="AF447">
        <f ca="1">(Inputs!H16+(Inputs!J16-Inputs!H16)*BETAINV(RAND(),Model!L10,Model!M10))*Inputs!$C$6</f>
        <v>90216.652149093759</v>
      </c>
      <c r="AG447">
        <f t="shared" ca="1" si="142"/>
        <v>0.63256612725414874</v>
      </c>
      <c r="AH447">
        <f t="shared" ca="1" si="143"/>
        <v>9.7716711453875615E-2</v>
      </c>
      <c r="AI447">
        <f t="shared" ca="1" si="144"/>
        <v>0</v>
      </c>
      <c r="AJ447" s="47">
        <f t="shared" ca="1" si="145"/>
        <v>0</v>
      </c>
      <c r="AK447">
        <f t="shared" ca="1" si="146"/>
        <v>111209.85236867798</v>
      </c>
    </row>
    <row r="448" spans="2:37" x14ac:dyDescent="0.2">
      <c r="B448">
        <f ca="1">Inputs!B12+(Inputs!D12-Inputs!B12)*BETAINV(RAND(),Model!H6,Model!I6)</f>
        <v>2.7332677988474989</v>
      </c>
      <c r="C448">
        <f ca="1">Inputs!E12+(Inputs!G12-Inputs!E12)*BETAINV(RAND(),Model!J6,Model!K6)</f>
        <v>0.34614155603561503</v>
      </c>
      <c r="D448">
        <f ca="1">(Inputs!H12+(Inputs!J12-Inputs!H12)*BETAINV(RAND(),Model!L6,Model!M6))*Inputs!$C$6</f>
        <v>34754.472675266632</v>
      </c>
      <c r="E448">
        <f t="shared" ca="1" si="126"/>
        <v>0.94609756895511365</v>
      </c>
      <c r="F448">
        <f t="shared" ca="1" si="127"/>
        <v>0.49921722132137869</v>
      </c>
      <c r="G448">
        <f t="shared" ca="1" si="128"/>
        <v>1</v>
      </c>
      <c r="H448" s="47">
        <f t="shared" ca="1" si="129"/>
        <v>34754.472675266632</v>
      </c>
      <c r="I448">
        <f ca="1">Inputs!B13+(Inputs!D13-Inputs!B13)*BETAINV(RAND(),Model!H7,Model!I7)</f>
        <v>2.280387785268509</v>
      </c>
      <c r="J448">
        <f ca="1">Inputs!E13+(Inputs!G13-Inputs!E13)*BETAINV(RAND(),Model!J7,Model!K7)</f>
        <v>0.34851071344145074</v>
      </c>
      <c r="K448">
        <f ca="1">(Inputs!H13+(Inputs!J13-Inputs!H13)*BETAINV(RAND(),Model!L7,Model!M7))*Inputs!$C$6</f>
        <v>31001.908124336136</v>
      </c>
      <c r="L448">
        <f t="shared" ca="1" si="130"/>
        <v>0.79473957396709782</v>
      </c>
      <c r="M448">
        <f t="shared" ca="1" si="131"/>
        <v>0.4458478854680209</v>
      </c>
      <c r="N448">
        <f t="shared" ca="1" si="132"/>
        <v>0</v>
      </c>
      <c r="O448" s="47">
        <f t="shared" ca="1" si="133"/>
        <v>0</v>
      </c>
      <c r="P448">
        <f ca="1">Inputs!B14+(Inputs!D14-Inputs!B14)*BETAINV(RAND(),Model!H8,Model!I8)</f>
        <v>0.18081177999100051</v>
      </c>
      <c r="Q448">
        <f ca="1">Inputs!E14+(Inputs!G14-Inputs!E14)*BETAINV(RAND(),Model!J8,Model!K8)</f>
        <v>0.50494824822448425</v>
      </c>
      <c r="R448">
        <f ca="1">(Inputs!H14+(Inputs!J14-Inputs!H14)*BETAINV(RAND(),Model!L8,Model!M8))*Inputs!$C$6</f>
        <v>425381.44823278009</v>
      </c>
      <c r="S448">
        <f t="shared" ca="1" si="134"/>
        <v>9.1300591564806563E-2</v>
      </c>
      <c r="T448">
        <f t="shared" ca="1" si="135"/>
        <v>0.13939564637710145</v>
      </c>
      <c r="U448">
        <f t="shared" ca="1" si="136"/>
        <v>0</v>
      </c>
      <c r="V448" s="47">
        <f t="shared" ca="1" si="137"/>
        <v>0</v>
      </c>
      <c r="W448">
        <f ca="1">Inputs!B15+(Inputs!D15-Inputs!B15)*BETAINV(RAND(),Model!H9,Model!I9)</f>
        <v>1.6281711404382222</v>
      </c>
      <c r="X448">
        <f ca="1">Inputs!E15+(Inputs!G15-Inputs!E15)*BETAINV(RAND(),Model!J9,Model!K9)</f>
        <v>0.45827987721179714</v>
      </c>
      <c r="Y448">
        <f ca="1">(Inputs!H15+(Inputs!J15-Inputs!H15)*BETAINV(RAND(),Model!L9,Model!M9))*Inputs!$C$6</f>
        <v>32829.585085871411</v>
      </c>
      <c r="Z448">
        <f t="shared" ca="1" si="138"/>
        <v>0.74615807031982018</v>
      </c>
      <c r="AA448">
        <f t="shared" ca="1" si="139"/>
        <v>0.8983834226638111</v>
      </c>
      <c r="AB448">
        <f t="shared" ca="1" si="140"/>
        <v>2</v>
      </c>
      <c r="AC448" s="47">
        <f t="shared" ca="1" si="141"/>
        <v>65659.170171742822</v>
      </c>
      <c r="AD448">
        <f ca="1">Inputs!B16+(Inputs!D16-Inputs!B16)*BETAINV(RAND(),Model!H10,Model!I10)</f>
        <v>1.0154098392316413</v>
      </c>
      <c r="AE448">
        <f ca="1">Inputs!E16+(Inputs!G16-Inputs!E16)*BETAINV(RAND(),Model!J10,Model!K10)</f>
        <v>0.56814316895426198</v>
      </c>
      <c r="AF448">
        <f ca="1">(Inputs!H16+(Inputs!J16-Inputs!H16)*BETAINV(RAND(),Model!L10,Model!M10))*Inputs!$C$6</f>
        <v>89141.16897168578</v>
      </c>
      <c r="AG448">
        <f t="shared" ca="1" si="142"/>
        <v>0.57689816384840242</v>
      </c>
      <c r="AH448">
        <f t="shared" ca="1" si="143"/>
        <v>0.95847656529530734</v>
      </c>
      <c r="AI448">
        <f t="shared" ca="1" si="144"/>
        <v>2</v>
      </c>
      <c r="AJ448" s="47">
        <f t="shared" ca="1" si="145"/>
        <v>178282.33794337156</v>
      </c>
      <c r="AK448">
        <f t="shared" ca="1" si="146"/>
        <v>278695.98079038103</v>
      </c>
    </row>
    <row r="449" spans="2:37" x14ac:dyDescent="0.2">
      <c r="B449">
        <f ca="1">Inputs!B12+(Inputs!D12-Inputs!B12)*BETAINV(RAND(),Model!H6,Model!I6)</f>
        <v>5.8157327112513322</v>
      </c>
      <c r="C449">
        <f ca="1">Inputs!E12+(Inputs!G12-Inputs!E12)*BETAINV(RAND(),Model!J6,Model!K6)</f>
        <v>0.21688148072840591</v>
      </c>
      <c r="D449">
        <f ca="1">(Inputs!H12+(Inputs!J12-Inputs!H12)*BETAINV(RAND(),Model!L6,Model!M6))*Inputs!$C$6</f>
        <v>11135.842087040437</v>
      </c>
      <c r="E449">
        <f t="shared" ca="1" si="126"/>
        <v>1.2613247219368156</v>
      </c>
      <c r="F449">
        <f t="shared" ca="1" si="127"/>
        <v>0.51197907509208518</v>
      </c>
      <c r="G449">
        <f t="shared" ca="1" si="128"/>
        <v>1</v>
      </c>
      <c r="H449" s="47">
        <f t="shared" ca="1" si="129"/>
        <v>11135.842087040437</v>
      </c>
      <c r="I449">
        <f ca="1">Inputs!B13+(Inputs!D13-Inputs!B13)*BETAINV(RAND(),Model!H7,Model!I7)</f>
        <v>1.4434004612363063</v>
      </c>
      <c r="J449">
        <f ca="1">Inputs!E13+(Inputs!G13-Inputs!E13)*BETAINV(RAND(),Model!J7,Model!K7)</f>
        <v>0.23941178917709804</v>
      </c>
      <c r="K449">
        <f ca="1">(Inputs!H13+(Inputs!J13-Inputs!H13)*BETAINV(RAND(),Model!L7,Model!M7))*Inputs!$C$6</f>
        <v>83060.784732960266</v>
      </c>
      <c r="L449">
        <f t="shared" ca="1" si="130"/>
        <v>0.34556708692363264</v>
      </c>
      <c r="M449">
        <f t="shared" ca="1" si="131"/>
        <v>0.49911388135380319</v>
      </c>
      <c r="N449">
        <f t="shared" ca="1" si="132"/>
        <v>0</v>
      </c>
      <c r="O449" s="47">
        <f t="shared" ca="1" si="133"/>
        <v>0</v>
      </c>
      <c r="P449">
        <f ca="1">Inputs!B14+(Inputs!D14-Inputs!B14)*BETAINV(RAND(),Model!H8,Model!I8)</f>
        <v>0.1931566177792455</v>
      </c>
      <c r="Q449">
        <f ca="1">Inputs!E14+(Inputs!G14-Inputs!E14)*BETAINV(RAND(),Model!J8,Model!K8)</f>
        <v>0.63038923590951035</v>
      </c>
      <c r="R449">
        <f ca="1">(Inputs!H14+(Inputs!J14-Inputs!H14)*BETAINV(RAND(),Model!L8,Model!M8))*Inputs!$C$6</f>
        <v>227315.51909497078</v>
      </c>
      <c r="S449">
        <f t="shared" ca="1" si="134"/>
        <v>0.12176385269272391</v>
      </c>
      <c r="T449">
        <f t="shared" ca="1" si="135"/>
        <v>0.19658330908429955</v>
      </c>
      <c r="U449">
        <f t="shared" ca="1" si="136"/>
        <v>0</v>
      </c>
      <c r="V449" s="47">
        <f t="shared" ca="1" si="137"/>
        <v>0</v>
      </c>
      <c r="W449">
        <f ca="1">Inputs!B15+(Inputs!D15-Inputs!B15)*BETAINV(RAND(),Model!H9,Model!I9)</f>
        <v>1.2569004134759483</v>
      </c>
      <c r="X449">
        <f ca="1">Inputs!E15+(Inputs!G15-Inputs!E15)*BETAINV(RAND(),Model!J9,Model!K9)</f>
        <v>0.55635993894964375</v>
      </c>
      <c r="Y449">
        <f ca="1">(Inputs!H15+(Inputs!J15-Inputs!H15)*BETAINV(RAND(),Model!L9,Model!M9))*Inputs!$C$6</f>
        <v>12583.523058684865</v>
      </c>
      <c r="Z449">
        <f t="shared" ca="1" si="138"/>
        <v>0.69928903730726055</v>
      </c>
      <c r="AA449">
        <f t="shared" ca="1" si="139"/>
        <v>0.19115301489516845</v>
      </c>
      <c r="AB449">
        <f t="shared" ca="1" si="140"/>
        <v>0</v>
      </c>
      <c r="AC449" s="47">
        <f t="shared" ca="1" si="141"/>
        <v>0</v>
      </c>
      <c r="AD449">
        <f ca="1">Inputs!B16+(Inputs!D16-Inputs!B16)*BETAINV(RAND(),Model!H10,Model!I10)</f>
        <v>0.4990122133411426</v>
      </c>
      <c r="AE449">
        <f ca="1">Inputs!E16+(Inputs!G16-Inputs!E16)*BETAINV(RAND(),Model!J10,Model!K10)</f>
        <v>0.53489945994581234</v>
      </c>
      <c r="AF449">
        <f ca="1">(Inputs!H16+(Inputs!J16-Inputs!H16)*BETAINV(RAND(),Model!L10,Model!M10))*Inputs!$C$6</f>
        <v>49275.675276222995</v>
      </c>
      <c r="AG449">
        <f t="shared" ca="1" si="142"/>
        <v>0.26692136342254169</v>
      </c>
      <c r="AH449">
        <f t="shared" ca="1" si="143"/>
        <v>0.56208216096407015</v>
      </c>
      <c r="AI449">
        <f t="shared" ca="1" si="144"/>
        <v>0</v>
      </c>
      <c r="AJ449" s="47">
        <f t="shared" ca="1" si="145"/>
        <v>0</v>
      </c>
      <c r="AK449">
        <f t="shared" ca="1" si="146"/>
        <v>11135.842087040437</v>
      </c>
    </row>
    <row r="450" spans="2:37" x14ac:dyDescent="0.2">
      <c r="B450">
        <f ca="1">Inputs!B12+(Inputs!D12-Inputs!B12)*BETAINV(RAND(),Model!H6,Model!I6)</f>
        <v>3.468728795832571</v>
      </c>
      <c r="C450">
        <f ca="1">Inputs!E12+(Inputs!G12-Inputs!E12)*BETAINV(RAND(),Model!J6,Model!K6)</f>
        <v>0.40239251202792592</v>
      </c>
      <c r="D450">
        <f ca="1">(Inputs!H12+(Inputs!J12-Inputs!H12)*BETAINV(RAND(),Model!L6,Model!M6))*Inputs!$C$6</f>
        <v>11436.871636237067</v>
      </c>
      <c r="E450">
        <f t="shared" ca="1" si="126"/>
        <v>1.3957904936986709</v>
      </c>
      <c r="F450">
        <f t="shared" ca="1" si="127"/>
        <v>0.32340366664091735</v>
      </c>
      <c r="G450">
        <f t="shared" ca="1" si="128"/>
        <v>1</v>
      </c>
      <c r="H450" s="47">
        <f t="shared" ca="1" si="129"/>
        <v>11436.871636237067</v>
      </c>
      <c r="I450">
        <f ca="1">Inputs!B13+(Inputs!D13-Inputs!B13)*BETAINV(RAND(),Model!H7,Model!I7)</f>
        <v>1.8128562621512454</v>
      </c>
      <c r="J450">
        <f ca="1">Inputs!E13+(Inputs!G13-Inputs!E13)*BETAINV(RAND(),Model!J7,Model!K7)</f>
        <v>0.24682243130724479</v>
      </c>
      <c r="K450">
        <f ca="1">(Inputs!H13+(Inputs!J13-Inputs!H13)*BETAINV(RAND(),Model!L7,Model!M7))*Inputs!$C$6</f>
        <v>36123.506078770821</v>
      </c>
      <c r="L450">
        <f t="shared" ca="1" si="130"/>
        <v>0.44745359023473436</v>
      </c>
      <c r="M450">
        <f t="shared" ca="1" si="131"/>
        <v>0.2678385748891926</v>
      </c>
      <c r="N450">
        <f t="shared" ca="1" si="132"/>
        <v>0</v>
      </c>
      <c r="O450" s="47">
        <f t="shared" ca="1" si="133"/>
        <v>0</v>
      </c>
      <c r="P450">
        <f ca="1">Inputs!B14+(Inputs!D14-Inputs!B14)*BETAINV(RAND(),Model!H8,Model!I8)</f>
        <v>0.31165980202594745</v>
      </c>
      <c r="Q450">
        <f ca="1">Inputs!E14+(Inputs!G14-Inputs!E14)*BETAINV(RAND(),Model!J8,Model!K8)</f>
        <v>0.61796443479763263</v>
      </c>
      <c r="R450">
        <f ca="1">(Inputs!H14+(Inputs!J14-Inputs!H14)*BETAINV(RAND(),Model!L8,Model!M8))*Inputs!$C$6</f>
        <v>278992.03539131541</v>
      </c>
      <c r="S450">
        <f t="shared" ca="1" si="134"/>
        <v>0.19259467340810671</v>
      </c>
      <c r="T450">
        <f t="shared" ca="1" si="135"/>
        <v>0.80295037945069803</v>
      </c>
      <c r="U450">
        <f t="shared" ca="1" si="136"/>
        <v>0</v>
      </c>
      <c r="V450" s="47">
        <f t="shared" ca="1" si="137"/>
        <v>0</v>
      </c>
      <c r="W450">
        <f ca="1">Inputs!B15+(Inputs!D15-Inputs!B15)*BETAINV(RAND(),Model!H9,Model!I9)</f>
        <v>2.2790463915259065</v>
      </c>
      <c r="X450">
        <f ca="1">Inputs!E15+(Inputs!G15-Inputs!E15)*BETAINV(RAND(),Model!J9,Model!K9)</f>
        <v>0.32518087401339701</v>
      </c>
      <c r="Y450">
        <f ca="1">(Inputs!H15+(Inputs!J15-Inputs!H15)*BETAINV(RAND(),Model!L9,Model!M9))*Inputs!$C$6</f>
        <v>51342.822923615175</v>
      </c>
      <c r="Z450">
        <f t="shared" ca="1" si="138"/>
        <v>0.7411022975134729</v>
      </c>
      <c r="AA450">
        <f t="shared" ca="1" si="139"/>
        <v>0.11316458078294178</v>
      </c>
      <c r="AB450">
        <f t="shared" ca="1" si="140"/>
        <v>0</v>
      </c>
      <c r="AC450" s="47">
        <f t="shared" ca="1" si="141"/>
        <v>0</v>
      </c>
      <c r="AD450">
        <f ca="1">Inputs!B16+(Inputs!D16-Inputs!B16)*BETAINV(RAND(),Model!H10,Model!I10)</f>
        <v>0.65116323324177017</v>
      </c>
      <c r="AE450">
        <f ca="1">Inputs!E16+(Inputs!G16-Inputs!E16)*BETAINV(RAND(),Model!J10,Model!K10)</f>
        <v>0.49933717613892581</v>
      </c>
      <c r="AF450">
        <f ca="1">(Inputs!H16+(Inputs!J16-Inputs!H16)*BETAINV(RAND(),Model!L10,Model!M10))*Inputs!$C$6</f>
        <v>161074.90412049636</v>
      </c>
      <c r="AG450">
        <f t="shared" ca="1" si="142"/>
        <v>0.32515001009243821</v>
      </c>
      <c r="AH450">
        <f t="shared" ca="1" si="143"/>
        <v>0.56005500443065359</v>
      </c>
      <c r="AI450">
        <f t="shared" ca="1" si="144"/>
        <v>0</v>
      </c>
      <c r="AJ450" s="47">
        <f t="shared" ca="1" si="145"/>
        <v>0</v>
      </c>
      <c r="AK450">
        <f t="shared" ca="1" si="146"/>
        <v>11436.871636237067</v>
      </c>
    </row>
    <row r="451" spans="2:37" x14ac:dyDescent="0.2">
      <c r="B451">
        <f ca="1">Inputs!B12+(Inputs!D12-Inputs!B12)*BETAINV(RAND(),Model!H6,Model!I6)</f>
        <v>3.3971694153705672</v>
      </c>
      <c r="C451">
        <f ca="1">Inputs!E12+(Inputs!G12-Inputs!E12)*BETAINV(RAND(),Model!J6,Model!K6)</f>
        <v>0.34414122344680365</v>
      </c>
      <c r="D451">
        <f ca="1">(Inputs!H12+(Inputs!J12-Inputs!H12)*BETAINV(RAND(),Model!L6,Model!M6))*Inputs!$C$6</f>
        <v>25707.12424583151</v>
      </c>
      <c r="E451">
        <f t="shared" ca="1" si="126"/>
        <v>1.1691060388616896</v>
      </c>
      <c r="F451">
        <f t="shared" ca="1" si="127"/>
        <v>0.34077716268789993</v>
      </c>
      <c r="G451">
        <f t="shared" ca="1" si="128"/>
        <v>1</v>
      </c>
      <c r="H451" s="47">
        <f t="shared" ca="1" si="129"/>
        <v>25707.12424583151</v>
      </c>
      <c r="I451">
        <f ca="1">Inputs!B13+(Inputs!D13-Inputs!B13)*BETAINV(RAND(),Model!H7,Model!I7)</f>
        <v>1.5722039942498029</v>
      </c>
      <c r="J451">
        <f ca="1">Inputs!E13+(Inputs!G13-Inputs!E13)*BETAINV(RAND(),Model!J7,Model!K7)</f>
        <v>0.28798097367274456</v>
      </c>
      <c r="K451">
        <f ca="1">(Inputs!H13+(Inputs!J13-Inputs!H13)*BETAINV(RAND(),Model!L7,Model!M7))*Inputs!$C$6</f>
        <v>24019.952380154056</v>
      </c>
      <c r="L451">
        <f t="shared" ca="1" si="130"/>
        <v>0.45276483707623633</v>
      </c>
      <c r="M451">
        <f t="shared" ca="1" si="131"/>
        <v>0.82383048562733385</v>
      </c>
      <c r="N451">
        <f t="shared" ca="1" si="132"/>
        <v>1</v>
      </c>
      <c r="O451" s="47">
        <f t="shared" ca="1" si="133"/>
        <v>24019.952380154056</v>
      </c>
      <c r="P451">
        <f ca="1">Inputs!B14+(Inputs!D14-Inputs!B14)*BETAINV(RAND(),Model!H8,Model!I8)</f>
        <v>0.31707660566645612</v>
      </c>
      <c r="Q451">
        <f ca="1">Inputs!E14+(Inputs!G14-Inputs!E14)*BETAINV(RAND(),Model!J8,Model!K8)</f>
        <v>0.6695230528569599</v>
      </c>
      <c r="R451">
        <f ca="1">(Inputs!H14+(Inputs!J14-Inputs!H14)*BETAINV(RAND(),Model!L8,Model!M8))*Inputs!$C$6</f>
        <v>300671.00793475664</v>
      </c>
      <c r="S451">
        <f t="shared" ca="1" si="134"/>
        <v>0.21229009701532814</v>
      </c>
      <c r="T451">
        <f t="shared" ca="1" si="135"/>
        <v>0.57659076055804648</v>
      </c>
      <c r="U451">
        <f t="shared" ca="1" si="136"/>
        <v>0</v>
      </c>
      <c r="V451" s="47">
        <f t="shared" ca="1" si="137"/>
        <v>0</v>
      </c>
      <c r="W451">
        <f ca="1">Inputs!B15+(Inputs!D15-Inputs!B15)*BETAINV(RAND(),Model!H9,Model!I9)</f>
        <v>1.264182766913692</v>
      </c>
      <c r="X451">
        <f ca="1">Inputs!E15+(Inputs!G15-Inputs!E15)*BETAINV(RAND(),Model!J9,Model!K9)</f>
        <v>0.46562023050214851</v>
      </c>
      <c r="Y451">
        <f ca="1">(Inputs!H15+(Inputs!J15-Inputs!H15)*BETAINV(RAND(),Model!L9,Model!M9))*Inputs!$C$6</f>
        <v>40999.656298596579</v>
      </c>
      <c r="Z451">
        <f t="shared" ca="1" si="138"/>
        <v>0.58862907132719722</v>
      </c>
      <c r="AA451">
        <f t="shared" ca="1" si="139"/>
        <v>0.18105250801496686</v>
      </c>
      <c r="AB451">
        <f t="shared" ca="1" si="140"/>
        <v>0</v>
      </c>
      <c r="AC451" s="47">
        <f t="shared" ca="1" si="141"/>
        <v>0</v>
      </c>
      <c r="AD451">
        <f ca="1">Inputs!B16+(Inputs!D16-Inputs!B16)*BETAINV(RAND(),Model!H10,Model!I10)</f>
        <v>0.56038270835573467</v>
      </c>
      <c r="AE451">
        <f ca="1">Inputs!E16+(Inputs!G16-Inputs!E16)*BETAINV(RAND(),Model!J10,Model!K10)</f>
        <v>0.50478213207032385</v>
      </c>
      <c r="AF451">
        <f ca="1">(Inputs!H16+(Inputs!J16-Inputs!H16)*BETAINV(RAND(),Model!L10,Model!M10))*Inputs!$C$6</f>
        <v>114401.6762450059</v>
      </c>
      <c r="AG451">
        <f t="shared" ca="1" si="142"/>
        <v>0.28287117829915021</v>
      </c>
      <c r="AH451">
        <f t="shared" ca="1" si="143"/>
        <v>0.3542769650085581</v>
      </c>
      <c r="AI451">
        <f t="shared" ca="1" si="144"/>
        <v>0</v>
      </c>
      <c r="AJ451" s="47">
        <f t="shared" ca="1" si="145"/>
        <v>0</v>
      </c>
      <c r="AK451">
        <f t="shared" ca="1" si="146"/>
        <v>49727.076625985566</v>
      </c>
    </row>
    <row r="452" spans="2:37" x14ac:dyDescent="0.2">
      <c r="B452">
        <f ca="1">Inputs!B12+(Inputs!D12-Inputs!B12)*BETAINV(RAND(),Model!H6,Model!I6)</f>
        <v>3.8727483772481794</v>
      </c>
      <c r="C452">
        <f ca="1">Inputs!E12+(Inputs!G12-Inputs!E12)*BETAINV(RAND(),Model!J6,Model!K6)</f>
        <v>0.41661582986186541</v>
      </c>
      <c r="D452">
        <f ca="1">(Inputs!H12+(Inputs!J12-Inputs!H12)*BETAINV(RAND(),Model!L6,Model!M6))*Inputs!$C$6</f>
        <v>39759.536550669662</v>
      </c>
      <c r="E452">
        <f t="shared" ca="1" si="126"/>
        <v>1.6134482790334428</v>
      </c>
      <c r="F452">
        <f t="shared" ca="1" si="127"/>
        <v>0.80734250227973681</v>
      </c>
      <c r="G452">
        <f t="shared" ca="1" si="128"/>
        <v>3</v>
      </c>
      <c r="H452" s="47">
        <f t="shared" ca="1" si="129"/>
        <v>119278.60965200898</v>
      </c>
      <c r="I452">
        <f ca="1">Inputs!B13+(Inputs!D13-Inputs!B13)*BETAINV(RAND(),Model!H7,Model!I7)</f>
        <v>0.98475927056961332</v>
      </c>
      <c r="J452">
        <f ca="1">Inputs!E13+(Inputs!G13-Inputs!E13)*BETAINV(RAND(),Model!J7,Model!K7)</f>
        <v>0.16108054128969024</v>
      </c>
      <c r="K452">
        <f ca="1">(Inputs!H13+(Inputs!J13-Inputs!H13)*BETAINV(RAND(),Model!L7,Model!M7))*Inputs!$C$6</f>
        <v>66028.1694965161</v>
      </c>
      <c r="L452">
        <f t="shared" ca="1" si="130"/>
        <v>0.15862555634339384</v>
      </c>
      <c r="M452">
        <f t="shared" ca="1" si="131"/>
        <v>0.18214955444598135</v>
      </c>
      <c r="N452">
        <f t="shared" ca="1" si="132"/>
        <v>0</v>
      </c>
      <c r="O452" s="47">
        <f t="shared" ca="1" si="133"/>
        <v>0</v>
      </c>
      <c r="P452">
        <f ca="1">Inputs!B14+(Inputs!D14-Inputs!B14)*BETAINV(RAND(),Model!H8,Model!I8)</f>
        <v>0.34315878892466789</v>
      </c>
      <c r="Q452">
        <f ca="1">Inputs!E14+(Inputs!G14-Inputs!E14)*BETAINV(RAND(),Model!J8,Model!K8)</f>
        <v>0.4143117214761694</v>
      </c>
      <c r="R452">
        <f ca="1">(Inputs!H14+(Inputs!J14-Inputs!H14)*BETAINV(RAND(),Model!L8,Model!M8))*Inputs!$C$6</f>
        <v>481471.99983947235</v>
      </c>
      <c r="S452">
        <f t="shared" ca="1" si="134"/>
        <v>0.14217470857905662</v>
      </c>
      <c r="T452">
        <f t="shared" ca="1" si="135"/>
        <v>0.84707372845503681</v>
      </c>
      <c r="U452">
        <f t="shared" ca="1" si="136"/>
        <v>0</v>
      </c>
      <c r="V452" s="47">
        <f t="shared" ca="1" si="137"/>
        <v>0</v>
      </c>
      <c r="W452">
        <f ca="1">Inputs!B15+(Inputs!D15-Inputs!B15)*BETAINV(RAND(),Model!H9,Model!I9)</f>
        <v>1.233811663183668</v>
      </c>
      <c r="X452">
        <f ca="1">Inputs!E15+(Inputs!G15-Inputs!E15)*BETAINV(RAND(),Model!J9,Model!K9)</f>
        <v>0.2632986078059314</v>
      </c>
      <c r="Y452">
        <f ca="1">(Inputs!H15+(Inputs!J15-Inputs!H15)*BETAINV(RAND(),Model!L9,Model!M9))*Inputs!$C$6</f>
        <v>23179.197793341202</v>
      </c>
      <c r="Z452">
        <f t="shared" ca="1" si="138"/>
        <v>0.32486089321098049</v>
      </c>
      <c r="AA452">
        <f t="shared" ca="1" si="139"/>
        <v>0.45221305880107199</v>
      </c>
      <c r="AB452">
        <f t="shared" ca="1" si="140"/>
        <v>0</v>
      </c>
      <c r="AC452" s="47">
        <f t="shared" ca="1" si="141"/>
        <v>0</v>
      </c>
      <c r="AD452">
        <f ca="1">Inputs!B16+(Inputs!D16-Inputs!B16)*BETAINV(RAND(),Model!H10,Model!I10)</f>
        <v>0.74659183552708575</v>
      </c>
      <c r="AE452">
        <f ca="1">Inputs!E16+(Inputs!G16-Inputs!E16)*BETAINV(RAND(),Model!J10,Model!K10)</f>
        <v>0.69183846702132756</v>
      </c>
      <c r="AF452">
        <f ca="1">(Inputs!H16+(Inputs!J16-Inputs!H16)*BETAINV(RAND(),Model!L10,Model!M10))*Inputs!$C$6</f>
        <v>51235.622135344252</v>
      </c>
      <c r="AG452">
        <f t="shared" ca="1" si="142"/>
        <v>0.51652095098169815</v>
      </c>
      <c r="AH452">
        <f t="shared" ca="1" si="143"/>
        <v>7.5934266777759163E-2</v>
      </c>
      <c r="AI452">
        <f t="shared" ca="1" si="144"/>
        <v>0</v>
      </c>
      <c r="AJ452" s="47">
        <f t="shared" ca="1" si="145"/>
        <v>0</v>
      </c>
      <c r="AK452">
        <f t="shared" ca="1" si="146"/>
        <v>119278.60965200898</v>
      </c>
    </row>
    <row r="453" spans="2:37" x14ac:dyDescent="0.2">
      <c r="B453">
        <f ca="1">Inputs!B12+(Inputs!D12-Inputs!B12)*BETAINV(RAND(),Model!H6,Model!I6)</f>
        <v>4.2848472583577761</v>
      </c>
      <c r="C453">
        <f ca="1">Inputs!E12+(Inputs!G12-Inputs!E12)*BETAINV(RAND(),Model!J6,Model!K6)</f>
        <v>0.31648241068072258</v>
      </c>
      <c r="D453">
        <f ca="1">(Inputs!H12+(Inputs!J12-Inputs!H12)*BETAINV(RAND(),Model!L6,Model!M6))*Inputs!$C$6</f>
        <v>39656.695023730324</v>
      </c>
      <c r="E453">
        <f t="shared" ca="1" si="126"/>
        <v>1.3560787897237538</v>
      </c>
      <c r="F453">
        <f t="shared" ca="1" si="127"/>
        <v>0.51108657938124602</v>
      </c>
      <c r="G453">
        <f t="shared" ca="1" si="128"/>
        <v>1</v>
      </c>
      <c r="H453" s="47">
        <f t="shared" ca="1" si="129"/>
        <v>39656.695023730324</v>
      </c>
      <c r="I453">
        <f ca="1">Inputs!B13+(Inputs!D13-Inputs!B13)*BETAINV(RAND(),Model!H7,Model!I7)</f>
        <v>2.8883728702309632</v>
      </c>
      <c r="J453">
        <f ca="1">Inputs!E13+(Inputs!G13-Inputs!E13)*BETAINV(RAND(),Model!J7,Model!K7)</f>
        <v>0.20273258272629549</v>
      </c>
      <c r="K453">
        <f ca="1">(Inputs!H13+(Inputs!J13-Inputs!H13)*BETAINV(RAND(),Model!L7,Model!M7))*Inputs!$C$6</f>
        <v>22270.5315134021</v>
      </c>
      <c r="L453">
        <f t="shared" ca="1" si="130"/>
        <v>0.58556729185848633</v>
      </c>
      <c r="M453">
        <f t="shared" ca="1" si="131"/>
        <v>0.59296055498324418</v>
      </c>
      <c r="N453">
        <f t="shared" ca="1" si="132"/>
        <v>1</v>
      </c>
      <c r="O453" s="47">
        <f t="shared" ca="1" si="133"/>
        <v>22270.5315134021</v>
      </c>
      <c r="P453">
        <f ca="1">Inputs!B14+(Inputs!D14-Inputs!B14)*BETAINV(RAND(),Model!H8,Model!I8)</f>
        <v>0.23882507550531262</v>
      </c>
      <c r="Q453">
        <f ca="1">Inputs!E14+(Inputs!G14-Inputs!E14)*BETAINV(RAND(),Model!J8,Model!K8)</f>
        <v>0.56339502635730754</v>
      </c>
      <c r="R453">
        <f ca="1">(Inputs!H14+(Inputs!J14-Inputs!H14)*BETAINV(RAND(),Model!L8,Model!M8))*Inputs!$C$6</f>
        <v>223280.66161313947</v>
      </c>
      <c r="S453">
        <f t="shared" ca="1" si="134"/>
        <v>0.13455285970910158</v>
      </c>
      <c r="T453">
        <f t="shared" ca="1" si="135"/>
        <v>0.82439698701930553</v>
      </c>
      <c r="U453">
        <f t="shared" ca="1" si="136"/>
        <v>0</v>
      </c>
      <c r="V453" s="47">
        <f t="shared" ca="1" si="137"/>
        <v>0</v>
      </c>
      <c r="W453">
        <f ca="1">Inputs!B15+(Inputs!D15-Inputs!B15)*BETAINV(RAND(),Model!H9,Model!I9)</f>
        <v>0.67173181537530202</v>
      </c>
      <c r="X453">
        <f ca="1">Inputs!E15+(Inputs!G15-Inputs!E15)*BETAINV(RAND(),Model!J9,Model!K9)</f>
        <v>0.30535798577343526</v>
      </c>
      <c r="Y453">
        <f ca="1">(Inputs!H15+(Inputs!J15-Inputs!H15)*BETAINV(RAND(),Model!L9,Model!M9))*Inputs!$C$6</f>
        <v>33478.28176228753</v>
      </c>
      <c r="Z453">
        <f t="shared" ca="1" si="138"/>
        <v>0.2051186741229353</v>
      </c>
      <c r="AA453">
        <f t="shared" ca="1" si="139"/>
        <v>0.76623916102999345</v>
      </c>
      <c r="AB453">
        <f t="shared" ca="1" si="140"/>
        <v>0</v>
      </c>
      <c r="AC453" s="47">
        <f t="shared" ca="1" si="141"/>
        <v>0</v>
      </c>
      <c r="AD453">
        <f ca="1">Inputs!B16+(Inputs!D16-Inputs!B16)*BETAINV(RAND(),Model!H10,Model!I10)</f>
        <v>0.54821387537799882</v>
      </c>
      <c r="AE453">
        <f ca="1">Inputs!E16+(Inputs!G16-Inputs!E16)*BETAINV(RAND(),Model!J10,Model!K10)</f>
        <v>0.51652064543344223</v>
      </c>
      <c r="AF453">
        <f ca="1">(Inputs!H16+(Inputs!J16-Inputs!H16)*BETAINV(RAND(),Model!L10,Model!M10))*Inputs!$C$6</f>
        <v>75815.689561850959</v>
      </c>
      <c r="AG453">
        <f t="shared" ca="1" si="142"/>
        <v>0.28316378474581261</v>
      </c>
      <c r="AH453">
        <f t="shared" ca="1" si="143"/>
        <v>0.91789030474908817</v>
      </c>
      <c r="AI453">
        <f t="shared" ca="1" si="144"/>
        <v>1</v>
      </c>
      <c r="AJ453" s="47">
        <f t="shared" ca="1" si="145"/>
        <v>75815.689561850959</v>
      </c>
      <c r="AK453">
        <f t="shared" ca="1" si="146"/>
        <v>137742.91609898338</v>
      </c>
    </row>
    <row r="454" spans="2:37" x14ac:dyDescent="0.2">
      <c r="B454">
        <f ca="1">Inputs!B12+(Inputs!D12-Inputs!B12)*BETAINV(RAND(),Model!H6,Model!I6)</f>
        <v>2.7330484170545626</v>
      </c>
      <c r="C454">
        <f ca="1">Inputs!E12+(Inputs!G12-Inputs!E12)*BETAINV(RAND(),Model!J6,Model!K6)</f>
        <v>0.26532099650459962</v>
      </c>
      <c r="D454">
        <f ca="1">(Inputs!H12+(Inputs!J12-Inputs!H12)*BETAINV(RAND(),Model!L6,Model!M6))*Inputs!$C$6</f>
        <v>31260.80157189658</v>
      </c>
      <c r="E454">
        <f t="shared" ca="1" si="126"/>
        <v>0.72513512950823511</v>
      </c>
      <c r="F454">
        <f t="shared" ca="1" si="127"/>
        <v>0.89607710339464808</v>
      </c>
      <c r="G454">
        <f t="shared" ca="1" si="128"/>
        <v>2</v>
      </c>
      <c r="H454" s="47">
        <f t="shared" ca="1" si="129"/>
        <v>62521.60314379316</v>
      </c>
      <c r="I454">
        <f ca="1">Inputs!B13+(Inputs!D13-Inputs!B13)*BETAINV(RAND(),Model!H7,Model!I7)</f>
        <v>3.7143370323664748</v>
      </c>
      <c r="J454">
        <f ca="1">Inputs!E13+(Inputs!G13-Inputs!E13)*BETAINV(RAND(),Model!J7,Model!K7)</f>
        <v>0.34559627685439065</v>
      </c>
      <c r="K454">
        <f ca="1">(Inputs!H13+(Inputs!J13-Inputs!H13)*BETAINV(RAND(),Model!L7,Model!M7))*Inputs!$C$6</f>
        <v>33228.468471153785</v>
      </c>
      <c r="L454">
        <f t="shared" ca="1" si="130"/>
        <v>1.2836610493682401</v>
      </c>
      <c r="M454">
        <f t="shared" ca="1" si="131"/>
        <v>0.58567306987260126</v>
      </c>
      <c r="N454">
        <f t="shared" ca="1" si="132"/>
        <v>1</v>
      </c>
      <c r="O454" s="47">
        <f t="shared" ca="1" si="133"/>
        <v>33228.468471153785</v>
      </c>
      <c r="P454">
        <f ca="1">Inputs!B14+(Inputs!D14-Inputs!B14)*BETAINV(RAND(),Model!H8,Model!I8)</f>
        <v>0.44300452998221052</v>
      </c>
      <c r="Q454">
        <f ca="1">Inputs!E14+(Inputs!G14-Inputs!E14)*BETAINV(RAND(),Model!J8,Model!K8)</f>
        <v>0.46621042118068751</v>
      </c>
      <c r="R454">
        <f ca="1">(Inputs!H14+(Inputs!J14-Inputs!H14)*BETAINV(RAND(),Model!L8,Model!M8))*Inputs!$C$6</f>
        <v>216924.690114909</v>
      </c>
      <c r="S454">
        <f t="shared" ca="1" si="134"/>
        <v>0.20653332850795886</v>
      </c>
      <c r="T454">
        <f t="shared" ca="1" si="135"/>
        <v>0.34033424537704116</v>
      </c>
      <c r="U454">
        <f t="shared" ca="1" si="136"/>
        <v>0</v>
      </c>
      <c r="V454" s="47">
        <f t="shared" ca="1" si="137"/>
        <v>0</v>
      </c>
      <c r="W454">
        <f ca="1">Inputs!B15+(Inputs!D15-Inputs!B15)*BETAINV(RAND(),Model!H9,Model!I9)</f>
        <v>0.93953939994112368</v>
      </c>
      <c r="X454">
        <f ca="1">Inputs!E15+(Inputs!G15-Inputs!E15)*BETAINV(RAND(),Model!J9,Model!K9)</f>
        <v>0.29522520372494643</v>
      </c>
      <c r="Y454">
        <f ca="1">(Inputs!H15+(Inputs!J15-Inputs!H15)*BETAINV(RAND(),Model!L9,Model!M9))*Inputs!$C$6</f>
        <v>41562.932337908256</v>
      </c>
      <c r="Z454">
        <f t="shared" ca="1" si="138"/>
        <v>0.27737571075523215</v>
      </c>
      <c r="AA454">
        <f t="shared" ca="1" si="139"/>
        <v>0.78644987122323096</v>
      </c>
      <c r="AB454">
        <f t="shared" ca="1" si="140"/>
        <v>1</v>
      </c>
      <c r="AC454" s="47">
        <f t="shared" ca="1" si="141"/>
        <v>41562.932337908256</v>
      </c>
      <c r="AD454">
        <f ca="1">Inputs!B16+(Inputs!D16-Inputs!B16)*BETAINV(RAND(),Model!H10,Model!I10)</f>
        <v>0.82776757673712331</v>
      </c>
      <c r="AE454">
        <f ca="1">Inputs!E16+(Inputs!G16-Inputs!E16)*BETAINV(RAND(),Model!J10,Model!K10)</f>
        <v>0.58670357981540655</v>
      </c>
      <c r="AF454">
        <f ca="1">(Inputs!H16+(Inputs!J16-Inputs!H16)*BETAINV(RAND(),Model!L10,Model!M10))*Inputs!$C$6</f>
        <v>63789.708602769664</v>
      </c>
      <c r="AG454">
        <f t="shared" ca="1" si="142"/>
        <v>0.48565420052679448</v>
      </c>
      <c r="AH454">
        <f t="shared" ca="1" si="143"/>
        <v>0.33523668251141947</v>
      </c>
      <c r="AI454">
        <f t="shared" ca="1" si="144"/>
        <v>0</v>
      </c>
      <c r="AJ454" s="47">
        <f t="shared" ca="1" si="145"/>
        <v>0</v>
      </c>
      <c r="AK454">
        <f t="shared" ca="1" si="146"/>
        <v>137313.00395285519</v>
      </c>
    </row>
    <row r="455" spans="2:37" x14ac:dyDescent="0.2">
      <c r="B455">
        <f ca="1">Inputs!B12+(Inputs!D12-Inputs!B12)*BETAINV(RAND(),Model!H6,Model!I6)</f>
        <v>5.973997256518591</v>
      </c>
      <c r="C455">
        <f ca="1">Inputs!E12+(Inputs!G12-Inputs!E12)*BETAINV(RAND(),Model!J6,Model!K6)</f>
        <v>0.27410408267274894</v>
      </c>
      <c r="D455">
        <f ca="1">(Inputs!H12+(Inputs!J12-Inputs!H12)*BETAINV(RAND(),Model!L6,Model!M6))*Inputs!$C$6</f>
        <v>16031.577814703727</v>
      </c>
      <c r="E455">
        <f t="shared" ca="1" si="126"/>
        <v>1.6374970378875473</v>
      </c>
      <c r="F455">
        <f t="shared" ca="1" si="127"/>
        <v>0.63023126026024767</v>
      </c>
      <c r="G455">
        <f t="shared" ca="1" si="128"/>
        <v>2</v>
      </c>
      <c r="H455" s="47">
        <f t="shared" ca="1" si="129"/>
        <v>32063.155629407454</v>
      </c>
      <c r="I455">
        <f ca="1">Inputs!B13+(Inputs!D13-Inputs!B13)*BETAINV(RAND(),Model!H7,Model!I7)</f>
        <v>3.6384759734314867</v>
      </c>
      <c r="J455">
        <f ca="1">Inputs!E13+(Inputs!G13-Inputs!E13)*BETAINV(RAND(),Model!J7,Model!K7)</f>
        <v>0.27419625043801632</v>
      </c>
      <c r="K455">
        <f ca="1">(Inputs!H13+(Inputs!J13-Inputs!H13)*BETAINV(RAND(),Model!L7,Model!M7))*Inputs!$C$6</f>
        <v>39206.226412780125</v>
      </c>
      <c r="L455">
        <f t="shared" ca="1" si="130"/>
        <v>0.99765646922372508</v>
      </c>
      <c r="M455">
        <f t="shared" ca="1" si="131"/>
        <v>0.50419958088872163</v>
      </c>
      <c r="N455">
        <f t="shared" ca="1" si="132"/>
        <v>1</v>
      </c>
      <c r="O455" s="47">
        <f t="shared" ca="1" si="133"/>
        <v>39206.226412780125</v>
      </c>
      <c r="P455">
        <f ca="1">Inputs!B14+(Inputs!D14-Inputs!B14)*BETAINV(RAND(),Model!H8,Model!I8)</f>
        <v>0.45416165891930738</v>
      </c>
      <c r="Q455">
        <f ca="1">Inputs!E14+(Inputs!G14-Inputs!E14)*BETAINV(RAND(),Model!J8,Model!K8)</f>
        <v>0.57763711998649236</v>
      </c>
      <c r="R455">
        <f ca="1">(Inputs!H14+(Inputs!J14-Inputs!H14)*BETAINV(RAND(),Model!L8,Model!M8))*Inputs!$C$6</f>
        <v>361401.13906043279</v>
      </c>
      <c r="S455">
        <f t="shared" ca="1" si="134"/>
        <v>0.26234063266643637</v>
      </c>
      <c r="T455">
        <f t="shared" ca="1" si="135"/>
        <v>0.22007317010624572</v>
      </c>
      <c r="U455">
        <f t="shared" ca="1" si="136"/>
        <v>0</v>
      </c>
      <c r="V455" s="47">
        <f t="shared" ca="1" si="137"/>
        <v>0</v>
      </c>
      <c r="W455">
        <f ca="1">Inputs!B15+(Inputs!D15-Inputs!B15)*BETAINV(RAND(),Model!H9,Model!I9)</f>
        <v>1.0546666643319353</v>
      </c>
      <c r="X455">
        <f ca="1">Inputs!E15+(Inputs!G15-Inputs!E15)*BETAINV(RAND(),Model!J9,Model!K9)</f>
        <v>0.59487374510783453</v>
      </c>
      <c r="Y455">
        <f ca="1">(Inputs!H15+(Inputs!J15-Inputs!H15)*BETAINV(RAND(),Model!L9,Model!M9))*Inputs!$C$6</f>
        <v>16675.392309592713</v>
      </c>
      <c r="Z455">
        <f t="shared" ca="1" si="138"/>
        <v>0.62739350845152575</v>
      </c>
      <c r="AA455">
        <f t="shared" ca="1" si="139"/>
        <v>0.42058366888870524</v>
      </c>
      <c r="AB455">
        <f t="shared" ca="1" si="140"/>
        <v>0</v>
      </c>
      <c r="AC455" s="47">
        <f t="shared" ca="1" si="141"/>
        <v>0</v>
      </c>
      <c r="AD455">
        <f ca="1">Inputs!B16+(Inputs!D16-Inputs!B16)*BETAINV(RAND(),Model!H10,Model!I10)</f>
        <v>0.52158972717323615</v>
      </c>
      <c r="AE455">
        <f ca="1">Inputs!E16+(Inputs!G16-Inputs!E16)*BETAINV(RAND(),Model!J10,Model!K10)</f>
        <v>0.60978000008300981</v>
      </c>
      <c r="AF455">
        <f ca="1">(Inputs!H16+(Inputs!J16-Inputs!H16)*BETAINV(RAND(),Model!L10,Model!M10))*Inputs!$C$6</f>
        <v>94579.306155949918</v>
      </c>
      <c r="AG455">
        <f t="shared" ca="1" si="142"/>
        <v>0.318054983878993</v>
      </c>
      <c r="AH455">
        <f t="shared" ca="1" si="143"/>
        <v>5.4449024772186716E-2</v>
      </c>
      <c r="AI455">
        <f t="shared" ca="1" si="144"/>
        <v>0</v>
      </c>
      <c r="AJ455" s="47">
        <f t="shared" ca="1" si="145"/>
        <v>0</v>
      </c>
      <c r="AK455">
        <f t="shared" ca="1" si="146"/>
        <v>71269.382042187586</v>
      </c>
    </row>
    <row r="456" spans="2:37" x14ac:dyDescent="0.2">
      <c r="B456">
        <f ca="1">Inputs!B12+(Inputs!D12-Inputs!B12)*BETAINV(RAND(),Model!H6,Model!I6)</f>
        <v>3.9759687639196173</v>
      </c>
      <c r="C456">
        <f ca="1">Inputs!E12+(Inputs!G12-Inputs!E12)*BETAINV(RAND(),Model!J6,Model!K6)</f>
        <v>0.23347620216857448</v>
      </c>
      <c r="D456">
        <f ca="1">(Inputs!H12+(Inputs!J12-Inputs!H12)*BETAINV(RAND(),Model!L6,Model!M6))*Inputs!$C$6</f>
        <v>57693.968973950323</v>
      </c>
      <c r="E456">
        <f t="shared" ca="1" si="126"/>
        <v>0.92829408694083371</v>
      </c>
      <c r="F456">
        <f t="shared" ca="1" si="127"/>
        <v>0.37860719124765652</v>
      </c>
      <c r="G456">
        <f t="shared" ca="1" si="128"/>
        <v>0</v>
      </c>
      <c r="H456" s="47">
        <f t="shared" ca="1" si="129"/>
        <v>0</v>
      </c>
      <c r="I456">
        <f ca="1">Inputs!B13+(Inputs!D13-Inputs!B13)*BETAINV(RAND(),Model!H7,Model!I7)</f>
        <v>1.8354808123421464</v>
      </c>
      <c r="J456">
        <f ca="1">Inputs!E13+(Inputs!G13-Inputs!E13)*BETAINV(RAND(),Model!J7,Model!K7)</f>
        <v>0.27874338048287972</v>
      </c>
      <c r="K456">
        <f ca="1">(Inputs!H13+(Inputs!J13-Inputs!H13)*BETAINV(RAND(),Model!L7,Model!M7))*Inputs!$C$6</f>
        <v>28101.812264102966</v>
      </c>
      <c r="L456">
        <f t="shared" ca="1" si="130"/>
        <v>0.51162812644371203</v>
      </c>
      <c r="M456">
        <f t="shared" ca="1" si="131"/>
        <v>0.63488104693594782</v>
      </c>
      <c r="N456">
        <f t="shared" ca="1" si="132"/>
        <v>1</v>
      </c>
      <c r="O456" s="47">
        <f t="shared" ca="1" si="133"/>
        <v>28101.812264102966</v>
      </c>
      <c r="P456">
        <f ca="1">Inputs!B14+(Inputs!D14-Inputs!B14)*BETAINV(RAND(),Model!H8,Model!I8)</f>
        <v>0.13137807112466676</v>
      </c>
      <c r="Q456">
        <f ca="1">Inputs!E14+(Inputs!G14-Inputs!E14)*BETAINV(RAND(),Model!J8,Model!K8)</f>
        <v>0.63243407501609328</v>
      </c>
      <c r="R456">
        <f ca="1">(Inputs!H14+(Inputs!J14-Inputs!H14)*BETAINV(RAND(),Model!L8,Model!M8))*Inputs!$C$6</f>
        <v>293985.19880538038</v>
      </c>
      <c r="S456">
        <f t="shared" ca="1" si="134"/>
        <v>8.3087968889127131E-2</v>
      </c>
      <c r="T456">
        <f t="shared" ca="1" si="135"/>
        <v>0.55701725210104691</v>
      </c>
      <c r="U456">
        <f t="shared" ca="1" si="136"/>
        <v>0</v>
      </c>
      <c r="V456" s="47">
        <f t="shared" ca="1" si="137"/>
        <v>0</v>
      </c>
      <c r="W456">
        <f ca="1">Inputs!B15+(Inputs!D15-Inputs!B15)*BETAINV(RAND(),Model!H9,Model!I9)</f>
        <v>0.9186061316840235</v>
      </c>
      <c r="X456">
        <f ca="1">Inputs!E15+(Inputs!G15-Inputs!E15)*BETAINV(RAND(),Model!J9,Model!K9)</f>
        <v>0.53914805671081167</v>
      </c>
      <c r="Y456">
        <f ca="1">(Inputs!H15+(Inputs!J15-Inputs!H15)*BETAINV(RAND(),Model!L9,Model!M9))*Inputs!$C$6</f>
        <v>40066.562255749406</v>
      </c>
      <c r="Z456">
        <f t="shared" ca="1" si="138"/>
        <v>0.49526471078007722</v>
      </c>
      <c r="AA456">
        <f t="shared" ca="1" si="139"/>
        <v>0.16320905400965457</v>
      </c>
      <c r="AB456">
        <f t="shared" ca="1" si="140"/>
        <v>0</v>
      </c>
      <c r="AC456" s="47">
        <f t="shared" ca="1" si="141"/>
        <v>0</v>
      </c>
      <c r="AD456">
        <f ca="1">Inputs!B16+(Inputs!D16-Inputs!B16)*BETAINV(RAND(),Model!H10,Model!I10)</f>
        <v>0.74513955610314109</v>
      </c>
      <c r="AE456">
        <f ca="1">Inputs!E16+(Inputs!G16-Inputs!E16)*BETAINV(RAND(),Model!J10,Model!K10)</f>
        <v>0.631347281860275</v>
      </c>
      <c r="AF456">
        <f ca="1">(Inputs!H16+(Inputs!J16-Inputs!H16)*BETAINV(RAND(),Model!L10,Model!M10))*Inputs!$C$6</f>
        <v>100980.08937675699</v>
      </c>
      <c r="AG456">
        <f t="shared" ca="1" si="142"/>
        <v>0.47044183335229001</v>
      </c>
      <c r="AH456">
        <f t="shared" ca="1" si="143"/>
        <v>0.33421463960019371</v>
      </c>
      <c r="AI456">
        <f t="shared" ca="1" si="144"/>
        <v>0</v>
      </c>
      <c r="AJ456" s="47">
        <f t="shared" ca="1" si="145"/>
        <v>0</v>
      </c>
      <c r="AK456">
        <f t="shared" ca="1" si="146"/>
        <v>28101.812264102966</v>
      </c>
    </row>
    <row r="457" spans="2:37" x14ac:dyDescent="0.2">
      <c r="B457">
        <f ca="1">Inputs!B12+(Inputs!D12-Inputs!B12)*BETAINV(RAND(),Model!H6,Model!I6)</f>
        <v>3.0063228286371202</v>
      </c>
      <c r="C457">
        <f ca="1">Inputs!E12+(Inputs!G12-Inputs!E12)*BETAINV(RAND(),Model!J6,Model!K6)</f>
        <v>0.19121925677607204</v>
      </c>
      <c r="D457">
        <f ca="1">(Inputs!H12+(Inputs!J12-Inputs!H12)*BETAINV(RAND(),Model!L6,Model!M6))*Inputs!$C$6</f>
        <v>14788.616893834442</v>
      </c>
      <c r="E457">
        <f t="shared" ca="1" si="126"/>
        <v>0.57486681692092867</v>
      </c>
      <c r="F457">
        <f t="shared" ca="1" si="127"/>
        <v>0.40745931522849699</v>
      </c>
      <c r="G457">
        <f t="shared" ca="1" si="128"/>
        <v>0</v>
      </c>
      <c r="H457" s="47">
        <f t="shared" ca="1" si="129"/>
        <v>0</v>
      </c>
      <c r="I457">
        <f ca="1">Inputs!B13+(Inputs!D13-Inputs!B13)*BETAINV(RAND(),Model!H7,Model!I7)</f>
        <v>1.1896898027698664</v>
      </c>
      <c r="J457">
        <f ca="1">Inputs!E13+(Inputs!G13-Inputs!E13)*BETAINV(RAND(),Model!J7,Model!K7)</f>
        <v>0.35362981129596305</v>
      </c>
      <c r="K457">
        <f ca="1">(Inputs!H13+(Inputs!J13-Inputs!H13)*BETAINV(RAND(),Model!L7,Model!M7))*Inputs!$C$6</f>
        <v>41096.816488813914</v>
      </c>
      <c r="L457">
        <f t="shared" ca="1" si="130"/>
        <v>0.42070978045423935</v>
      </c>
      <c r="M457">
        <f t="shared" ca="1" si="131"/>
        <v>0.71408695665504285</v>
      </c>
      <c r="N457">
        <f t="shared" ca="1" si="132"/>
        <v>1</v>
      </c>
      <c r="O457" s="47">
        <f t="shared" ca="1" si="133"/>
        <v>41096.816488813914</v>
      </c>
      <c r="P457">
        <f ca="1">Inputs!B14+(Inputs!D14-Inputs!B14)*BETAINV(RAND(),Model!H8,Model!I8)</f>
        <v>0.3417334103408034</v>
      </c>
      <c r="Q457">
        <f ca="1">Inputs!E14+(Inputs!G14-Inputs!E14)*BETAINV(RAND(),Model!J8,Model!K8)</f>
        <v>0.63374327436061029</v>
      </c>
      <c r="R457">
        <f ca="1">(Inputs!H14+(Inputs!J14-Inputs!H14)*BETAINV(RAND(),Model!L8,Model!M8))*Inputs!$C$6</f>
        <v>306303.1695682109</v>
      </c>
      <c r="S457">
        <f t="shared" ca="1" si="134"/>
        <v>0.21657125042779879</v>
      </c>
      <c r="T457">
        <f t="shared" ca="1" si="135"/>
        <v>0.94941569434778195</v>
      </c>
      <c r="U457">
        <f t="shared" ca="1" si="136"/>
        <v>1</v>
      </c>
      <c r="V457" s="47">
        <f t="shared" ca="1" si="137"/>
        <v>306303.1695682109</v>
      </c>
      <c r="W457">
        <f ca="1">Inputs!B15+(Inputs!D15-Inputs!B15)*BETAINV(RAND(),Model!H9,Model!I9)</f>
        <v>1.4364471422275615</v>
      </c>
      <c r="X457">
        <f ca="1">Inputs!E15+(Inputs!G15-Inputs!E15)*BETAINV(RAND(),Model!J9,Model!K9)</f>
        <v>0.29968977769479543</v>
      </c>
      <c r="Y457">
        <f ca="1">(Inputs!H15+(Inputs!J15-Inputs!H15)*BETAINV(RAND(),Model!L9,Model!M9))*Inputs!$C$6</f>
        <v>19602.652672159318</v>
      </c>
      <c r="Z457">
        <f t="shared" ca="1" si="138"/>
        <v>0.43048852472450211</v>
      </c>
      <c r="AA457">
        <f t="shared" ca="1" si="139"/>
        <v>0.37066497278064126</v>
      </c>
      <c r="AB457">
        <f t="shared" ca="1" si="140"/>
        <v>0</v>
      </c>
      <c r="AC457" s="47">
        <f t="shared" ca="1" si="141"/>
        <v>0</v>
      </c>
      <c r="AD457">
        <f ca="1">Inputs!B16+(Inputs!D16-Inputs!B16)*BETAINV(RAND(),Model!H10,Model!I10)</f>
        <v>0.82565447180714013</v>
      </c>
      <c r="AE457">
        <f ca="1">Inputs!E16+(Inputs!G16-Inputs!E16)*BETAINV(RAND(),Model!J10,Model!K10)</f>
        <v>0.64862893378238673</v>
      </c>
      <c r="AF457">
        <f ca="1">(Inputs!H16+(Inputs!J16-Inputs!H16)*BETAINV(RAND(),Model!L10,Model!M10))*Inputs!$C$6</f>
        <v>69261.536301471569</v>
      </c>
      <c r="AG457">
        <f t="shared" ca="1" si="142"/>
        <v>0.53554337972092503</v>
      </c>
      <c r="AH457">
        <f t="shared" ca="1" si="143"/>
        <v>0.21354849048360913</v>
      </c>
      <c r="AI457">
        <f t="shared" ca="1" si="144"/>
        <v>0</v>
      </c>
      <c r="AJ457" s="47">
        <f t="shared" ca="1" si="145"/>
        <v>0</v>
      </c>
      <c r="AK457">
        <f t="shared" ca="1" si="146"/>
        <v>347399.9860570248</v>
      </c>
    </row>
    <row r="458" spans="2:37" x14ac:dyDescent="0.2">
      <c r="B458">
        <f ca="1">Inputs!B12+(Inputs!D12-Inputs!B12)*BETAINV(RAND(),Model!H6,Model!I6)</f>
        <v>4.2074155918007019</v>
      </c>
      <c r="C458">
        <f ca="1">Inputs!E12+(Inputs!G12-Inputs!E12)*BETAINV(RAND(),Model!J6,Model!K6)</f>
        <v>0.42121035346026903</v>
      </c>
      <c r="D458">
        <f ca="1">(Inputs!H12+(Inputs!J12-Inputs!H12)*BETAINV(RAND(),Model!L6,Model!M6))*Inputs!$C$6</f>
        <v>14687.685766711558</v>
      </c>
      <c r="E458">
        <f t="shared" ca="1" si="126"/>
        <v>1.7722070085766206</v>
      </c>
      <c r="F458">
        <f t="shared" ca="1" si="127"/>
        <v>0.44347660100239383</v>
      </c>
      <c r="G458">
        <f t="shared" ca="1" si="128"/>
        <v>1</v>
      </c>
      <c r="H458" s="47">
        <f t="shared" ca="1" si="129"/>
        <v>14687.685766711558</v>
      </c>
      <c r="I458">
        <f ca="1">Inputs!B13+(Inputs!D13-Inputs!B13)*BETAINV(RAND(),Model!H7,Model!I7)</f>
        <v>1.8574951781309659</v>
      </c>
      <c r="J458">
        <f ca="1">Inputs!E13+(Inputs!G13-Inputs!E13)*BETAINV(RAND(),Model!J7,Model!K7)</f>
        <v>0.34986314860365902</v>
      </c>
      <c r="K458">
        <f ca="1">(Inputs!H13+(Inputs!J13-Inputs!H13)*BETAINV(RAND(),Model!L7,Model!M7))*Inputs!$C$6</f>
        <v>76393.647512679963</v>
      </c>
      <c r="L458">
        <f t="shared" ca="1" si="130"/>
        <v>0.64986911153701421</v>
      </c>
      <c r="M458">
        <f t="shared" ca="1" si="131"/>
        <v>0.82265617717208028</v>
      </c>
      <c r="N458">
        <f t="shared" ca="1" si="132"/>
        <v>1</v>
      </c>
      <c r="O458" s="47">
        <f t="shared" ca="1" si="133"/>
        <v>76393.647512679963</v>
      </c>
      <c r="P458">
        <f ca="1">Inputs!B14+(Inputs!D14-Inputs!B14)*BETAINV(RAND(),Model!H8,Model!I8)</f>
        <v>0.30288545004748607</v>
      </c>
      <c r="Q458">
        <f ca="1">Inputs!E14+(Inputs!G14-Inputs!E14)*BETAINV(RAND(),Model!J8,Model!K8)</f>
        <v>0.55719586347237127</v>
      </c>
      <c r="R458">
        <f ca="1">(Inputs!H14+(Inputs!J14-Inputs!H14)*BETAINV(RAND(),Model!L8,Model!M8))*Inputs!$C$6</f>
        <v>428336.3732453204</v>
      </c>
      <c r="S458">
        <f t="shared" ca="1" si="134"/>
        <v>0.16876651987242677</v>
      </c>
      <c r="T458">
        <f t="shared" ca="1" si="135"/>
        <v>0.3430872498230283</v>
      </c>
      <c r="U458">
        <f t="shared" ca="1" si="136"/>
        <v>0</v>
      </c>
      <c r="V458" s="47">
        <f t="shared" ca="1" si="137"/>
        <v>0</v>
      </c>
      <c r="W458">
        <f ca="1">Inputs!B15+(Inputs!D15-Inputs!B15)*BETAINV(RAND(),Model!H9,Model!I9)</f>
        <v>1.2164000967778228</v>
      </c>
      <c r="X458">
        <f ca="1">Inputs!E15+(Inputs!G15-Inputs!E15)*BETAINV(RAND(),Model!J9,Model!K9)</f>
        <v>0.41471375631936935</v>
      </c>
      <c r="Y458">
        <f ca="1">(Inputs!H15+(Inputs!J15-Inputs!H15)*BETAINV(RAND(),Model!L9,Model!M9))*Inputs!$C$6</f>
        <v>38800.178050748451</v>
      </c>
      <c r="Z458">
        <f t="shared" ca="1" si="138"/>
        <v>0.50445785332197535</v>
      </c>
      <c r="AA458">
        <f t="shared" ca="1" si="139"/>
        <v>0.24089893410744234</v>
      </c>
      <c r="AB458">
        <f t="shared" ca="1" si="140"/>
        <v>0</v>
      </c>
      <c r="AC458" s="47">
        <f t="shared" ca="1" si="141"/>
        <v>0</v>
      </c>
      <c r="AD458">
        <f ca="1">Inputs!B16+(Inputs!D16-Inputs!B16)*BETAINV(RAND(),Model!H10,Model!I10)</f>
        <v>0.80724720319267584</v>
      </c>
      <c r="AE458">
        <f ca="1">Inputs!E16+(Inputs!G16-Inputs!E16)*BETAINV(RAND(),Model!J10,Model!K10)</f>
        <v>0.40844209674798504</v>
      </c>
      <c r="AF458">
        <f ca="1">(Inputs!H16+(Inputs!J16-Inputs!H16)*BETAINV(RAND(),Model!L10,Model!M10))*Inputs!$C$6</f>
        <v>94014.038585319184</v>
      </c>
      <c r="AG458">
        <f t="shared" ca="1" si="142"/>
        <v>0.32971374026596323</v>
      </c>
      <c r="AH458">
        <f t="shared" ca="1" si="143"/>
        <v>0.31720233022634425</v>
      </c>
      <c r="AI458">
        <f t="shared" ca="1" si="144"/>
        <v>0</v>
      </c>
      <c r="AJ458" s="47">
        <f t="shared" ca="1" si="145"/>
        <v>0</v>
      </c>
      <c r="AK458">
        <f t="shared" ca="1" si="146"/>
        <v>91081.333279391518</v>
      </c>
    </row>
    <row r="459" spans="2:37" x14ac:dyDescent="0.2">
      <c r="B459">
        <f ca="1">Inputs!B12+(Inputs!D12-Inputs!B12)*BETAINV(RAND(),Model!H6,Model!I6)</f>
        <v>4.8446141979191832</v>
      </c>
      <c r="C459">
        <f ca="1">Inputs!E12+(Inputs!G12-Inputs!E12)*BETAINV(RAND(),Model!J6,Model!K6)</f>
        <v>0.23964174791494863</v>
      </c>
      <c r="D459">
        <f ca="1">(Inputs!H12+(Inputs!J12-Inputs!H12)*BETAINV(RAND(),Model!L6,Model!M6))*Inputs!$C$6</f>
        <v>38686.857981115514</v>
      </c>
      <c r="E459">
        <f t="shared" ca="1" si="126"/>
        <v>1.16097181436293</v>
      </c>
      <c r="F459">
        <f t="shared" ca="1" si="127"/>
        <v>0.57274505396164477</v>
      </c>
      <c r="G459">
        <f t="shared" ca="1" si="128"/>
        <v>1</v>
      </c>
      <c r="H459" s="47">
        <f t="shared" ca="1" si="129"/>
        <v>38686.857981115514</v>
      </c>
      <c r="I459">
        <f ca="1">Inputs!B13+(Inputs!D13-Inputs!B13)*BETAINV(RAND(),Model!H7,Model!I7)</f>
        <v>3.8628446844265465</v>
      </c>
      <c r="J459">
        <f ca="1">Inputs!E13+(Inputs!G13-Inputs!E13)*BETAINV(RAND(),Model!J7,Model!K7)</f>
        <v>0.35475251354090831</v>
      </c>
      <c r="K459">
        <f ca="1">(Inputs!H13+(Inputs!J13-Inputs!H13)*BETAINV(RAND(),Model!L7,Model!M7))*Inputs!$C$6</f>
        <v>10616.850635470922</v>
      </c>
      <c r="L459">
        <f t="shared" ca="1" si="130"/>
        <v>1.370353861218454</v>
      </c>
      <c r="M459">
        <f t="shared" ca="1" si="131"/>
        <v>0.6278774029703017</v>
      </c>
      <c r="N459">
        <f t="shared" ca="1" si="132"/>
        <v>2</v>
      </c>
      <c r="O459" s="47">
        <f t="shared" ca="1" si="133"/>
        <v>21233.701270941845</v>
      </c>
      <c r="P459">
        <f ca="1">Inputs!B14+(Inputs!D14-Inputs!B14)*BETAINV(RAND(),Model!H8,Model!I8)</f>
        <v>0.24021734288206323</v>
      </c>
      <c r="Q459">
        <f ca="1">Inputs!E14+(Inputs!G14-Inputs!E14)*BETAINV(RAND(),Model!J8,Model!K8)</f>
        <v>0.62363751766691977</v>
      </c>
      <c r="R459">
        <f ca="1">(Inputs!H14+(Inputs!J14-Inputs!H14)*BETAINV(RAND(),Model!L8,Model!M8))*Inputs!$C$6</f>
        <v>387234.24230263272</v>
      </c>
      <c r="S459">
        <f t="shared" ca="1" si="134"/>
        <v>0.14980854741551322</v>
      </c>
      <c r="T459">
        <f t="shared" ca="1" si="135"/>
        <v>0.34220689304219998</v>
      </c>
      <c r="U459">
        <f t="shared" ca="1" si="136"/>
        <v>0</v>
      </c>
      <c r="V459" s="47">
        <f t="shared" ca="1" si="137"/>
        <v>0</v>
      </c>
      <c r="W459">
        <f ca="1">Inputs!B15+(Inputs!D15-Inputs!B15)*BETAINV(RAND(),Model!H9,Model!I9)</f>
        <v>1.2487477973167957</v>
      </c>
      <c r="X459">
        <f ca="1">Inputs!E15+(Inputs!G15-Inputs!E15)*BETAINV(RAND(),Model!J9,Model!K9)</f>
        <v>0.31399510227507033</v>
      </c>
      <c r="Y459">
        <f ca="1">(Inputs!H15+(Inputs!J15-Inputs!H15)*BETAINV(RAND(),Model!L9,Model!M9))*Inputs!$C$6</f>
        <v>38400.300069058678</v>
      </c>
      <c r="Z459">
        <f t="shared" ca="1" si="138"/>
        <v>0.3921006923342561</v>
      </c>
      <c r="AA459">
        <f t="shared" ca="1" si="139"/>
        <v>0.96893417339345722</v>
      </c>
      <c r="AB459">
        <f t="shared" ca="1" si="140"/>
        <v>2</v>
      </c>
      <c r="AC459" s="47">
        <f t="shared" ca="1" si="141"/>
        <v>76800.600138117356</v>
      </c>
      <c r="AD459">
        <f ca="1">Inputs!B16+(Inputs!D16-Inputs!B16)*BETAINV(RAND(),Model!H10,Model!I10)</f>
        <v>0.59344899909036108</v>
      </c>
      <c r="AE459">
        <f ca="1">Inputs!E16+(Inputs!G16-Inputs!E16)*BETAINV(RAND(),Model!J10,Model!K10)</f>
        <v>0.58491567914394205</v>
      </c>
      <c r="AF459">
        <f ca="1">(Inputs!H16+(Inputs!J16-Inputs!H16)*BETAINV(RAND(),Model!L10,Model!M10))*Inputs!$C$6</f>
        <v>124053.47977995072</v>
      </c>
      <c r="AG459">
        <f t="shared" ca="1" si="142"/>
        <v>0.34711762434023119</v>
      </c>
      <c r="AH459">
        <f t="shared" ca="1" si="143"/>
        <v>0.54008444456048299</v>
      </c>
      <c r="AI459">
        <f t="shared" ca="1" si="144"/>
        <v>0</v>
      </c>
      <c r="AJ459" s="47">
        <f t="shared" ca="1" si="145"/>
        <v>0</v>
      </c>
      <c r="AK459">
        <f t="shared" ca="1" si="146"/>
        <v>136721.15939017473</v>
      </c>
    </row>
    <row r="460" spans="2:37" x14ac:dyDescent="0.2">
      <c r="B460">
        <f ca="1">Inputs!B12+(Inputs!D12-Inputs!B12)*BETAINV(RAND(),Model!H6,Model!I6)</f>
        <v>3.1929151155776734</v>
      </c>
      <c r="C460">
        <f ca="1">Inputs!E12+(Inputs!G12-Inputs!E12)*BETAINV(RAND(),Model!J6,Model!K6)</f>
        <v>0.26449140024624734</v>
      </c>
      <c r="D460">
        <f ca="1">(Inputs!H12+(Inputs!J12-Inputs!H12)*BETAINV(RAND(),Model!L6,Model!M6))*Inputs!$C$6</f>
        <v>29495.620085083498</v>
      </c>
      <c r="E460">
        <f t="shared" ref="E460:E523" ca="1" si="147">B460*C460</f>
        <v>0.84449858978654746</v>
      </c>
      <c r="F460">
        <f t="shared" ref="F460:F523" ca="1" si="148">RAND()</f>
        <v>0.47304981472567509</v>
      </c>
      <c r="G460">
        <f t="shared" ref="G460:G523" ca="1" si="149">IF(F460&lt;EXP(-E460),0,IF(F460&lt;EXP(-E460)*(1+E460),1,IF(F460&lt;EXP(-E460)*(1+E460+E460^2/2),2,IF(F460&lt;EXP(-E460)*(1+E460+E460^2/2+E460^3/6),3,4))))</f>
        <v>1</v>
      </c>
      <c r="H460" s="47">
        <f t="shared" ref="H460:H523" ca="1" si="150">G460*D460</f>
        <v>29495.620085083498</v>
      </c>
      <c r="I460">
        <f ca="1">Inputs!B13+(Inputs!D13-Inputs!B13)*BETAINV(RAND(),Model!H7,Model!I7)</f>
        <v>2.5629447483128658</v>
      </c>
      <c r="J460">
        <f ca="1">Inputs!E13+(Inputs!G13-Inputs!E13)*BETAINV(RAND(),Model!J7,Model!K7)</f>
        <v>0.18373965421575844</v>
      </c>
      <c r="K460">
        <f ca="1">(Inputs!H13+(Inputs!J13-Inputs!H13)*BETAINV(RAND(),Model!L7,Model!M7))*Inputs!$C$6</f>
        <v>42590.531845253085</v>
      </c>
      <c r="L460">
        <f t="shared" ref="L460:L523" ca="1" si="151">I460*J460</f>
        <v>0.47091458182910001</v>
      </c>
      <c r="M460">
        <f t="shared" ref="M460:M523" ca="1" si="152">RAND()</f>
        <v>9.7781410484640841E-2</v>
      </c>
      <c r="N460">
        <f t="shared" ref="N460:N523" ca="1" si="153">IF(M460&lt;EXP(-L460),0,IF(M460&lt;EXP(-L460)*(1+L460),1,IF(M460&lt;EXP(-L460)*(1+L460+L460^2/2),2,IF(M460&lt;EXP(-L460)*(1+L460+L460^2/2+L460^3/6),3,4))))</f>
        <v>0</v>
      </c>
      <c r="O460" s="47">
        <f t="shared" ref="O460:O523" ca="1" si="154">N460*K460</f>
        <v>0</v>
      </c>
      <c r="P460">
        <f ca="1">Inputs!B14+(Inputs!D14-Inputs!B14)*BETAINV(RAND(),Model!H8,Model!I8)</f>
        <v>0.25581559653876901</v>
      </c>
      <c r="Q460">
        <f ca="1">Inputs!E14+(Inputs!G14-Inputs!E14)*BETAINV(RAND(),Model!J8,Model!K8)</f>
        <v>0.72256398502457075</v>
      </c>
      <c r="R460">
        <f ca="1">(Inputs!H14+(Inputs!J14-Inputs!H14)*BETAINV(RAND(),Model!L8,Model!M8))*Inputs!$C$6</f>
        <v>407325.15873371449</v>
      </c>
      <c r="S460">
        <f t="shared" ref="S460:S523" ca="1" si="155">P460*Q460</f>
        <v>0.18484313686649073</v>
      </c>
      <c r="T460">
        <f t="shared" ref="T460:T523" ca="1" si="156">RAND()</f>
        <v>0.5936064851236228</v>
      </c>
      <c r="U460">
        <f t="shared" ref="U460:U523" ca="1" si="157">IF(T460&lt;EXP(-S460),0,IF(T460&lt;EXP(-S460)*(1+S460),1,IF(T460&lt;EXP(-S460)*(1+S460+S460^2/2),2,IF(T460&lt;EXP(-S460)*(1+S460+S460^2/2+S460^3/6),3,4))))</f>
        <v>0</v>
      </c>
      <c r="V460" s="47">
        <f t="shared" ref="V460:V523" ca="1" si="158">U460*R460</f>
        <v>0</v>
      </c>
      <c r="W460">
        <f ca="1">Inputs!B15+(Inputs!D15-Inputs!B15)*BETAINV(RAND(),Model!H9,Model!I9)</f>
        <v>1.8067822145864394</v>
      </c>
      <c r="X460">
        <f ca="1">Inputs!E15+(Inputs!G15-Inputs!E15)*BETAINV(RAND(),Model!J9,Model!K9)</f>
        <v>0.53015942333976196</v>
      </c>
      <c r="Y460">
        <f ca="1">(Inputs!H15+(Inputs!J15-Inputs!H15)*BETAINV(RAND(),Model!L9,Model!M9))*Inputs!$C$6</f>
        <v>57628.712759721268</v>
      </c>
      <c r="Z460">
        <f t="shared" ref="Z460:Z523" ca="1" si="159">W460*X460</f>
        <v>0.95788261698568478</v>
      </c>
      <c r="AA460">
        <f t="shared" ref="AA460:AA523" ca="1" si="160">RAND()</f>
        <v>0.28185878416450461</v>
      </c>
      <c r="AB460">
        <f t="shared" ref="AB460:AB523" ca="1" si="161">IF(AA460&lt;EXP(-Z460),0,IF(AA460&lt;EXP(-Z460)*(1+Z460),1,IF(AA460&lt;EXP(-Z460)*(1+Z460+Z460^2/2),2,IF(AA460&lt;EXP(-Z460)*(1+Z460+Z460^2/2+Z460^3/6),3,4))))</f>
        <v>0</v>
      </c>
      <c r="AC460" s="47">
        <f t="shared" ref="AC460:AC523" ca="1" si="162">AB460*Y460</f>
        <v>0</v>
      </c>
      <c r="AD460">
        <f ca="1">Inputs!B16+(Inputs!D16-Inputs!B16)*BETAINV(RAND(),Model!H10,Model!I10)</f>
        <v>0.597193838687201</v>
      </c>
      <c r="AE460">
        <f ca="1">Inputs!E16+(Inputs!G16-Inputs!E16)*BETAINV(RAND(),Model!J10,Model!K10)</f>
        <v>0.69610262308373128</v>
      </c>
      <c r="AF460">
        <f ca="1">(Inputs!H16+(Inputs!J16-Inputs!H16)*BETAINV(RAND(),Model!L10,Model!M10))*Inputs!$C$6</f>
        <v>69653.5163429815</v>
      </c>
      <c r="AG460">
        <f t="shared" ref="AG460:AG523" ca="1" si="163">AD460*AE460</f>
        <v>0.41570819759960331</v>
      </c>
      <c r="AH460">
        <f t="shared" ref="AH460:AH523" ca="1" si="164">RAND()</f>
        <v>0.29803065577617005</v>
      </c>
      <c r="AI460">
        <f t="shared" ref="AI460:AI523" ca="1" si="165">IF(AH460&lt;EXP(-AG460),0,IF(AH460&lt;EXP(-AG460)*(1+AG460),1,IF(AH460&lt;EXP(-AG460)*(1+AG460+AG460^2/2),2,IF(AH460&lt;EXP(-AG460)*(1+AG460+AG460^2/2+AG460^3/6),3,4))))</f>
        <v>0</v>
      </c>
      <c r="AJ460" s="47">
        <f t="shared" ref="AJ460:AJ523" ca="1" si="166">AI460*AF460</f>
        <v>0</v>
      </c>
      <c r="AK460">
        <f t="shared" ref="AK460:AK523" ca="1" si="167">H460+O460+V460+AC460+AJ460</f>
        <v>29495.620085083498</v>
      </c>
    </row>
    <row r="461" spans="2:37" x14ac:dyDescent="0.2">
      <c r="B461">
        <f ca="1">Inputs!B12+(Inputs!D12-Inputs!B12)*BETAINV(RAND(),Model!H6,Model!I6)</f>
        <v>1.4787572313395962</v>
      </c>
      <c r="C461">
        <f ca="1">Inputs!E12+(Inputs!G12-Inputs!E12)*BETAINV(RAND(),Model!J6,Model!K6)</f>
        <v>0.28924829224747012</v>
      </c>
      <c r="D461">
        <f ca="1">(Inputs!H12+(Inputs!J12-Inputs!H12)*BETAINV(RAND(),Model!L6,Model!M6))*Inputs!$C$6</f>
        <v>41658.950764471032</v>
      </c>
      <c r="E461">
        <f t="shared" ca="1" si="147"/>
        <v>0.42772800381357529</v>
      </c>
      <c r="F461">
        <f t="shared" ca="1" si="148"/>
        <v>0.44192968049976289</v>
      </c>
      <c r="G461">
        <f t="shared" ca="1" si="149"/>
        <v>0</v>
      </c>
      <c r="H461" s="47">
        <f t="shared" ca="1" si="150"/>
        <v>0</v>
      </c>
      <c r="I461">
        <f ca="1">Inputs!B13+(Inputs!D13-Inputs!B13)*BETAINV(RAND(),Model!H7,Model!I7)</f>
        <v>2.4677304317421376</v>
      </c>
      <c r="J461">
        <f ca="1">Inputs!E13+(Inputs!G13-Inputs!E13)*BETAINV(RAND(),Model!J7,Model!K7)</f>
        <v>0.28700508298908428</v>
      </c>
      <c r="K461">
        <f ca="1">(Inputs!H13+(Inputs!J13-Inputs!H13)*BETAINV(RAND(),Model!L7,Model!M7))*Inputs!$C$6</f>
        <v>63905.671599992129</v>
      </c>
      <c r="L461">
        <f t="shared" ca="1" si="151"/>
        <v>0.70825117735684096</v>
      </c>
      <c r="M461">
        <f t="shared" ca="1" si="152"/>
        <v>0.25548017422150393</v>
      </c>
      <c r="N461">
        <f t="shared" ca="1" si="153"/>
        <v>0</v>
      </c>
      <c r="O461" s="47">
        <f t="shared" ca="1" si="154"/>
        <v>0</v>
      </c>
      <c r="P461">
        <f ca="1">Inputs!B14+(Inputs!D14-Inputs!B14)*BETAINV(RAND(),Model!H8,Model!I8)</f>
        <v>0.22135252012681661</v>
      </c>
      <c r="Q461">
        <f ca="1">Inputs!E14+(Inputs!G14-Inputs!E14)*BETAINV(RAND(),Model!J8,Model!K8)</f>
        <v>0.41719725846896627</v>
      </c>
      <c r="R461">
        <f ca="1">(Inputs!H14+(Inputs!J14-Inputs!H14)*BETAINV(RAND(),Model!L8,Model!M8))*Inputs!$C$6</f>
        <v>293848.76405643282</v>
      </c>
      <c r="S461">
        <f t="shared" ca="1" si="155"/>
        <v>9.2347664552104566E-2</v>
      </c>
      <c r="T461">
        <f t="shared" ca="1" si="156"/>
        <v>0.55220573618024238</v>
      </c>
      <c r="U461">
        <f t="shared" ca="1" si="157"/>
        <v>0</v>
      </c>
      <c r="V461" s="47">
        <f t="shared" ca="1" si="158"/>
        <v>0</v>
      </c>
      <c r="W461">
        <f ca="1">Inputs!B15+(Inputs!D15-Inputs!B15)*BETAINV(RAND(),Model!H9,Model!I9)</f>
        <v>1.2922095174538235</v>
      </c>
      <c r="X461">
        <f ca="1">Inputs!E15+(Inputs!G15-Inputs!E15)*BETAINV(RAND(),Model!J9,Model!K9)</f>
        <v>0.53662402191805103</v>
      </c>
      <c r="Y461">
        <f ca="1">(Inputs!H15+(Inputs!J15-Inputs!H15)*BETAINV(RAND(),Model!L9,Model!M9))*Inputs!$C$6</f>
        <v>18189.94440412413</v>
      </c>
      <c r="Z461">
        <f t="shared" ca="1" si="159"/>
        <v>0.69343066841685475</v>
      </c>
      <c r="AA461">
        <f t="shared" ca="1" si="160"/>
        <v>0.40332879729756821</v>
      </c>
      <c r="AB461">
        <f t="shared" ca="1" si="161"/>
        <v>0</v>
      </c>
      <c r="AC461" s="47">
        <f t="shared" ca="1" si="162"/>
        <v>0</v>
      </c>
      <c r="AD461">
        <f ca="1">Inputs!B16+(Inputs!D16-Inputs!B16)*BETAINV(RAND(),Model!H10,Model!I10)</f>
        <v>0.53871862366170076</v>
      </c>
      <c r="AE461">
        <f ca="1">Inputs!E16+(Inputs!G16-Inputs!E16)*BETAINV(RAND(),Model!J10,Model!K10)</f>
        <v>0.49740680355589029</v>
      </c>
      <c r="AF461">
        <f ca="1">(Inputs!H16+(Inputs!J16-Inputs!H16)*BETAINV(RAND(),Model!L10,Model!M10))*Inputs!$C$6</f>
        <v>94480.398149230154</v>
      </c>
      <c r="AG461">
        <f t="shared" ca="1" si="163"/>
        <v>0.2679623086115952</v>
      </c>
      <c r="AH461">
        <f t="shared" ca="1" si="164"/>
        <v>0.5524978532811865</v>
      </c>
      <c r="AI461">
        <f t="shared" ca="1" si="165"/>
        <v>0</v>
      </c>
      <c r="AJ461" s="47">
        <f t="shared" ca="1" si="166"/>
        <v>0</v>
      </c>
      <c r="AK461">
        <f t="shared" ca="1" si="167"/>
        <v>0</v>
      </c>
    </row>
    <row r="462" spans="2:37" x14ac:dyDescent="0.2">
      <c r="B462">
        <f ca="1">Inputs!B12+(Inputs!D12-Inputs!B12)*BETAINV(RAND(),Model!H6,Model!I6)</f>
        <v>3.909173014532862</v>
      </c>
      <c r="C462">
        <f ca="1">Inputs!E12+(Inputs!G12-Inputs!E12)*BETAINV(RAND(),Model!J6,Model!K6)</f>
        <v>0.29787505523490343</v>
      </c>
      <c r="D462">
        <f ca="1">(Inputs!H12+(Inputs!J12-Inputs!H12)*BETAINV(RAND(),Model!L6,Model!M6))*Inputs!$C$6</f>
        <v>39425.822759707335</v>
      </c>
      <c r="E462">
        <f t="shared" ca="1" si="147"/>
        <v>1.1644451276267702</v>
      </c>
      <c r="F462">
        <f t="shared" ca="1" si="148"/>
        <v>0.6228842120991116</v>
      </c>
      <c r="G462">
        <f t="shared" ca="1" si="149"/>
        <v>1</v>
      </c>
      <c r="H462" s="47">
        <f t="shared" ca="1" si="150"/>
        <v>39425.822759707335</v>
      </c>
      <c r="I462">
        <f ca="1">Inputs!B13+(Inputs!D13-Inputs!B13)*BETAINV(RAND(),Model!H7,Model!I7)</f>
        <v>2.2897364196043948</v>
      </c>
      <c r="J462">
        <f ca="1">Inputs!E13+(Inputs!G13-Inputs!E13)*BETAINV(RAND(),Model!J7,Model!K7)</f>
        <v>0.29928000940395494</v>
      </c>
      <c r="K462">
        <f ca="1">(Inputs!H13+(Inputs!J13-Inputs!H13)*BETAINV(RAND(),Model!L7,Model!M7))*Inputs!$C$6</f>
        <v>16345.406129628778</v>
      </c>
      <c r="L462">
        <f t="shared" ca="1" si="151"/>
        <v>0.68527233719178138</v>
      </c>
      <c r="M462">
        <f t="shared" ca="1" si="152"/>
        <v>0.40747127179047782</v>
      </c>
      <c r="N462">
        <f t="shared" ca="1" si="153"/>
        <v>0</v>
      </c>
      <c r="O462" s="47">
        <f t="shared" ca="1" si="154"/>
        <v>0</v>
      </c>
      <c r="P462">
        <f ca="1">Inputs!B14+(Inputs!D14-Inputs!B14)*BETAINV(RAND(),Model!H8,Model!I8)</f>
        <v>0.39531055358699341</v>
      </c>
      <c r="Q462">
        <f ca="1">Inputs!E14+(Inputs!G14-Inputs!E14)*BETAINV(RAND(),Model!J8,Model!K8)</f>
        <v>0.60523094922152887</v>
      </c>
      <c r="R462">
        <f ca="1">(Inputs!H14+(Inputs!J14-Inputs!H14)*BETAINV(RAND(),Model!L8,Model!M8))*Inputs!$C$6</f>
        <v>237976.61646812066</v>
      </c>
      <c r="S462">
        <f t="shared" ca="1" si="155"/>
        <v>0.23925418158474407</v>
      </c>
      <c r="T462">
        <f t="shared" ca="1" si="156"/>
        <v>0.15960072164170647</v>
      </c>
      <c r="U462">
        <f t="shared" ca="1" si="157"/>
        <v>0</v>
      </c>
      <c r="V462" s="47">
        <f t="shared" ca="1" si="158"/>
        <v>0</v>
      </c>
      <c r="W462">
        <f ca="1">Inputs!B15+(Inputs!D15-Inputs!B15)*BETAINV(RAND(),Model!H9,Model!I9)</f>
        <v>1.7060124707258679</v>
      </c>
      <c r="X462">
        <f ca="1">Inputs!E15+(Inputs!G15-Inputs!E15)*BETAINV(RAND(),Model!J9,Model!K9)</f>
        <v>0.2592304382459048</v>
      </c>
      <c r="Y462">
        <f ca="1">(Inputs!H15+(Inputs!J15-Inputs!H15)*BETAINV(RAND(),Model!L9,Model!M9))*Inputs!$C$6</f>
        <v>33297.126141417917</v>
      </c>
      <c r="Z462">
        <f t="shared" ca="1" si="159"/>
        <v>0.44225036043924559</v>
      </c>
      <c r="AA462">
        <f t="shared" ca="1" si="160"/>
        <v>0.94096878082988622</v>
      </c>
      <c r="AB462">
        <f t="shared" ca="1" si="161"/>
        <v>2</v>
      </c>
      <c r="AC462" s="47">
        <f t="shared" ca="1" si="162"/>
        <v>66594.252282835834</v>
      </c>
      <c r="AD462">
        <f ca="1">Inputs!B16+(Inputs!D16-Inputs!B16)*BETAINV(RAND(),Model!H10,Model!I10)</f>
        <v>0.61852788499884825</v>
      </c>
      <c r="AE462">
        <f ca="1">Inputs!E16+(Inputs!G16-Inputs!E16)*BETAINV(RAND(),Model!J10,Model!K10)</f>
        <v>0.75137975550232405</v>
      </c>
      <c r="AF462">
        <f ca="1">(Inputs!H16+(Inputs!J16-Inputs!H16)*BETAINV(RAND(),Model!L10,Model!M10))*Inputs!$C$6</f>
        <v>41940.218731286062</v>
      </c>
      <c r="AG462">
        <f t="shared" ca="1" si="163"/>
        <v>0.46474933100180421</v>
      </c>
      <c r="AH462">
        <f t="shared" ca="1" si="164"/>
        <v>0.67064639026011297</v>
      </c>
      <c r="AI462">
        <f t="shared" ca="1" si="165"/>
        <v>1</v>
      </c>
      <c r="AJ462" s="47">
        <f t="shared" ca="1" si="166"/>
        <v>41940.218731286062</v>
      </c>
      <c r="AK462">
        <f t="shared" ca="1" si="167"/>
        <v>147960.29377382924</v>
      </c>
    </row>
    <row r="463" spans="2:37" x14ac:dyDescent="0.2">
      <c r="B463">
        <f ca="1">Inputs!B12+(Inputs!D12-Inputs!B12)*BETAINV(RAND(),Model!H6,Model!I6)</f>
        <v>1.5803510103017415</v>
      </c>
      <c r="C463">
        <f ca="1">Inputs!E12+(Inputs!G12-Inputs!E12)*BETAINV(RAND(),Model!J6,Model!K6)</f>
        <v>0.35000625253909901</v>
      </c>
      <c r="D463">
        <f ca="1">(Inputs!H12+(Inputs!J12-Inputs!H12)*BETAINV(RAND(),Model!L6,Model!M6))*Inputs!$C$6</f>
        <v>10660.793543560389</v>
      </c>
      <c r="E463">
        <f t="shared" ca="1" si="147"/>
        <v>0.55313273481209158</v>
      </c>
      <c r="F463">
        <f t="shared" ca="1" si="148"/>
        <v>0.9776246069560196</v>
      </c>
      <c r="G463">
        <f t="shared" ca="1" si="149"/>
        <v>2</v>
      </c>
      <c r="H463" s="47">
        <f t="shared" ca="1" si="150"/>
        <v>21321.587087120777</v>
      </c>
      <c r="I463">
        <f ca="1">Inputs!B13+(Inputs!D13-Inputs!B13)*BETAINV(RAND(),Model!H7,Model!I7)</f>
        <v>1.1908701129410932</v>
      </c>
      <c r="J463">
        <f ca="1">Inputs!E13+(Inputs!G13-Inputs!E13)*BETAINV(RAND(),Model!J7,Model!K7)</f>
        <v>0.29506133109402655</v>
      </c>
      <c r="K463">
        <f ca="1">(Inputs!H13+(Inputs!J13-Inputs!H13)*BETAINV(RAND(),Model!L7,Model!M7))*Inputs!$C$6</f>
        <v>23920.188330326524</v>
      </c>
      <c r="L463">
        <f t="shared" ca="1" si="151"/>
        <v>0.35137972068449269</v>
      </c>
      <c r="M463">
        <f t="shared" ca="1" si="152"/>
        <v>0.4206077227383076</v>
      </c>
      <c r="N463">
        <f t="shared" ca="1" si="153"/>
        <v>0</v>
      </c>
      <c r="O463" s="47">
        <f t="shared" ca="1" si="154"/>
        <v>0</v>
      </c>
      <c r="P463">
        <f ca="1">Inputs!B14+(Inputs!D14-Inputs!B14)*BETAINV(RAND(),Model!H8,Model!I8)</f>
        <v>0.29244969148612598</v>
      </c>
      <c r="Q463">
        <f ca="1">Inputs!E14+(Inputs!G14-Inputs!E14)*BETAINV(RAND(),Model!J8,Model!K8)</f>
        <v>0.59072312434809215</v>
      </c>
      <c r="R463">
        <f ca="1">(Inputs!H14+(Inputs!J14-Inputs!H14)*BETAINV(RAND(),Model!L8,Model!M8))*Inputs!$C$6</f>
        <v>337146.83272613952</v>
      </c>
      <c r="S463">
        <f t="shared" ca="1" si="155"/>
        <v>0.17275679546931999</v>
      </c>
      <c r="T463">
        <f t="shared" ca="1" si="156"/>
        <v>0.34800488200313251</v>
      </c>
      <c r="U463">
        <f t="shared" ca="1" si="157"/>
        <v>0</v>
      </c>
      <c r="V463" s="47">
        <f t="shared" ca="1" si="158"/>
        <v>0</v>
      </c>
      <c r="W463">
        <f ca="1">Inputs!B15+(Inputs!D15-Inputs!B15)*BETAINV(RAND(),Model!H9,Model!I9)</f>
        <v>1.063762756554175</v>
      </c>
      <c r="X463">
        <f ca="1">Inputs!E15+(Inputs!G15-Inputs!E15)*BETAINV(RAND(),Model!J9,Model!K9)</f>
        <v>0.47072942128796541</v>
      </c>
      <c r="Y463">
        <f ca="1">(Inputs!H15+(Inputs!J15-Inputs!H15)*BETAINV(RAND(),Model!L9,Model!M9))*Inputs!$C$6</f>
        <v>50495.774282148763</v>
      </c>
      <c r="Z463">
        <f t="shared" ca="1" si="159"/>
        <v>0.50074442678043762</v>
      </c>
      <c r="AA463">
        <f t="shared" ca="1" si="160"/>
        <v>0.13212425427508301</v>
      </c>
      <c r="AB463">
        <f t="shared" ca="1" si="161"/>
        <v>0</v>
      </c>
      <c r="AC463" s="47">
        <f t="shared" ca="1" si="162"/>
        <v>0</v>
      </c>
      <c r="AD463">
        <f ca="1">Inputs!B16+(Inputs!D16-Inputs!B16)*BETAINV(RAND(),Model!H10,Model!I10)</f>
        <v>0.68223164676256087</v>
      </c>
      <c r="AE463">
        <f ca="1">Inputs!E16+(Inputs!G16-Inputs!E16)*BETAINV(RAND(),Model!J10,Model!K10)</f>
        <v>0.59070569356456704</v>
      </c>
      <c r="AF463">
        <f ca="1">(Inputs!H16+(Inputs!J16-Inputs!H16)*BETAINV(RAND(),Model!L10,Model!M10))*Inputs!$C$6</f>
        <v>99847.297033247654</v>
      </c>
      <c r="AG463">
        <f t="shared" ca="1" si="163"/>
        <v>0.40299811807257524</v>
      </c>
      <c r="AH463">
        <f t="shared" ca="1" si="164"/>
        <v>0.62820159598083469</v>
      </c>
      <c r="AI463">
        <f t="shared" ca="1" si="165"/>
        <v>0</v>
      </c>
      <c r="AJ463" s="47">
        <f t="shared" ca="1" si="166"/>
        <v>0</v>
      </c>
      <c r="AK463">
        <f t="shared" ca="1" si="167"/>
        <v>21321.587087120777</v>
      </c>
    </row>
    <row r="464" spans="2:37" x14ac:dyDescent="0.2">
      <c r="B464">
        <f ca="1">Inputs!B12+(Inputs!D12-Inputs!B12)*BETAINV(RAND(),Model!H6,Model!I6)</f>
        <v>3.7383958315811556</v>
      </c>
      <c r="C464">
        <f ca="1">Inputs!E12+(Inputs!G12-Inputs!E12)*BETAINV(RAND(),Model!J6,Model!K6)</f>
        <v>0.37370778098199542</v>
      </c>
      <c r="D464">
        <f ca="1">(Inputs!H12+(Inputs!J12-Inputs!H12)*BETAINV(RAND(),Model!L6,Model!M6))*Inputs!$C$6</f>
        <v>16862.185151042027</v>
      </c>
      <c r="E464">
        <f t="shared" ca="1" si="147"/>
        <v>1.397067610652535</v>
      </c>
      <c r="F464">
        <f t="shared" ca="1" si="148"/>
        <v>0.55389857119450003</v>
      </c>
      <c r="G464">
        <f t="shared" ca="1" si="149"/>
        <v>1</v>
      </c>
      <c r="H464" s="47">
        <f t="shared" ca="1" si="150"/>
        <v>16862.185151042027</v>
      </c>
      <c r="I464">
        <f ca="1">Inputs!B13+(Inputs!D13-Inputs!B13)*BETAINV(RAND(),Model!H7,Model!I7)</f>
        <v>2.5663627674345415</v>
      </c>
      <c r="J464">
        <f ca="1">Inputs!E13+(Inputs!G13-Inputs!E13)*BETAINV(RAND(),Model!J7,Model!K7)</f>
        <v>0.26485845855901508</v>
      </c>
      <c r="K464">
        <f ca="1">(Inputs!H13+(Inputs!J13-Inputs!H13)*BETAINV(RAND(),Model!L7,Model!M7))*Inputs!$C$6</f>
        <v>11717.169942107885</v>
      </c>
      <c r="L464">
        <f t="shared" ca="1" si="151"/>
        <v>0.6797228866859607</v>
      </c>
      <c r="M464">
        <f t="shared" ca="1" si="152"/>
        <v>0.94437549012403543</v>
      </c>
      <c r="N464">
        <f t="shared" ca="1" si="153"/>
        <v>2</v>
      </c>
      <c r="O464" s="47">
        <f t="shared" ca="1" si="154"/>
        <v>23434.339884215769</v>
      </c>
      <c r="P464">
        <f ca="1">Inputs!B14+(Inputs!D14-Inputs!B14)*BETAINV(RAND(),Model!H8,Model!I8)</f>
        <v>0.48645325371913872</v>
      </c>
      <c r="Q464">
        <f ca="1">Inputs!E14+(Inputs!G14-Inputs!E14)*BETAINV(RAND(),Model!J8,Model!K8)</f>
        <v>0.67786814846208032</v>
      </c>
      <c r="R464">
        <f ca="1">(Inputs!H14+(Inputs!J14-Inputs!H14)*BETAINV(RAND(),Model!L8,Model!M8))*Inputs!$C$6</f>
        <v>280935.28230602824</v>
      </c>
      <c r="S464">
        <f t="shared" ca="1" si="155"/>
        <v>0.32975116641194713</v>
      </c>
      <c r="T464">
        <f t="shared" ca="1" si="156"/>
        <v>0.48717723743368202</v>
      </c>
      <c r="U464">
        <f t="shared" ca="1" si="157"/>
        <v>0</v>
      </c>
      <c r="V464" s="47">
        <f t="shared" ca="1" si="158"/>
        <v>0</v>
      </c>
      <c r="W464">
        <f ca="1">Inputs!B15+(Inputs!D15-Inputs!B15)*BETAINV(RAND(),Model!H9,Model!I9)</f>
        <v>0.38494717356542285</v>
      </c>
      <c r="X464">
        <f ca="1">Inputs!E15+(Inputs!G15-Inputs!E15)*BETAINV(RAND(),Model!J9,Model!K9)</f>
        <v>0.27659524889092857</v>
      </c>
      <c r="Y464">
        <f ca="1">(Inputs!H15+(Inputs!J15-Inputs!H15)*BETAINV(RAND(),Model!L9,Model!M9))*Inputs!$C$6</f>
        <v>15703.697680941976</v>
      </c>
      <c r="Z464">
        <f t="shared" ca="1" si="159"/>
        <v>0.10647455928218762</v>
      </c>
      <c r="AA464">
        <f t="shared" ca="1" si="160"/>
        <v>2.2624297739380905E-3</v>
      </c>
      <c r="AB464">
        <f t="shared" ca="1" si="161"/>
        <v>0</v>
      </c>
      <c r="AC464" s="47">
        <f t="shared" ca="1" si="162"/>
        <v>0</v>
      </c>
      <c r="AD464">
        <f ca="1">Inputs!B16+(Inputs!D16-Inputs!B16)*BETAINV(RAND(),Model!H10,Model!I10)</f>
        <v>0.5538246543848232</v>
      </c>
      <c r="AE464">
        <f ca="1">Inputs!E16+(Inputs!G16-Inputs!E16)*BETAINV(RAND(),Model!J10,Model!K10)</f>
        <v>0.58371951792476251</v>
      </c>
      <c r="AF464">
        <f ca="1">(Inputs!H16+(Inputs!J16-Inputs!H16)*BETAINV(RAND(),Model!L10,Model!M10))*Inputs!$C$6</f>
        <v>78997.90153961473</v>
      </c>
      <c r="AG464">
        <f t="shared" ca="1" si="163"/>
        <v>0.32327826027235723</v>
      </c>
      <c r="AH464">
        <f t="shared" ca="1" si="164"/>
        <v>0.10005423412348202</v>
      </c>
      <c r="AI464">
        <f t="shared" ca="1" si="165"/>
        <v>0</v>
      </c>
      <c r="AJ464" s="47">
        <f t="shared" ca="1" si="166"/>
        <v>0</v>
      </c>
      <c r="AK464">
        <f t="shared" ca="1" si="167"/>
        <v>40296.5250352578</v>
      </c>
    </row>
    <row r="465" spans="2:37" x14ac:dyDescent="0.2">
      <c r="B465">
        <f ca="1">Inputs!B12+(Inputs!D12-Inputs!B12)*BETAINV(RAND(),Model!H6,Model!I6)</f>
        <v>5.2799335451372089</v>
      </c>
      <c r="C465">
        <f ca="1">Inputs!E12+(Inputs!G12-Inputs!E12)*BETAINV(RAND(),Model!J6,Model!K6)</f>
        <v>0.31145574386876279</v>
      </c>
      <c r="D465">
        <f ca="1">(Inputs!H12+(Inputs!J12-Inputs!H12)*BETAINV(RAND(),Model!L6,Model!M6))*Inputs!$C$6</f>
        <v>39357.455756981486</v>
      </c>
      <c r="E465">
        <f t="shared" ca="1" si="147"/>
        <v>1.6444656298783433</v>
      </c>
      <c r="F465">
        <f t="shared" ca="1" si="148"/>
        <v>0.30000847747704007</v>
      </c>
      <c r="G465">
        <f t="shared" ca="1" si="149"/>
        <v>1</v>
      </c>
      <c r="H465" s="47">
        <f t="shared" ca="1" si="150"/>
        <v>39357.455756981486</v>
      </c>
      <c r="I465">
        <f ca="1">Inputs!B13+(Inputs!D13-Inputs!B13)*BETAINV(RAND(),Model!H7,Model!I7)</f>
        <v>2.3591209627379395</v>
      </c>
      <c r="J465">
        <f ca="1">Inputs!E13+(Inputs!G13-Inputs!E13)*BETAINV(RAND(),Model!J7,Model!K7)</f>
        <v>0.42517124439160325</v>
      </c>
      <c r="K465">
        <f ca="1">(Inputs!H13+(Inputs!J13-Inputs!H13)*BETAINV(RAND(),Model!L7,Model!M7))*Inputs!$C$6</f>
        <v>58142.986011666893</v>
      </c>
      <c r="L465">
        <f t="shared" ca="1" si="151"/>
        <v>1.0030303953976067</v>
      </c>
      <c r="M465">
        <f t="shared" ca="1" si="152"/>
        <v>0.32511157128409662</v>
      </c>
      <c r="N465">
        <f t="shared" ca="1" si="153"/>
        <v>0</v>
      </c>
      <c r="O465" s="47">
        <f t="shared" ca="1" si="154"/>
        <v>0</v>
      </c>
      <c r="P465">
        <f ca="1">Inputs!B14+(Inputs!D14-Inputs!B14)*BETAINV(RAND(),Model!H8,Model!I8)</f>
        <v>0.49473888034849445</v>
      </c>
      <c r="Q465">
        <f ca="1">Inputs!E14+(Inputs!G14-Inputs!E14)*BETAINV(RAND(),Model!J8,Model!K8)</f>
        <v>0.83165066668955778</v>
      </c>
      <c r="R465">
        <f ca="1">(Inputs!H14+(Inputs!J14-Inputs!H14)*BETAINV(RAND(),Model!L8,Model!M8))*Inputs!$C$6</f>
        <v>354027.60008946201</v>
      </c>
      <c r="S465">
        <f t="shared" ca="1" si="155"/>
        <v>0.41144991967907074</v>
      </c>
      <c r="T465">
        <f t="shared" ca="1" si="156"/>
        <v>0.73705008453197907</v>
      </c>
      <c r="U465">
        <f t="shared" ca="1" si="157"/>
        <v>1</v>
      </c>
      <c r="V465" s="47">
        <f t="shared" ca="1" si="158"/>
        <v>354027.60008946201</v>
      </c>
      <c r="W465">
        <f ca="1">Inputs!B15+(Inputs!D15-Inputs!B15)*BETAINV(RAND(),Model!H9,Model!I9)</f>
        <v>1.5818210219370286</v>
      </c>
      <c r="X465">
        <f ca="1">Inputs!E15+(Inputs!G15-Inputs!E15)*BETAINV(RAND(),Model!J9,Model!K9)</f>
        <v>0.3909289054182386</v>
      </c>
      <c r="Y465">
        <f ca="1">(Inputs!H15+(Inputs!J15-Inputs!H15)*BETAINV(RAND(),Model!L9,Model!M9))*Inputs!$C$6</f>
        <v>27258.418850972186</v>
      </c>
      <c r="Z465">
        <f t="shared" ca="1" si="159"/>
        <v>0.61837956067340216</v>
      </c>
      <c r="AA465">
        <f t="shared" ca="1" si="160"/>
        <v>0.53237389252334943</v>
      </c>
      <c r="AB465">
        <f t="shared" ca="1" si="161"/>
        <v>0</v>
      </c>
      <c r="AC465" s="47">
        <f t="shared" ca="1" si="162"/>
        <v>0</v>
      </c>
      <c r="AD465">
        <f ca="1">Inputs!B16+(Inputs!D16-Inputs!B16)*BETAINV(RAND(),Model!H10,Model!I10)</f>
        <v>1.1615602112184966</v>
      </c>
      <c r="AE465">
        <f ca="1">Inputs!E16+(Inputs!G16-Inputs!E16)*BETAINV(RAND(),Model!J10,Model!K10)</f>
        <v>0.53725548917588306</v>
      </c>
      <c r="AF465">
        <f ca="1">(Inputs!H16+(Inputs!J16-Inputs!H16)*BETAINV(RAND(),Model!L10,Model!M10))*Inputs!$C$6</f>
        <v>120915.02551351319</v>
      </c>
      <c r="AG465">
        <f t="shared" ca="1" si="163"/>
        <v>0.6240545994854354</v>
      </c>
      <c r="AH465">
        <f t="shared" ca="1" si="164"/>
        <v>0.81575310539734014</v>
      </c>
      <c r="AI465">
        <f t="shared" ca="1" si="165"/>
        <v>1</v>
      </c>
      <c r="AJ465" s="47">
        <f t="shared" ca="1" si="166"/>
        <v>120915.02551351319</v>
      </c>
      <c r="AK465">
        <f t="shared" ca="1" si="167"/>
        <v>514300.0813599567</v>
      </c>
    </row>
    <row r="466" spans="2:37" x14ac:dyDescent="0.2">
      <c r="B466">
        <f ca="1">Inputs!B12+(Inputs!D12-Inputs!B12)*BETAINV(RAND(),Model!H6,Model!I6)</f>
        <v>5.050354925638052</v>
      </c>
      <c r="C466">
        <f ca="1">Inputs!E12+(Inputs!G12-Inputs!E12)*BETAINV(RAND(),Model!J6,Model!K6)</f>
        <v>0.20428737705464425</v>
      </c>
      <c r="D466">
        <f ca="1">(Inputs!H12+(Inputs!J12-Inputs!H12)*BETAINV(RAND(),Model!L6,Model!M6))*Inputs!$C$6</f>
        <v>8036.341236381023</v>
      </c>
      <c r="E466">
        <f t="shared" ca="1" si="147"/>
        <v>1.0317237609536005</v>
      </c>
      <c r="F466">
        <f t="shared" ca="1" si="148"/>
        <v>0.95350191894429126</v>
      </c>
      <c r="G466">
        <f t="shared" ca="1" si="149"/>
        <v>3</v>
      </c>
      <c r="H466" s="47">
        <f t="shared" ca="1" si="150"/>
        <v>24109.023709143068</v>
      </c>
      <c r="I466">
        <f ca="1">Inputs!B13+(Inputs!D13-Inputs!B13)*BETAINV(RAND(),Model!H7,Model!I7)</f>
        <v>2.1465521915063945</v>
      </c>
      <c r="J466">
        <f ca="1">Inputs!E13+(Inputs!G13-Inputs!E13)*BETAINV(RAND(),Model!J7,Model!K7)</f>
        <v>0.16927923104803574</v>
      </c>
      <c r="K466">
        <f ca="1">(Inputs!H13+(Inputs!J13-Inputs!H13)*BETAINV(RAND(),Model!L7,Model!M7))*Inputs!$C$6</f>
        <v>13500.829376985426</v>
      </c>
      <c r="L466">
        <f t="shared" ca="1" si="151"/>
        <v>0.36336670438267843</v>
      </c>
      <c r="M466">
        <f t="shared" ca="1" si="152"/>
        <v>0.63404036923113383</v>
      </c>
      <c r="N466">
        <f t="shared" ca="1" si="153"/>
        <v>0</v>
      </c>
      <c r="O466" s="47">
        <f t="shared" ca="1" si="154"/>
        <v>0</v>
      </c>
      <c r="P466">
        <f ca="1">Inputs!B14+(Inputs!D14-Inputs!B14)*BETAINV(RAND(),Model!H8,Model!I8)</f>
        <v>0.40907851354470948</v>
      </c>
      <c r="Q466">
        <f ca="1">Inputs!E14+(Inputs!G14-Inputs!E14)*BETAINV(RAND(),Model!J8,Model!K8)</f>
        <v>0.43003998336218185</v>
      </c>
      <c r="R466">
        <f ca="1">(Inputs!H14+(Inputs!J14-Inputs!H14)*BETAINV(RAND(),Model!L8,Model!M8))*Inputs!$C$6</f>
        <v>336934.39997272397</v>
      </c>
      <c r="S466">
        <f t="shared" ca="1" si="155"/>
        <v>0.17592011715859296</v>
      </c>
      <c r="T466">
        <f t="shared" ca="1" si="156"/>
        <v>9.3806739287339624E-2</v>
      </c>
      <c r="U466">
        <f t="shared" ca="1" si="157"/>
        <v>0</v>
      </c>
      <c r="V466" s="47">
        <f t="shared" ca="1" si="158"/>
        <v>0</v>
      </c>
      <c r="W466">
        <f ca="1">Inputs!B15+(Inputs!D15-Inputs!B15)*BETAINV(RAND(),Model!H9,Model!I9)</f>
        <v>0.75031508776969469</v>
      </c>
      <c r="X466">
        <f ca="1">Inputs!E15+(Inputs!G15-Inputs!E15)*BETAINV(RAND(),Model!J9,Model!K9)</f>
        <v>0.43760991319150455</v>
      </c>
      <c r="Y466">
        <f ca="1">(Inputs!H15+(Inputs!J15-Inputs!H15)*BETAINV(RAND(),Model!L9,Model!M9))*Inputs!$C$6</f>
        <v>37802.079705123811</v>
      </c>
      <c r="Z466">
        <f t="shared" ca="1" si="159"/>
        <v>0.32834532042517223</v>
      </c>
      <c r="AA466">
        <f t="shared" ca="1" si="160"/>
        <v>0.82958611415340022</v>
      </c>
      <c r="AB466">
        <f t="shared" ca="1" si="161"/>
        <v>1</v>
      </c>
      <c r="AC466" s="47">
        <f t="shared" ca="1" si="162"/>
        <v>37802.079705123811</v>
      </c>
      <c r="AD466">
        <f ca="1">Inputs!B16+(Inputs!D16-Inputs!B16)*BETAINV(RAND(),Model!H10,Model!I10)</f>
        <v>0.51490109665068517</v>
      </c>
      <c r="AE466">
        <f ca="1">Inputs!E16+(Inputs!G16-Inputs!E16)*BETAINV(RAND(),Model!J10,Model!K10)</f>
        <v>0.65040678581474198</v>
      </c>
      <c r="AF466">
        <f ca="1">(Inputs!H16+(Inputs!J16-Inputs!H16)*BETAINV(RAND(),Model!L10,Model!M10))*Inputs!$C$6</f>
        <v>65063.221403166877</v>
      </c>
      <c r="AG466">
        <f t="shared" ca="1" si="163"/>
        <v>0.33489516728505797</v>
      </c>
      <c r="AH466">
        <f t="shared" ca="1" si="164"/>
        <v>0.99183345048302374</v>
      </c>
      <c r="AI466">
        <f t="shared" ca="1" si="165"/>
        <v>2</v>
      </c>
      <c r="AJ466" s="47">
        <f t="shared" ca="1" si="166"/>
        <v>130126.44280633375</v>
      </c>
      <c r="AK466">
        <f t="shared" ca="1" si="167"/>
        <v>192037.54622060063</v>
      </c>
    </row>
    <row r="467" spans="2:37" x14ac:dyDescent="0.2">
      <c r="B467">
        <f ca="1">Inputs!B12+(Inputs!D12-Inputs!B12)*BETAINV(RAND(),Model!H6,Model!I6)</f>
        <v>4.9024105969067833</v>
      </c>
      <c r="C467">
        <f ca="1">Inputs!E12+(Inputs!G12-Inputs!E12)*BETAINV(RAND(),Model!J6,Model!K6)</f>
        <v>0.47937736037964662</v>
      </c>
      <c r="D467">
        <f ca="1">(Inputs!H12+(Inputs!J12-Inputs!H12)*BETAINV(RAND(),Model!L6,Model!M6))*Inputs!$C$6</f>
        <v>33432.356921871207</v>
      </c>
      <c r="E467">
        <f t="shared" ca="1" si="147"/>
        <v>2.3501046514423813</v>
      </c>
      <c r="F467">
        <f t="shared" ca="1" si="148"/>
        <v>0.30277182551415405</v>
      </c>
      <c r="G467">
        <f t="shared" ca="1" si="149"/>
        <v>1</v>
      </c>
      <c r="H467" s="47">
        <f t="shared" ca="1" si="150"/>
        <v>33432.356921871207</v>
      </c>
      <c r="I467">
        <f ca="1">Inputs!B13+(Inputs!D13-Inputs!B13)*BETAINV(RAND(),Model!H7,Model!I7)</f>
        <v>0.93414868742532753</v>
      </c>
      <c r="J467">
        <f ca="1">Inputs!E13+(Inputs!G13-Inputs!E13)*BETAINV(RAND(),Model!J7,Model!K7)</f>
        <v>0.2739454755078109</v>
      </c>
      <c r="K467">
        <f ca="1">(Inputs!H13+(Inputs!J13-Inputs!H13)*BETAINV(RAND(),Model!L7,Model!M7))*Inputs!$C$6</f>
        <v>23950.388727510279</v>
      </c>
      <c r="L467">
        <f t="shared" ca="1" si="151"/>
        <v>0.25590580637172877</v>
      </c>
      <c r="M467">
        <f t="shared" ca="1" si="152"/>
        <v>0.17663987393903002</v>
      </c>
      <c r="N467">
        <f t="shared" ca="1" si="153"/>
        <v>0</v>
      </c>
      <c r="O467" s="47">
        <f t="shared" ca="1" si="154"/>
        <v>0</v>
      </c>
      <c r="P467">
        <f ca="1">Inputs!B14+(Inputs!D14-Inputs!B14)*BETAINV(RAND(),Model!H8,Model!I8)</f>
        <v>0.45332524724779943</v>
      </c>
      <c r="Q467">
        <f ca="1">Inputs!E14+(Inputs!G14-Inputs!E14)*BETAINV(RAND(),Model!J8,Model!K8)</f>
        <v>0.58471796783196883</v>
      </c>
      <c r="R467">
        <f ca="1">(Inputs!H14+(Inputs!J14-Inputs!H14)*BETAINV(RAND(),Model!L8,Model!M8))*Inputs!$C$6</f>
        <v>413668.52940611745</v>
      </c>
      <c r="S467">
        <f t="shared" ca="1" si="155"/>
        <v>0.2650674173376581</v>
      </c>
      <c r="T467">
        <f t="shared" ca="1" si="156"/>
        <v>0.29267867385606905</v>
      </c>
      <c r="U467">
        <f t="shared" ca="1" si="157"/>
        <v>0</v>
      </c>
      <c r="V467" s="47">
        <f t="shared" ca="1" si="158"/>
        <v>0</v>
      </c>
      <c r="W467">
        <f ca="1">Inputs!B15+(Inputs!D15-Inputs!B15)*BETAINV(RAND(),Model!H9,Model!I9)</f>
        <v>1.4533934308295529</v>
      </c>
      <c r="X467">
        <f ca="1">Inputs!E15+(Inputs!G15-Inputs!E15)*BETAINV(RAND(),Model!J9,Model!K9)</f>
        <v>0.47689807926576422</v>
      </c>
      <c r="Y467">
        <f ca="1">(Inputs!H15+(Inputs!J15-Inputs!H15)*BETAINV(RAND(),Model!L9,Model!M9))*Inputs!$C$6</f>
        <v>14030.185449964329</v>
      </c>
      <c r="Z467">
        <f t="shared" ca="1" si="159"/>
        <v>0.69312053558009312</v>
      </c>
      <c r="AA467">
        <f t="shared" ca="1" si="160"/>
        <v>0.44763717659829771</v>
      </c>
      <c r="AB467">
        <f t="shared" ca="1" si="161"/>
        <v>0</v>
      </c>
      <c r="AC467" s="47">
        <f t="shared" ca="1" si="162"/>
        <v>0</v>
      </c>
      <c r="AD467">
        <f ca="1">Inputs!B16+(Inputs!D16-Inputs!B16)*BETAINV(RAND(),Model!H10,Model!I10)</f>
        <v>0.54904139490326664</v>
      </c>
      <c r="AE467">
        <f ca="1">Inputs!E16+(Inputs!G16-Inputs!E16)*BETAINV(RAND(),Model!J10,Model!K10)</f>
        <v>0.64317206152671158</v>
      </c>
      <c r="AF467">
        <f ca="1">(Inputs!H16+(Inputs!J16-Inputs!H16)*BETAINV(RAND(),Model!L10,Model!M10))*Inputs!$C$6</f>
        <v>115179.84004514871</v>
      </c>
      <c r="AG467">
        <f t="shared" ca="1" si="163"/>
        <v>0.35312808582343536</v>
      </c>
      <c r="AH467">
        <f t="shared" ca="1" si="164"/>
        <v>0.40928066419753373</v>
      </c>
      <c r="AI467">
        <f t="shared" ca="1" si="165"/>
        <v>0</v>
      </c>
      <c r="AJ467" s="47">
        <f t="shared" ca="1" si="166"/>
        <v>0</v>
      </c>
      <c r="AK467">
        <f t="shared" ca="1" si="167"/>
        <v>33432.356921871207</v>
      </c>
    </row>
    <row r="468" spans="2:37" x14ac:dyDescent="0.2">
      <c r="B468">
        <f ca="1">Inputs!B12+(Inputs!D12-Inputs!B12)*BETAINV(RAND(),Model!H6,Model!I6)</f>
        <v>2.5828597618854432</v>
      </c>
      <c r="C468">
        <f ca="1">Inputs!E12+(Inputs!G12-Inputs!E12)*BETAINV(RAND(),Model!J6,Model!K6)</f>
        <v>0.36663291335267784</v>
      </c>
      <c r="D468">
        <f ca="1">(Inputs!H12+(Inputs!J12-Inputs!H12)*BETAINV(RAND(),Model!L6,Model!M6))*Inputs!$C$6</f>
        <v>18709.205623395002</v>
      </c>
      <c r="E468">
        <f t="shared" ca="1" si="147"/>
        <v>0.94696139928146383</v>
      </c>
      <c r="F468">
        <f t="shared" ca="1" si="148"/>
        <v>0.9612442720297848</v>
      </c>
      <c r="G468">
        <f t="shared" ca="1" si="149"/>
        <v>3</v>
      </c>
      <c r="H468" s="47">
        <f t="shared" ca="1" si="150"/>
        <v>56127.616870185011</v>
      </c>
      <c r="I468">
        <f ca="1">Inputs!B13+(Inputs!D13-Inputs!B13)*BETAINV(RAND(),Model!H7,Model!I7)</f>
        <v>1.1042795526548319</v>
      </c>
      <c r="J468">
        <f ca="1">Inputs!E13+(Inputs!G13-Inputs!E13)*BETAINV(RAND(),Model!J7,Model!K7)</f>
        <v>0.33338962160011043</v>
      </c>
      <c r="K468">
        <f ca="1">(Inputs!H13+(Inputs!J13-Inputs!H13)*BETAINV(RAND(),Model!L7,Model!M7))*Inputs!$C$6</f>
        <v>23951.443869749997</v>
      </c>
      <c r="L468">
        <f t="shared" ca="1" si="151"/>
        <v>0.36815534220033364</v>
      </c>
      <c r="M468">
        <f t="shared" ca="1" si="152"/>
        <v>0.68122936614192198</v>
      </c>
      <c r="N468">
        <f t="shared" ca="1" si="153"/>
        <v>0</v>
      </c>
      <c r="O468" s="47">
        <f t="shared" ca="1" si="154"/>
        <v>0</v>
      </c>
      <c r="P468">
        <f ca="1">Inputs!B14+(Inputs!D14-Inputs!B14)*BETAINV(RAND(),Model!H8,Model!I8)</f>
        <v>0.42912474293725544</v>
      </c>
      <c r="Q468">
        <f ca="1">Inputs!E14+(Inputs!G14-Inputs!E14)*BETAINV(RAND(),Model!J8,Model!K8)</f>
        <v>0.45254528822447271</v>
      </c>
      <c r="R468">
        <f ca="1">(Inputs!H14+(Inputs!J14-Inputs!H14)*BETAINV(RAND(),Model!L8,Model!M8))*Inputs!$C$6</f>
        <v>190655.64755111924</v>
      </c>
      <c r="S468">
        <f t="shared" ca="1" si="155"/>
        <v>0.19419838047679303</v>
      </c>
      <c r="T468">
        <f t="shared" ca="1" si="156"/>
        <v>0.10847704199273345</v>
      </c>
      <c r="U468">
        <f t="shared" ca="1" si="157"/>
        <v>0</v>
      </c>
      <c r="V468" s="47">
        <f t="shared" ca="1" si="158"/>
        <v>0</v>
      </c>
      <c r="W468">
        <f ca="1">Inputs!B15+(Inputs!D15-Inputs!B15)*BETAINV(RAND(),Model!H9,Model!I9)</f>
        <v>0.83369175137345719</v>
      </c>
      <c r="X468">
        <f ca="1">Inputs!E15+(Inputs!G15-Inputs!E15)*BETAINV(RAND(),Model!J9,Model!K9)</f>
        <v>0.29047987289905974</v>
      </c>
      <c r="Y468">
        <f ca="1">(Inputs!H15+(Inputs!J15-Inputs!H15)*BETAINV(RAND(),Model!L9,Model!M9))*Inputs!$C$6</f>
        <v>29163.031007555368</v>
      </c>
      <c r="Z468">
        <f t="shared" ca="1" si="159"/>
        <v>0.24217067397595637</v>
      </c>
      <c r="AA468">
        <f t="shared" ca="1" si="160"/>
        <v>0.31659329492135657</v>
      </c>
      <c r="AB468">
        <f t="shared" ca="1" si="161"/>
        <v>0</v>
      </c>
      <c r="AC468" s="47">
        <f t="shared" ca="1" si="162"/>
        <v>0</v>
      </c>
      <c r="AD468">
        <f ca="1">Inputs!B16+(Inputs!D16-Inputs!B16)*BETAINV(RAND(),Model!H10,Model!I10)</f>
        <v>0.50956394435766961</v>
      </c>
      <c r="AE468">
        <f ca="1">Inputs!E16+(Inputs!G16-Inputs!E16)*BETAINV(RAND(),Model!J10,Model!K10)</f>
        <v>0.61039648834543958</v>
      </c>
      <c r="AF468">
        <f ca="1">(Inputs!H16+(Inputs!J16-Inputs!H16)*BETAINV(RAND(),Model!L10,Model!M10))*Inputs!$C$6</f>
        <v>99927.567555530506</v>
      </c>
      <c r="AG468">
        <f t="shared" ca="1" si="163"/>
        <v>0.3110360422233725</v>
      </c>
      <c r="AH468">
        <f t="shared" ca="1" si="164"/>
        <v>0.73364199927929663</v>
      </c>
      <c r="AI468">
        <f t="shared" ca="1" si="165"/>
        <v>1</v>
      </c>
      <c r="AJ468" s="47">
        <f t="shared" ca="1" si="166"/>
        <v>99927.567555530506</v>
      </c>
      <c r="AK468">
        <f t="shared" ca="1" si="167"/>
        <v>156055.18442571553</v>
      </c>
    </row>
    <row r="469" spans="2:37" x14ac:dyDescent="0.2">
      <c r="B469">
        <f ca="1">Inputs!B12+(Inputs!D12-Inputs!B12)*BETAINV(RAND(),Model!H6,Model!I6)</f>
        <v>4.5958430272728137</v>
      </c>
      <c r="C469">
        <f ca="1">Inputs!E12+(Inputs!G12-Inputs!E12)*BETAINV(RAND(),Model!J6,Model!K6)</f>
        <v>0.4413038903467762</v>
      </c>
      <c r="D469">
        <f ca="1">(Inputs!H12+(Inputs!J12-Inputs!H12)*BETAINV(RAND(),Model!L6,Model!M6))*Inputs!$C$6</f>
        <v>16424.258389672785</v>
      </c>
      <c r="E469">
        <f t="shared" ca="1" si="147"/>
        <v>2.0281634073585977</v>
      </c>
      <c r="F469">
        <f t="shared" ca="1" si="148"/>
        <v>0.77398033598560689</v>
      </c>
      <c r="G469">
        <f t="shared" ca="1" si="149"/>
        <v>3</v>
      </c>
      <c r="H469" s="47">
        <f t="shared" ca="1" si="150"/>
        <v>49272.77516901835</v>
      </c>
      <c r="I469">
        <f ca="1">Inputs!B13+(Inputs!D13-Inputs!B13)*BETAINV(RAND(),Model!H7,Model!I7)</f>
        <v>2.1767349780236041</v>
      </c>
      <c r="J469">
        <f ca="1">Inputs!E13+(Inputs!G13-Inputs!E13)*BETAINV(RAND(),Model!J7,Model!K7)</f>
        <v>0.38289177622581183</v>
      </c>
      <c r="K469">
        <f ca="1">(Inputs!H13+(Inputs!J13-Inputs!H13)*BETAINV(RAND(),Model!L7,Model!M7))*Inputs!$C$6</f>
        <v>15273.968489054203</v>
      </c>
      <c r="L469">
        <f t="shared" ca="1" si="151"/>
        <v>0.83345392210831126</v>
      </c>
      <c r="M469">
        <f t="shared" ca="1" si="152"/>
        <v>0.61179878755227468</v>
      </c>
      <c r="N469">
        <f t="shared" ca="1" si="153"/>
        <v>1</v>
      </c>
      <c r="O469" s="47">
        <f t="shared" ca="1" si="154"/>
        <v>15273.968489054203</v>
      </c>
      <c r="P469">
        <f ca="1">Inputs!B14+(Inputs!D14-Inputs!B14)*BETAINV(RAND(),Model!H8,Model!I8)</f>
        <v>0.32953143841411187</v>
      </c>
      <c r="Q469">
        <f ca="1">Inputs!E14+(Inputs!G14-Inputs!E14)*BETAINV(RAND(),Model!J8,Model!K8)</f>
        <v>0.39375971678042981</v>
      </c>
      <c r="R469">
        <f ca="1">(Inputs!H14+(Inputs!J14-Inputs!H14)*BETAINV(RAND(),Model!L8,Model!M8))*Inputs!$C$6</f>
        <v>265774.82973414438</v>
      </c>
      <c r="S469">
        <f t="shared" ca="1" si="155"/>
        <v>0.12975620586018835</v>
      </c>
      <c r="T469">
        <f t="shared" ca="1" si="156"/>
        <v>0.81703500086397618</v>
      </c>
      <c r="U469">
        <f t="shared" ca="1" si="157"/>
        <v>0</v>
      </c>
      <c r="V469" s="47">
        <f t="shared" ca="1" si="158"/>
        <v>0</v>
      </c>
      <c r="W469">
        <f ca="1">Inputs!B15+(Inputs!D15-Inputs!B15)*BETAINV(RAND(),Model!H9,Model!I9)</f>
        <v>0.99978682953485909</v>
      </c>
      <c r="X469">
        <f ca="1">Inputs!E15+(Inputs!G15-Inputs!E15)*BETAINV(RAND(),Model!J9,Model!K9)</f>
        <v>0.4852383181687564</v>
      </c>
      <c r="Y469">
        <f ca="1">(Inputs!H15+(Inputs!J15-Inputs!H15)*BETAINV(RAND(),Model!L9,Model!M9))*Inputs!$C$6</f>
        <v>45989.805901366184</v>
      </c>
      <c r="Z469">
        <f t="shared" ca="1" si="159"/>
        <v>0.48513487969076818</v>
      </c>
      <c r="AA469">
        <f t="shared" ca="1" si="160"/>
        <v>3.7741043699483612E-2</v>
      </c>
      <c r="AB469">
        <f t="shared" ca="1" si="161"/>
        <v>0</v>
      </c>
      <c r="AC469" s="47">
        <f t="shared" ca="1" si="162"/>
        <v>0</v>
      </c>
      <c r="AD469">
        <f ca="1">Inputs!B16+(Inputs!D16-Inputs!B16)*BETAINV(RAND(),Model!H10,Model!I10)</f>
        <v>0.72987443214946812</v>
      </c>
      <c r="AE469">
        <f ca="1">Inputs!E16+(Inputs!G16-Inputs!E16)*BETAINV(RAND(),Model!J10,Model!K10)</f>
        <v>0.71498860683223531</v>
      </c>
      <c r="AF469">
        <f ca="1">(Inputs!H16+(Inputs!J16-Inputs!H16)*BETAINV(RAND(),Model!L10,Model!M10))*Inputs!$C$6</f>
        <v>91752.960790615572</v>
      </c>
      <c r="AG469">
        <f t="shared" ca="1" si="163"/>
        <v>0.52185190340501708</v>
      </c>
      <c r="AH469">
        <f t="shared" ca="1" si="164"/>
        <v>5.8002304468293908E-2</v>
      </c>
      <c r="AI469">
        <f t="shared" ca="1" si="165"/>
        <v>0</v>
      </c>
      <c r="AJ469" s="47">
        <f t="shared" ca="1" si="166"/>
        <v>0</v>
      </c>
      <c r="AK469">
        <f t="shared" ca="1" si="167"/>
        <v>64546.743658072555</v>
      </c>
    </row>
    <row r="470" spans="2:37" x14ac:dyDescent="0.2">
      <c r="B470">
        <f ca="1">Inputs!B12+(Inputs!D12-Inputs!B12)*BETAINV(RAND(),Model!H6,Model!I6)</f>
        <v>1.7115375489831695</v>
      </c>
      <c r="C470">
        <f ca="1">Inputs!E12+(Inputs!G12-Inputs!E12)*BETAINV(RAND(),Model!J6,Model!K6)</f>
        <v>0.2908011701983334</v>
      </c>
      <c r="D470">
        <f ca="1">(Inputs!H12+(Inputs!J12-Inputs!H12)*BETAINV(RAND(),Model!L6,Model!M6))*Inputs!$C$6</f>
        <v>42385.018290684864</v>
      </c>
      <c r="E470">
        <f t="shared" ca="1" si="147"/>
        <v>0.49771712208269303</v>
      </c>
      <c r="F470">
        <f t="shared" ca="1" si="148"/>
        <v>0.34829646343858511</v>
      </c>
      <c r="G470">
        <f t="shared" ca="1" si="149"/>
        <v>0</v>
      </c>
      <c r="H470" s="47">
        <f t="shared" ca="1" si="150"/>
        <v>0</v>
      </c>
      <c r="I470">
        <f ca="1">Inputs!B13+(Inputs!D13-Inputs!B13)*BETAINV(RAND(),Model!H7,Model!I7)</f>
        <v>2.873095134311372</v>
      </c>
      <c r="J470">
        <f ca="1">Inputs!E13+(Inputs!G13-Inputs!E13)*BETAINV(RAND(),Model!J7,Model!K7)</f>
        <v>0.25980438050913557</v>
      </c>
      <c r="K470">
        <f ca="1">(Inputs!H13+(Inputs!J13-Inputs!H13)*BETAINV(RAND(),Model!L7,Model!M7))*Inputs!$C$6</f>
        <v>32670.475741953262</v>
      </c>
      <c r="L470">
        <f t="shared" ca="1" si="151"/>
        <v>0.74644270151357761</v>
      </c>
      <c r="M470">
        <f t="shared" ca="1" si="152"/>
        <v>0.27145248594568805</v>
      </c>
      <c r="N470">
        <f t="shared" ca="1" si="153"/>
        <v>0</v>
      </c>
      <c r="O470" s="47">
        <f t="shared" ca="1" si="154"/>
        <v>0</v>
      </c>
      <c r="P470">
        <f ca="1">Inputs!B14+(Inputs!D14-Inputs!B14)*BETAINV(RAND(),Model!H8,Model!I8)</f>
        <v>0.22351729434645701</v>
      </c>
      <c r="Q470">
        <f ca="1">Inputs!E14+(Inputs!G14-Inputs!E14)*BETAINV(RAND(),Model!J8,Model!K8)</f>
        <v>0.62368982833550113</v>
      </c>
      <c r="R470">
        <f ca="1">(Inputs!H14+(Inputs!J14-Inputs!H14)*BETAINV(RAND(),Model!L8,Model!M8))*Inputs!$C$6</f>
        <v>360312.55352417228</v>
      </c>
      <c r="S470">
        <f t="shared" ca="1" si="155"/>
        <v>0.13940546294095746</v>
      </c>
      <c r="T470">
        <f t="shared" ca="1" si="156"/>
        <v>0.65563364926253087</v>
      </c>
      <c r="U470">
        <f t="shared" ca="1" si="157"/>
        <v>0</v>
      </c>
      <c r="V470" s="47">
        <f t="shared" ca="1" si="158"/>
        <v>0</v>
      </c>
      <c r="W470">
        <f ca="1">Inputs!B15+(Inputs!D15-Inputs!B15)*BETAINV(RAND(),Model!H9,Model!I9)</f>
        <v>1.5051342734763573</v>
      </c>
      <c r="X470">
        <f ca="1">Inputs!E15+(Inputs!G15-Inputs!E15)*BETAINV(RAND(),Model!J9,Model!K9)</f>
        <v>0.32731142461313456</v>
      </c>
      <c r="Y470">
        <f ca="1">(Inputs!H15+(Inputs!J15-Inputs!H15)*BETAINV(RAND(),Model!L9,Model!M9))*Inputs!$C$6</f>
        <v>30348.906779922014</v>
      </c>
      <c r="Z470">
        <f t="shared" ca="1" si="159"/>
        <v>0.49264764328560179</v>
      </c>
      <c r="AA470">
        <f t="shared" ca="1" si="160"/>
        <v>0.31327656801947934</v>
      </c>
      <c r="AB470">
        <f t="shared" ca="1" si="161"/>
        <v>0</v>
      </c>
      <c r="AC470" s="47">
        <f t="shared" ca="1" si="162"/>
        <v>0</v>
      </c>
      <c r="AD470">
        <f ca="1">Inputs!B16+(Inputs!D16-Inputs!B16)*BETAINV(RAND(),Model!H10,Model!I10)</f>
        <v>0.69093731227740207</v>
      </c>
      <c r="AE470">
        <f ca="1">Inputs!E16+(Inputs!G16-Inputs!E16)*BETAINV(RAND(),Model!J10,Model!K10)</f>
        <v>0.4526572014846546</v>
      </c>
      <c r="AF470">
        <f ca="1">(Inputs!H16+(Inputs!J16-Inputs!H16)*BETAINV(RAND(),Model!L10,Model!M10))*Inputs!$C$6</f>
        <v>68036.290808033969</v>
      </c>
      <c r="AG470">
        <f t="shared" ca="1" si="163"/>
        <v>0.31275775017681773</v>
      </c>
      <c r="AH470">
        <f t="shared" ca="1" si="164"/>
        <v>0.67661072446913739</v>
      </c>
      <c r="AI470">
        <f t="shared" ca="1" si="165"/>
        <v>0</v>
      </c>
      <c r="AJ470" s="47">
        <f t="shared" ca="1" si="166"/>
        <v>0</v>
      </c>
      <c r="AK470">
        <f t="shared" ca="1" si="167"/>
        <v>0</v>
      </c>
    </row>
    <row r="471" spans="2:37" x14ac:dyDescent="0.2">
      <c r="B471">
        <f ca="1">Inputs!B12+(Inputs!D12-Inputs!B12)*BETAINV(RAND(),Model!H6,Model!I6)</f>
        <v>3.8980191605761085</v>
      </c>
      <c r="C471">
        <f ca="1">Inputs!E12+(Inputs!G12-Inputs!E12)*BETAINV(RAND(),Model!J6,Model!K6)</f>
        <v>0.26060457346935406</v>
      </c>
      <c r="D471">
        <f ca="1">(Inputs!H12+(Inputs!J12-Inputs!H12)*BETAINV(RAND(),Model!L6,Model!M6))*Inputs!$C$6</f>
        <v>16071.607467570619</v>
      </c>
      <c r="E471">
        <f t="shared" ca="1" si="147"/>
        <v>1.0158416207173062</v>
      </c>
      <c r="F471">
        <f t="shared" ca="1" si="148"/>
        <v>3.657131808198244E-2</v>
      </c>
      <c r="G471">
        <f t="shared" ca="1" si="149"/>
        <v>0</v>
      </c>
      <c r="H471" s="47">
        <f t="shared" ca="1" si="150"/>
        <v>0</v>
      </c>
      <c r="I471">
        <f ca="1">Inputs!B13+(Inputs!D13-Inputs!B13)*BETAINV(RAND(),Model!H7,Model!I7)</f>
        <v>1.4007375919357794</v>
      </c>
      <c r="J471">
        <f ca="1">Inputs!E13+(Inputs!G13-Inputs!E13)*BETAINV(RAND(),Model!J7,Model!K7)</f>
        <v>0.32530460354447066</v>
      </c>
      <c r="K471">
        <f ca="1">(Inputs!H13+(Inputs!J13-Inputs!H13)*BETAINV(RAND(),Model!L7,Model!M7))*Inputs!$C$6</f>
        <v>14180.487946925059</v>
      </c>
      <c r="L471">
        <f t="shared" ca="1" si="151"/>
        <v>0.45566638701450524</v>
      </c>
      <c r="M471">
        <f t="shared" ca="1" si="152"/>
        <v>0.75986062999505244</v>
      </c>
      <c r="N471">
        <f t="shared" ca="1" si="153"/>
        <v>1</v>
      </c>
      <c r="O471" s="47">
        <f t="shared" ca="1" si="154"/>
        <v>14180.487946925059</v>
      </c>
      <c r="P471">
        <f ca="1">Inputs!B14+(Inputs!D14-Inputs!B14)*BETAINV(RAND(),Model!H8,Model!I8)</f>
        <v>0.19767812759313816</v>
      </c>
      <c r="Q471">
        <f ca="1">Inputs!E14+(Inputs!G14-Inputs!E14)*BETAINV(RAND(),Model!J8,Model!K8)</f>
        <v>0.64996284559406314</v>
      </c>
      <c r="R471">
        <f ca="1">(Inputs!H14+(Inputs!J14-Inputs!H14)*BETAINV(RAND(),Model!L8,Model!M8))*Inputs!$C$6</f>
        <v>354199.83016281173</v>
      </c>
      <c r="S471">
        <f t="shared" ca="1" si="155"/>
        <v>0.12848343832214237</v>
      </c>
      <c r="T471">
        <f t="shared" ca="1" si="156"/>
        <v>0.48387880721933341</v>
      </c>
      <c r="U471">
        <f t="shared" ca="1" si="157"/>
        <v>0</v>
      </c>
      <c r="V471" s="47">
        <f t="shared" ca="1" si="158"/>
        <v>0</v>
      </c>
      <c r="W471">
        <f ca="1">Inputs!B15+(Inputs!D15-Inputs!B15)*BETAINV(RAND(),Model!H9,Model!I9)</f>
        <v>0.67151560546410782</v>
      </c>
      <c r="X471">
        <f ca="1">Inputs!E15+(Inputs!G15-Inputs!E15)*BETAINV(RAND(),Model!J9,Model!K9)</f>
        <v>0.59027486880698843</v>
      </c>
      <c r="Y471">
        <f ca="1">(Inputs!H15+(Inputs!J15-Inputs!H15)*BETAINV(RAND(),Model!L9,Model!M9))*Inputs!$C$6</f>
        <v>23258.104830859811</v>
      </c>
      <c r="Z471">
        <f t="shared" ca="1" si="159"/>
        <v>0.39637878591717163</v>
      </c>
      <c r="AA471">
        <f t="shared" ca="1" si="160"/>
        <v>0.1057676724829909</v>
      </c>
      <c r="AB471">
        <f t="shared" ca="1" si="161"/>
        <v>0</v>
      </c>
      <c r="AC471" s="47">
        <f t="shared" ca="1" si="162"/>
        <v>0</v>
      </c>
      <c r="AD471">
        <f ca="1">Inputs!B16+(Inputs!D16-Inputs!B16)*BETAINV(RAND(),Model!H10,Model!I10)</f>
        <v>0.39509288255735769</v>
      </c>
      <c r="AE471">
        <f ca="1">Inputs!E16+(Inputs!G16-Inputs!E16)*BETAINV(RAND(),Model!J10,Model!K10)</f>
        <v>0.52868486598193876</v>
      </c>
      <c r="AF471">
        <f ca="1">(Inputs!H16+(Inputs!J16-Inputs!H16)*BETAINV(RAND(),Model!L10,Model!M10))*Inputs!$C$6</f>
        <v>115629.13049221082</v>
      </c>
      <c r="AG471">
        <f t="shared" ca="1" si="163"/>
        <v>0.20887962766525453</v>
      </c>
      <c r="AH471">
        <f t="shared" ca="1" si="164"/>
        <v>0.51663430070499872</v>
      </c>
      <c r="AI471">
        <f t="shared" ca="1" si="165"/>
        <v>0</v>
      </c>
      <c r="AJ471" s="47">
        <f t="shared" ca="1" si="166"/>
        <v>0</v>
      </c>
      <c r="AK471">
        <f t="shared" ca="1" si="167"/>
        <v>14180.487946925059</v>
      </c>
    </row>
    <row r="472" spans="2:37" x14ac:dyDescent="0.2">
      <c r="B472">
        <f ca="1">Inputs!B12+(Inputs!D12-Inputs!B12)*BETAINV(RAND(),Model!H6,Model!I6)</f>
        <v>3.5714563675326745</v>
      </c>
      <c r="C472">
        <f ca="1">Inputs!E12+(Inputs!G12-Inputs!E12)*BETAINV(RAND(),Model!J6,Model!K6)</f>
        <v>0.24115715583508296</v>
      </c>
      <c r="D472">
        <f ca="1">(Inputs!H12+(Inputs!J12-Inputs!H12)*BETAINV(RAND(),Model!L6,Model!M6))*Inputs!$C$6</f>
        <v>53761.188014039748</v>
      </c>
      <c r="E472">
        <f t="shared" ca="1" si="147"/>
        <v>0.86128225978327655</v>
      </c>
      <c r="F472">
        <f t="shared" ca="1" si="148"/>
        <v>0.71475705747973728</v>
      </c>
      <c r="G472">
        <f t="shared" ca="1" si="149"/>
        <v>1</v>
      </c>
      <c r="H472" s="47">
        <f t="shared" ca="1" si="150"/>
        <v>53761.188014039748</v>
      </c>
      <c r="I472">
        <f ca="1">Inputs!B13+(Inputs!D13-Inputs!B13)*BETAINV(RAND(),Model!H7,Model!I7)</f>
        <v>2.283569396963038</v>
      </c>
      <c r="J472">
        <f ca="1">Inputs!E13+(Inputs!G13-Inputs!E13)*BETAINV(RAND(),Model!J7,Model!K7)</f>
        <v>0.34367092782159914</v>
      </c>
      <c r="K472">
        <f ca="1">(Inputs!H13+(Inputs!J13-Inputs!H13)*BETAINV(RAND(),Model!L7,Model!M7))*Inputs!$C$6</f>
        <v>44032.823162968591</v>
      </c>
      <c r="L472">
        <f t="shared" ca="1" si="151"/>
        <v>0.78479641339929684</v>
      </c>
      <c r="M472">
        <f t="shared" ca="1" si="152"/>
        <v>0.33566174636351886</v>
      </c>
      <c r="N472">
        <f t="shared" ca="1" si="153"/>
        <v>0</v>
      </c>
      <c r="O472" s="47">
        <f t="shared" ca="1" si="154"/>
        <v>0</v>
      </c>
      <c r="P472">
        <f ca="1">Inputs!B14+(Inputs!D14-Inputs!B14)*BETAINV(RAND(),Model!H8,Model!I8)</f>
        <v>0.22364157874073473</v>
      </c>
      <c r="Q472">
        <f ca="1">Inputs!E14+(Inputs!G14-Inputs!E14)*BETAINV(RAND(),Model!J8,Model!K8)</f>
        <v>0.36896524044038181</v>
      </c>
      <c r="R472">
        <f ca="1">(Inputs!H14+(Inputs!J14-Inputs!H14)*BETAINV(RAND(),Model!L8,Model!M8))*Inputs!$C$6</f>
        <v>382521.05241043377</v>
      </c>
      <c r="S472">
        <f t="shared" ca="1" si="155"/>
        <v>8.251596887254177E-2</v>
      </c>
      <c r="T472">
        <f t="shared" ca="1" si="156"/>
        <v>0.62395975200064013</v>
      </c>
      <c r="U472">
        <f t="shared" ca="1" si="157"/>
        <v>0</v>
      </c>
      <c r="V472" s="47">
        <f t="shared" ca="1" si="158"/>
        <v>0</v>
      </c>
      <c r="W472">
        <f ca="1">Inputs!B15+(Inputs!D15-Inputs!B15)*BETAINV(RAND(),Model!H9,Model!I9)</f>
        <v>1.5491288278238646</v>
      </c>
      <c r="X472">
        <f ca="1">Inputs!E15+(Inputs!G15-Inputs!E15)*BETAINV(RAND(),Model!J9,Model!K9)</f>
        <v>0.30426636212587665</v>
      </c>
      <c r="Y472">
        <f ca="1">(Inputs!H15+(Inputs!J15-Inputs!H15)*BETAINV(RAND(),Model!L9,Model!M9))*Inputs!$C$6</f>
        <v>18297.210317526849</v>
      </c>
      <c r="Z472">
        <f t="shared" ca="1" si="159"/>
        <v>0.47134779290629081</v>
      </c>
      <c r="AA472">
        <f t="shared" ca="1" si="160"/>
        <v>0.50247664782811763</v>
      </c>
      <c r="AB472">
        <f t="shared" ca="1" si="161"/>
        <v>0</v>
      </c>
      <c r="AC472" s="47">
        <f t="shared" ca="1" si="162"/>
        <v>0</v>
      </c>
      <c r="AD472">
        <f ca="1">Inputs!B16+(Inputs!D16-Inputs!B16)*BETAINV(RAND(),Model!H10,Model!I10)</f>
        <v>0.53711726843586971</v>
      </c>
      <c r="AE472">
        <f ca="1">Inputs!E16+(Inputs!G16-Inputs!E16)*BETAINV(RAND(),Model!J10,Model!K10)</f>
        <v>0.46299921947818801</v>
      </c>
      <c r="AF472">
        <f ca="1">(Inputs!H16+(Inputs!J16-Inputs!H16)*BETAINV(RAND(),Model!L10,Model!M10))*Inputs!$C$6</f>
        <v>137447.9747861425</v>
      </c>
      <c r="AG472">
        <f t="shared" ca="1" si="163"/>
        <v>0.24868487605406406</v>
      </c>
      <c r="AH472">
        <f t="shared" ca="1" si="164"/>
        <v>0.53744735222182294</v>
      </c>
      <c r="AI472">
        <f t="shared" ca="1" si="165"/>
        <v>0</v>
      </c>
      <c r="AJ472" s="47">
        <f t="shared" ca="1" si="166"/>
        <v>0</v>
      </c>
      <c r="AK472">
        <f t="shared" ca="1" si="167"/>
        <v>53761.188014039748</v>
      </c>
    </row>
    <row r="473" spans="2:37" x14ac:dyDescent="0.2">
      <c r="B473">
        <f ca="1">Inputs!B12+(Inputs!D12-Inputs!B12)*BETAINV(RAND(),Model!H6,Model!I6)</f>
        <v>4.5436646943885091</v>
      </c>
      <c r="C473">
        <f ca="1">Inputs!E12+(Inputs!G12-Inputs!E12)*BETAINV(RAND(),Model!J6,Model!K6)</f>
        <v>0.26260355719741718</v>
      </c>
      <c r="D473">
        <f ca="1">(Inputs!H12+(Inputs!J12-Inputs!H12)*BETAINV(RAND(),Model!L6,Model!M6))*Inputs!$C$6</f>
        <v>23024.215210394617</v>
      </c>
      <c r="E473">
        <f t="shared" ca="1" si="147"/>
        <v>1.193182511458738</v>
      </c>
      <c r="F473">
        <f t="shared" ca="1" si="148"/>
        <v>0.97953145939494302</v>
      </c>
      <c r="G473">
        <f t="shared" ca="1" si="149"/>
        <v>4</v>
      </c>
      <c r="H473" s="47">
        <f t="shared" ca="1" si="150"/>
        <v>92096.860841578469</v>
      </c>
      <c r="I473">
        <f ca="1">Inputs!B13+(Inputs!D13-Inputs!B13)*BETAINV(RAND(),Model!H7,Model!I7)</f>
        <v>2.0598105155538784</v>
      </c>
      <c r="J473">
        <f ca="1">Inputs!E13+(Inputs!G13-Inputs!E13)*BETAINV(RAND(),Model!J7,Model!K7)</f>
        <v>0.34697070451030931</v>
      </c>
      <c r="K473">
        <f ca="1">(Inputs!H13+(Inputs!J13-Inputs!H13)*BETAINV(RAND(),Model!L7,Model!M7))*Inputs!$C$6</f>
        <v>14080.106780106016</v>
      </c>
      <c r="L473">
        <f t="shared" ca="1" si="151"/>
        <v>0.71469390573947267</v>
      </c>
      <c r="M473">
        <f t="shared" ca="1" si="152"/>
        <v>0.8104215702355887</v>
      </c>
      <c r="N473">
        <f t="shared" ca="1" si="153"/>
        <v>1</v>
      </c>
      <c r="O473" s="47">
        <f t="shared" ca="1" si="154"/>
        <v>14080.106780106016</v>
      </c>
      <c r="P473">
        <f ca="1">Inputs!B14+(Inputs!D14-Inputs!B14)*BETAINV(RAND(),Model!H8,Model!I8)</f>
        <v>0.46320860533978747</v>
      </c>
      <c r="Q473">
        <f ca="1">Inputs!E14+(Inputs!G14-Inputs!E14)*BETAINV(RAND(),Model!J8,Model!K8)</f>
        <v>0.38967984695793745</v>
      </c>
      <c r="R473">
        <f ca="1">(Inputs!H14+(Inputs!J14-Inputs!H14)*BETAINV(RAND(),Model!L8,Model!M8))*Inputs!$C$6</f>
        <v>352835.70513120259</v>
      </c>
      <c r="S473">
        <f t="shared" ca="1" si="155"/>
        <v>0.18050305843840803</v>
      </c>
      <c r="T473">
        <f t="shared" ca="1" si="156"/>
        <v>0.55561700742929487</v>
      </c>
      <c r="U473">
        <f t="shared" ca="1" si="157"/>
        <v>0</v>
      </c>
      <c r="V473" s="47">
        <f t="shared" ca="1" si="158"/>
        <v>0</v>
      </c>
      <c r="W473">
        <f ca="1">Inputs!B15+(Inputs!D15-Inputs!B15)*BETAINV(RAND(),Model!H9,Model!I9)</f>
        <v>1.0681290899163072</v>
      </c>
      <c r="X473">
        <f ca="1">Inputs!E15+(Inputs!G15-Inputs!E15)*BETAINV(RAND(),Model!J9,Model!K9)</f>
        <v>0.44957863151267874</v>
      </c>
      <c r="Y473">
        <f ca="1">(Inputs!H15+(Inputs!J15-Inputs!H15)*BETAINV(RAND(),Model!L9,Model!M9))*Inputs!$C$6</f>
        <v>56116.950345010162</v>
      </c>
      <c r="Z473">
        <f t="shared" ca="1" si="159"/>
        <v>0.48020801452345635</v>
      </c>
      <c r="AA473">
        <f t="shared" ca="1" si="160"/>
        <v>0.27267567412765392</v>
      </c>
      <c r="AB473">
        <f t="shared" ca="1" si="161"/>
        <v>0</v>
      </c>
      <c r="AC473" s="47">
        <f t="shared" ca="1" si="162"/>
        <v>0</v>
      </c>
      <c r="AD473">
        <f ca="1">Inputs!B16+(Inputs!D16-Inputs!B16)*BETAINV(RAND(),Model!H10,Model!I10)</f>
        <v>0.64342664162969809</v>
      </c>
      <c r="AE473">
        <f ca="1">Inputs!E16+(Inputs!G16-Inputs!E16)*BETAINV(RAND(),Model!J10,Model!K10)</f>
        <v>0.50554284306367814</v>
      </c>
      <c r="AF473">
        <f ca="1">(Inputs!H16+(Inputs!J16-Inputs!H16)*BETAINV(RAND(),Model!L10,Model!M10))*Inputs!$C$6</f>
        <v>73519.571413987695</v>
      </c>
      <c r="AG473">
        <f t="shared" ca="1" si="163"/>
        <v>0.32527973371239194</v>
      </c>
      <c r="AH473">
        <f t="shared" ca="1" si="164"/>
        <v>0.40970666092421459</v>
      </c>
      <c r="AI473">
        <f t="shared" ca="1" si="165"/>
        <v>0</v>
      </c>
      <c r="AJ473" s="47">
        <f t="shared" ca="1" si="166"/>
        <v>0</v>
      </c>
      <c r="AK473">
        <f t="shared" ca="1" si="167"/>
        <v>106176.96762168448</v>
      </c>
    </row>
    <row r="474" spans="2:37" x14ac:dyDescent="0.2">
      <c r="B474">
        <f ca="1">Inputs!B12+(Inputs!D12-Inputs!B12)*BETAINV(RAND(),Model!H6,Model!I6)</f>
        <v>4.7861002649870121</v>
      </c>
      <c r="C474">
        <f ca="1">Inputs!E12+(Inputs!G12-Inputs!E12)*BETAINV(RAND(),Model!J6,Model!K6)</f>
        <v>0.30759738910265444</v>
      </c>
      <c r="D474">
        <f ca="1">(Inputs!H12+(Inputs!J12-Inputs!H12)*BETAINV(RAND(),Model!L6,Model!M6))*Inputs!$C$6</f>
        <v>37966.966717141586</v>
      </c>
      <c r="E474">
        <f t="shared" ca="1" si="147"/>
        <v>1.4721919454935275</v>
      </c>
      <c r="F474">
        <f t="shared" ca="1" si="148"/>
        <v>0.69133759668862382</v>
      </c>
      <c r="G474">
        <f t="shared" ca="1" si="149"/>
        <v>2</v>
      </c>
      <c r="H474" s="47">
        <f t="shared" ca="1" si="150"/>
        <v>75933.933434283172</v>
      </c>
      <c r="I474">
        <f ca="1">Inputs!B13+(Inputs!D13-Inputs!B13)*BETAINV(RAND(),Model!H7,Model!I7)</f>
        <v>2.7983990620969572</v>
      </c>
      <c r="J474">
        <f ca="1">Inputs!E13+(Inputs!G13-Inputs!E13)*BETAINV(RAND(),Model!J7,Model!K7)</f>
        <v>0.22154365471213477</v>
      </c>
      <c r="K474">
        <f ca="1">(Inputs!H13+(Inputs!J13-Inputs!H13)*BETAINV(RAND(),Model!L7,Model!M7))*Inputs!$C$6</f>
        <v>42015.129720477154</v>
      </c>
      <c r="L474">
        <f t="shared" ca="1" si="151"/>
        <v>0.61996755555997007</v>
      </c>
      <c r="M474">
        <f t="shared" ca="1" si="152"/>
        <v>0.39034863864005209</v>
      </c>
      <c r="N474">
        <f t="shared" ca="1" si="153"/>
        <v>0</v>
      </c>
      <c r="O474" s="47">
        <f t="shared" ca="1" si="154"/>
        <v>0</v>
      </c>
      <c r="P474">
        <f ca="1">Inputs!B14+(Inputs!D14-Inputs!B14)*BETAINV(RAND(),Model!H8,Model!I8)</f>
        <v>0.38664255004819359</v>
      </c>
      <c r="Q474">
        <f ca="1">Inputs!E14+(Inputs!G14-Inputs!E14)*BETAINV(RAND(),Model!J8,Model!K8)</f>
        <v>0.49846274982673355</v>
      </c>
      <c r="R474">
        <f ca="1">(Inputs!H14+(Inputs!J14-Inputs!H14)*BETAINV(RAND(),Model!L8,Model!M8))*Inputs!$C$6</f>
        <v>298745.06785655051</v>
      </c>
      <c r="S474">
        <f t="shared" ca="1" si="155"/>
        <v>0.19272690869704304</v>
      </c>
      <c r="T474">
        <f t="shared" ca="1" si="156"/>
        <v>0.444091740516389</v>
      </c>
      <c r="U474">
        <f t="shared" ca="1" si="157"/>
        <v>0</v>
      </c>
      <c r="V474" s="47">
        <f t="shared" ca="1" si="158"/>
        <v>0</v>
      </c>
      <c r="W474">
        <f ca="1">Inputs!B15+(Inputs!D15-Inputs!B15)*BETAINV(RAND(),Model!H9,Model!I9)</f>
        <v>1.5902401299386151</v>
      </c>
      <c r="X474">
        <f ca="1">Inputs!E15+(Inputs!G15-Inputs!E15)*BETAINV(RAND(),Model!J9,Model!K9)</f>
        <v>0.37931810850558989</v>
      </c>
      <c r="Y474">
        <f ca="1">(Inputs!H15+(Inputs!J15-Inputs!H15)*BETAINV(RAND(),Model!L9,Model!M9))*Inputs!$C$6</f>
        <v>19087.169654307596</v>
      </c>
      <c r="Z474">
        <f t="shared" ca="1" si="159"/>
        <v>0.603206878157999</v>
      </c>
      <c r="AA474">
        <f t="shared" ca="1" si="160"/>
        <v>6.7040826076232518E-2</v>
      </c>
      <c r="AB474">
        <f t="shared" ca="1" si="161"/>
        <v>0</v>
      </c>
      <c r="AC474" s="47">
        <f t="shared" ca="1" si="162"/>
        <v>0</v>
      </c>
      <c r="AD474">
        <f ca="1">Inputs!B16+(Inputs!D16-Inputs!B16)*BETAINV(RAND(),Model!H10,Model!I10)</f>
        <v>0.86838758220284418</v>
      </c>
      <c r="AE474">
        <f ca="1">Inputs!E16+(Inputs!G16-Inputs!E16)*BETAINV(RAND(),Model!J10,Model!K10)</f>
        <v>0.63895104548856607</v>
      </c>
      <c r="AF474">
        <f ca="1">(Inputs!H16+(Inputs!J16-Inputs!H16)*BETAINV(RAND(),Model!L10,Model!M10))*Inputs!$C$6</f>
        <v>53715.2370242611</v>
      </c>
      <c r="AG474">
        <f t="shared" ca="1" si="163"/>
        <v>0.55485715353779541</v>
      </c>
      <c r="AH474">
        <f t="shared" ca="1" si="164"/>
        <v>0.33805719342120388</v>
      </c>
      <c r="AI474">
        <f t="shared" ca="1" si="165"/>
        <v>0</v>
      </c>
      <c r="AJ474" s="47">
        <f t="shared" ca="1" si="166"/>
        <v>0</v>
      </c>
      <c r="AK474">
        <f t="shared" ca="1" si="167"/>
        <v>75933.933434283172</v>
      </c>
    </row>
    <row r="475" spans="2:37" x14ac:dyDescent="0.2">
      <c r="B475">
        <f ca="1">Inputs!B12+(Inputs!D12-Inputs!B12)*BETAINV(RAND(),Model!H6,Model!I6)</f>
        <v>4.4967645771226881</v>
      </c>
      <c r="C475">
        <f ca="1">Inputs!E12+(Inputs!G12-Inputs!E12)*BETAINV(RAND(),Model!J6,Model!K6)</f>
        <v>0.38365569061182742</v>
      </c>
      <c r="D475">
        <f ca="1">(Inputs!H12+(Inputs!J12-Inputs!H12)*BETAINV(RAND(),Model!L6,Model!M6))*Inputs!$C$6</f>
        <v>9495.1599103683911</v>
      </c>
      <c r="E475">
        <f t="shared" ca="1" si="147"/>
        <v>1.725209319354807</v>
      </c>
      <c r="F475">
        <f t="shared" ca="1" si="148"/>
        <v>0.98781443725175699</v>
      </c>
      <c r="G475">
        <f t="shared" ca="1" si="149"/>
        <v>4</v>
      </c>
      <c r="H475" s="47">
        <f t="shared" ca="1" si="150"/>
        <v>37980.639641473565</v>
      </c>
      <c r="I475">
        <f ca="1">Inputs!B13+(Inputs!D13-Inputs!B13)*BETAINV(RAND(),Model!H7,Model!I7)</f>
        <v>3.0948316168171859</v>
      </c>
      <c r="J475">
        <f ca="1">Inputs!E13+(Inputs!G13-Inputs!E13)*BETAINV(RAND(),Model!J7,Model!K7)</f>
        <v>0.31228371917578368</v>
      </c>
      <c r="K475">
        <f ca="1">(Inputs!H13+(Inputs!J13-Inputs!H13)*BETAINV(RAND(),Model!L7,Model!M7))*Inputs!$C$6</f>
        <v>66575.728093248617</v>
      </c>
      <c r="L475">
        <f t="shared" ca="1" si="151"/>
        <v>0.96646552752247461</v>
      </c>
      <c r="M475">
        <f t="shared" ca="1" si="152"/>
        <v>0.64888219632415933</v>
      </c>
      <c r="N475">
        <f t="shared" ca="1" si="153"/>
        <v>1</v>
      </c>
      <c r="O475" s="47">
        <f t="shared" ca="1" si="154"/>
        <v>66575.728093248617</v>
      </c>
      <c r="P475">
        <f ca="1">Inputs!B14+(Inputs!D14-Inputs!B14)*BETAINV(RAND(),Model!H8,Model!I8)</f>
        <v>0.27324598677792877</v>
      </c>
      <c r="Q475">
        <f ca="1">Inputs!E14+(Inputs!G14-Inputs!E14)*BETAINV(RAND(),Model!J8,Model!K8)</f>
        <v>0.7675467259540425</v>
      </c>
      <c r="R475">
        <f ca="1">(Inputs!H14+(Inputs!J14-Inputs!H14)*BETAINV(RAND(),Model!L8,Model!M8))*Inputs!$C$6</f>
        <v>351817.00283672631</v>
      </c>
      <c r="S475">
        <f t="shared" ca="1" si="155"/>
        <v>0.20972906253148083</v>
      </c>
      <c r="T475">
        <f t="shared" ca="1" si="156"/>
        <v>0.21389641316210461</v>
      </c>
      <c r="U475">
        <f t="shared" ca="1" si="157"/>
        <v>0</v>
      </c>
      <c r="V475" s="47">
        <f t="shared" ca="1" si="158"/>
        <v>0</v>
      </c>
      <c r="W475">
        <f ca="1">Inputs!B15+(Inputs!D15-Inputs!B15)*BETAINV(RAND(),Model!H9,Model!I9)</f>
        <v>0.58915688393278098</v>
      </c>
      <c r="X475">
        <f ca="1">Inputs!E15+(Inputs!G15-Inputs!E15)*BETAINV(RAND(),Model!J9,Model!K9)</f>
        <v>0.23071176349462921</v>
      </c>
      <c r="Y475">
        <f ca="1">(Inputs!H15+(Inputs!J15-Inputs!H15)*BETAINV(RAND(),Model!L9,Model!M9))*Inputs!$C$6</f>
        <v>18450.457084584919</v>
      </c>
      <c r="Z475">
        <f t="shared" ca="1" si="159"/>
        <v>0.13592542366713248</v>
      </c>
      <c r="AA475">
        <f t="shared" ca="1" si="160"/>
        <v>3.0041893453985447E-2</v>
      </c>
      <c r="AB475">
        <f t="shared" ca="1" si="161"/>
        <v>0</v>
      </c>
      <c r="AC475" s="47">
        <f t="shared" ca="1" si="162"/>
        <v>0</v>
      </c>
      <c r="AD475">
        <f ca="1">Inputs!B16+(Inputs!D16-Inputs!B16)*BETAINV(RAND(),Model!H10,Model!I10)</f>
        <v>0.81331474903080903</v>
      </c>
      <c r="AE475">
        <f ca="1">Inputs!E16+(Inputs!G16-Inputs!E16)*BETAINV(RAND(),Model!J10,Model!K10)</f>
        <v>0.57484365662413195</v>
      </c>
      <c r="AF475">
        <f ca="1">(Inputs!H16+(Inputs!J16-Inputs!H16)*BETAINV(RAND(),Model!L10,Model!M10))*Inputs!$C$6</f>
        <v>44438.90867140617</v>
      </c>
      <c r="AG475">
        <f t="shared" ca="1" si="163"/>
        <v>0.46752882431920845</v>
      </c>
      <c r="AH475">
        <f t="shared" ca="1" si="164"/>
        <v>0.88401564853757786</v>
      </c>
      <c r="AI475">
        <f t="shared" ca="1" si="165"/>
        <v>1</v>
      </c>
      <c r="AJ475" s="47">
        <f t="shared" ca="1" si="166"/>
        <v>44438.90867140617</v>
      </c>
      <c r="AK475">
        <f t="shared" ca="1" si="167"/>
        <v>148995.27640612837</v>
      </c>
    </row>
    <row r="476" spans="2:37" x14ac:dyDescent="0.2">
      <c r="B476">
        <f ca="1">Inputs!B12+(Inputs!D12-Inputs!B12)*BETAINV(RAND(),Model!H6,Model!I6)</f>
        <v>4.4974225670348815</v>
      </c>
      <c r="C476">
        <f ca="1">Inputs!E12+(Inputs!G12-Inputs!E12)*BETAINV(RAND(),Model!J6,Model!K6)</f>
        <v>0.35306390028509094</v>
      </c>
      <c r="D476">
        <f ca="1">(Inputs!H12+(Inputs!J12-Inputs!H12)*BETAINV(RAND(),Model!L6,Model!M6))*Inputs!$C$6</f>
        <v>9879.8945785254873</v>
      </c>
      <c r="E476">
        <f t="shared" ca="1" si="147"/>
        <v>1.5878775527475211</v>
      </c>
      <c r="F476">
        <f t="shared" ca="1" si="148"/>
        <v>0.44263446883565605</v>
      </c>
      <c r="G476">
        <f t="shared" ca="1" si="149"/>
        <v>1</v>
      </c>
      <c r="H476" s="47">
        <f t="shared" ca="1" si="150"/>
        <v>9879.8945785254873</v>
      </c>
      <c r="I476">
        <f ca="1">Inputs!B13+(Inputs!D13-Inputs!B13)*BETAINV(RAND(),Model!H7,Model!I7)</f>
        <v>1.6962432739732498</v>
      </c>
      <c r="J476">
        <f ca="1">Inputs!E13+(Inputs!G13-Inputs!E13)*BETAINV(RAND(),Model!J7,Model!K7)</f>
        <v>0.23240392446487598</v>
      </c>
      <c r="K476">
        <f ca="1">(Inputs!H13+(Inputs!J13-Inputs!H13)*BETAINV(RAND(),Model!L7,Model!M7))*Inputs!$C$6</f>
        <v>59777.132993959523</v>
      </c>
      <c r="L476">
        <f t="shared" ca="1" si="151"/>
        <v>0.3942135937185331</v>
      </c>
      <c r="M476">
        <f t="shared" ca="1" si="152"/>
        <v>0.63271894689744645</v>
      </c>
      <c r="N476">
        <f t="shared" ca="1" si="153"/>
        <v>0</v>
      </c>
      <c r="O476" s="47">
        <f t="shared" ca="1" si="154"/>
        <v>0</v>
      </c>
      <c r="P476">
        <f ca="1">Inputs!B14+(Inputs!D14-Inputs!B14)*BETAINV(RAND(),Model!H8,Model!I8)</f>
        <v>0.41020638940903476</v>
      </c>
      <c r="Q476">
        <f ca="1">Inputs!E14+(Inputs!G14-Inputs!E14)*BETAINV(RAND(),Model!J8,Model!K8)</f>
        <v>0.3748206764565708</v>
      </c>
      <c r="R476">
        <f ca="1">(Inputs!H14+(Inputs!J14-Inputs!H14)*BETAINV(RAND(),Model!L8,Model!M8))*Inputs!$C$6</f>
        <v>429111.73237211257</v>
      </c>
      <c r="S476">
        <f t="shared" ca="1" si="155"/>
        <v>0.1537538363651019</v>
      </c>
      <c r="T476">
        <f t="shared" ca="1" si="156"/>
        <v>0.82557405214102819</v>
      </c>
      <c r="U476">
        <f t="shared" ca="1" si="157"/>
        <v>0</v>
      </c>
      <c r="V476" s="47">
        <f t="shared" ca="1" si="158"/>
        <v>0</v>
      </c>
      <c r="W476">
        <f ca="1">Inputs!B15+(Inputs!D15-Inputs!B15)*BETAINV(RAND(),Model!H9,Model!I9)</f>
        <v>0.861469660796502</v>
      </c>
      <c r="X476">
        <f ca="1">Inputs!E15+(Inputs!G15-Inputs!E15)*BETAINV(RAND(),Model!J9,Model!K9)</f>
        <v>0.54720842827503691</v>
      </c>
      <c r="Y476">
        <f ca="1">(Inputs!H15+(Inputs!J15-Inputs!H15)*BETAINV(RAND(),Model!L9,Model!M9))*Inputs!$C$6</f>
        <v>32742.249508990368</v>
      </c>
      <c r="Z476">
        <f t="shared" ca="1" si="159"/>
        <v>0.47140345909108305</v>
      </c>
      <c r="AA476">
        <f t="shared" ca="1" si="160"/>
        <v>0.75296496060066898</v>
      </c>
      <c r="AB476">
        <f t="shared" ca="1" si="161"/>
        <v>1</v>
      </c>
      <c r="AC476" s="47">
        <f t="shared" ca="1" si="162"/>
        <v>32742.249508990368</v>
      </c>
      <c r="AD476">
        <f ca="1">Inputs!B16+(Inputs!D16-Inputs!B16)*BETAINV(RAND(),Model!H10,Model!I10)</f>
        <v>0.82997346649967874</v>
      </c>
      <c r="AE476">
        <f ca="1">Inputs!E16+(Inputs!G16-Inputs!E16)*BETAINV(RAND(),Model!J10,Model!K10)</f>
        <v>0.46180426407028896</v>
      </c>
      <c r="AF476">
        <f ca="1">(Inputs!H16+(Inputs!J16-Inputs!H16)*BETAINV(RAND(),Model!L10,Model!M10))*Inputs!$C$6</f>
        <v>96212.602353214912</v>
      </c>
      <c r="AG476">
        <f t="shared" ca="1" si="163"/>
        <v>0.38328528589475075</v>
      </c>
      <c r="AH476">
        <f t="shared" ca="1" si="164"/>
        <v>0.71439117522339846</v>
      </c>
      <c r="AI476">
        <f t="shared" ca="1" si="165"/>
        <v>1</v>
      </c>
      <c r="AJ476" s="47">
        <f t="shared" ca="1" si="166"/>
        <v>96212.602353214912</v>
      </c>
      <c r="AK476">
        <f t="shared" ca="1" si="167"/>
        <v>138834.74644073076</v>
      </c>
    </row>
    <row r="477" spans="2:37" x14ac:dyDescent="0.2">
      <c r="B477">
        <f ca="1">Inputs!B12+(Inputs!D12-Inputs!B12)*BETAINV(RAND(),Model!H6,Model!I6)</f>
        <v>3.7134794901021335</v>
      </c>
      <c r="C477">
        <f ca="1">Inputs!E12+(Inputs!G12-Inputs!E12)*BETAINV(RAND(),Model!J6,Model!K6)</f>
        <v>0.36808741692247904</v>
      </c>
      <c r="D477">
        <f ca="1">(Inputs!H12+(Inputs!J12-Inputs!H12)*BETAINV(RAND(),Model!L6,Model!M6))*Inputs!$C$6</f>
        <v>44653.730852152803</v>
      </c>
      <c r="E477">
        <f t="shared" ca="1" si="147"/>
        <v>1.3668850733062989</v>
      </c>
      <c r="F477">
        <f t="shared" ca="1" si="148"/>
        <v>0.86536656012170576</v>
      </c>
      <c r="G477">
        <f t="shared" ca="1" si="149"/>
        <v>3</v>
      </c>
      <c r="H477" s="47">
        <f t="shared" ca="1" si="150"/>
        <v>133961.19255645841</v>
      </c>
      <c r="I477">
        <f ca="1">Inputs!B13+(Inputs!D13-Inputs!B13)*BETAINV(RAND(),Model!H7,Model!I7)</f>
        <v>2.4696580951375817</v>
      </c>
      <c r="J477">
        <f ca="1">Inputs!E13+(Inputs!G13-Inputs!E13)*BETAINV(RAND(),Model!J7,Model!K7)</f>
        <v>0.30489512218137138</v>
      </c>
      <c r="K477">
        <f ca="1">(Inputs!H13+(Inputs!J13-Inputs!H13)*BETAINV(RAND(),Model!L7,Model!M7))*Inputs!$C$6</f>
        <v>35479.886333566086</v>
      </c>
      <c r="L477">
        <f t="shared" ca="1" si="151"/>
        <v>0.7529867066631859</v>
      </c>
      <c r="M477">
        <f t="shared" ca="1" si="152"/>
        <v>0.61207361040258512</v>
      </c>
      <c r="N477">
        <f t="shared" ca="1" si="153"/>
        <v>1</v>
      </c>
      <c r="O477" s="47">
        <f t="shared" ca="1" si="154"/>
        <v>35479.886333566086</v>
      </c>
      <c r="P477">
        <f ca="1">Inputs!B14+(Inputs!D14-Inputs!B14)*BETAINV(RAND(),Model!H8,Model!I8)</f>
        <v>0.42563026113993119</v>
      </c>
      <c r="Q477">
        <f ca="1">Inputs!E14+(Inputs!G14-Inputs!E14)*BETAINV(RAND(),Model!J8,Model!K8)</f>
        <v>0.76031325616833434</v>
      </c>
      <c r="R477">
        <f ca="1">(Inputs!H14+(Inputs!J14-Inputs!H14)*BETAINV(RAND(),Model!L8,Model!M8))*Inputs!$C$6</f>
        <v>296174.57568985812</v>
      </c>
      <c r="S477">
        <f t="shared" ca="1" si="155"/>
        <v>0.32361232977107957</v>
      </c>
      <c r="T477">
        <f t="shared" ca="1" si="156"/>
        <v>0.45135485080665227</v>
      </c>
      <c r="U477">
        <f t="shared" ca="1" si="157"/>
        <v>0</v>
      </c>
      <c r="V477" s="47">
        <f t="shared" ca="1" si="158"/>
        <v>0</v>
      </c>
      <c r="W477">
        <f ca="1">Inputs!B15+(Inputs!D15-Inputs!B15)*BETAINV(RAND(),Model!H9,Model!I9)</f>
        <v>0.92002131994987812</v>
      </c>
      <c r="X477">
        <f ca="1">Inputs!E15+(Inputs!G15-Inputs!E15)*BETAINV(RAND(),Model!J9,Model!K9)</f>
        <v>0.34907663018223273</v>
      </c>
      <c r="Y477">
        <f ca="1">(Inputs!H15+(Inputs!J15-Inputs!H15)*BETAINV(RAND(),Model!L9,Model!M9))*Inputs!$C$6</f>
        <v>44591.026965666795</v>
      </c>
      <c r="Z477">
        <f t="shared" ca="1" si="159"/>
        <v>0.32115794206391324</v>
      </c>
      <c r="AA477">
        <f t="shared" ca="1" si="160"/>
        <v>0.54885979103084781</v>
      </c>
      <c r="AB477">
        <f t="shared" ca="1" si="161"/>
        <v>0</v>
      </c>
      <c r="AC477" s="47">
        <f t="shared" ca="1" si="162"/>
        <v>0</v>
      </c>
      <c r="AD477">
        <f ca="1">Inputs!B16+(Inputs!D16-Inputs!B16)*BETAINV(RAND(),Model!H10,Model!I10)</f>
        <v>0.62311792321332815</v>
      </c>
      <c r="AE477">
        <f ca="1">Inputs!E16+(Inputs!G16-Inputs!E16)*BETAINV(RAND(),Model!J10,Model!K10)</f>
        <v>0.67717919750519906</v>
      </c>
      <c r="AF477">
        <f ca="1">(Inputs!H16+(Inputs!J16-Inputs!H16)*BETAINV(RAND(),Model!L10,Model!M10))*Inputs!$C$6</f>
        <v>63642.573610228515</v>
      </c>
      <c r="AG477">
        <f t="shared" ca="1" si="163"/>
        <v>0.42196249519270779</v>
      </c>
      <c r="AH477">
        <f t="shared" ca="1" si="164"/>
        <v>0.3073814547817062</v>
      </c>
      <c r="AI477">
        <f t="shared" ca="1" si="165"/>
        <v>0</v>
      </c>
      <c r="AJ477" s="47">
        <f t="shared" ca="1" si="166"/>
        <v>0</v>
      </c>
      <c r="AK477">
        <f t="shared" ca="1" si="167"/>
        <v>169441.07889002451</v>
      </c>
    </row>
    <row r="478" spans="2:37" x14ac:dyDescent="0.2">
      <c r="B478">
        <f ca="1">Inputs!B12+(Inputs!D12-Inputs!B12)*BETAINV(RAND(),Model!H6,Model!I6)</f>
        <v>5.3054360635522819</v>
      </c>
      <c r="C478">
        <f ca="1">Inputs!E12+(Inputs!G12-Inputs!E12)*BETAINV(RAND(),Model!J6,Model!K6)</f>
        <v>0.4512622253642099</v>
      </c>
      <c r="D478">
        <f ca="1">(Inputs!H12+(Inputs!J12-Inputs!H12)*BETAINV(RAND(),Model!L6,Model!M6))*Inputs!$C$6</f>
        <v>55342.955528937098</v>
      </c>
      <c r="E478">
        <f t="shared" ca="1" si="147"/>
        <v>2.3941428845661363</v>
      </c>
      <c r="F478">
        <f t="shared" ca="1" si="148"/>
        <v>0.78839398466472965</v>
      </c>
      <c r="G478">
        <f t="shared" ca="1" si="149"/>
        <v>4</v>
      </c>
      <c r="H478" s="47">
        <f t="shared" ca="1" si="150"/>
        <v>221371.82211574839</v>
      </c>
      <c r="I478">
        <f ca="1">Inputs!B13+(Inputs!D13-Inputs!B13)*BETAINV(RAND(),Model!H7,Model!I7)</f>
        <v>1.3766648702023943</v>
      </c>
      <c r="J478">
        <f ca="1">Inputs!E13+(Inputs!G13-Inputs!E13)*BETAINV(RAND(),Model!J7,Model!K7)</f>
        <v>0.34117600585569352</v>
      </c>
      <c r="K478">
        <f ca="1">(Inputs!H13+(Inputs!J13-Inputs!H13)*BETAINV(RAND(),Model!L7,Model!M7))*Inputs!$C$6</f>
        <v>27935.765165028319</v>
      </c>
      <c r="L478">
        <f t="shared" ca="1" si="151"/>
        <v>0.4696850218174996</v>
      </c>
      <c r="M478">
        <f t="shared" ca="1" si="152"/>
        <v>0.118086865874652</v>
      </c>
      <c r="N478">
        <f t="shared" ca="1" si="153"/>
        <v>0</v>
      </c>
      <c r="O478" s="47">
        <f t="shared" ca="1" si="154"/>
        <v>0</v>
      </c>
      <c r="P478">
        <f ca="1">Inputs!B14+(Inputs!D14-Inputs!B14)*BETAINV(RAND(),Model!H8,Model!I8)</f>
        <v>0.53556534314723481</v>
      </c>
      <c r="Q478">
        <f ca="1">Inputs!E14+(Inputs!G14-Inputs!E14)*BETAINV(RAND(),Model!J8,Model!K8)</f>
        <v>0.64860585928691439</v>
      </c>
      <c r="R478">
        <f ca="1">(Inputs!H14+(Inputs!J14-Inputs!H14)*BETAINV(RAND(),Model!L8,Model!M8))*Inputs!$C$6</f>
        <v>471181.4947552018</v>
      </c>
      <c r="S478">
        <f t="shared" ca="1" si="155"/>
        <v>0.34737081959630339</v>
      </c>
      <c r="T478">
        <f t="shared" ca="1" si="156"/>
        <v>0.86579458371460383</v>
      </c>
      <c r="U478">
        <f t="shared" ca="1" si="157"/>
        <v>1</v>
      </c>
      <c r="V478" s="47">
        <f t="shared" ca="1" si="158"/>
        <v>471181.4947552018</v>
      </c>
      <c r="W478">
        <f ca="1">Inputs!B15+(Inputs!D15-Inputs!B15)*BETAINV(RAND(),Model!H9,Model!I9)</f>
        <v>0.42903957041778146</v>
      </c>
      <c r="X478">
        <f ca="1">Inputs!E15+(Inputs!G15-Inputs!E15)*BETAINV(RAND(),Model!J9,Model!K9)</f>
        <v>0.36484884967128473</v>
      </c>
      <c r="Y478">
        <f ca="1">(Inputs!H15+(Inputs!J15-Inputs!H15)*BETAINV(RAND(),Model!L9,Model!M9))*Inputs!$C$6</f>
        <v>11061.490848277459</v>
      </c>
      <c r="Z478">
        <f t="shared" ca="1" si="159"/>
        <v>0.15653459373038972</v>
      </c>
      <c r="AA478">
        <f t="shared" ca="1" si="160"/>
        <v>0.69416934388975082</v>
      </c>
      <c r="AB478">
        <f t="shared" ca="1" si="161"/>
        <v>0</v>
      </c>
      <c r="AC478" s="47">
        <f t="shared" ca="1" si="162"/>
        <v>0</v>
      </c>
      <c r="AD478">
        <f ca="1">Inputs!B16+(Inputs!D16-Inputs!B16)*BETAINV(RAND(),Model!H10,Model!I10)</f>
        <v>0.98026864916127554</v>
      </c>
      <c r="AE478">
        <f ca="1">Inputs!E16+(Inputs!G16-Inputs!E16)*BETAINV(RAND(),Model!J10,Model!K10)</f>
        <v>0.61079505034958215</v>
      </c>
      <c r="AF478">
        <f ca="1">(Inputs!H16+(Inputs!J16-Inputs!H16)*BETAINV(RAND(),Model!L10,Model!M10))*Inputs!$C$6</f>
        <v>76062.687013572795</v>
      </c>
      <c r="AG478">
        <f t="shared" ca="1" si="163"/>
        <v>0.59874323892057812</v>
      </c>
      <c r="AH478">
        <f t="shared" ca="1" si="164"/>
        <v>7.8104558879854458E-2</v>
      </c>
      <c r="AI478">
        <f t="shared" ca="1" si="165"/>
        <v>0</v>
      </c>
      <c r="AJ478" s="47">
        <f t="shared" ca="1" si="166"/>
        <v>0</v>
      </c>
      <c r="AK478">
        <f t="shared" ca="1" si="167"/>
        <v>692553.31687095016</v>
      </c>
    </row>
    <row r="479" spans="2:37" x14ac:dyDescent="0.2">
      <c r="B479">
        <f ca="1">Inputs!B12+(Inputs!D12-Inputs!B12)*BETAINV(RAND(),Model!H6,Model!I6)</f>
        <v>4.8984389901495939</v>
      </c>
      <c r="C479">
        <f ca="1">Inputs!E12+(Inputs!G12-Inputs!E12)*BETAINV(RAND(),Model!J6,Model!K6)</f>
        <v>0.38315800744360207</v>
      </c>
      <c r="D479">
        <f ca="1">(Inputs!H12+(Inputs!J12-Inputs!H12)*BETAINV(RAND(),Model!L6,Model!M6))*Inputs!$C$6</f>
        <v>42734.360425958737</v>
      </c>
      <c r="E479">
        <f t="shared" ca="1" si="147"/>
        <v>1.8768761230497688</v>
      </c>
      <c r="F479">
        <f t="shared" ca="1" si="148"/>
        <v>0.11726056272204488</v>
      </c>
      <c r="G479">
        <f t="shared" ca="1" si="149"/>
        <v>0</v>
      </c>
      <c r="H479" s="47">
        <f t="shared" ca="1" si="150"/>
        <v>0</v>
      </c>
      <c r="I479">
        <f ca="1">Inputs!B13+(Inputs!D13-Inputs!B13)*BETAINV(RAND(),Model!H7,Model!I7)</f>
        <v>0.74729627465444115</v>
      </c>
      <c r="J479">
        <f ca="1">Inputs!E13+(Inputs!G13-Inputs!E13)*BETAINV(RAND(),Model!J7,Model!K7)</f>
        <v>0.28885447350881088</v>
      </c>
      <c r="K479">
        <f ca="1">(Inputs!H13+(Inputs!J13-Inputs!H13)*BETAINV(RAND(),Model!L7,Model!M7))*Inputs!$C$6</f>
        <v>15030.108409134478</v>
      </c>
      <c r="L479">
        <f t="shared" ca="1" si="151"/>
        <v>0.21585987197040432</v>
      </c>
      <c r="M479">
        <f t="shared" ca="1" si="152"/>
        <v>0.21633874836669642</v>
      </c>
      <c r="N479">
        <f t="shared" ca="1" si="153"/>
        <v>0</v>
      </c>
      <c r="O479" s="47">
        <f t="shared" ca="1" si="154"/>
        <v>0</v>
      </c>
      <c r="P479">
        <f ca="1">Inputs!B14+(Inputs!D14-Inputs!B14)*BETAINV(RAND(),Model!H8,Model!I8)</f>
        <v>0.28235652022460817</v>
      </c>
      <c r="Q479">
        <f ca="1">Inputs!E14+(Inputs!G14-Inputs!E14)*BETAINV(RAND(),Model!J8,Model!K8)</f>
        <v>0.50046871126741732</v>
      </c>
      <c r="R479">
        <f ca="1">(Inputs!H14+(Inputs!J14-Inputs!H14)*BETAINV(RAND(),Model!L8,Model!M8))*Inputs!$C$6</f>
        <v>273405.89049257257</v>
      </c>
      <c r="S479">
        <f t="shared" ca="1" si="155"/>
        <v>0.1413106037947621</v>
      </c>
      <c r="T479">
        <f t="shared" ca="1" si="156"/>
        <v>0.18648885802923443</v>
      </c>
      <c r="U479">
        <f t="shared" ca="1" si="157"/>
        <v>0</v>
      </c>
      <c r="V479" s="47">
        <f t="shared" ca="1" si="158"/>
        <v>0</v>
      </c>
      <c r="W479">
        <f ca="1">Inputs!B15+(Inputs!D15-Inputs!B15)*BETAINV(RAND(),Model!H9,Model!I9)</f>
        <v>1.2100515687977567</v>
      </c>
      <c r="X479">
        <f ca="1">Inputs!E15+(Inputs!G15-Inputs!E15)*BETAINV(RAND(),Model!J9,Model!K9)</f>
        <v>0.22658601202286036</v>
      </c>
      <c r="Y479">
        <f ca="1">(Inputs!H15+(Inputs!J15-Inputs!H15)*BETAINV(RAND(),Model!L9,Model!M9))*Inputs!$C$6</f>
        <v>31101.36377886276</v>
      </c>
      <c r="Z479">
        <f t="shared" ca="1" si="159"/>
        <v>0.27418075931588953</v>
      </c>
      <c r="AA479">
        <f t="shared" ca="1" si="160"/>
        <v>0.46993530704346109</v>
      </c>
      <c r="AB479">
        <f t="shared" ca="1" si="161"/>
        <v>0</v>
      </c>
      <c r="AC479" s="47">
        <f t="shared" ca="1" si="162"/>
        <v>0</v>
      </c>
      <c r="AD479">
        <f ca="1">Inputs!B16+(Inputs!D16-Inputs!B16)*BETAINV(RAND(),Model!H10,Model!I10)</f>
        <v>0.86572855483766431</v>
      </c>
      <c r="AE479">
        <f ca="1">Inputs!E16+(Inputs!G16-Inputs!E16)*BETAINV(RAND(),Model!J10,Model!K10)</f>
        <v>0.45043214741750504</v>
      </c>
      <c r="AF479">
        <f ca="1">(Inputs!H16+(Inputs!J16-Inputs!H16)*BETAINV(RAND(),Model!L10,Model!M10))*Inputs!$C$6</f>
        <v>47915.746676378869</v>
      </c>
      <c r="AG479">
        <f t="shared" ca="1" si="163"/>
        <v>0.38995197203618243</v>
      </c>
      <c r="AH479">
        <f t="shared" ca="1" si="164"/>
        <v>0.7412014632759828</v>
      </c>
      <c r="AI479">
        <f t="shared" ca="1" si="165"/>
        <v>1</v>
      </c>
      <c r="AJ479" s="47">
        <f t="shared" ca="1" si="166"/>
        <v>47915.746676378869</v>
      </c>
      <c r="AK479">
        <f t="shared" ca="1" si="167"/>
        <v>47915.746676378869</v>
      </c>
    </row>
    <row r="480" spans="2:37" x14ac:dyDescent="0.2">
      <c r="B480">
        <f ca="1">Inputs!B12+(Inputs!D12-Inputs!B12)*BETAINV(RAND(),Model!H6,Model!I6)</f>
        <v>5.2510630371518285</v>
      </c>
      <c r="C480">
        <f ca="1">Inputs!E12+(Inputs!G12-Inputs!E12)*BETAINV(RAND(),Model!J6,Model!K6)</f>
        <v>0.34957889702259892</v>
      </c>
      <c r="D480">
        <f ca="1">(Inputs!H12+(Inputs!J12-Inputs!H12)*BETAINV(RAND(),Model!L6,Model!M6))*Inputs!$C$6</f>
        <v>17376.758304414212</v>
      </c>
      <c r="E480">
        <f t="shared" ca="1" si="147"/>
        <v>1.8356608247236745</v>
      </c>
      <c r="F480">
        <f t="shared" ca="1" si="148"/>
        <v>0.53706752584725104</v>
      </c>
      <c r="G480">
        <f t="shared" ca="1" si="149"/>
        <v>2</v>
      </c>
      <c r="H480" s="47">
        <f t="shared" ca="1" si="150"/>
        <v>34753.516608828424</v>
      </c>
      <c r="I480">
        <f ca="1">Inputs!B13+(Inputs!D13-Inputs!B13)*BETAINV(RAND(),Model!H7,Model!I7)</f>
        <v>2.6536411552504813</v>
      </c>
      <c r="J480">
        <f ca="1">Inputs!E13+(Inputs!G13-Inputs!E13)*BETAINV(RAND(),Model!J7,Model!K7)</f>
        <v>0.15099959343681124</v>
      </c>
      <c r="K480">
        <f ca="1">(Inputs!H13+(Inputs!J13-Inputs!H13)*BETAINV(RAND(),Model!L7,Model!M7))*Inputs!$C$6</f>
        <v>41169.392351965347</v>
      </c>
      <c r="L480">
        <f t="shared" ca="1" si="151"/>
        <v>0.40069873557001279</v>
      </c>
      <c r="M480">
        <f t="shared" ca="1" si="152"/>
        <v>0.87380664040022737</v>
      </c>
      <c r="N480">
        <f t="shared" ca="1" si="153"/>
        <v>1</v>
      </c>
      <c r="O480" s="47">
        <f t="shared" ca="1" si="154"/>
        <v>41169.392351965347</v>
      </c>
      <c r="P480">
        <f ca="1">Inputs!B14+(Inputs!D14-Inputs!B14)*BETAINV(RAND(),Model!H8,Model!I8)</f>
        <v>0.33312949826572563</v>
      </c>
      <c r="Q480">
        <f ca="1">Inputs!E14+(Inputs!G14-Inputs!E14)*BETAINV(RAND(),Model!J8,Model!K8)</f>
        <v>0.57825164779639637</v>
      </c>
      <c r="R480">
        <f ca="1">(Inputs!H14+(Inputs!J14-Inputs!H14)*BETAINV(RAND(),Model!L8,Model!M8))*Inputs!$C$6</f>
        <v>400429.28367101069</v>
      </c>
      <c r="S480">
        <f t="shared" ca="1" si="155"/>
        <v>0.1926326813017426</v>
      </c>
      <c r="T480">
        <f t="shared" ca="1" si="156"/>
        <v>0.36084039390235412</v>
      </c>
      <c r="U480">
        <f t="shared" ca="1" si="157"/>
        <v>0</v>
      </c>
      <c r="V480" s="47">
        <f t="shared" ca="1" si="158"/>
        <v>0</v>
      </c>
      <c r="W480">
        <f ca="1">Inputs!B15+(Inputs!D15-Inputs!B15)*BETAINV(RAND(),Model!H9,Model!I9)</f>
        <v>0.52000105718712186</v>
      </c>
      <c r="X480">
        <f ca="1">Inputs!E15+(Inputs!G15-Inputs!E15)*BETAINV(RAND(),Model!J9,Model!K9)</f>
        <v>0.46670786265863667</v>
      </c>
      <c r="Y480">
        <f ca="1">(Inputs!H15+(Inputs!J15-Inputs!H15)*BETAINV(RAND(),Model!L9,Model!M9))*Inputs!$C$6</f>
        <v>32034.011362341789</v>
      </c>
      <c r="Z480">
        <f t="shared" ca="1" si="159"/>
        <v>0.24268858198003315</v>
      </c>
      <c r="AA480">
        <f t="shared" ca="1" si="160"/>
        <v>7.9090674004423267E-2</v>
      </c>
      <c r="AB480">
        <f t="shared" ca="1" si="161"/>
        <v>0</v>
      </c>
      <c r="AC480" s="47">
        <f t="shared" ca="1" si="162"/>
        <v>0</v>
      </c>
      <c r="AD480">
        <f ca="1">Inputs!B16+(Inputs!D16-Inputs!B16)*BETAINV(RAND(),Model!H10,Model!I10)</f>
        <v>0.26714156477590695</v>
      </c>
      <c r="AE480">
        <f ca="1">Inputs!E16+(Inputs!G16-Inputs!E16)*BETAINV(RAND(),Model!J10,Model!K10)</f>
        <v>0.62512026313885682</v>
      </c>
      <c r="AF480">
        <f ca="1">(Inputs!H16+(Inputs!J16-Inputs!H16)*BETAINV(RAND(),Model!L10,Model!M10))*Inputs!$C$6</f>
        <v>69652.669843456111</v>
      </c>
      <c r="AG480">
        <f t="shared" ca="1" si="163"/>
        <v>0.16699560526804091</v>
      </c>
      <c r="AH480">
        <f t="shared" ca="1" si="164"/>
        <v>0.22005326959665394</v>
      </c>
      <c r="AI480">
        <f t="shared" ca="1" si="165"/>
        <v>0</v>
      </c>
      <c r="AJ480" s="47">
        <f t="shared" ca="1" si="166"/>
        <v>0</v>
      </c>
      <c r="AK480">
        <f t="shared" ca="1" si="167"/>
        <v>75922.908960793779</v>
      </c>
    </row>
    <row r="481" spans="2:37" x14ac:dyDescent="0.2">
      <c r="B481">
        <f ca="1">Inputs!B12+(Inputs!D12-Inputs!B12)*BETAINV(RAND(),Model!H6,Model!I6)</f>
        <v>3.9663745822565764</v>
      </c>
      <c r="C481">
        <f ca="1">Inputs!E12+(Inputs!G12-Inputs!E12)*BETAINV(RAND(),Model!J6,Model!K6)</f>
        <v>0.38768260822646428</v>
      </c>
      <c r="D481">
        <f ca="1">(Inputs!H12+(Inputs!J12-Inputs!H12)*BETAINV(RAND(),Model!L6,Model!M6))*Inputs!$C$6</f>
        <v>32820.831808784067</v>
      </c>
      <c r="E481">
        <f t="shared" ca="1" si="147"/>
        <v>1.5376944432523822</v>
      </c>
      <c r="F481">
        <f t="shared" ca="1" si="148"/>
        <v>0.32558812588836639</v>
      </c>
      <c r="G481">
        <f t="shared" ca="1" si="149"/>
        <v>1</v>
      </c>
      <c r="H481" s="47">
        <f t="shared" ca="1" si="150"/>
        <v>32820.831808784067</v>
      </c>
      <c r="I481">
        <f ca="1">Inputs!B13+(Inputs!D13-Inputs!B13)*BETAINV(RAND(),Model!H7,Model!I7)</f>
        <v>1.3623465812456859</v>
      </c>
      <c r="J481">
        <f ca="1">Inputs!E13+(Inputs!G13-Inputs!E13)*BETAINV(RAND(),Model!J7,Model!K7)</f>
        <v>0.14850139024841821</v>
      </c>
      <c r="K481">
        <f ca="1">(Inputs!H13+(Inputs!J13-Inputs!H13)*BETAINV(RAND(),Model!L7,Model!M7))*Inputs!$C$6</f>
        <v>59750.577266372682</v>
      </c>
      <c r="L481">
        <f t="shared" ca="1" si="151"/>
        <v>0.20231036131516397</v>
      </c>
      <c r="M481">
        <f t="shared" ca="1" si="152"/>
        <v>0.20053754383637246</v>
      </c>
      <c r="N481">
        <f t="shared" ca="1" si="153"/>
        <v>0</v>
      </c>
      <c r="O481" s="47">
        <f t="shared" ca="1" si="154"/>
        <v>0</v>
      </c>
      <c r="P481">
        <f ca="1">Inputs!B14+(Inputs!D14-Inputs!B14)*BETAINV(RAND(),Model!H8,Model!I8)</f>
        <v>0.47992559699013626</v>
      </c>
      <c r="Q481">
        <f ca="1">Inputs!E14+(Inputs!G14-Inputs!E14)*BETAINV(RAND(),Model!J8,Model!K8)</f>
        <v>0.65716544473070559</v>
      </c>
      <c r="R481">
        <f ca="1">(Inputs!H14+(Inputs!J14-Inputs!H14)*BETAINV(RAND(),Model!L8,Model!M8))*Inputs!$C$6</f>
        <v>153784.24992098453</v>
      </c>
      <c r="S481">
        <f t="shared" ca="1" si="155"/>
        <v>0.31539051838367227</v>
      </c>
      <c r="T481">
        <f t="shared" ca="1" si="156"/>
        <v>0.54675497211216106</v>
      </c>
      <c r="U481">
        <f t="shared" ca="1" si="157"/>
        <v>0</v>
      </c>
      <c r="V481" s="47">
        <f t="shared" ca="1" si="158"/>
        <v>0</v>
      </c>
      <c r="W481">
        <f ca="1">Inputs!B15+(Inputs!D15-Inputs!B15)*BETAINV(RAND(),Model!H9,Model!I9)</f>
        <v>1.1005233112752346</v>
      </c>
      <c r="X481">
        <f ca="1">Inputs!E15+(Inputs!G15-Inputs!E15)*BETAINV(RAND(),Model!J9,Model!K9)</f>
        <v>0.4005810944732352</v>
      </c>
      <c r="Y481">
        <f ca="1">(Inputs!H15+(Inputs!J15-Inputs!H15)*BETAINV(RAND(),Model!L9,Model!M9))*Inputs!$C$6</f>
        <v>28393.772116382668</v>
      </c>
      <c r="Z481">
        <f t="shared" ca="1" si="159"/>
        <v>0.44084883252394241</v>
      </c>
      <c r="AA481">
        <f t="shared" ca="1" si="160"/>
        <v>0.51496561989456846</v>
      </c>
      <c r="AB481">
        <f t="shared" ca="1" si="161"/>
        <v>0</v>
      </c>
      <c r="AC481" s="47">
        <f t="shared" ca="1" si="162"/>
        <v>0</v>
      </c>
      <c r="AD481">
        <f ca="1">Inputs!B16+(Inputs!D16-Inputs!B16)*BETAINV(RAND(),Model!H10,Model!I10)</f>
        <v>0.62428367712820321</v>
      </c>
      <c r="AE481">
        <f ca="1">Inputs!E16+(Inputs!G16-Inputs!E16)*BETAINV(RAND(),Model!J10,Model!K10)</f>
        <v>0.64712734140160433</v>
      </c>
      <c r="AF481">
        <f ca="1">(Inputs!H16+(Inputs!J16-Inputs!H16)*BETAINV(RAND(),Model!L10,Model!M10))*Inputs!$C$6</f>
        <v>88946.620907336779</v>
      </c>
      <c r="AG481">
        <f t="shared" ca="1" si="163"/>
        <v>0.40399103626039168</v>
      </c>
      <c r="AH481">
        <f t="shared" ca="1" si="164"/>
        <v>0.55088457363442622</v>
      </c>
      <c r="AI481">
        <f t="shared" ca="1" si="165"/>
        <v>0</v>
      </c>
      <c r="AJ481" s="47">
        <f t="shared" ca="1" si="166"/>
        <v>0</v>
      </c>
      <c r="AK481">
        <f t="shared" ca="1" si="167"/>
        <v>32820.831808784067</v>
      </c>
    </row>
    <row r="482" spans="2:37" x14ac:dyDescent="0.2">
      <c r="B482">
        <f ca="1">Inputs!B12+(Inputs!D12-Inputs!B12)*BETAINV(RAND(),Model!H6,Model!I6)</f>
        <v>3.2194236796249762</v>
      </c>
      <c r="C482">
        <f ca="1">Inputs!E12+(Inputs!G12-Inputs!E12)*BETAINV(RAND(),Model!J6,Model!K6)</f>
        <v>0.27402101878165835</v>
      </c>
      <c r="D482">
        <f ca="1">(Inputs!H12+(Inputs!J12-Inputs!H12)*BETAINV(RAND(),Model!L6,Model!M6))*Inputs!$C$6</f>
        <v>11640.69296057158</v>
      </c>
      <c r="E482">
        <f t="shared" ca="1" si="147"/>
        <v>0.88218975658063126</v>
      </c>
      <c r="F482">
        <f t="shared" ca="1" si="148"/>
        <v>0.61261484691185508</v>
      </c>
      <c r="G482">
        <f t="shared" ca="1" si="149"/>
        <v>1</v>
      </c>
      <c r="H482" s="47">
        <f t="shared" ca="1" si="150"/>
        <v>11640.69296057158</v>
      </c>
      <c r="I482">
        <f ca="1">Inputs!B13+(Inputs!D13-Inputs!B13)*BETAINV(RAND(),Model!H7,Model!I7)</f>
        <v>1.6015512625960244</v>
      </c>
      <c r="J482">
        <f ca="1">Inputs!E13+(Inputs!G13-Inputs!E13)*BETAINV(RAND(),Model!J7,Model!K7)</f>
        <v>0.236876499027422</v>
      </c>
      <c r="K482">
        <f ca="1">(Inputs!H13+(Inputs!J13-Inputs!H13)*BETAINV(RAND(),Model!L7,Model!M7))*Inputs!$C$6</f>
        <v>68055.635138440819</v>
      </c>
      <c r="L482">
        <f t="shared" ca="1" si="151"/>
        <v>0.37936985609669366</v>
      </c>
      <c r="M482">
        <f t="shared" ca="1" si="152"/>
        <v>0.55847496471496128</v>
      </c>
      <c r="N482">
        <f t="shared" ca="1" si="153"/>
        <v>0</v>
      </c>
      <c r="O482" s="47">
        <f t="shared" ca="1" si="154"/>
        <v>0</v>
      </c>
      <c r="P482">
        <f ca="1">Inputs!B14+(Inputs!D14-Inputs!B14)*BETAINV(RAND(),Model!H8,Model!I8)</f>
        <v>0.30770937697335654</v>
      </c>
      <c r="Q482">
        <f ca="1">Inputs!E14+(Inputs!G14-Inputs!E14)*BETAINV(RAND(),Model!J8,Model!K8)</f>
        <v>0.68529592156004859</v>
      </c>
      <c r="R482">
        <f ca="1">(Inputs!H14+(Inputs!J14-Inputs!H14)*BETAINV(RAND(),Model!L8,Model!M8))*Inputs!$C$6</f>
        <v>414240.6870393728</v>
      </c>
      <c r="S482">
        <f t="shared" ca="1" si="155"/>
        <v>0.21087198106562477</v>
      </c>
      <c r="T482">
        <f t="shared" ca="1" si="156"/>
        <v>0.56191091821017258</v>
      </c>
      <c r="U482">
        <f t="shared" ca="1" si="157"/>
        <v>0</v>
      </c>
      <c r="V482" s="47">
        <f t="shared" ca="1" si="158"/>
        <v>0</v>
      </c>
      <c r="W482">
        <f ca="1">Inputs!B15+(Inputs!D15-Inputs!B15)*BETAINV(RAND(),Model!H9,Model!I9)</f>
        <v>1.4268615468174244</v>
      </c>
      <c r="X482">
        <f ca="1">Inputs!E15+(Inputs!G15-Inputs!E15)*BETAINV(RAND(),Model!J9,Model!K9)</f>
        <v>0.41193927609724479</v>
      </c>
      <c r="Y482">
        <f ca="1">(Inputs!H15+(Inputs!J15-Inputs!H15)*BETAINV(RAND(),Model!L9,Model!M9))*Inputs!$C$6</f>
        <v>20697.353197543292</v>
      </c>
      <c r="Z482">
        <f t="shared" ca="1" si="159"/>
        <v>0.58778031268696473</v>
      </c>
      <c r="AA482">
        <f t="shared" ca="1" si="160"/>
        <v>0.28555181636816729</v>
      </c>
      <c r="AB482">
        <f t="shared" ca="1" si="161"/>
        <v>0</v>
      </c>
      <c r="AC482" s="47">
        <f t="shared" ca="1" si="162"/>
        <v>0</v>
      </c>
      <c r="AD482">
        <f ca="1">Inputs!B16+(Inputs!D16-Inputs!B16)*BETAINV(RAND(),Model!H10,Model!I10)</f>
        <v>0.50351561455008409</v>
      </c>
      <c r="AE482">
        <f ca="1">Inputs!E16+(Inputs!G16-Inputs!E16)*BETAINV(RAND(),Model!J10,Model!K10)</f>
        <v>0.77979469076198504</v>
      </c>
      <c r="AF482">
        <f ca="1">(Inputs!H16+(Inputs!J16-Inputs!H16)*BETAINV(RAND(),Model!L10,Model!M10))*Inputs!$C$6</f>
        <v>50839.339998066418</v>
      </c>
      <c r="AG482">
        <f t="shared" ca="1" si="163"/>
        <v>0.39263880294191367</v>
      </c>
      <c r="AH482">
        <f t="shared" ca="1" si="164"/>
        <v>0.70434291142454308</v>
      </c>
      <c r="AI482">
        <f t="shared" ca="1" si="165"/>
        <v>1</v>
      </c>
      <c r="AJ482" s="47">
        <f t="shared" ca="1" si="166"/>
        <v>50839.339998066418</v>
      </c>
      <c r="AK482">
        <f t="shared" ca="1" si="167"/>
        <v>62480.032958637996</v>
      </c>
    </row>
    <row r="483" spans="2:37" x14ac:dyDescent="0.2">
      <c r="B483">
        <f ca="1">Inputs!B12+(Inputs!D12-Inputs!B12)*BETAINV(RAND(),Model!H6,Model!I6)</f>
        <v>3.6817767698737645</v>
      </c>
      <c r="C483">
        <f ca="1">Inputs!E12+(Inputs!G12-Inputs!E12)*BETAINV(RAND(),Model!J6,Model!K6)</f>
        <v>0.25991299126788375</v>
      </c>
      <c r="D483">
        <f ca="1">(Inputs!H12+(Inputs!J12-Inputs!H12)*BETAINV(RAND(),Model!L6,Model!M6))*Inputs!$C$6</f>
        <v>35101.161503880394</v>
      </c>
      <c r="E483">
        <f t="shared" ca="1" si="147"/>
        <v>0.95694161343849704</v>
      </c>
      <c r="F483">
        <f t="shared" ca="1" si="148"/>
        <v>0.17355315176679187</v>
      </c>
      <c r="G483">
        <f t="shared" ca="1" si="149"/>
        <v>0</v>
      </c>
      <c r="H483" s="47">
        <f t="shared" ca="1" si="150"/>
        <v>0</v>
      </c>
      <c r="I483">
        <f ca="1">Inputs!B13+(Inputs!D13-Inputs!B13)*BETAINV(RAND(),Model!H7,Model!I7)</f>
        <v>1.6570035280279996</v>
      </c>
      <c r="J483">
        <f ca="1">Inputs!E13+(Inputs!G13-Inputs!E13)*BETAINV(RAND(),Model!J7,Model!K7)</f>
        <v>0.28568965495614285</v>
      </c>
      <c r="K483">
        <f ca="1">(Inputs!H13+(Inputs!J13-Inputs!H13)*BETAINV(RAND(),Model!L7,Model!M7))*Inputs!$C$6</f>
        <v>29256.482313046225</v>
      </c>
      <c r="L483">
        <f t="shared" ca="1" si="151"/>
        <v>0.47338876618343056</v>
      </c>
      <c r="M483">
        <f t="shared" ca="1" si="152"/>
        <v>0.15078469273129702</v>
      </c>
      <c r="N483">
        <f t="shared" ca="1" si="153"/>
        <v>0</v>
      </c>
      <c r="O483" s="47">
        <f t="shared" ca="1" si="154"/>
        <v>0</v>
      </c>
      <c r="P483">
        <f ca="1">Inputs!B14+(Inputs!D14-Inputs!B14)*BETAINV(RAND(),Model!H8,Model!I8)</f>
        <v>0.62758525023592926</v>
      </c>
      <c r="Q483">
        <f ca="1">Inputs!E14+(Inputs!G14-Inputs!E14)*BETAINV(RAND(),Model!J8,Model!K8)</f>
        <v>0.8100145624445716</v>
      </c>
      <c r="R483">
        <f ca="1">(Inputs!H14+(Inputs!J14-Inputs!H14)*BETAINV(RAND(),Model!L8,Model!M8))*Inputs!$C$6</f>
        <v>430056.47967741743</v>
      </c>
      <c r="S483">
        <f t="shared" ca="1" si="155"/>
        <v>0.50835319186652317</v>
      </c>
      <c r="T483">
        <f t="shared" ca="1" si="156"/>
        <v>8.369104950542483E-2</v>
      </c>
      <c r="U483">
        <f t="shared" ca="1" si="157"/>
        <v>0</v>
      </c>
      <c r="V483" s="47">
        <f t="shared" ca="1" si="158"/>
        <v>0</v>
      </c>
      <c r="W483">
        <f ca="1">Inputs!B15+(Inputs!D15-Inputs!B15)*BETAINV(RAND(),Model!H9,Model!I9)</f>
        <v>1.0679791150321585</v>
      </c>
      <c r="X483">
        <f ca="1">Inputs!E15+(Inputs!G15-Inputs!E15)*BETAINV(RAND(),Model!J9,Model!K9)</f>
        <v>0.51674205141339535</v>
      </c>
      <c r="Y483">
        <f ca="1">(Inputs!H15+(Inputs!J15-Inputs!H15)*BETAINV(RAND(),Model!L9,Model!M9))*Inputs!$C$6</f>
        <v>8391.1384345817642</v>
      </c>
      <c r="Z483">
        <f t="shared" ca="1" si="159"/>
        <v>0.55186971876838009</v>
      </c>
      <c r="AA483">
        <f t="shared" ca="1" si="160"/>
        <v>0.80461484094397284</v>
      </c>
      <c r="AB483">
        <f t="shared" ca="1" si="161"/>
        <v>1</v>
      </c>
      <c r="AC483" s="47">
        <f t="shared" ca="1" si="162"/>
        <v>8391.1384345817642</v>
      </c>
      <c r="AD483">
        <f ca="1">Inputs!B16+(Inputs!D16-Inputs!B16)*BETAINV(RAND(),Model!H10,Model!I10)</f>
        <v>0.26830916222912793</v>
      </c>
      <c r="AE483">
        <f ca="1">Inputs!E16+(Inputs!G16-Inputs!E16)*BETAINV(RAND(),Model!J10,Model!K10)</f>
        <v>0.60697150854995341</v>
      </c>
      <c r="AF483">
        <f ca="1">(Inputs!H16+(Inputs!J16-Inputs!H16)*BETAINV(RAND(),Model!L10,Model!M10))*Inputs!$C$6</f>
        <v>66350.419763946877</v>
      </c>
      <c r="AG483">
        <f t="shared" ca="1" si="163"/>
        <v>0.16285601695598795</v>
      </c>
      <c r="AH483">
        <f t="shared" ca="1" si="164"/>
        <v>0.38239530250907627</v>
      </c>
      <c r="AI483">
        <f t="shared" ca="1" si="165"/>
        <v>0</v>
      </c>
      <c r="AJ483" s="47">
        <f t="shared" ca="1" si="166"/>
        <v>0</v>
      </c>
      <c r="AK483">
        <f t="shared" ca="1" si="167"/>
        <v>8391.1384345817642</v>
      </c>
    </row>
    <row r="484" spans="2:37" x14ac:dyDescent="0.2">
      <c r="B484">
        <f ca="1">Inputs!B12+(Inputs!D12-Inputs!B12)*BETAINV(RAND(),Model!H6,Model!I6)</f>
        <v>3.5277473223501046</v>
      </c>
      <c r="C484">
        <f ca="1">Inputs!E12+(Inputs!G12-Inputs!E12)*BETAINV(RAND(),Model!J6,Model!K6)</f>
        <v>0.20678790051528631</v>
      </c>
      <c r="D484">
        <f ca="1">(Inputs!H12+(Inputs!J12-Inputs!H12)*BETAINV(RAND(),Model!L6,Model!M6))*Inputs!$C$6</f>
        <v>12549.609213349333</v>
      </c>
      <c r="E484">
        <f t="shared" ca="1" si="147"/>
        <v>0.72949546233720108</v>
      </c>
      <c r="F484">
        <f t="shared" ca="1" si="148"/>
        <v>0.23695631810963658</v>
      </c>
      <c r="G484">
        <f t="shared" ca="1" si="149"/>
        <v>0</v>
      </c>
      <c r="H484" s="47">
        <f t="shared" ca="1" si="150"/>
        <v>0</v>
      </c>
      <c r="I484">
        <f ca="1">Inputs!B13+(Inputs!D13-Inputs!B13)*BETAINV(RAND(),Model!H7,Model!I7)</f>
        <v>1.9671812596199094</v>
      </c>
      <c r="J484">
        <f ca="1">Inputs!E13+(Inputs!G13-Inputs!E13)*BETAINV(RAND(),Model!J7,Model!K7)</f>
        <v>0.27917139909937988</v>
      </c>
      <c r="K484">
        <f ca="1">(Inputs!H13+(Inputs!J13-Inputs!H13)*BETAINV(RAND(),Model!L7,Model!M7))*Inputs!$C$6</f>
        <v>21638.044115635996</v>
      </c>
      <c r="L484">
        <f t="shared" ca="1" si="151"/>
        <v>0.54918074453017052</v>
      </c>
      <c r="M484">
        <f t="shared" ca="1" si="152"/>
        <v>0.65012102474119859</v>
      </c>
      <c r="N484">
        <f t="shared" ca="1" si="153"/>
        <v>1</v>
      </c>
      <c r="O484" s="47">
        <f t="shared" ca="1" si="154"/>
        <v>21638.044115635996</v>
      </c>
      <c r="P484">
        <f ca="1">Inputs!B14+(Inputs!D14-Inputs!B14)*BETAINV(RAND(),Model!H8,Model!I8)</f>
        <v>0.30917311601418251</v>
      </c>
      <c r="Q484">
        <f ca="1">Inputs!E14+(Inputs!G14-Inputs!E14)*BETAINV(RAND(),Model!J8,Model!K8)</f>
        <v>0.41703368061416413</v>
      </c>
      <c r="R484">
        <f ca="1">(Inputs!H14+(Inputs!J14-Inputs!H14)*BETAINV(RAND(),Model!L8,Model!M8))*Inputs!$C$6</f>
        <v>354150.29319269687</v>
      </c>
      <c r="S484">
        <f t="shared" ca="1" si="155"/>
        <v>0.12893560251834452</v>
      </c>
      <c r="T484">
        <f t="shared" ca="1" si="156"/>
        <v>0.83848219532381973</v>
      </c>
      <c r="U484">
        <f t="shared" ca="1" si="157"/>
        <v>0</v>
      </c>
      <c r="V484" s="47">
        <f t="shared" ca="1" si="158"/>
        <v>0</v>
      </c>
      <c r="W484">
        <f ca="1">Inputs!B15+(Inputs!D15-Inputs!B15)*BETAINV(RAND(),Model!H9,Model!I9)</f>
        <v>1.195316981719921</v>
      </c>
      <c r="X484">
        <f ca="1">Inputs!E15+(Inputs!G15-Inputs!E15)*BETAINV(RAND(),Model!J9,Model!K9)</f>
        <v>0.53473253637908003</v>
      </c>
      <c r="Y484">
        <f ca="1">(Inputs!H15+(Inputs!J15-Inputs!H15)*BETAINV(RAND(),Model!L9,Model!M9))*Inputs!$C$6</f>
        <v>20400.699043568009</v>
      </c>
      <c r="Z484">
        <f t="shared" ca="1" si="159"/>
        <v>0.63917488141207979</v>
      </c>
      <c r="AA484">
        <f t="shared" ca="1" si="160"/>
        <v>0.16218034556072269</v>
      </c>
      <c r="AB484">
        <f t="shared" ca="1" si="161"/>
        <v>0</v>
      </c>
      <c r="AC484" s="47">
        <f t="shared" ca="1" si="162"/>
        <v>0</v>
      </c>
      <c r="AD484">
        <f ca="1">Inputs!B16+(Inputs!D16-Inputs!B16)*BETAINV(RAND(),Model!H10,Model!I10)</f>
        <v>0.58423153480643641</v>
      </c>
      <c r="AE484">
        <f ca="1">Inputs!E16+(Inputs!G16-Inputs!E16)*BETAINV(RAND(),Model!J10,Model!K10)</f>
        <v>0.53804111344725269</v>
      </c>
      <c r="AF484">
        <f ca="1">(Inputs!H16+(Inputs!J16-Inputs!H16)*BETAINV(RAND(),Model!L10,Model!M10))*Inputs!$C$6</f>
        <v>91527.668206777744</v>
      </c>
      <c r="AG484">
        <f t="shared" ca="1" si="163"/>
        <v>0.31434058549825239</v>
      </c>
      <c r="AH484">
        <f t="shared" ca="1" si="164"/>
        <v>0.65375500013732502</v>
      </c>
      <c r="AI484">
        <f t="shared" ca="1" si="165"/>
        <v>0</v>
      </c>
      <c r="AJ484" s="47">
        <f t="shared" ca="1" si="166"/>
        <v>0</v>
      </c>
      <c r="AK484">
        <f t="shared" ca="1" si="167"/>
        <v>21638.044115635996</v>
      </c>
    </row>
    <row r="485" spans="2:37" x14ac:dyDescent="0.2">
      <c r="B485">
        <f ca="1">Inputs!B12+(Inputs!D12-Inputs!B12)*BETAINV(RAND(),Model!H6,Model!I6)</f>
        <v>4.7145428426923282</v>
      </c>
      <c r="C485">
        <f ca="1">Inputs!E12+(Inputs!G12-Inputs!E12)*BETAINV(RAND(),Model!J6,Model!K6)</f>
        <v>0.41037096648545468</v>
      </c>
      <c r="D485">
        <f ca="1">(Inputs!H12+(Inputs!J12-Inputs!H12)*BETAINV(RAND(),Model!L6,Model!M6))*Inputs!$C$6</f>
        <v>31198.588376762971</v>
      </c>
      <c r="E485">
        <f t="shared" ca="1" si="147"/>
        <v>1.9347115028927335</v>
      </c>
      <c r="F485">
        <f t="shared" ca="1" si="148"/>
        <v>0.83847370376862684</v>
      </c>
      <c r="G485">
        <f t="shared" ca="1" si="149"/>
        <v>3</v>
      </c>
      <c r="H485" s="47">
        <f t="shared" ca="1" si="150"/>
        <v>93595.765130288913</v>
      </c>
      <c r="I485">
        <f ca="1">Inputs!B13+(Inputs!D13-Inputs!B13)*BETAINV(RAND(),Model!H7,Model!I7)</f>
        <v>1.9435525332233174</v>
      </c>
      <c r="J485">
        <f ca="1">Inputs!E13+(Inputs!G13-Inputs!E13)*BETAINV(RAND(),Model!J7,Model!K7)</f>
        <v>0.28259523283749033</v>
      </c>
      <c r="K485">
        <f ca="1">(Inputs!H13+(Inputs!J13-Inputs!H13)*BETAINV(RAND(),Model!L7,Model!M7))*Inputs!$C$6</f>
        <v>18676.297508293832</v>
      </c>
      <c r="L485">
        <f t="shared" ca="1" si="151"/>
        <v>0.54923868065813752</v>
      </c>
      <c r="M485">
        <f t="shared" ca="1" si="152"/>
        <v>0.53051030109102215</v>
      </c>
      <c r="N485">
        <f t="shared" ca="1" si="153"/>
        <v>0</v>
      </c>
      <c r="O485" s="47">
        <f t="shared" ca="1" si="154"/>
        <v>0</v>
      </c>
      <c r="P485">
        <f ca="1">Inputs!B14+(Inputs!D14-Inputs!B14)*BETAINV(RAND(),Model!H8,Model!I8)</f>
        <v>0.62689138390671584</v>
      </c>
      <c r="Q485">
        <f ca="1">Inputs!E14+(Inputs!G14-Inputs!E14)*BETAINV(RAND(),Model!J8,Model!K8)</f>
        <v>0.58079929982338174</v>
      </c>
      <c r="R485">
        <f ca="1">(Inputs!H14+(Inputs!J14-Inputs!H14)*BETAINV(RAND(),Model!L8,Model!M8))*Inputs!$C$6</f>
        <v>311351.94358285889</v>
      </c>
      <c r="S485">
        <f t="shared" ca="1" si="155"/>
        <v>0.36409807683833134</v>
      </c>
      <c r="T485">
        <f t="shared" ca="1" si="156"/>
        <v>0.50023181275141693</v>
      </c>
      <c r="U485">
        <f t="shared" ca="1" si="157"/>
        <v>0</v>
      </c>
      <c r="V485" s="47">
        <f t="shared" ca="1" si="158"/>
        <v>0</v>
      </c>
      <c r="W485">
        <f ca="1">Inputs!B15+(Inputs!D15-Inputs!B15)*BETAINV(RAND(),Model!H9,Model!I9)</f>
        <v>1.0721712093478006</v>
      </c>
      <c r="X485">
        <f ca="1">Inputs!E15+(Inputs!G15-Inputs!E15)*BETAINV(RAND(),Model!J9,Model!K9)</f>
        <v>0.42617211480005213</v>
      </c>
      <c r="Y485">
        <f ca="1">(Inputs!H15+(Inputs!J15-Inputs!H15)*BETAINV(RAND(),Model!L9,Model!M9))*Inputs!$C$6</f>
        <v>23036.906513681042</v>
      </c>
      <c r="Z485">
        <f t="shared" ca="1" si="159"/>
        <v>0.45692947171548159</v>
      </c>
      <c r="AA485">
        <f t="shared" ca="1" si="160"/>
        <v>0.55546653964562809</v>
      </c>
      <c r="AB485">
        <f t="shared" ca="1" si="161"/>
        <v>0</v>
      </c>
      <c r="AC485" s="47">
        <f t="shared" ca="1" si="162"/>
        <v>0</v>
      </c>
      <c r="AD485">
        <f ca="1">Inputs!B16+(Inputs!D16-Inputs!B16)*BETAINV(RAND(),Model!H10,Model!I10)</f>
        <v>0.33495786235307773</v>
      </c>
      <c r="AE485">
        <f ca="1">Inputs!E16+(Inputs!G16-Inputs!E16)*BETAINV(RAND(),Model!J10,Model!K10)</f>
        <v>0.5690329904727387</v>
      </c>
      <c r="AF485">
        <f ca="1">(Inputs!H16+(Inputs!J16-Inputs!H16)*BETAINV(RAND(),Model!L10,Model!M10))*Inputs!$C$6</f>
        <v>138628.92526419117</v>
      </c>
      <c r="AG485">
        <f t="shared" ca="1" si="163"/>
        <v>0.19060207409712779</v>
      </c>
      <c r="AH485">
        <f t="shared" ca="1" si="164"/>
        <v>0.13658560717461332</v>
      </c>
      <c r="AI485">
        <f t="shared" ca="1" si="165"/>
        <v>0</v>
      </c>
      <c r="AJ485" s="47">
        <f t="shared" ca="1" si="166"/>
        <v>0</v>
      </c>
      <c r="AK485">
        <f t="shared" ca="1" si="167"/>
        <v>93595.765130288913</v>
      </c>
    </row>
    <row r="486" spans="2:37" x14ac:dyDescent="0.2">
      <c r="B486">
        <f ca="1">Inputs!B12+(Inputs!D12-Inputs!B12)*BETAINV(RAND(),Model!H6,Model!I6)</f>
        <v>3.5841024452815735</v>
      </c>
      <c r="C486">
        <f ca="1">Inputs!E12+(Inputs!G12-Inputs!E12)*BETAINV(RAND(),Model!J6,Model!K6)</f>
        <v>0.33375922076826015</v>
      </c>
      <c r="D486">
        <f ca="1">(Inputs!H12+(Inputs!J12-Inputs!H12)*BETAINV(RAND(),Model!L6,Model!M6))*Inputs!$C$6</f>
        <v>16564.676072417082</v>
      </c>
      <c r="E486">
        <f t="shared" ca="1" si="147"/>
        <v>1.1962272392907938</v>
      </c>
      <c r="F486">
        <f t="shared" ca="1" si="148"/>
        <v>0.25738161580966801</v>
      </c>
      <c r="G486">
        <f t="shared" ca="1" si="149"/>
        <v>0</v>
      </c>
      <c r="H486" s="47">
        <f t="shared" ca="1" si="150"/>
        <v>0</v>
      </c>
      <c r="I486">
        <f ca="1">Inputs!B13+(Inputs!D13-Inputs!B13)*BETAINV(RAND(),Model!H7,Model!I7)</f>
        <v>1.5480704303815664</v>
      </c>
      <c r="J486">
        <f ca="1">Inputs!E13+(Inputs!G13-Inputs!E13)*BETAINV(RAND(),Model!J7,Model!K7)</f>
        <v>0.1876863220911949</v>
      </c>
      <c r="K486">
        <f ca="1">(Inputs!H13+(Inputs!J13-Inputs!H13)*BETAINV(RAND(),Model!L7,Model!M7))*Inputs!$C$6</f>
        <v>49188.378283910832</v>
      </c>
      <c r="L486">
        <f t="shared" ca="1" si="151"/>
        <v>0.2905516454164494</v>
      </c>
      <c r="M486">
        <f t="shared" ca="1" si="152"/>
        <v>3.2802841107881564E-2</v>
      </c>
      <c r="N486">
        <f t="shared" ca="1" si="153"/>
        <v>0</v>
      </c>
      <c r="O486" s="47">
        <f t="shared" ca="1" si="154"/>
        <v>0</v>
      </c>
      <c r="P486">
        <f ca="1">Inputs!B14+(Inputs!D14-Inputs!B14)*BETAINV(RAND(),Model!H8,Model!I8)</f>
        <v>0.31013576071242177</v>
      </c>
      <c r="Q486">
        <f ca="1">Inputs!E14+(Inputs!G14-Inputs!E14)*BETAINV(RAND(),Model!J8,Model!K8)</f>
        <v>0.49189741200269621</v>
      </c>
      <c r="R486">
        <f ca="1">(Inputs!H14+(Inputs!J14-Inputs!H14)*BETAINV(RAND(),Model!L8,Model!M8))*Inputs!$C$6</f>
        <v>470374.32110702409</v>
      </c>
      <c r="S486">
        <f t="shared" ca="1" si="155"/>
        <v>0.15255497806392773</v>
      </c>
      <c r="T486">
        <f t="shared" ca="1" si="156"/>
        <v>0.42045639548853198</v>
      </c>
      <c r="U486">
        <f t="shared" ca="1" si="157"/>
        <v>0</v>
      </c>
      <c r="V486" s="47">
        <f t="shared" ca="1" si="158"/>
        <v>0</v>
      </c>
      <c r="W486">
        <f ca="1">Inputs!B15+(Inputs!D15-Inputs!B15)*BETAINV(RAND(),Model!H9,Model!I9)</f>
        <v>1.4306381964647805</v>
      </c>
      <c r="X486">
        <f ca="1">Inputs!E15+(Inputs!G15-Inputs!E15)*BETAINV(RAND(),Model!J9,Model!K9)</f>
        <v>0.44654782991684394</v>
      </c>
      <c r="Y486">
        <f ca="1">(Inputs!H15+(Inputs!J15-Inputs!H15)*BETAINV(RAND(),Model!L9,Model!M9))*Inputs!$C$6</f>
        <v>49465.81182865049</v>
      </c>
      <c r="Z486">
        <f t="shared" ca="1" si="159"/>
        <v>0.63884838202749517</v>
      </c>
      <c r="AA486">
        <f t="shared" ca="1" si="160"/>
        <v>0.17477104931623766</v>
      </c>
      <c r="AB486">
        <f t="shared" ca="1" si="161"/>
        <v>0</v>
      </c>
      <c r="AC486" s="47">
        <f t="shared" ca="1" si="162"/>
        <v>0</v>
      </c>
      <c r="AD486">
        <f ca="1">Inputs!B16+(Inputs!D16-Inputs!B16)*BETAINV(RAND(),Model!H10,Model!I10)</f>
        <v>0.39931707258412719</v>
      </c>
      <c r="AE486">
        <f ca="1">Inputs!E16+(Inputs!G16-Inputs!E16)*BETAINV(RAND(),Model!J10,Model!K10)</f>
        <v>0.73195634277613975</v>
      </c>
      <c r="AF486">
        <f ca="1">(Inputs!H16+(Inputs!J16-Inputs!H16)*BETAINV(RAND(),Model!L10,Model!M10))*Inputs!$C$6</f>
        <v>79670.042439072611</v>
      </c>
      <c r="AG486">
        <f t="shared" ca="1" si="163"/>
        <v>0.29228266405675207</v>
      </c>
      <c r="AH486">
        <f t="shared" ca="1" si="164"/>
        <v>7.1729386639199699E-2</v>
      </c>
      <c r="AI486">
        <f t="shared" ca="1" si="165"/>
        <v>0</v>
      </c>
      <c r="AJ486" s="47">
        <f t="shared" ca="1" si="166"/>
        <v>0</v>
      </c>
      <c r="AK486">
        <f t="shared" ca="1" si="167"/>
        <v>0</v>
      </c>
    </row>
    <row r="487" spans="2:37" x14ac:dyDescent="0.2">
      <c r="B487">
        <f ca="1">Inputs!B12+(Inputs!D12-Inputs!B12)*BETAINV(RAND(),Model!H6,Model!I6)</f>
        <v>2.8969399425633551</v>
      </c>
      <c r="C487">
        <f ca="1">Inputs!E12+(Inputs!G12-Inputs!E12)*BETAINV(RAND(),Model!J6,Model!K6)</f>
        <v>0.20251326906912417</v>
      </c>
      <c r="D487">
        <f ca="1">(Inputs!H12+(Inputs!J12-Inputs!H12)*BETAINV(RAND(),Model!L6,Model!M6))*Inputs!$C$6</f>
        <v>33858.687255693229</v>
      </c>
      <c r="E487">
        <f t="shared" ca="1" si="147"/>
        <v>0.58666877806542583</v>
      </c>
      <c r="F487">
        <f t="shared" ca="1" si="148"/>
        <v>0.56415103588521875</v>
      </c>
      <c r="G487">
        <f t="shared" ca="1" si="149"/>
        <v>1</v>
      </c>
      <c r="H487" s="47">
        <f t="shared" ca="1" si="150"/>
        <v>33858.687255693229</v>
      </c>
      <c r="I487">
        <f ca="1">Inputs!B13+(Inputs!D13-Inputs!B13)*BETAINV(RAND(),Model!H7,Model!I7)</f>
        <v>2.9272591067136684</v>
      </c>
      <c r="J487">
        <f ca="1">Inputs!E13+(Inputs!G13-Inputs!E13)*BETAINV(RAND(),Model!J7,Model!K7)</f>
        <v>0.29461435240853073</v>
      </c>
      <c r="K487">
        <f ca="1">(Inputs!H13+(Inputs!J13-Inputs!H13)*BETAINV(RAND(),Model!L7,Model!M7))*Inputs!$C$6</f>
        <v>52939.629427709217</v>
      </c>
      <c r="L487">
        <f t="shared" ca="1" si="151"/>
        <v>0.86241254605642159</v>
      </c>
      <c r="M487">
        <f t="shared" ca="1" si="152"/>
        <v>0.55516163958248632</v>
      </c>
      <c r="N487">
        <f t="shared" ca="1" si="153"/>
        <v>1</v>
      </c>
      <c r="O487" s="47">
        <f t="shared" ca="1" si="154"/>
        <v>52939.629427709217</v>
      </c>
      <c r="P487">
        <f ca="1">Inputs!B14+(Inputs!D14-Inputs!B14)*BETAINV(RAND(),Model!H8,Model!I8)</f>
        <v>0.32050006304488737</v>
      </c>
      <c r="Q487">
        <f ca="1">Inputs!E14+(Inputs!G14-Inputs!E14)*BETAINV(RAND(),Model!J8,Model!K8)</f>
        <v>0.53286857727420456</v>
      </c>
      <c r="R487">
        <f ca="1">(Inputs!H14+(Inputs!J14-Inputs!H14)*BETAINV(RAND(),Model!L8,Model!M8))*Inputs!$C$6</f>
        <v>494769.57089678734</v>
      </c>
      <c r="S487">
        <f t="shared" ca="1" si="155"/>
        <v>0.17078441261102201</v>
      </c>
      <c r="T487">
        <f t="shared" ca="1" si="156"/>
        <v>0.61588498892098831</v>
      </c>
      <c r="U487">
        <f t="shared" ca="1" si="157"/>
        <v>0</v>
      </c>
      <c r="V487" s="47">
        <f t="shared" ca="1" si="158"/>
        <v>0</v>
      </c>
      <c r="W487">
        <f ca="1">Inputs!B15+(Inputs!D15-Inputs!B15)*BETAINV(RAND(),Model!H9,Model!I9)</f>
        <v>1.4471160454722654</v>
      </c>
      <c r="X487">
        <f ca="1">Inputs!E15+(Inputs!G15-Inputs!E15)*BETAINV(RAND(),Model!J9,Model!K9)</f>
        <v>0.51485312222432966</v>
      </c>
      <c r="Y487">
        <f ca="1">(Inputs!H15+(Inputs!J15-Inputs!H15)*BETAINV(RAND(),Model!L9,Model!M9))*Inputs!$C$6</f>
        <v>22401.885771782614</v>
      </c>
      <c r="Z487">
        <f t="shared" ca="1" si="159"/>
        <v>0.74505221423232082</v>
      </c>
      <c r="AA487">
        <f t="shared" ca="1" si="160"/>
        <v>0.31323889847870146</v>
      </c>
      <c r="AB487">
        <f t="shared" ca="1" si="161"/>
        <v>0</v>
      </c>
      <c r="AC487" s="47">
        <f t="shared" ca="1" si="162"/>
        <v>0</v>
      </c>
      <c r="AD487">
        <f ca="1">Inputs!B16+(Inputs!D16-Inputs!B16)*BETAINV(RAND(),Model!H10,Model!I10)</f>
        <v>0.44235172634609127</v>
      </c>
      <c r="AE487">
        <f ca="1">Inputs!E16+(Inputs!G16-Inputs!E16)*BETAINV(RAND(),Model!J10,Model!K10)</f>
        <v>0.66759806665419053</v>
      </c>
      <c r="AF487">
        <f ca="1">(Inputs!H16+(Inputs!J16-Inputs!H16)*BETAINV(RAND(),Model!L10,Model!M10))*Inputs!$C$6</f>
        <v>79157.361473850673</v>
      </c>
      <c r="AG487">
        <f t="shared" ca="1" si="163"/>
        <v>0.29531315728979407</v>
      </c>
      <c r="AH487">
        <f t="shared" ca="1" si="164"/>
        <v>0.66303745299814731</v>
      </c>
      <c r="AI487">
        <f t="shared" ca="1" si="165"/>
        <v>0</v>
      </c>
      <c r="AJ487" s="47">
        <f t="shared" ca="1" si="166"/>
        <v>0</v>
      </c>
      <c r="AK487">
        <f t="shared" ca="1" si="167"/>
        <v>86798.316683402445</v>
      </c>
    </row>
    <row r="488" spans="2:37" x14ac:dyDescent="0.2">
      <c r="B488">
        <f ca="1">Inputs!B12+(Inputs!D12-Inputs!B12)*BETAINV(RAND(),Model!H6,Model!I6)</f>
        <v>3.5566727029788447</v>
      </c>
      <c r="C488">
        <f ca="1">Inputs!E12+(Inputs!G12-Inputs!E12)*BETAINV(RAND(),Model!J6,Model!K6)</f>
        <v>0.41222405629338943</v>
      </c>
      <c r="D488">
        <f ca="1">(Inputs!H12+(Inputs!J12-Inputs!H12)*BETAINV(RAND(),Model!L6,Model!M6))*Inputs!$C$6</f>
        <v>36221.080043448033</v>
      </c>
      <c r="E488">
        <f t="shared" ca="1" si="147"/>
        <v>1.4661460485299129</v>
      </c>
      <c r="F488">
        <f t="shared" ca="1" si="148"/>
        <v>0.8501394824557964</v>
      </c>
      <c r="G488">
        <f t="shared" ca="1" si="149"/>
        <v>3</v>
      </c>
      <c r="H488" s="47">
        <f t="shared" ca="1" si="150"/>
        <v>108663.2401303441</v>
      </c>
      <c r="I488">
        <f ca="1">Inputs!B13+(Inputs!D13-Inputs!B13)*BETAINV(RAND(),Model!H7,Model!I7)</f>
        <v>1.7011474706870688</v>
      </c>
      <c r="J488">
        <f ca="1">Inputs!E13+(Inputs!G13-Inputs!E13)*BETAINV(RAND(),Model!J7,Model!K7)</f>
        <v>0.23488960297877534</v>
      </c>
      <c r="K488">
        <f ca="1">(Inputs!H13+(Inputs!J13-Inputs!H13)*BETAINV(RAND(),Model!L7,Model!M7))*Inputs!$C$6</f>
        <v>15409.035767347295</v>
      </c>
      <c r="L488">
        <f t="shared" ca="1" si="151"/>
        <v>0.39958185399803348</v>
      </c>
      <c r="M488">
        <f t="shared" ca="1" si="152"/>
        <v>0.58514655237334479</v>
      </c>
      <c r="N488">
        <f t="shared" ca="1" si="153"/>
        <v>0</v>
      </c>
      <c r="O488" s="47">
        <f t="shared" ca="1" si="154"/>
        <v>0</v>
      </c>
      <c r="P488">
        <f ca="1">Inputs!B14+(Inputs!D14-Inputs!B14)*BETAINV(RAND(),Model!H8,Model!I8)</f>
        <v>0.15640904113548065</v>
      </c>
      <c r="Q488">
        <f ca="1">Inputs!E14+(Inputs!G14-Inputs!E14)*BETAINV(RAND(),Model!J8,Model!K8)</f>
        <v>0.60424543981783507</v>
      </c>
      <c r="R488">
        <f ca="1">(Inputs!H14+(Inputs!J14-Inputs!H14)*BETAINV(RAND(),Model!L8,Model!M8))*Inputs!$C$6</f>
        <v>526921.36407839833</v>
      </c>
      <c r="S488">
        <f t="shared" ca="1" si="155"/>
        <v>9.4509449852394359E-2</v>
      </c>
      <c r="T488">
        <f t="shared" ca="1" si="156"/>
        <v>0.44828703861890817</v>
      </c>
      <c r="U488">
        <f t="shared" ca="1" si="157"/>
        <v>0</v>
      </c>
      <c r="V488" s="47">
        <f t="shared" ca="1" si="158"/>
        <v>0</v>
      </c>
      <c r="W488">
        <f ca="1">Inputs!B15+(Inputs!D15-Inputs!B15)*BETAINV(RAND(),Model!H9,Model!I9)</f>
        <v>0.8325075804567923</v>
      </c>
      <c r="X488">
        <f ca="1">Inputs!E15+(Inputs!G15-Inputs!E15)*BETAINV(RAND(),Model!J9,Model!K9)</f>
        <v>0.52141432556845135</v>
      </c>
      <c r="Y488">
        <f ca="1">(Inputs!H15+(Inputs!J15-Inputs!H15)*BETAINV(RAND(),Model!L9,Model!M9))*Inputs!$C$6</f>
        <v>28536.126206037166</v>
      </c>
      <c r="Z488">
        <f t="shared" ca="1" si="159"/>
        <v>0.43408137859450163</v>
      </c>
      <c r="AA488">
        <f t="shared" ca="1" si="160"/>
        <v>2.025469482047737E-2</v>
      </c>
      <c r="AB488">
        <f t="shared" ca="1" si="161"/>
        <v>0</v>
      </c>
      <c r="AC488" s="47">
        <f t="shared" ca="1" si="162"/>
        <v>0</v>
      </c>
      <c r="AD488">
        <f ca="1">Inputs!B16+(Inputs!D16-Inputs!B16)*BETAINV(RAND(),Model!H10,Model!I10)</f>
        <v>0.25348707257406883</v>
      </c>
      <c r="AE488">
        <f ca="1">Inputs!E16+(Inputs!G16-Inputs!E16)*BETAINV(RAND(),Model!J10,Model!K10)</f>
        <v>0.59072830884372862</v>
      </c>
      <c r="AF488">
        <f ca="1">(Inputs!H16+(Inputs!J16-Inputs!H16)*BETAINV(RAND(),Model!L10,Model!M10))*Inputs!$C$6</f>
        <v>79308.014585202924</v>
      </c>
      <c r="AG488">
        <f t="shared" ca="1" si="163"/>
        <v>0.14974198969542718</v>
      </c>
      <c r="AH488">
        <f t="shared" ca="1" si="164"/>
        <v>0.72366155610723781</v>
      </c>
      <c r="AI488">
        <f t="shared" ca="1" si="165"/>
        <v>0</v>
      </c>
      <c r="AJ488" s="47">
        <f t="shared" ca="1" si="166"/>
        <v>0</v>
      </c>
      <c r="AK488">
        <f t="shared" ca="1" si="167"/>
        <v>108663.2401303441</v>
      </c>
    </row>
    <row r="489" spans="2:37" x14ac:dyDescent="0.2">
      <c r="B489">
        <f ca="1">Inputs!B12+(Inputs!D12-Inputs!B12)*BETAINV(RAND(),Model!H6,Model!I6)</f>
        <v>4.5610027846231223</v>
      </c>
      <c r="C489">
        <f ca="1">Inputs!E12+(Inputs!G12-Inputs!E12)*BETAINV(RAND(),Model!J6,Model!K6)</f>
        <v>0.2700041503906031</v>
      </c>
      <c r="D489">
        <f ca="1">(Inputs!H12+(Inputs!J12-Inputs!H12)*BETAINV(RAND(),Model!L6,Model!M6))*Inputs!$C$6</f>
        <v>26272.539062028893</v>
      </c>
      <c r="E489">
        <f t="shared" ca="1" si="147"/>
        <v>1.231489681791341</v>
      </c>
      <c r="F489">
        <f t="shared" ca="1" si="148"/>
        <v>0.22617031407650356</v>
      </c>
      <c r="G489">
        <f t="shared" ca="1" si="149"/>
        <v>0</v>
      </c>
      <c r="H489" s="47">
        <f t="shared" ca="1" si="150"/>
        <v>0</v>
      </c>
      <c r="I489">
        <f ca="1">Inputs!B13+(Inputs!D13-Inputs!B13)*BETAINV(RAND(),Model!H7,Model!I7)</f>
        <v>1.166380993112323</v>
      </c>
      <c r="J489">
        <f ca="1">Inputs!E13+(Inputs!G13-Inputs!E13)*BETAINV(RAND(),Model!J7,Model!K7)</f>
        <v>0.35978816588016416</v>
      </c>
      <c r="K489">
        <f ca="1">(Inputs!H13+(Inputs!J13-Inputs!H13)*BETAINV(RAND(),Model!L7,Model!M7))*Inputs!$C$6</f>
        <v>52959.865529902345</v>
      </c>
      <c r="L489">
        <f t="shared" ca="1" si="151"/>
        <v>0.41965007822936706</v>
      </c>
      <c r="M489">
        <f t="shared" ca="1" si="152"/>
        <v>0.66623020919796105</v>
      </c>
      <c r="N489">
        <f t="shared" ca="1" si="153"/>
        <v>1</v>
      </c>
      <c r="O489" s="47">
        <f t="shared" ca="1" si="154"/>
        <v>52959.865529902345</v>
      </c>
      <c r="P489">
        <f ca="1">Inputs!B14+(Inputs!D14-Inputs!B14)*BETAINV(RAND(),Model!H8,Model!I8)</f>
        <v>0.35513152581881069</v>
      </c>
      <c r="Q489">
        <f ca="1">Inputs!E14+(Inputs!G14-Inputs!E14)*BETAINV(RAND(),Model!J8,Model!K8)</f>
        <v>0.64168172605505691</v>
      </c>
      <c r="R489">
        <f ca="1">(Inputs!H14+(Inputs!J14-Inputs!H14)*BETAINV(RAND(),Model!L8,Model!M8))*Inputs!$C$6</f>
        <v>256804.40146708998</v>
      </c>
      <c r="S489">
        <f t="shared" ca="1" si="155"/>
        <v>0.22788141046398044</v>
      </c>
      <c r="T489">
        <f t="shared" ca="1" si="156"/>
        <v>0.42461201477453547</v>
      </c>
      <c r="U489">
        <f t="shared" ca="1" si="157"/>
        <v>0</v>
      </c>
      <c r="V489" s="47">
        <f t="shared" ca="1" si="158"/>
        <v>0</v>
      </c>
      <c r="W489">
        <f ca="1">Inputs!B15+(Inputs!D15-Inputs!B15)*BETAINV(RAND(),Model!H9,Model!I9)</f>
        <v>0.89666842898136578</v>
      </c>
      <c r="X489">
        <f ca="1">Inputs!E15+(Inputs!G15-Inputs!E15)*BETAINV(RAND(),Model!J9,Model!K9)</f>
        <v>0.31813470000785665</v>
      </c>
      <c r="Y489">
        <f ca="1">(Inputs!H15+(Inputs!J15-Inputs!H15)*BETAINV(RAND(),Model!L9,Model!M9))*Inputs!$C$6</f>
        <v>18391.467371723305</v>
      </c>
      <c r="Z489">
        <f t="shared" ca="1" si="159"/>
        <v>0.28526134166050293</v>
      </c>
      <c r="AA489">
        <f t="shared" ca="1" si="160"/>
        <v>0.12913127894827481</v>
      </c>
      <c r="AB489">
        <f t="shared" ca="1" si="161"/>
        <v>0</v>
      </c>
      <c r="AC489" s="47">
        <f t="shared" ca="1" si="162"/>
        <v>0</v>
      </c>
      <c r="AD489">
        <f ca="1">Inputs!B16+(Inputs!D16-Inputs!B16)*BETAINV(RAND(),Model!H10,Model!I10)</f>
        <v>1.2221386970106169</v>
      </c>
      <c r="AE489">
        <f ca="1">Inputs!E16+(Inputs!G16-Inputs!E16)*BETAINV(RAND(),Model!J10,Model!K10)</f>
        <v>0.70934154242558178</v>
      </c>
      <c r="AF489">
        <f ca="1">(Inputs!H16+(Inputs!J16-Inputs!H16)*BETAINV(RAND(),Model!L10,Model!M10))*Inputs!$C$6</f>
        <v>64094.078994317686</v>
      </c>
      <c r="AG489">
        <f t="shared" ca="1" si="163"/>
        <v>0.86691374839550184</v>
      </c>
      <c r="AH489">
        <f t="shared" ca="1" si="164"/>
        <v>9.1796001486063483E-2</v>
      </c>
      <c r="AI489">
        <f t="shared" ca="1" si="165"/>
        <v>0</v>
      </c>
      <c r="AJ489" s="47">
        <f t="shared" ca="1" si="166"/>
        <v>0</v>
      </c>
      <c r="AK489">
        <f t="shared" ca="1" si="167"/>
        <v>52959.865529902345</v>
      </c>
    </row>
    <row r="490" spans="2:37" x14ac:dyDescent="0.2">
      <c r="B490">
        <f ca="1">Inputs!B12+(Inputs!D12-Inputs!B12)*BETAINV(RAND(),Model!H6,Model!I6)</f>
        <v>3.0442192896003784</v>
      </c>
      <c r="C490">
        <f ca="1">Inputs!E12+(Inputs!G12-Inputs!E12)*BETAINV(RAND(),Model!J6,Model!K6)</f>
        <v>0.30541058260599252</v>
      </c>
      <c r="D490">
        <f ca="1">(Inputs!H12+(Inputs!J12-Inputs!H12)*BETAINV(RAND(),Model!L6,Model!M6))*Inputs!$C$6</f>
        <v>42659.383125293098</v>
      </c>
      <c r="E490">
        <f t="shared" ca="1" si="147"/>
        <v>0.92973678681725225</v>
      </c>
      <c r="F490">
        <f t="shared" ca="1" si="148"/>
        <v>0.2055414789582698</v>
      </c>
      <c r="G490">
        <f t="shared" ca="1" si="149"/>
        <v>0</v>
      </c>
      <c r="H490" s="47">
        <f t="shared" ca="1" si="150"/>
        <v>0</v>
      </c>
      <c r="I490">
        <f ca="1">Inputs!B13+(Inputs!D13-Inputs!B13)*BETAINV(RAND(),Model!H7,Model!I7)</f>
        <v>2.1403527275098169</v>
      </c>
      <c r="J490">
        <f ca="1">Inputs!E13+(Inputs!G13-Inputs!E13)*BETAINV(RAND(),Model!J7,Model!K7)</f>
        <v>0.25950912460408615</v>
      </c>
      <c r="K490">
        <f ca="1">(Inputs!H13+(Inputs!J13-Inputs!H13)*BETAINV(RAND(),Model!L7,Model!M7))*Inputs!$C$6</f>
        <v>38829.4188490202</v>
      </c>
      <c r="L490">
        <f t="shared" ca="1" si="151"/>
        <v>0.55544106266004067</v>
      </c>
      <c r="M490">
        <f t="shared" ca="1" si="152"/>
        <v>0.43196144373422063</v>
      </c>
      <c r="N490">
        <f t="shared" ca="1" si="153"/>
        <v>0</v>
      </c>
      <c r="O490" s="47">
        <f t="shared" ca="1" si="154"/>
        <v>0</v>
      </c>
      <c r="P490">
        <f ca="1">Inputs!B14+(Inputs!D14-Inputs!B14)*BETAINV(RAND(),Model!H8,Model!I8)</f>
        <v>0.26570178982136655</v>
      </c>
      <c r="Q490">
        <f ca="1">Inputs!E14+(Inputs!G14-Inputs!E14)*BETAINV(RAND(),Model!J8,Model!K8)</f>
        <v>0.40425006318411139</v>
      </c>
      <c r="R490">
        <f ca="1">(Inputs!H14+(Inputs!J14-Inputs!H14)*BETAINV(RAND(),Model!L8,Model!M8))*Inputs!$C$6</f>
        <v>493070.66818089178</v>
      </c>
      <c r="S490">
        <f t="shared" ca="1" si="155"/>
        <v>0.10740996532341891</v>
      </c>
      <c r="T490">
        <f t="shared" ca="1" si="156"/>
        <v>0.38280689729345674</v>
      </c>
      <c r="U490">
        <f t="shared" ca="1" si="157"/>
        <v>0</v>
      </c>
      <c r="V490" s="47">
        <f t="shared" ca="1" si="158"/>
        <v>0</v>
      </c>
      <c r="W490">
        <f ca="1">Inputs!B15+(Inputs!D15-Inputs!B15)*BETAINV(RAND(),Model!H9,Model!I9)</f>
        <v>1.3701421396169566</v>
      </c>
      <c r="X490">
        <f ca="1">Inputs!E15+(Inputs!G15-Inputs!E15)*BETAINV(RAND(),Model!J9,Model!K9)</f>
        <v>0.26667127729245227</v>
      </c>
      <c r="Y490">
        <f ca="1">(Inputs!H15+(Inputs!J15-Inputs!H15)*BETAINV(RAND(),Model!L9,Model!M9))*Inputs!$C$6</f>
        <v>52553.882262744693</v>
      </c>
      <c r="Z490">
        <f t="shared" ca="1" si="159"/>
        <v>0.36537755444386727</v>
      </c>
      <c r="AA490">
        <f t="shared" ca="1" si="160"/>
        <v>0.65412269115638555</v>
      </c>
      <c r="AB490">
        <f t="shared" ca="1" si="161"/>
        <v>0</v>
      </c>
      <c r="AC490" s="47">
        <f t="shared" ca="1" si="162"/>
        <v>0</v>
      </c>
      <c r="AD490">
        <f ca="1">Inputs!B16+(Inputs!D16-Inputs!B16)*BETAINV(RAND(),Model!H10,Model!I10)</f>
        <v>1.0528303659758558</v>
      </c>
      <c r="AE490">
        <f ca="1">Inputs!E16+(Inputs!G16-Inputs!E16)*BETAINV(RAND(),Model!J10,Model!K10)</f>
        <v>0.66102334655909689</v>
      </c>
      <c r="AF490">
        <f ca="1">(Inputs!H16+(Inputs!J16-Inputs!H16)*BETAINV(RAND(),Model!L10,Model!M10))*Inputs!$C$6</f>
        <v>49962.315703640117</v>
      </c>
      <c r="AG490">
        <f t="shared" ca="1" si="163"/>
        <v>0.69594545187639889</v>
      </c>
      <c r="AH490">
        <f t="shared" ca="1" si="164"/>
        <v>0.49140937163267562</v>
      </c>
      <c r="AI490">
        <f t="shared" ca="1" si="165"/>
        <v>0</v>
      </c>
      <c r="AJ490" s="47">
        <f t="shared" ca="1" si="166"/>
        <v>0</v>
      </c>
      <c r="AK490">
        <f t="shared" ca="1" si="167"/>
        <v>0</v>
      </c>
    </row>
    <row r="491" spans="2:37" x14ac:dyDescent="0.2">
      <c r="B491">
        <f ca="1">Inputs!B12+(Inputs!D12-Inputs!B12)*BETAINV(RAND(),Model!H6,Model!I6)</f>
        <v>4.8823506733219828</v>
      </c>
      <c r="C491">
        <f ca="1">Inputs!E12+(Inputs!G12-Inputs!E12)*BETAINV(RAND(),Model!J6,Model!K6)</f>
        <v>0.46155421372537908</v>
      </c>
      <c r="D491">
        <f ca="1">(Inputs!H12+(Inputs!J12-Inputs!H12)*BETAINV(RAND(),Model!L6,Model!M6))*Inputs!$C$6</f>
        <v>12342.376553850914</v>
      </c>
      <c r="E491">
        <f t="shared" ca="1" si="147"/>
        <v>2.253469526156703</v>
      </c>
      <c r="F491">
        <f t="shared" ca="1" si="148"/>
        <v>0.4365114698317516</v>
      </c>
      <c r="G491">
        <f t="shared" ca="1" si="149"/>
        <v>2</v>
      </c>
      <c r="H491" s="47">
        <f t="shared" ca="1" si="150"/>
        <v>24684.753107701828</v>
      </c>
      <c r="I491">
        <f ca="1">Inputs!B13+(Inputs!D13-Inputs!B13)*BETAINV(RAND(),Model!H7,Model!I7)</f>
        <v>2.9744350894882055</v>
      </c>
      <c r="J491">
        <f ca="1">Inputs!E13+(Inputs!G13-Inputs!E13)*BETAINV(RAND(),Model!J7,Model!K7)</f>
        <v>0.26894747068580999</v>
      </c>
      <c r="K491">
        <f ca="1">(Inputs!H13+(Inputs!J13-Inputs!H13)*BETAINV(RAND(),Model!L7,Model!M7))*Inputs!$C$6</f>
        <v>39376.349387051523</v>
      </c>
      <c r="L491">
        <f t="shared" ca="1" si="151"/>
        <v>0.79996679403697379</v>
      </c>
      <c r="M491">
        <f t="shared" ca="1" si="152"/>
        <v>6.8968956578182916E-2</v>
      </c>
      <c r="N491">
        <f t="shared" ca="1" si="153"/>
        <v>0</v>
      </c>
      <c r="O491" s="47">
        <f t="shared" ca="1" si="154"/>
        <v>0</v>
      </c>
      <c r="P491">
        <f ca="1">Inputs!B14+(Inputs!D14-Inputs!B14)*BETAINV(RAND(),Model!H8,Model!I8)</f>
        <v>0.48215296181055489</v>
      </c>
      <c r="Q491">
        <f ca="1">Inputs!E14+(Inputs!G14-Inputs!E14)*BETAINV(RAND(),Model!J8,Model!K8)</f>
        <v>0.62676111909968379</v>
      </c>
      <c r="R491">
        <f ca="1">(Inputs!H14+(Inputs!J14-Inputs!H14)*BETAINV(RAND(),Model!L8,Model!M8))*Inputs!$C$6</f>
        <v>237694.61841809744</v>
      </c>
      <c r="S491">
        <f t="shared" ca="1" si="155"/>
        <v>0.30219472992161051</v>
      </c>
      <c r="T491">
        <f t="shared" ca="1" si="156"/>
        <v>0.63201020726366974</v>
      </c>
      <c r="U491">
        <f t="shared" ca="1" si="157"/>
        <v>0</v>
      </c>
      <c r="V491" s="47">
        <f t="shared" ca="1" si="158"/>
        <v>0</v>
      </c>
      <c r="W491">
        <f ca="1">Inputs!B15+(Inputs!D15-Inputs!B15)*BETAINV(RAND(),Model!H9,Model!I9)</f>
        <v>1.0843406844567622</v>
      </c>
      <c r="X491">
        <f ca="1">Inputs!E15+(Inputs!G15-Inputs!E15)*BETAINV(RAND(),Model!J9,Model!K9)</f>
        <v>0.47920136746099751</v>
      </c>
      <c r="Y491">
        <f ca="1">(Inputs!H15+(Inputs!J15-Inputs!H15)*BETAINV(RAND(),Model!L9,Model!M9))*Inputs!$C$6</f>
        <v>22279.514649221968</v>
      </c>
      <c r="Z491">
        <f t="shared" ca="1" si="159"/>
        <v>0.5196175387852745</v>
      </c>
      <c r="AA491">
        <f t="shared" ca="1" si="160"/>
        <v>0.36127759505982748</v>
      </c>
      <c r="AB491">
        <f t="shared" ca="1" si="161"/>
        <v>0</v>
      </c>
      <c r="AC491" s="47">
        <f t="shared" ca="1" si="162"/>
        <v>0</v>
      </c>
      <c r="AD491">
        <f ca="1">Inputs!B16+(Inputs!D16-Inputs!B16)*BETAINV(RAND(),Model!H10,Model!I10)</f>
        <v>0.5704725689486998</v>
      </c>
      <c r="AE491">
        <f ca="1">Inputs!E16+(Inputs!G16-Inputs!E16)*BETAINV(RAND(),Model!J10,Model!K10)</f>
        <v>0.73332059865180255</v>
      </c>
      <c r="AF491">
        <f ca="1">(Inputs!H16+(Inputs!J16-Inputs!H16)*BETAINV(RAND(),Model!L10,Model!M10))*Inputs!$C$6</f>
        <v>117086.64372116515</v>
      </c>
      <c r="AG491">
        <f t="shared" ca="1" si="163"/>
        <v>0.41833928577589224</v>
      </c>
      <c r="AH491">
        <f t="shared" ca="1" si="164"/>
        <v>0.43431204384456279</v>
      </c>
      <c r="AI491">
        <f t="shared" ca="1" si="165"/>
        <v>0</v>
      </c>
      <c r="AJ491" s="47">
        <f t="shared" ca="1" si="166"/>
        <v>0</v>
      </c>
      <c r="AK491">
        <f t="shared" ca="1" si="167"/>
        <v>24684.753107701828</v>
      </c>
    </row>
    <row r="492" spans="2:37" x14ac:dyDescent="0.2">
      <c r="B492">
        <f ca="1">Inputs!B12+(Inputs!D12-Inputs!B12)*BETAINV(RAND(),Model!H6,Model!I6)</f>
        <v>3.3899274111588125</v>
      </c>
      <c r="C492">
        <f ca="1">Inputs!E12+(Inputs!G12-Inputs!E12)*BETAINV(RAND(),Model!J6,Model!K6)</f>
        <v>0.21380863396064145</v>
      </c>
      <c r="D492">
        <f ca="1">(Inputs!H12+(Inputs!J12-Inputs!H12)*BETAINV(RAND(),Model!L6,Model!M6))*Inputs!$C$6</f>
        <v>14159.51929404701</v>
      </c>
      <c r="E492">
        <f t="shared" ca="1" si="147"/>
        <v>0.7247957490055994</v>
      </c>
      <c r="F492">
        <f t="shared" ca="1" si="148"/>
        <v>1.8679434140675855E-2</v>
      </c>
      <c r="G492">
        <f t="shared" ca="1" si="149"/>
        <v>0</v>
      </c>
      <c r="H492" s="47">
        <f t="shared" ca="1" si="150"/>
        <v>0</v>
      </c>
      <c r="I492">
        <f ca="1">Inputs!B13+(Inputs!D13-Inputs!B13)*BETAINV(RAND(),Model!H7,Model!I7)</f>
        <v>1.0029790952874387</v>
      </c>
      <c r="J492">
        <f ca="1">Inputs!E13+(Inputs!G13-Inputs!E13)*BETAINV(RAND(),Model!J7,Model!K7)</f>
        <v>0.27075328319310576</v>
      </c>
      <c r="K492">
        <f ca="1">(Inputs!H13+(Inputs!J13-Inputs!H13)*BETAINV(RAND(),Model!L7,Model!M7))*Inputs!$C$6</f>
        <v>25606.781536670354</v>
      </c>
      <c r="L492">
        <f t="shared" ca="1" si="151"/>
        <v>0.27155988302312489</v>
      </c>
      <c r="M492">
        <f t="shared" ca="1" si="152"/>
        <v>0.80495529947639477</v>
      </c>
      <c r="N492">
        <f t="shared" ca="1" si="153"/>
        <v>1</v>
      </c>
      <c r="O492" s="47">
        <f t="shared" ca="1" si="154"/>
        <v>25606.781536670354</v>
      </c>
      <c r="P492">
        <f ca="1">Inputs!B14+(Inputs!D14-Inputs!B14)*BETAINV(RAND(),Model!H8,Model!I8)</f>
        <v>0.25179024179988718</v>
      </c>
      <c r="Q492">
        <f ca="1">Inputs!E14+(Inputs!G14-Inputs!E14)*BETAINV(RAND(),Model!J8,Model!K8)</f>
        <v>0.37752526250129137</v>
      </c>
      <c r="R492">
        <f ca="1">(Inputs!H14+(Inputs!J14-Inputs!H14)*BETAINV(RAND(),Model!L8,Model!M8))*Inputs!$C$6</f>
        <v>241048.9561475995</v>
      </c>
      <c r="S492">
        <f t="shared" ca="1" si="155"/>
        <v>9.505717713076603E-2</v>
      </c>
      <c r="T492">
        <f t="shared" ca="1" si="156"/>
        <v>0.67499611630053946</v>
      </c>
      <c r="U492">
        <f t="shared" ca="1" si="157"/>
        <v>0</v>
      </c>
      <c r="V492" s="47">
        <f t="shared" ca="1" si="158"/>
        <v>0</v>
      </c>
      <c r="W492">
        <f ca="1">Inputs!B15+(Inputs!D15-Inputs!B15)*BETAINV(RAND(),Model!H9,Model!I9)</f>
        <v>1.1347059908049364</v>
      </c>
      <c r="X492">
        <f ca="1">Inputs!E15+(Inputs!G15-Inputs!E15)*BETAINV(RAND(),Model!J9,Model!K9)</f>
        <v>0.53023873522351073</v>
      </c>
      <c r="Y492">
        <f ca="1">(Inputs!H15+(Inputs!J15-Inputs!H15)*BETAINV(RAND(),Model!L9,Model!M9))*Inputs!$C$6</f>
        <v>30331.692820068383</v>
      </c>
      <c r="Z492">
        <f t="shared" ca="1" si="159"/>
        <v>0.60166506941495002</v>
      </c>
      <c r="AA492">
        <f t="shared" ca="1" si="160"/>
        <v>0.16746003755765393</v>
      </c>
      <c r="AB492">
        <f t="shared" ca="1" si="161"/>
        <v>0</v>
      </c>
      <c r="AC492" s="47">
        <f t="shared" ca="1" si="162"/>
        <v>0</v>
      </c>
      <c r="AD492">
        <f ca="1">Inputs!B16+(Inputs!D16-Inputs!B16)*BETAINV(RAND(),Model!H10,Model!I10)</f>
        <v>1.1757977520592313</v>
      </c>
      <c r="AE492">
        <f ca="1">Inputs!E16+(Inputs!G16-Inputs!E16)*BETAINV(RAND(),Model!J10,Model!K10)</f>
        <v>0.52533120139273071</v>
      </c>
      <c r="AF492">
        <f ca="1">(Inputs!H16+(Inputs!J16-Inputs!H16)*BETAINV(RAND(),Model!L10,Model!M10))*Inputs!$C$6</f>
        <v>80575.150022123227</v>
      </c>
      <c r="AG492">
        <f t="shared" ca="1" si="163"/>
        <v>0.61768324568414812</v>
      </c>
      <c r="AH492">
        <f t="shared" ca="1" si="164"/>
        <v>0.75792936389697663</v>
      </c>
      <c r="AI492">
        <f t="shared" ca="1" si="165"/>
        <v>1</v>
      </c>
      <c r="AJ492" s="47">
        <f t="shared" ca="1" si="166"/>
        <v>80575.150022123227</v>
      </c>
      <c r="AK492">
        <f t="shared" ca="1" si="167"/>
        <v>106181.93155879359</v>
      </c>
    </row>
    <row r="493" spans="2:37" x14ac:dyDescent="0.2">
      <c r="B493">
        <f ca="1">Inputs!B12+(Inputs!D12-Inputs!B12)*BETAINV(RAND(),Model!H6,Model!I6)</f>
        <v>3.0564912132567468</v>
      </c>
      <c r="C493">
        <f ca="1">Inputs!E12+(Inputs!G12-Inputs!E12)*BETAINV(RAND(),Model!J6,Model!K6)</f>
        <v>0.26438933143724763</v>
      </c>
      <c r="D493">
        <f ca="1">(Inputs!H12+(Inputs!J12-Inputs!H12)*BETAINV(RAND(),Model!L6,Model!M6))*Inputs!$C$6</f>
        <v>41699.186755851195</v>
      </c>
      <c r="E493">
        <f t="shared" ca="1" si="147"/>
        <v>0.80810366841677317</v>
      </c>
      <c r="F493">
        <f t="shared" ca="1" si="148"/>
        <v>0.58631006717260759</v>
      </c>
      <c r="G493">
        <f t="shared" ca="1" si="149"/>
        <v>1</v>
      </c>
      <c r="H493" s="47">
        <f t="shared" ca="1" si="150"/>
        <v>41699.186755851195</v>
      </c>
      <c r="I493">
        <f ca="1">Inputs!B13+(Inputs!D13-Inputs!B13)*BETAINV(RAND(),Model!H7,Model!I7)</f>
        <v>1.9458426903500516</v>
      </c>
      <c r="J493">
        <f ca="1">Inputs!E13+(Inputs!G13-Inputs!E13)*BETAINV(RAND(),Model!J7,Model!K7)</f>
        <v>0.2497899498472573</v>
      </c>
      <c r="K493">
        <f ca="1">(Inputs!H13+(Inputs!J13-Inputs!H13)*BETAINV(RAND(),Model!L7,Model!M7))*Inputs!$C$6</f>
        <v>20012.600791358458</v>
      </c>
      <c r="L493">
        <f t="shared" ca="1" si="151"/>
        <v>0.48605194803319163</v>
      </c>
      <c r="M493">
        <f t="shared" ca="1" si="152"/>
        <v>0.22404280744762584</v>
      </c>
      <c r="N493">
        <f t="shared" ca="1" si="153"/>
        <v>0</v>
      </c>
      <c r="O493" s="47">
        <f t="shared" ca="1" si="154"/>
        <v>0</v>
      </c>
      <c r="P493">
        <f ca="1">Inputs!B14+(Inputs!D14-Inputs!B14)*BETAINV(RAND(),Model!H8,Model!I8)</f>
        <v>0.42086453971628579</v>
      </c>
      <c r="Q493">
        <f ca="1">Inputs!E14+(Inputs!G14-Inputs!E14)*BETAINV(RAND(),Model!J8,Model!K8)</f>
        <v>0.65830792502680358</v>
      </c>
      <c r="R493">
        <f ca="1">(Inputs!H14+(Inputs!J14-Inputs!H14)*BETAINV(RAND(),Model!L8,Model!M8))*Inputs!$C$6</f>
        <v>447875.90659945051</v>
      </c>
      <c r="S493">
        <f t="shared" ca="1" si="155"/>
        <v>0.27705846185798888</v>
      </c>
      <c r="T493">
        <f t="shared" ca="1" si="156"/>
        <v>3.9653814978649615E-2</v>
      </c>
      <c r="U493">
        <f t="shared" ca="1" si="157"/>
        <v>0</v>
      </c>
      <c r="V493" s="47">
        <f t="shared" ca="1" si="158"/>
        <v>0</v>
      </c>
      <c r="W493">
        <f ca="1">Inputs!B15+(Inputs!D15-Inputs!B15)*BETAINV(RAND(),Model!H9,Model!I9)</f>
        <v>1.4859381146464357</v>
      </c>
      <c r="X493">
        <f ca="1">Inputs!E15+(Inputs!G15-Inputs!E15)*BETAINV(RAND(),Model!J9,Model!K9)</f>
        <v>0.59345555797650107</v>
      </c>
      <c r="Y493">
        <f ca="1">(Inputs!H15+(Inputs!J15-Inputs!H15)*BETAINV(RAND(),Model!L9,Model!M9))*Inputs!$C$6</f>
        <v>39350.40121357239</v>
      </c>
      <c r="Z493">
        <f t="shared" ca="1" si="159"/>
        <v>0.88183823294605046</v>
      </c>
      <c r="AA493">
        <f t="shared" ca="1" si="160"/>
        <v>0.43568527842824634</v>
      </c>
      <c r="AB493">
        <f t="shared" ca="1" si="161"/>
        <v>1</v>
      </c>
      <c r="AC493" s="47">
        <f t="shared" ca="1" si="162"/>
        <v>39350.40121357239</v>
      </c>
      <c r="AD493">
        <f ca="1">Inputs!B16+(Inputs!D16-Inputs!B16)*BETAINV(RAND(),Model!H10,Model!I10)</f>
        <v>0.50748559868705323</v>
      </c>
      <c r="AE493">
        <f ca="1">Inputs!E16+(Inputs!G16-Inputs!E16)*BETAINV(RAND(),Model!J10,Model!K10)</f>
        <v>0.68262591446691134</v>
      </c>
      <c r="AF493">
        <f ca="1">(Inputs!H16+(Inputs!J16-Inputs!H16)*BETAINV(RAND(),Model!L10,Model!M10))*Inputs!$C$6</f>
        <v>57968.632391231746</v>
      </c>
      <c r="AG493">
        <f t="shared" ca="1" si="163"/>
        <v>0.34642282088253767</v>
      </c>
      <c r="AH493">
        <f t="shared" ca="1" si="164"/>
        <v>0.52645126296652678</v>
      </c>
      <c r="AI493">
        <f t="shared" ca="1" si="165"/>
        <v>0</v>
      </c>
      <c r="AJ493" s="47">
        <f t="shared" ca="1" si="166"/>
        <v>0</v>
      </c>
      <c r="AK493">
        <f t="shared" ca="1" si="167"/>
        <v>81049.587969423592</v>
      </c>
    </row>
    <row r="494" spans="2:37" x14ac:dyDescent="0.2">
      <c r="B494">
        <f ca="1">Inputs!B12+(Inputs!D12-Inputs!B12)*BETAINV(RAND(),Model!H6,Model!I6)</f>
        <v>4.2299456398291495</v>
      </c>
      <c r="C494">
        <f ca="1">Inputs!E12+(Inputs!G12-Inputs!E12)*BETAINV(RAND(),Model!J6,Model!K6)</f>
        <v>0.32657135890589628</v>
      </c>
      <c r="D494">
        <f ca="1">(Inputs!H12+(Inputs!J12-Inputs!H12)*BETAINV(RAND(),Model!L6,Model!M6))*Inputs!$C$6</f>
        <v>32048.403987619855</v>
      </c>
      <c r="E494">
        <f t="shared" ca="1" si="147"/>
        <v>1.3813790956970762</v>
      </c>
      <c r="F494">
        <f t="shared" ca="1" si="148"/>
        <v>0.9612867814290923</v>
      </c>
      <c r="G494">
        <f t="shared" ca="1" si="149"/>
        <v>4</v>
      </c>
      <c r="H494" s="47">
        <f t="shared" ca="1" si="150"/>
        <v>128193.61595047942</v>
      </c>
      <c r="I494">
        <f ca="1">Inputs!B13+(Inputs!D13-Inputs!B13)*BETAINV(RAND(),Model!H7,Model!I7)</f>
        <v>2.4268579747009476</v>
      </c>
      <c r="J494">
        <f ca="1">Inputs!E13+(Inputs!G13-Inputs!E13)*BETAINV(RAND(),Model!J7,Model!K7)</f>
        <v>0.2677600511132896</v>
      </c>
      <c r="K494">
        <f ca="1">(Inputs!H13+(Inputs!J13-Inputs!H13)*BETAINV(RAND(),Model!L7,Model!M7))*Inputs!$C$6</f>
        <v>46778.45285537633</v>
      </c>
      <c r="L494">
        <f t="shared" ca="1" si="151"/>
        <v>0.64981561535062016</v>
      </c>
      <c r="M494">
        <f t="shared" ca="1" si="152"/>
        <v>0.6484982200836229</v>
      </c>
      <c r="N494">
        <f t="shared" ca="1" si="153"/>
        <v>1</v>
      </c>
      <c r="O494" s="47">
        <f t="shared" ca="1" si="154"/>
        <v>46778.45285537633</v>
      </c>
      <c r="P494">
        <f ca="1">Inputs!B14+(Inputs!D14-Inputs!B14)*BETAINV(RAND(),Model!H8,Model!I8)</f>
        <v>0.44462310990265941</v>
      </c>
      <c r="Q494">
        <f ca="1">Inputs!E14+(Inputs!G14-Inputs!E14)*BETAINV(RAND(),Model!J8,Model!K8)</f>
        <v>0.56776147759786399</v>
      </c>
      <c r="R494">
        <f ca="1">(Inputs!H14+(Inputs!J14-Inputs!H14)*BETAINV(RAND(),Model!L8,Model!M8))*Inputs!$C$6</f>
        <v>190304.91263216402</v>
      </c>
      <c r="S494">
        <f t="shared" ca="1" si="155"/>
        <v>0.25243987385249139</v>
      </c>
      <c r="T494">
        <f t="shared" ca="1" si="156"/>
        <v>0.87383106508037733</v>
      </c>
      <c r="U494">
        <f t="shared" ca="1" si="157"/>
        <v>1</v>
      </c>
      <c r="V494" s="47">
        <f t="shared" ca="1" si="158"/>
        <v>190304.91263216402</v>
      </c>
      <c r="W494">
        <f ca="1">Inputs!B15+(Inputs!D15-Inputs!B15)*BETAINV(RAND(),Model!H9,Model!I9)</f>
        <v>0.66749833436009376</v>
      </c>
      <c r="X494">
        <f ca="1">Inputs!E15+(Inputs!G15-Inputs!E15)*BETAINV(RAND(),Model!J9,Model!K9)</f>
        <v>0.53557988800841128</v>
      </c>
      <c r="Y494">
        <f ca="1">(Inputs!H15+(Inputs!J15-Inputs!H15)*BETAINV(RAND(),Model!L9,Model!M9))*Inputs!$C$6</f>
        <v>46838.010125968358</v>
      </c>
      <c r="Z494">
        <f t="shared" ca="1" si="159"/>
        <v>0.35749868316238009</v>
      </c>
      <c r="AA494">
        <f t="shared" ca="1" si="160"/>
        <v>0.8049430255786979</v>
      </c>
      <c r="AB494">
        <f t="shared" ca="1" si="161"/>
        <v>1</v>
      </c>
      <c r="AC494" s="47">
        <f t="shared" ca="1" si="162"/>
        <v>46838.010125968358</v>
      </c>
      <c r="AD494">
        <f ca="1">Inputs!B16+(Inputs!D16-Inputs!B16)*BETAINV(RAND(),Model!H10,Model!I10)</f>
        <v>0.61992513688980289</v>
      </c>
      <c r="AE494">
        <f ca="1">Inputs!E16+(Inputs!G16-Inputs!E16)*BETAINV(RAND(),Model!J10,Model!K10)</f>
        <v>0.50130840983053759</v>
      </c>
      <c r="AF494">
        <f ca="1">(Inputs!H16+(Inputs!J16-Inputs!H16)*BETAINV(RAND(),Model!L10,Model!M10))*Inputs!$C$6</f>
        <v>63320.685051675384</v>
      </c>
      <c r="AG494">
        <f t="shared" ca="1" si="163"/>
        <v>0.31077368458820542</v>
      </c>
      <c r="AH494">
        <f t="shared" ca="1" si="164"/>
        <v>0.42054541984274452</v>
      </c>
      <c r="AI494">
        <f t="shared" ca="1" si="165"/>
        <v>0</v>
      </c>
      <c r="AJ494" s="47">
        <f t="shared" ca="1" si="166"/>
        <v>0</v>
      </c>
      <c r="AK494">
        <f t="shared" ca="1" si="167"/>
        <v>412114.99156398815</v>
      </c>
    </row>
    <row r="495" spans="2:37" x14ac:dyDescent="0.2">
      <c r="B495">
        <f ca="1">Inputs!B12+(Inputs!D12-Inputs!B12)*BETAINV(RAND(),Model!H6,Model!I6)</f>
        <v>1.9586374849082229</v>
      </c>
      <c r="C495">
        <f ca="1">Inputs!E12+(Inputs!G12-Inputs!E12)*BETAINV(RAND(),Model!J6,Model!K6)</f>
        <v>0.40646283097048785</v>
      </c>
      <c r="D495">
        <f ca="1">(Inputs!H12+(Inputs!J12-Inputs!H12)*BETAINV(RAND(),Model!L6,Model!M6))*Inputs!$C$6</f>
        <v>15259.572841134139</v>
      </c>
      <c r="E495">
        <f t="shared" ca="1" si="147"/>
        <v>0.7961133369607124</v>
      </c>
      <c r="F495">
        <f t="shared" ca="1" si="148"/>
        <v>0.9724691567386099</v>
      </c>
      <c r="G495">
        <f t="shared" ca="1" si="149"/>
        <v>3</v>
      </c>
      <c r="H495" s="47">
        <f t="shared" ca="1" si="150"/>
        <v>45778.718523402415</v>
      </c>
      <c r="I495">
        <f ca="1">Inputs!B13+(Inputs!D13-Inputs!B13)*BETAINV(RAND(),Model!H7,Model!I7)</f>
        <v>2.2687556433663723</v>
      </c>
      <c r="J495">
        <f ca="1">Inputs!E13+(Inputs!G13-Inputs!E13)*BETAINV(RAND(),Model!J7,Model!K7)</f>
        <v>0.24304328465332331</v>
      </c>
      <c r="K495">
        <f ca="1">(Inputs!H13+(Inputs!J13-Inputs!H13)*BETAINV(RAND(),Model!L7,Model!M7))*Inputs!$C$6</f>
        <v>10123.81115047377</v>
      </c>
      <c r="L495">
        <f t="shared" ca="1" si="151"/>
        <v>0.55140582363952684</v>
      </c>
      <c r="M495">
        <f t="shared" ca="1" si="152"/>
        <v>0.20116525605272473</v>
      </c>
      <c r="N495">
        <f t="shared" ca="1" si="153"/>
        <v>0</v>
      </c>
      <c r="O495" s="47">
        <f t="shared" ca="1" si="154"/>
        <v>0</v>
      </c>
      <c r="P495">
        <f ca="1">Inputs!B14+(Inputs!D14-Inputs!B14)*BETAINV(RAND(),Model!H8,Model!I8)</f>
        <v>0.15467921639896298</v>
      </c>
      <c r="Q495">
        <f ca="1">Inputs!E14+(Inputs!G14-Inputs!E14)*BETAINV(RAND(),Model!J8,Model!K8)</f>
        <v>0.49443617803231898</v>
      </c>
      <c r="R495">
        <f ca="1">(Inputs!H14+(Inputs!J14-Inputs!H14)*BETAINV(RAND(),Model!L8,Model!M8))*Inputs!$C$6</f>
        <v>249491.07685048316</v>
      </c>
      <c r="S495">
        <f t="shared" ca="1" si="155"/>
        <v>7.6479000577337253E-2</v>
      </c>
      <c r="T495">
        <f t="shared" ca="1" si="156"/>
        <v>0.37136578306523149</v>
      </c>
      <c r="U495">
        <f t="shared" ca="1" si="157"/>
        <v>0</v>
      </c>
      <c r="V495" s="47">
        <f t="shared" ca="1" si="158"/>
        <v>0</v>
      </c>
      <c r="W495">
        <f ca="1">Inputs!B15+(Inputs!D15-Inputs!B15)*BETAINV(RAND(),Model!H9,Model!I9)</f>
        <v>0.54144704303208324</v>
      </c>
      <c r="X495">
        <f ca="1">Inputs!E15+(Inputs!G15-Inputs!E15)*BETAINV(RAND(),Model!J9,Model!K9)</f>
        <v>0.44126940950626314</v>
      </c>
      <c r="Y495">
        <f ca="1">(Inputs!H15+(Inputs!J15-Inputs!H15)*BETAINV(RAND(),Model!L9,Model!M9))*Inputs!$C$6</f>
        <v>14241.95550787203</v>
      </c>
      <c r="Z495">
        <f t="shared" ca="1" si="159"/>
        <v>0.23892401695767962</v>
      </c>
      <c r="AA495">
        <f t="shared" ca="1" si="160"/>
        <v>0.40523629500934555</v>
      </c>
      <c r="AB495">
        <f t="shared" ca="1" si="161"/>
        <v>0</v>
      </c>
      <c r="AC495" s="47">
        <f t="shared" ca="1" si="162"/>
        <v>0</v>
      </c>
      <c r="AD495">
        <f ca="1">Inputs!B16+(Inputs!D16-Inputs!B16)*BETAINV(RAND(),Model!H10,Model!I10)</f>
        <v>0.79671244919556106</v>
      </c>
      <c r="AE495">
        <f ca="1">Inputs!E16+(Inputs!G16-Inputs!E16)*BETAINV(RAND(),Model!J10,Model!K10)</f>
        <v>0.70870200868244526</v>
      </c>
      <c r="AF495">
        <f ca="1">(Inputs!H16+(Inputs!J16-Inputs!H16)*BETAINV(RAND(),Model!L10,Model!M10))*Inputs!$C$6</f>
        <v>106282.92371748322</v>
      </c>
      <c r="AG495">
        <f t="shared" ca="1" si="163"/>
        <v>0.56463171308720472</v>
      </c>
      <c r="AH495">
        <f t="shared" ca="1" si="164"/>
        <v>0.21234221236167683</v>
      </c>
      <c r="AI495">
        <f t="shared" ca="1" si="165"/>
        <v>0</v>
      </c>
      <c r="AJ495" s="47">
        <f t="shared" ca="1" si="166"/>
        <v>0</v>
      </c>
      <c r="AK495">
        <f t="shared" ca="1" si="167"/>
        <v>45778.718523402415</v>
      </c>
    </row>
    <row r="496" spans="2:37" x14ac:dyDescent="0.2">
      <c r="B496">
        <f ca="1">Inputs!B12+(Inputs!D12-Inputs!B12)*BETAINV(RAND(),Model!H6,Model!I6)</f>
        <v>3.1243750578794267</v>
      </c>
      <c r="C496">
        <f ca="1">Inputs!E12+(Inputs!G12-Inputs!E12)*BETAINV(RAND(),Model!J6,Model!K6)</f>
        <v>0.48112073592292359</v>
      </c>
      <c r="D496">
        <f ca="1">(Inputs!H12+(Inputs!J12-Inputs!H12)*BETAINV(RAND(),Model!L6,Model!M6))*Inputs!$C$6</f>
        <v>26021.544404170618</v>
      </c>
      <c r="E496">
        <f t="shared" ca="1" si="147"/>
        <v>1.5032016271461768</v>
      </c>
      <c r="F496">
        <f t="shared" ca="1" si="148"/>
        <v>0.27911140091409736</v>
      </c>
      <c r="G496">
        <f t="shared" ca="1" si="149"/>
        <v>1</v>
      </c>
      <c r="H496" s="47">
        <f t="shared" ca="1" si="150"/>
        <v>26021.544404170618</v>
      </c>
      <c r="I496">
        <f ca="1">Inputs!B13+(Inputs!D13-Inputs!B13)*BETAINV(RAND(),Model!H7,Model!I7)</f>
        <v>2.3491387128898928</v>
      </c>
      <c r="J496">
        <f ca="1">Inputs!E13+(Inputs!G13-Inputs!E13)*BETAINV(RAND(),Model!J7,Model!K7)</f>
        <v>0.24311211384066192</v>
      </c>
      <c r="K496">
        <f ca="1">(Inputs!H13+(Inputs!J13-Inputs!H13)*BETAINV(RAND(),Model!L7,Model!M7))*Inputs!$C$6</f>
        <v>41474.518864670077</v>
      </c>
      <c r="L496">
        <f t="shared" ca="1" si="151"/>
        <v>0.57110407819559361</v>
      </c>
      <c r="M496">
        <f t="shared" ca="1" si="152"/>
        <v>0.43189465256823889</v>
      </c>
      <c r="N496">
        <f t="shared" ca="1" si="153"/>
        <v>0</v>
      </c>
      <c r="O496" s="47">
        <f t="shared" ca="1" si="154"/>
        <v>0</v>
      </c>
      <c r="P496">
        <f ca="1">Inputs!B14+(Inputs!D14-Inputs!B14)*BETAINV(RAND(),Model!H8,Model!I8)</f>
        <v>0.30565833171749213</v>
      </c>
      <c r="Q496">
        <f ca="1">Inputs!E14+(Inputs!G14-Inputs!E14)*BETAINV(RAND(),Model!J8,Model!K8)</f>
        <v>0.78181378469759832</v>
      </c>
      <c r="R496">
        <f ca="1">(Inputs!H14+(Inputs!J14-Inputs!H14)*BETAINV(RAND(),Model!L8,Model!M8))*Inputs!$C$6</f>
        <v>271791.0095683455</v>
      </c>
      <c r="S496">
        <f t="shared" ca="1" si="155"/>
        <v>0.23896789714440647</v>
      </c>
      <c r="T496">
        <f t="shared" ca="1" si="156"/>
        <v>0.58293314322883227</v>
      </c>
      <c r="U496">
        <f t="shared" ca="1" si="157"/>
        <v>0</v>
      </c>
      <c r="V496" s="47">
        <f t="shared" ca="1" si="158"/>
        <v>0</v>
      </c>
      <c r="W496">
        <f ca="1">Inputs!B15+(Inputs!D15-Inputs!B15)*BETAINV(RAND(),Model!H9,Model!I9)</f>
        <v>1.3037833438689601</v>
      </c>
      <c r="X496">
        <f ca="1">Inputs!E15+(Inputs!G15-Inputs!E15)*BETAINV(RAND(),Model!J9,Model!K9)</f>
        <v>0.47003743987976387</v>
      </c>
      <c r="Y496">
        <f ca="1">(Inputs!H15+(Inputs!J15-Inputs!H15)*BETAINV(RAND(),Model!L9,Model!M9))*Inputs!$C$6</f>
        <v>43717.219061518255</v>
      </c>
      <c r="Z496">
        <f t="shared" ca="1" si="159"/>
        <v>0.61282698511004385</v>
      </c>
      <c r="AA496">
        <f t="shared" ca="1" si="160"/>
        <v>0.46784667804661006</v>
      </c>
      <c r="AB496">
        <f t="shared" ca="1" si="161"/>
        <v>0</v>
      </c>
      <c r="AC496" s="47">
        <f t="shared" ca="1" si="162"/>
        <v>0</v>
      </c>
      <c r="AD496">
        <f ca="1">Inputs!B16+(Inputs!D16-Inputs!B16)*BETAINV(RAND(),Model!H10,Model!I10)</f>
        <v>0.77643657209487338</v>
      </c>
      <c r="AE496">
        <f ca="1">Inputs!E16+(Inputs!G16-Inputs!E16)*BETAINV(RAND(),Model!J10,Model!K10)</f>
        <v>0.78699662594339137</v>
      </c>
      <c r="AF496">
        <f ca="1">(Inputs!H16+(Inputs!J16-Inputs!H16)*BETAINV(RAND(),Model!L10,Model!M10))*Inputs!$C$6</f>
        <v>86169.206953402885</v>
      </c>
      <c r="AG496">
        <f t="shared" ca="1" si="163"/>
        <v>0.61105296249771812</v>
      </c>
      <c r="AH496">
        <f t="shared" ca="1" si="164"/>
        <v>0.90453630124660134</v>
      </c>
      <c r="AI496">
        <f t="shared" ca="1" si="165"/>
        <v>2</v>
      </c>
      <c r="AJ496" s="47">
        <f t="shared" ca="1" si="166"/>
        <v>172338.41390680577</v>
      </c>
      <c r="AK496">
        <f t="shared" ca="1" si="167"/>
        <v>198359.95831097639</v>
      </c>
    </row>
    <row r="497" spans="2:37" x14ac:dyDescent="0.2">
      <c r="B497">
        <f ca="1">Inputs!B12+(Inputs!D12-Inputs!B12)*BETAINV(RAND(),Model!H6,Model!I6)</f>
        <v>3.4033440801552541</v>
      </c>
      <c r="C497">
        <f ca="1">Inputs!E12+(Inputs!G12-Inputs!E12)*BETAINV(RAND(),Model!J6,Model!K6)</f>
        <v>0.17772312960267223</v>
      </c>
      <c r="D497">
        <f ca="1">(Inputs!H12+(Inputs!J12-Inputs!H12)*BETAINV(RAND(),Model!L6,Model!M6))*Inputs!$C$6</f>
        <v>25895.056396859469</v>
      </c>
      <c r="E497">
        <f t="shared" ca="1" si="147"/>
        <v>0.60485296103991948</v>
      </c>
      <c r="F497">
        <f t="shared" ca="1" si="148"/>
        <v>0.96624482872904982</v>
      </c>
      <c r="G497">
        <f t="shared" ca="1" si="149"/>
        <v>2</v>
      </c>
      <c r="H497" s="47">
        <f t="shared" ca="1" si="150"/>
        <v>51790.112793718938</v>
      </c>
      <c r="I497">
        <f ca="1">Inputs!B13+(Inputs!D13-Inputs!B13)*BETAINV(RAND(),Model!H7,Model!I7)</f>
        <v>1.353038226990098</v>
      </c>
      <c r="J497">
        <f ca="1">Inputs!E13+(Inputs!G13-Inputs!E13)*BETAINV(RAND(),Model!J7,Model!K7)</f>
        <v>0.34079958284369677</v>
      </c>
      <c r="K497">
        <f ca="1">(Inputs!H13+(Inputs!J13-Inputs!H13)*BETAINV(RAND(),Model!L7,Model!M7))*Inputs!$C$6</f>
        <v>47789.439482747337</v>
      </c>
      <c r="L497">
        <f t="shared" ca="1" si="151"/>
        <v>0.46111486332980051</v>
      </c>
      <c r="M497">
        <f t="shared" ca="1" si="152"/>
        <v>0.66922588155975093</v>
      </c>
      <c r="N497">
        <f t="shared" ca="1" si="153"/>
        <v>1</v>
      </c>
      <c r="O497" s="47">
        <f t="shared" ca="1" si="154"/>
        <v>47789.439482747337</v>
      </c>
      <c r="P497">
        <f ca="1">Inputs!B14+(Inputs!D14-Inputs!B14)*BETAINV(RAND(),Model!H8,Model!I8)</f>
        <v>0.31167919256120902</v>
      </c>
      <c r="Q497">
        <f ca="1">Inputs!E14+(Inputs!G14-Inputs!E14)*BETAINV(RAND(),Model!J8,Model!K8)</f>
        <v>0.77920256962874035</v>
      </c>
      <c r="R497">
        <f ca="1">(Inputs!H14+(Inputs!J14-Inputs!H14)*BETAINV(RAND(),Model!L8,Model!M8))*Inputs!$C$6</f>
        <v>193274.6152032984</v>
      </c>
      <c r="S497">
        <f t="shared" ca="1" si="155"/>
        <v>0.24286122774350505</v>
      </c>
      <c r="T497">
        <f t="shared" ca="1" si="156"/>
        <v>0.91357884568530989</v>
      </c>
      <c r="U497">
        <f t="shared" ca="1" si="157"/>
        <v>1</v>
      </c>
      <c r="V497" s="47">
        <f t="shared" ca="1" si="158"/>
        <v>193274.6152032984</v>
      </c>
      <c r="W497">
        <f ca="1">Inputs!B15+(Inputs!D15-Inputs!B15)*BETAINV(RAND(),Model!H9,Model!I9)</f>
        <v>1.1470789193981827</v>
      </c>
      <c r="X497">
        <f ca="1">Inputs!E15+(Inputs!G15-Inputs!E15)*BETAINV(RAND(),Model!J9,Model!K9)</f>
        <v>0.36519178943827602</v>
      </c>
      <c r="Y497">
        <f ca="1">(Inputs!H15+(Inputs!J15-Inputs!H15)*BETAINV(RAND(),Model!L9,Model!M9))*Inputs!$C$6</f>
        <v>40959.633995611686</v>
      </c>
      <c r="Z497">
        <f t="shared" ca="1" si="159"/>
        <v>0.41890380320194631</v>
      </c>
      <c r="AA497">
        <f t="shared" ca="1" si="160"/>
        <v>0.97870110768347673</v>
      </c>
      <c r="AB497">
        <f t="shared" ca="1" si="161"/>
        <v>2</v>
      </c>
      <c r="AC497" s="47">
        <f t="shared" ca="1" si="162"/>
        <v>81919.267991223373</v>
      </c>
      <c r="AD497">
        <f ca="1">Inputs!B16+(Inputs!D16-Inputs!B16)*BETAINV(RAND(),Model!H10,Model!I10)</f>
        <v>0.66909291816101368</v>
      </c>
      <c r="AE497">
        <f ca="1">Inputs!E16+(Inputs!G16-Inputs!E16)*BETAINV(RAND(),Model!J10,Model!K10)</f>
        <v>0.6001696010455535</v>
      </c>
      <c r="AF497">
        <f ca="1">(Inputs!H16+(Inputs!J16-Inputs!H16)*BETAINV(RAND(),Model!L10,Model!M10))*Inputs!$C$6</f>
        <v>84949.449263252929</v>
      </c>
      <c r="AG497">
        <f t="shared" ca="1" si="163"/>
        <v>0.40156922975510079</v>
      </c>
      <c r="AH497">
        <f t="shared" ca="1" si="164"/>
        <v>0.95768761661206148</v>
      </c>
      <c r="AI497">
        <f t="shared" ca="1" si="165"/>
        <v>2</v>
      </c>
      <c r="AJ497" s="47">
        <f t="shared" ca="1" si="166"/>
        <v>169898.89852650586</v>
      </c>
      <c r="AK497">
        <f t="shared" ca="1" si="167"/>
        <v>544672.33399749384</v>
      </c>
    </row>
    <row r="498" spans="2:37" x14ac:dyDescent="0.2">
      <c r="B498">
        <f ca="1">Inputs!B12+(Inputs!D12-Inputs!B12)*BETAINV(RAND(),Model!H6,Model!I6)</f>
        <v>2.2796038189972481</v>
      </c>
      <c r="C498">
        <f ca="1">Inputs!E12+(Inputs!G12-Inputs!E12)*BETAINV(RAND(),Model!J6,Model!K6)</f>
        <v>0.21317995948757795</v>
      </c>
      <c r="D498">
        <f ca="1">(Inputs!H12+(Inputs!J12-Inputs!H12)*BETAINV(RAND(),Model!L6,Model!M6))*Inputs!$C$6</f>
        <v>28609.232060288527</v>
      </c>
      <c r="E498">
        <f t="shared" ca="1" si="147"/>
        <v>0.48596584978156132</v>
      </c>
      <c r="F498">
        <f t="shared" ca="1" si="148"/>
        <v>0.44707181878389934</v>
      </c>
      <c r="G498">
        <f t="shared" ca="1" si="149"/>
        <v>0</v>
      </c>
      <c r="H498" s="47">
        <f t="shared" ca="1" si="150"/>
        <v>0</v>
      </c>
      <c r="I498">
        <f ca="1">Inputs!B13+(Inputs!D13-Inputs!B13)*BETAINV(RAND(),Model!H7,Model!I7)</f>
        <v>1.1462020225162968</v>
      </c>
      <c r="J498">
        <f ca="1">Inputs!E13+(Inputs!G13-Inputs!E13)*BETAINV(RAND(),Model!J7,Model!K7)</f>
        <v>0.32368250120824293</v>
      </c>
      <c r="K498">
        <f ca="1">(Inputs!H13+(Inputs!J13-Inputs!H13)*BETAINV(RAND(),Model!L7,Model!M7))*Inputs!$C$6</f>
        <v>32378.244161868082</v>
      </c>
      <c r="L498">
        <f t="shared" ca="1" si="151"/>
        <v>0.37100553753802173</v>
      </c>
      <c r="M498">
        <f t="shared" ca="1" si="152"/>
        <v>0.10612251901711278</v>
      </c>
      <c r="N498">
        <f t="shared" ca="1" si="153"/>
        <v>0</v>
      </c>
      <c r="O498" s="47">
        <f t="shared" ca="1" si="154"/>
        <v>0</v>
      </c>
      <c r="P498">
        <f ca="1">Inputs!B14+(Inputs!D14-Inputs!B14)*BETAINV(RAND(),Model!H8,Model!I8)</f>
        <v>0.25789497040321119</v>
      </c>
      <c r="Q498">
        <f ca="1">Inputs!E14+(Inputs!G14-Inputs!E14)*BETAINV(RAND(),Model!J8,Model!K8)</f>
        <v>0.45590168173355261</v>
      </c>
      <c r="R498">
        <f ca="1">(Inputs!H14+(Inputs!J14-Inputs!H14)*BETAINV(RAND(),Model!L8,Model!M8))*Inputs!$C$6</f>
        <v>405799.5669012072</v>
      </c>
      <c r="S498">
        <f t="shared" ca="1" si="155"/>
        <v>0.11757475071744876</v>
      </c>
      <c r="T498">
        <f t="shared" ca="1" si="156"/>
        <v>0.22333747407962501</v>
      </c>
      <c r="U498">
        <f t="shared" ca="1" si="157"/>
        <v>0</v>
      </c>
      <c r="V498" s="47">
        <f t="shared" ca="1" si="158"/>
        <v>0</v>
      </c>
      <c r="W498">
        <f ca="1">Inputs!B15+(Inputs!D15-Inputs!B15)*BETAINV(RAND(),Model!H9,Model!I9)</f>
        <v>0.75457530555218555</v>
      </c>
      <c r="X498">
        <f ca="1">Inputs!E15+(Inputs!G15-Inputs!E15)*BETAINV(RAND(),Model!J9,Model!K9)</f>
        <v>0.32092293483128637</v>
      </c>
      <c r="Y498">
        <f ca="1">(Inputs!H15+(Inputs!J15-Inputs!H15)*BETAINV(RAND(),Model!L9,Model!M9))*Inputs!$C$6</f>
        <v>44890.480833055037</v>
      </c>
      <c r="Z498">
        <f t="shared" ca="1" si="159"/>
        <v>0.24216052160902204</v>
      </c>
      <c r="AA498">
        <f t="shared" ca="1" si="160"/>
        <v>0.54202529118278064</v>
      </c>
      <c r="AB498">
        <f t="shared" ca="1" si="161"/>
        <v>0</v>
      </c>
      <c r="AC498" s="47">
        <f t="shared" ca="1" si="162"/>
        <v>0</v>
      </c>
      <c r="AD498">
        <f ca="1">Inputs!B16+(Inputs!D16-Inputs!B16)*BETAINV(RAND(),Model!H10,Model!I10)</f>
        <v>0.65156536125532982</v>
      </c>
      <c r="AE498">
        <f ca="1">Inputs!E16+(Inputs!G16-Inputs!E16)*BETAINV(RAND(),Model!J10,Model!K10)</f>
        <v>0.76180417886460283</v>
      </c>
      <c r="AF498">
        <f ca="1">(Inputs!H16+(Inputs!J16-Inputs!H16)*BETAINV(RAND(),Model!L10,Model!M10))*Inputs!$C$6</f>
        <v>103709.83981669103</v>
      </c>
      <c r="AG498">
        <f t="shared" ca="1" si="163"/>
        <v>0.49636521500773484</v>
      </c>
      <c r="AH498">
        <f t="shared" ca="1" si="164"/>
        <v>0.88327676339419081</v>
      </c>
      <c r="AI498">
        <f t="shared" ca="1" si="165"/>
        <v>1</v>
      </c>
      <c r="AJ498" s="47">
        <f t="shared" ca="1" si="166"/>
        <v>103709.83981669103</v>
      </c>
      <c r="AK498">
        <f t="shared" ca="1" si="167"/>
        <v>103709.83981669103</v>
      </c>
    </row>
    <row r="499" spans="2:37" x14ac:dyDescent="0.2">
      <c r="B499">
        <f ca="1">Inputs!B12+(Inputs!D12-Inputs!B12)*BETAINV(RAND(),Model!H6,Model!I6)</f>
        <v>2.6052808905171783</v>
      </c>
      <c r="C499">
        <f ca="1">Inputs!E12+(Inputs!G12-Inputs!E12)*BETAINV(RAND(),Model!J6,Model!K6)</f>
        <v>0.26515710858081254</v>
      </c>
      <c r="D499">
        <f ca="1">(Inputs!H12+(Inputs!J12-Inputs!H12)*BETAINV(RAND(),Model!L6,Model!M6))*Inputs!$C$6</f>
        <v>12030.026574623702</v>
      </c>
      <c r="E499">
        <f t="shared" ca="1" si="147"/>
        <v>0.69080874797037939</v>
      </c>
      <c r="F499">
        <f t="shared" ca="1" si="148"/>
        <v>0.95814346389312699</v>
      </c>
      <c r="G499">
        <f t="shared" ca="1" si="149"/>
        <v>2</v>
      </c>
      <c r="H499" s="47">
        <f t="shared" ca="1" si="150"/>
        <v>24060.053149247404</v>
      </c>
      <c r="I499">
        <f ca="1">Inputs!B13+(Inputs!D13-Inputs!B13)*BETAINV(RAND(),Model!H7,Model!I7)</f>
        <v>2.6327055628180172</v>
      </c>
      <c r="J499">
        <f ca="1">Inputs!E13+(Inputs!G13-Inputs!E13)*BETAINV(RAND(),Model!J7,Model!K7)</f>
        <v>0.20947081626470773</v>
      </c>
      <c r="K499">
        <f ca="1">(Inputs!H13+(Inputs!J13-Inputs!H13)*BETAINV(RAND(),Model!L7,Model!M7))*Inputs!$C$6</f>
        <v>41417.81248045947</v>
      </c>
      <c r="L499">
        <f t="shared" ca="1" si="151"/>
        <v>0.55147498322812682</v>
      </c>
      <c r="M499">
        <f t="shared" ca="1" si="152"/>
        <v>0.88375188654728587</v>
      </c>
      <c r="N499">
        <f t="shared" ca="1" si="153"/>
        <v>1</v>
      </c>
      <c r="O499" s="47">
        <f t="shared" ca="1" si="154"/>
        <v>41417.81248045947</v>
      </c>
      <c r="P499">
        <f ca="1">Inputs!B14+(Inputs!D14-Inputs!B14)*BETAINV(RAND(),Model!H8,Model!I8)</f>
        <v>0.27170157336771955</v>
      </c>
      <c r="Q499">
        <f ca="1">Inputs!E14+(Inputs!G14-Inputs!E14)*BETAINV(RAND(),Model!J8,Model!K8)</f>
        <v>0.38333352406862076</v>
      </c>
      <c r="R499">
        <f ca="1">(Inputs!H14+(Inputs!J14-Inputs!H14)*BETAINV(RAND(),Model!L8,Model!M8))*Inputs!$C$6</f>
        <v>243131.25921326334</v>
      </c>
      <c r="S499">
        <f t="shared" ca="1" si="155"/>
        <v>0.10415232161403686</v>
      </c>
      <c r="T499">
        <f t="shared" ca="1" si="156"/>
        <v>8.9961550174881055E-2</v>
      </c>
      <c r="U499">
        <f t="shared" ca="1" si="157"/>
        <v>0</v>
      </c>
      <c r="V499" s="47">
        <f t="shared" ca="1" si="158"/>
        <v>0</v>
      </c>
      <c r="W499">
        <f ca="1">Inputs!B15+(Inputs!D15-Inputs!B15)*BETAINV(RAND(),Model!H9,Model!I9)</f>
        <v>0.82545141093600072</v>
      </c>
      <c r="X499">
        <f ca="1">Inputs!E15+(Inputs!G15-Inputs!E15)*BETAINV(RAND(),Model!J9,Model!K9)</f>
        <v>0.42952824795996591</v>
      </c>
      <c r="Y499">
        <f ca="1">(Inputs!H15+(Inputs!J15-Inputs!H15)*BETAINV(RAND(),Model!L9,Model!M9))*Inputs!$C$6</f>
        <v>8227.540397078923</v>
      </c>
      <c r="Z499">
        <f t="shared" ca="1" si="159"/>
        <v>0.35455469831542225</v>
      </c>
      <c r="AA499">
        <f t="shared" ca="1" si="160"/>
        <v>0.59707415989518264</v>
      </c>
      <c r="AB499">
        <f t="shared" ca="1" si="161"/>
        <v>0</v>
      </c>
      <c r="AC499" s="47">
        <f t="shared" ca="1" si="162"/>
        <v>0</v>
      </c>
      <c r="AD499">
        <f ca="1">Inputs!B16+(Inputs!D16-Inputs!B16)*BETAINV(RAND(),Model!H10,Model!I10)</f>
        <v>0.25955499459223969</v>
      </c>
      <c r="AE499">
        <f ca="1">Inputs!E16+(Inputs!G16-Inputs!E16)*BETAINV(RAND(),Model!J10,Model!K10)</f>
        <v>0.54552791090733588</v>
      </c>
      <c r="AF499">
        <f ca="1">(Inputs!H16+(Inputs!J16-Inputs!H16)*BETAINV(RAND(),Model!L10,Model!M10))*Inputs!$C$6</f>
        <v>136017.567792171</v>
      </c>
      <c r="AG499">
        <f t="shared" ca="1" si="163"/>
        <v>0.14159449396546939</v>
      </c>
      <c r="AH499">
        <f t="shared" ca="1" si="164"/>
        <v>7.9701899610544857E-2</v>
      </c>
      <c r="AI499">
        <f t="shared" ca="1" si="165"/>
        <v>0</v>
      </c>
      <c r="AJ499" s="47">
        <f t="shared" ca="1" si="166"/>
        <v>0</v>
      </c>
      <c r="AK499">
        <f t="shared" ca="1" si="167"/>
        <v>65477.865629706874</v>
      </c>
    </row>
    <row r="500" spans="2:37" x14ac:dyDescent="0.2">
      <c r="B500">
        <f ca="1">Inputs!B12+(Inputs!D12-Inputs!B12)*BETAINV(RAND(),Model!H6,Model!I6)</f>
        <v>2.238666441549404</v>
      </c>
      <c r="C500">
        <f ca="1">Inputs!E12+(Inputs!G12-Inputs!E12)*BETAINV(RAND(),Model!J6,Model!K6)</f>
        <v>0.22453432544236157</v>
      </c>
      <c r="D500">
        <f ca="1">(Inputs!H12+(Inputs!J12-Inputs!H12)*BETAINV(RAND(),Model!L6,Model!M6))*Inputs!$C$6</f>
        <v>23916.420718909067</v>
      </c>
      <c r="E500">
        <f t="shared" ca="1" si="147"/>
        <v>0.50265745934374739</v>
      </c>
      <c r="F500">
        <f t="shared" ca="1" si="148"/>
        <v>0.34926896732175949</v>
      </c>
      <c r="G500">
        <f t="shared" ca="1" si="149"/>
        <v>0</v>
      </c>
      <c r="H500" s="47">
        <f t="shared" ca="1" si="150"/>
        <v>0</v>
      </c>
      <c r="I500">
        <f ca="1">Inputs!B13+(Inputs!D13-Inputs!B13)*BETAINV(RAND(),Model!H7,Model!I7)</f>
        <v>2.4293466352500634</v>
      </c>
      <c r="J500">
        <f ca="1">Inputs!E13+(Inputs!G13-Inputs!E13)*BETAINV(RAND(),Model!J7,Model!K7)</f>
        <v>0.2808776268923448</v>
      </c>
      <c r="K500">
        <f ca="1">(Inputs!H13+(Inputs!J13-Inputs!H13)*BETAINV(RAND(),Model!L7,Model!M7))*Inputs!$C$6</f>
        <v>38159.975673428009</v>
      </c>
      <c r="L500">
        <f t="shared" ca="1" si="151"/>
        <v>0.68234911780794061</v>
      </c>
      <c r="M500">
        <f t="shared" ca="1" si="152"/>
        <v>0.8476944569478162</v>
      </c>
      <c r="N500">
        <f t="shared" ca="1" si="153"/>
        <v>1</v>
      </c>
      <c r="O500" s="47">
        <f t="shared" ca="1" si="154"/>
        <v>38159.975673428009</v>
      </c>
      <c r="P500">
        <f ca="1">Inputs!B14+(Inputs!D14-Inputs!B14)*BETAINV(RAND(),Model!H8,Model!I8)</f>
        <v>0.16425217669072695</v>
      </c>
      <c r="Q500">
        <f ca="1">Inputs!E14+(Inputs!G14-Inputs!E14)*BETAINV(RAND(),Model!J8,Model!K8)</f>
        <v>0.72331700762291962</v>
      </c>
      <c r="R500">
        <f ca="1">(Inputs!H14+(Inputs!J14-Inputs!H14)*BETAINV(RAND(),Model!L8,Model!M8))*Inputs!$C$6</f>
        <v>377931.21770743758</v>
      </c>
      <c r="S500">
        <f t="shared" ca="1" si="155"/>
        <v>0.11880639293948768</v>
      </c>
      <c r="T500">
        <f t="shared" ca="1" si="156"/>
        <v>0.10337936477125687</v>
      </c>
      <c r="U500">
        <f t="shared" ca="1" si="157"/>
        <v>0</v>
      </c>
      <c r="V500" s="47">
        <f t="shared" ca="1" si="158"/>
        <v>0</v>
      </c>
      <c r="W500">
        <f ca="1">Inputs!B15+(Inputs!D15-Inputs!B15)*BETAINV(RAND(),Model!H9,Model!I9)</f>
        <v>1.9667071377690672</v>
      </c>
      <c r="X500">
        <f ca="1">Inputs!E15+(Inputs!G15-Inputs!E15)*BETAINV(RAND(),Model!J9,Model!K9)</f>
        <v>0.34117344181439641</v>
      </c>
      <c r="Y500">
        <f ca="1">(Inputs!H15+(Inputs!J15-Inputs!H15)*BETAINV(RAND(),Model!L9,Model!M9))*Inputs!$C$6</f>
        <v>28598.603193618055</v>
      </c>
      <c r="Z500">
        <f t="shared" ca="1" si="159"/>
        <v>0.67098824323361295</v>
      </c>
      <c r="AA500">
        <f t="shared" ca="1" si="160"/>
        <v>4.6334880847224369E-2</v>
      </c>
      <c r="AB500">
        <f t="shared" ca="1" si="161"/>
        <v>0</v>
      </c>
      <c r="AC500" s="47">
        <f t="shared" ca="1" si="162"/>
        <v>0</v>
      </c>
      <c r="AD500">
        <f ca="1">Inputs!B16+(Inputs!D16-Inputs!B16)*BETAINV(RAND(),Model!H10,Model!I10)</f>
        <v>0.58659918955278345</v>
      </c>
      <c r="AE500">
        <f ca="1">Inputs!E16+(Inputs!G16-Inputs!E16)*BETAINV(RAND(),Model!J10,Model!K10)</f>
        <v>0.53599597816322442</v>
      </c>
      <c r="AF500">
        <f ca="1">(Inputs!H16+(Inputs!J16-Inputs!H16)*BETAINV(RAND(),Model!L10,Model!M10))*Inputs!$C$6</f>
        <v>65643.411912171476</v>
      </c>
      <c r="AG500">
        <f t="shared" ca="1" si="163"/>
        <v>0.31441480639409886</v>
      </c>
      <c r="AH500">
        <f t="shared" ca="1" si="164"/>
        <v>0.31525115789969127</v>
      </c>
      <c r="AI500">
        <f t="shared" ca="1" si="165"/>
        <v>0</v>
      </c>
      <c r="AJ500" s="47">
        <f t="shared" ca="1" si="166"/>
        <v>0</v>
      </c>
      <c r="AK500">
        <f t="shared" ca="1" si="167"/>
        <v>38159.975673428009</v>
      </c>
    </row>
    <row r="501" spans="2:37" x14ac:dyDescent="0.2">
      <c r="B501">
        <f ca="1">Inputs!B12+(Inputs!D12-Inputs!B12)*BETAINV(RAND(),Model!H6,Model!I6)</f>
        <v>4.6905250702336225</v>
      </c>
      <c r="C501">
        <f ca="1">Inputs!E12+(Inputs!G12-Inputs!E12)*BETAINV(RAND(),Model!J6,Model!K6)</f>
        <v>0.32797913904158038</v>
      </c>
      <c r="D501">
        <f ca="1">(Inputs!H12+(Inputs!J12-Inputs!H12)*BETAINV(RAND(),Model!L6,Model!M6))*Inputs!$C$6</f>
        <v>26354.234010346958</v>
      </c>
      <c r="E501">
        <f t="shared" ca="1" si="147"/>
        <v>1.5383943741881718</v>
      </c>
      <c r="F501">
        <f t="shared" ca="1" si="148"/>
        <v>0.19886174129332301</v>
      </c>
      <c r="G501">
        <f t="shared" ca="1" si="149"/>
        <v>0</v>
      </c>
      <c r="H501" s="47">
        <f t="shared" ca="1" si="150"/>
        <v>0</v>
      </c>
      <c r="I501">
        <f ca="1">Inputs!B13+(Inputs!D13-Inputs!B13)*BETAINV(RAND(),Model!H7,Model!I7)</f>
        <v>3.9136511958012665</v>
      </c>
      <c r="J501">
        <f ca="1">Inputs!E13+(Inputs!G13-Inputs!E13)*BETAINV(RAND(),Model!J7,Model!K7)</f>
        <v>0.32634105183929119</v>
      </c>
      <c r="K501">
        <f ca="1">(Inputs!H13+(Inputs!J13-Inputs!H13)*BETAINV(RAND(),Model!L7,Model!M7))*Inputs!$C$6</f>
        <v>26653.205506396363</v>
      </c>
      <c r="L501">
        <f t="shared" ca="1" si="151"/>
        <v>1.277185047769885</v>
      </c>
      <c r="M501">
        <f t="shared" ca="1" si="152"/>
        <v>0.68128883067579538</v>
      </c>
      <c r="N501">
        <f t="shared" ca="1" si="153"/>
        <v>2</v>
      </c>
      <c r="O501" s="47">
        <f t="shared" ca="1" si="154"/>
        <v>53306.411012792727</v>
      </c>
      <c r="P501">
        <f ca="1">Inputs!B14+(Inputs!D14-Inputs!B14)*BETAINV(RAND(),Model!H8,Model!I8)</f>
        <v>0.18019352324991875</v>
      </c>
      <c r="Q501">
        <f ca="1">Inputs!E14+(Inputs!G14-Inputs!E14)*BETAINV(RAND(),Model!J8,Model!K8)</f>
        <v>0.70093719566608181</v>
      </c>
      <c r="R501">
        <f ca="1">(Inputs!H14+(Inputs!J14-Inputs!H14)*BETAINV(RAND(),Model!L8,Model!M8))*Inputs!$C$6</f>
        <v>559359.41870786785</v>
      </c>
      <c r="S501">
        <f t="shared" ca="1" si="155"/>
        <v>0.12630434286398895</v>
      </c>
      <c r="T501">
        <f t="shared" ca="1" si="156"/>
        <v>0.64608107921332136</v>
      </c>
      <c r="U501">
        <f t="shared" ca="1" si="157"/>
        <v>0</v>
      </c>
      <c r="V501" s="47">
        <f t="shared" ca="1" si="158"/>
        <v>0</v>
      </c>
      <c r="W501">
        <f ca="1">Inputs!B15+(Inputs!D15-Inputs!B15)*BETAINV(RAND(),Model!H9,Model!I9)</f>
        <v>1.0629980030205659</v>
      </c>
      <c r="X501">
        <f ca="1">Inputs!E15+(Inputs!G15-Inputs!E15)*BETAINV(RAND(),Model!J9,Model!K9)</f>
        <v>0.37603933420902003</v>
      </c>
      <c r="Y501">
        <f ca="1">(Inputs!H15+(Inputs!J15-Inputs!H15)*BETAINV(RAND(),Model!L9,Model!M9))*Inputs!$C$6</f>
        <v>29233.135988713075</v>
      </c>
      <c r="Z501">
        <f t="shared" ca="1" si="159"/>
        <v>0.39972906132137148</v>
      </c>
      <c r="AA501">
        <f t="shared" ca="1" si="160"/>
        <v>0.45317510722641807</v>
      </c>
      <c r="AB501">
        <f t="shared" ca="1" si="161"/>
        <v>0</v>
      </c>
      <c r="AC501" s="47">
        <f t="shared" ca="1" si="162"/>
        <v>0</v>
      </c>
      <c r="AD501">
        <f ca="1">Inputs!B16+(Inputs!D16-Inputs!B16)*BETAINV(RAND(),Model!H10,Model!I10)</f>
        <v>0.58135429454500964</v>
      </c>
      <c r="AE501">
        <f ca="1">Inputs!E16+(Inputs!G16-Inputs!E16)*BETAINV(RAND(),Model!J10,Model!K10)</f>
        <v>0.58245144214194022</v>
      </c>
      <c r="AF501">
        <f ca="1">(Inputs!H16+(Inputs!J16-Inputs!H16)*BETAINV(RAND(),Model!L10,Model!M10))*Inputs!$C$6</f>
        <v>52696.857589285959</v>
      </c>
      <c r="AG501">
        <f t="shared" ca="1" si="163"/>
        <v>0.33861064725315115</v>
      </c>
      <c r="AH501">
        <f t="shared" ca="1" si="164"/>
        <v>0.92011786678000862</v>
      </c>
      <c r="AI501">
        <f t="shared" ca="1" si="165"/>
        <v>1</v>
      </c>
      <c r="AJ501" s="47">
        <f t="shared" ca="1" si="166"/>
        <v>52696.857589285959</v>
      </c>
      <c r="AK501">
        <f t="shared" ca="1" si="167"/>
        <v>106003.26860207869</v>
      </c>
    </row>
    <row r="502" spans="2:37" x14ac:dyDescent="0.2">
      <c r="B502">
        <f ca="1">Inputs!B12+(Inputs!D12-Inputs!B12)*BETAINV(RAND(),Model!H6,Model!I6)</f>
        <v>2.8956038996710749</v>
      </c>
      <c r="C502">
        <f ca="1">Inputs!E12+(Inputs!G12-Inputs!E12)*BETAINV(RAND(),Model!J6,Model!K6)</f>
        <v>0.29518486156100121</v>
      </c>
      <c r="D502">
        <f ca="1">(Inputs!H12+(Inputs!J12-Inputs!H12)*BETAINV(RAND(),Model!L6,Model!M6))*Inputs!$C$6</f>
        <v>30003.506273031697</v>
      </c>
      <c r="E502">
        <f t="shared" ca="1" si="147"/>
        <v>0.85473843625990154</v>
      </c>
      <c r="F502">
        <f t="shared" ca="1" si="148"/>
        <v>0.60800309747622194</v>
      </c>
      <c r="G502">
        <f t="shared" ca="1" si="149"/>
        <v>1</v>
      </c>
      <c r="H502" s="47">
        <f t="shared" ca="1" si="150"/>
        <v>30003.506273031697</v>
      </c>
      <c r="I502">
        <f ca="1">Inputs!B13+(Inputs!D13-Inputs!B13)*BETAINV(RAND(),Model!H7,Model!I7)</f>
        <v>2.5351411080492929</v>
      </c>
      <c r="J502">
        <f ca="1">Inputs!E13+(Inputs!G13-Inputs!E13)*BETAINV(RAND(),Model!J7,Model!K7)</f>
        <v>0.17020692832823633</v>
      </c>
      <c r="K502">
        <f ca="1">(Inputs!H13+(Inputs!J13-Inputs!H13)*BETAINV(RAND(),Model!L7,Model!M7))*Inputs!$C$6</f>
        <v>32956.007491882643</v>
      </c>
      <c r="L502">
        <f t="shared" ca="1" si="151"/>
        <v>0.43149858087971166</v>
      </c>
      <c r="M502">
        <f t="shared" ca="1" si="152"/>
        <v>0.4317477665048729</v>
      </c>
      <c r="N502">
        <f t="shared" ca="1" si="153"/>
        <v>0</v>
      </c>
      <c r="O502" s="47">
        <f t="shared" ca="1" si="154"/>
        <v>0</v>
      </c>
      <c r="P502">
        <f ca="1">Inputs!B14+(Inputs!D14-Inputs!B14)*BETAINV(RAND(),Model!H8,Model!I8)</f>
        <v>0.35358312792293567</v>
      </c>
      <c r="Q502">
        <f ca="1">Inputs!E14+(Inputs!G14-Inputs!E14)*BETAINV(RAND(),Model!J8,Model!K8)</f>
        <v>0.49837222704255824</v>
      </c>
      <c r="R502">
        <f ca="1">(Inputs!H14+(Inputs!J14-Inputs!H14)*BETAINV(RAND(),Model!L8,Model!M8))*Inputs!$C$6</f>
        <v>250775.45339466602</v>
      </c>
      <c r="S502">
        <f t="shared" ca="1" si="155"/>
        <v>0.1762160109076272</v>
      </c>
      <c r="T502">
        <f t="shared" ca="1" si="156"/>
        <v>0.66808023902653513</v>
      </c>
      <c r="U502">
        <f t="shared" ca="1" si="157"/>
        <v>0</v>
      </c>
      <c r="V502" s="47">
        <f t="shared" ca="1" si="158"/>
        <v>0</v>
      </c>
      <c r="W502">
        <f ca="1">Inputs!B15+(Inputs!D15-Inputs!B15)*BETAINV(RAND(),Model!H9,Model!I9)</f>
        <v>0.73199451035615448</v>
      </c>
      <c r="X502">
        <f ca="1">Inputs!E15+(Inputs!G15-Inputs!E15)*BETAINV(RAND(),Model!J9,Model!K9)</f>
        <v>0.30448248069130773</v>
      </c>
      <c r="Y502">
        <f ca="1">(Inputs!H15+(Inputs!J15-Inputs!H15)*BETAINV(RAND(),Model!L9,Model!M9))*Inputs!$C$6</f>
        <v>51181.31534543103</v>
      </c>
      <c r="Z502">
        <f t="shared" ca="1" si="159"/>
        <v>0.22287950436566106</v>
      </c>
      <c r="AA502">
        <f t="shared" ca="1" si="160"/>
        <v>0.25359860123100997</v>
      </c>
      <c r="AB502">
        <f t="shared" ca="1" si="161"/>
        <v>0</v>
      </c>
      <c r="AC502" s="47">
        <f t="shared" ca="1" si="162"/>
        <v>0</v>
      </c>
      <c r="AD502">
        <f ca="1">Inputs!B16+(Inputs!D16-Inputs!B16)*BETAINV(RAND(),Model!H10,Model!I10)</f>
        <v>0.36688290054799932</v>
      </c>
      <c r="AE502">
        <f ca="1">Inputs!E16+(Inputs!G16-Inputs!E16)*BETAINV(RAND(),Model!J10,Model!K10)</f>
        <v>0.61531623945027203</v>
      </c>
      <c r="AF502">
        <f ca="1">(Inputs!H16+(Inputs!J16-Inputs!H16)*BETAINV(RAND(),Model!L10,Model!M10))*Inputs!$C$6</f>
        <v>91152.024766952847</v>
      </c>
      <c r="AG502">
        <f t="shared" ca="1" si="163"/>
        <v>0.2257490066838031</v>
      </c>
      <c r="AH502">
        <f t="shared" ca="1" si="164"/>
        <v>6.501924781407098E-2</v>
      </c>
      <c r="AI502">
        <f t="shared" ca="1" si="165"/>
        <v>0</v>
      </c>
      <c r="AJ502" s="47">
        <f t="shared" ca="1" si="166"/>
        <v>0</v>
      </c>
      <c r="AK502">
        <f t="shared" ca="1" si="167"/>
        <v>30003.506273031697</v>
      </c>
    </row>
    <row r="503" spans="2:37" x14ac:dyDescent="0.2">
      <c r="B503">
        <f ca="1">Inputs!B12+(Inputs!D12-Inputs!B12)*BETAINV(RAND(),Model!H6,Model!I6)</f>
        <v>3.1952223667916937</v>
      </c>
      <c r="C503">
        <f ca="1">Inputs!E12+(Inputs!G12-Inputs!E12)*BETAINV(RAND(),Model!J6,Model!K6)</f>
        <v>0.34129392572121486</v>
      </c>
      <c r="D503">
        <f ca="1">(Inputs!H12+(Inputs!J12-Inputs!H12)*BETAINV(RAND(),Model!L6,Model!M6))*Inputs!$C$6</f>
        <v>17528.428350505659</v>
      </c>
      <c r="E503">
        <f t="shared" ca="1" si="147"/>
        <v>1.0905099851145688</v>
      </c>
      <c r="F503">
        <f t="shared" ca="1" si="148"/>
        <v>4.8212632575537873E-2</v>
      </c>
      <c r="G503">
        <f t="shared" ca="1" si="149"/>
        <v>0</v>
      </c>
      <c r="H503" s="47">
        <f t="shared" ca="1" si="150"/>
        <v>0</v>
      </c>
      <c r="I503">
        <f ca="1">Inputs!B13+(Inputs!D13-Inputs!B13)*BETAINV(RAND(),Model!H7,Model!I7)</f>
        <v>2.4565826718144548</v>
      </c>
      <c r="J503">
        <f ca="1">Inputs!E13+(Inputs!G13-Inputs!E13)*BETAINV(RAND(),Model!J7,Model!K7)</f>
        <v>0.26495219031119932</v>
      </c>
      <c r="K503">
        <f ca="1">(Inputs!H13+(Inputs!J13-Inputs!H13)*BETAINV(RAND(),Model!L7,Model!M7))*Inputs!$C$6</f>
        <v>42575.653524133195</v>
      </c>
      <c r="L503">
        <f t="shared" ca="1" si="151"/>
        <v>0.65087695957777791</v>
      </c>
      <c r="M503">
        <f t="shared" ca="1" si="152"/>
        <v>0.59872396392492644</v>
      </c>
      <c r="N503">
        <f t="shared" ca="1" si="153"/>
        <v>1</v>
      </c>
      <c r="O503" s="47">
        <f t="shared" ca="1" si="154"/>
        <v>42575.653524133195</v>
      </c>
      <c r="P503">
        <f ca="1">Inputs!B14+(Inputs!D14-Inputs!B14)*BETAINV(RAND(),Model!H8,Model!I8)</f>
        <v>0.32627771699036434</v>
      </c>
      <c r="Q503">
        <f ca="1">Inputs!E14+(Inputs!G14-Inputs!E14)*BETAINV(RAND(),Model!J8,Model!K8)</f>
        <v>0.7518509270046716</v>
      </c>
      <c r="R503">
        <f ca="1">(Inputs!H14+(Inputs!J14-Inputs!H14)*BETAINV(RAND(),Model!L8,Model!M8))*Inputs!$C$6</f>
        <v>392761.67390731088</v>
      </c>
      <c r="S503">
        <f t="shared" ca="1" si="155"/>
        <v>0.24531220398017331</v>
      </c>
      <c r="T503">
        <f t="shared" ca="1" si="156"/>
        <v>0.25541686909887618</v>
      </c>
      <c r="U503">
        <f t="shared" ca="1" si="157"/>
        <v>0</v>
      </c>
      <c r="V503" s="47">
        <f t="shared" ca="1" si="158"/>
        <v>0</v>
      </c>
      <c r="W503">
        <f ca="1">Inputs!B15+(Inputs!D15-Inputs!B15)*BETAINV(RAND(),Model!H9,Model!I9)</f>
        <v>0.70966351688885521</v>
      </c>
      <c r="X503">
        <f ca="1">Inputs!E15+(Inputs!G15-Inputs!E15)*BETAINV(RAND(),Model!J9,Model!K9)</f>
        <v>0.38060899090244604</v>
      </c>
      <c r="Y503">
        <f ca="1">(Inputs!H15+(Inputs!J15-Inputs!H15)*BETAINV(RAND(),Model!L9,Model!M9))*Inputs!$C$6</f>
        <v>31874.448028983792</v>
      </c>
      <c r="Z503">
        <f t="shared" ca="1" si="159"/>
        <v>0.27010431504334814</v>
      </c>
      <c r="AA503">
        <f t="shared" ca="1" si="160"/>
        <v>0.70900794988416693</v>
      </c>
      <c r="AB503">
        <f t="shared" ca="1" si="161"/>
        <v>0</v>
      </c>
      <c r="AC503" s="47">
        <f t="shared" ca="1" si="162"/>
        <v>0</v>
      </c>
      <c r="AD503">
        <f ca="1">Inputs!B16+(Inputs!D16-Inputs!B16)*BETAINV(RAND(),Model!H10,Model!I10)</f>
        <v>0.55897151704538861</v>
      </c>
      <c r="AE503">
        <f ca="1">Inputs!E16+(Inputs!G16-Inputs!E16)*BETAINV(RAND(),Model!J10,Model!K10)</f>
        <v>0.64929972973009786</v>
      </c>
      <c r="AF503">
        <f ca="1">(Inputs!H16+(Inputs!J16-Inputs!H16)*BETAINV(RAND(),Model!L10,Model!M10))*Inputs!$C$6</f>
        <v>66835.202334572154</v>
      </c>
      <c r="AG503">
        <f t="shared" ca="1" si="163"/>
        <v>0.36294005494439363</v>
      </c>
      <c r="AH503">
        <f t="shared" ca="1" si="164"/>
        <v>0.10319572099514152</v>
      </c>
      <c r="AI503">
        <f t="shared" ca="1" si="165"/>
        <v>0</v>
      </c>
      <c r="AJ503" s="47">
        <f t="shared" ca="1" si="166"/>
        <v>0</v>
      </c>
      <c r="AK503">
        <f t="shared" ca="1" si="167"/>
        <v>42575.653524133195</v>
      </c>
    </row>
    <row r="504" spans="2:37" x14ac:dyDescent="0.2">
      <c r="B504">
        <f ca="1">Inputs!B12+(Inputs!D12-Inputs!B12)*BETAINV(RAND(),Model!H6,Model!I6)</f>
        <v>4.0348711778721515</v>
      </c>
      <c r="C504">
        <f ca="1">Inputs!E12+(Inputs!G12-Inputs!E12)*BETAINV(RAND(),Model!J6,Model!K6)</f>
        <v>0.35438507462059865</v>
      </c>
      <c r="D504">
        <f ca="1">(Inputs!H12+(Inputs!J12-Inputs!H12)*BETAINV(RAND(),Model!L6,Model!M6))*Inputs!$C$6</f>
        <v>20739.350623888673</v>
      </c>
      <c r="E504">
        <f t="shared" ca="1" si="147"/>
        <v>1.4298981234547252</v>
      </c>
      <c r="F504">
        <f t="shared" ca="1" si="148"/>
        <v>0.1034669598914425</v>
      </c>
      <c r="G504">
        <f t="shared" ca="1" si="149"/>
        <v>0</v>
      </c>
      <c r="H504" s="47">
        <f t="shared" ca="1" si="150"/>
        <v>0</v>
      </c>
      <c r="I504">
        <f ca="1">Inputs!B13+(Inputs!D13-Inputs!B13)*BETAINV(RAND(),Model!H7,Model!I7)</f>
        <v>2.0764800906060272</v>
      </c>
      <c r="J504">
        <f ca="1">Inputs!E13+(Inputs!G13-Inputs!E13)*BETAINV(RAND(),Model!J7,Model!K7)</f>
        <v>0.22378866247221546</v>
      </c>
      <c r="K504">
        <f ca="1">(Inputs!H13+(Inputs!J13-Inputs!H13)*BETAINV(RAND(),Model!L7,Model!M7))*Inputs!$C$6</f>
        <v>44316.042883276823</v>
      </c>
      <c r="L504">
        <f t="shared" ca="1" si="151"/>
        <v>0.46469270212690761</v>
      </c>
      <c r="M504">
        <f t="shared" ca="1" si="152"/>
        <v>0.11959152401451389</v>
      </c>
      <c r="N504">
        <f t="shared" ca="1" si="153"/>
        <v>0</v>
      </c>
      <c r="O504" s="47">
        <f t="shared" ca="1" si="154"/>
        <v>0</v>
      </c>
      <c r="P504">
        <f ca="1">Inputs!B14+(Inputs!D14-Inputs!B14)*BETAINV(RAND(),Model!H8,Model!I8)</f>
        <v>0.31621844111229036</v>
      </c>
      <c r="Q504">
        <f ca="1">Inputs!E14+(Inputs!G14-Inputs!E14)*BETAINV(RAND(),Model!J8,Model!K8)</f>
        <v>0.76000055387332044</v>
      </c>
      <c r="R504">
        <f ca="1">(Inputs!H14+(Inputs!J14-Inputs!H14)*BETAINV(RAND(),Model!L8,Model!M8))*Inputs!$C$6</f>
        <v>500892.54254101776</v>
      </c>
      <c r="S504">
        <f t="shared" ca="1" si="155"/>
        <v>0.24032619039029865</v>
      </c>
      <c r="T504">
        <f t="shared" ca="1" si="156"/>
        <v>0.26703733450847456</v>
      </c>
      <c r="U504">
        <f t="shared" ca="1" si="157"/>
        <v>0</v>
      </c>
      <c r="V504" s="47">
        <f t="shared" ca="1" si="158"/>
        <v>0</v>
      </c>
      <c r="W504">
        <f ca="1">Inputs!B15+(Inputs!D15-Inputs!B15)*BETAINV(RAND(),Model!H9,Model!I9)</f>
        <v>0.67833022545294464</v>
      </c>
      <c r="X504">
        <f ca="1">Inputs!E15+(Inputs!G15-Inputs!E15)*BETAINV(RAND(),Model!J9,Model!K9)</f>
        <v>0.5766373315291522</v>
      </c>
      <c r="Y504">
        <f ca="1">(Inputs!H15+(Inputs!J15-Inputs!H15)*BETAINV(RAND(),Model!L9,Model!M9))*Inputs!$C$6</f>
        <v>34310.394254578983</v>
      </c>
      <c r="Z504">
        <f t="shared" ca="1" si="159"/>
        <v>0.39115053110075421</v>
      </c>
      <c r="AA504">
        <f t="shared" ca="1" si="160"/>
        <v>0.48973682680206698</v>
      </c>
      <c r="AB504">
        <f t="shared" ca="1" si="161"/>
        <v>0</v>
      </c>
      <c r="AC504" s="47">
        <f t="shared" ca="1" si="162"/>
        <v>0</v>
      </c>
      <c r="AD504">
        <f ca="1">Inputs!B16+(Inputs!D16-Inputs!B16)*BETAINV(RAND(),Model!H10,Model!I10)</f>
        <v>0.64031284016247592</v>
      </c>
      <c r="AE504">
        <f ca="1">Inputs!E16+(Inputs!G16-Inputs!E16)*BETAINV(RAND(),Model!J10,Model!K10)</f>
        <v>0.68097942411991519</v>
      </c>
      <c r="AF504">
        <f ca="1">(Inputs!H16+(Inputs!J16-Inputs!H16)*BETAINV(RAND(),Model!L10,Model!M10))*Inputs!$C$6</f>
        <v>143146.46215433266</v>
      </c>
      <c r="AG504">
        <f t="shared" ca="1" si="163"/>
        <v>0.43603986915043014</v>
      </c>
      <c r="AH504">
        <f t="shared" ca="1" si="164"/>
        <v>0.78206885664856352</v>
      </c>
      <c r="AI504">
        <f t="shared" ca="1" si="165"/>
        <v>1</v>
      </c>
      <c r="AJ504" s="47">
        <f t="shared" ca="1" si="166"/>
        <v>143146.46215433266</v>
      </c>
      <c r="AK504">
        <f t="shared" ca="1" si="167"/>
        <v>143146.46215433266</v>
      </c>
    </row>
    <row r="505" spans="2:37" x14ac:dyDescent="0.2">
      <c r="B505">
        <f ca="1">Inputs!B12+(Inputs!D12-Inputs!B12)*BETAINV(RAND(),Model!H6,Model!I6)</f>
        <v>3.9676623900784254</v>
      </c>
      <c r="C505">
        <f ca="1">Inputs!E12+(Inputs!G12-Inputs!E12)*BETAINV(RAND(),Model!J6,Model!K6)</f>
        <v>0.44850963161903046</v>
      </c>
      <c r="D505">
        <f ca="1">(Inputs!H12+(Inputs!J12-Inputs!H12)*BETAINV(RAND(),Model!L6,Model!M6))*Inputs!$C$6</f>
        <v>30444.979754744712</v>
      </c>
      <c r="E505">
        <f t="shared" ca="1" si="147"/>
        <v>1.7795347969627564</v>
      </c>
      <c r="F505">
        <f t="shared" ca="1" si="148"/>
        <v>0.98783370642168022</v>
      </c>
      <c r="G505">
        <f t="shared" ca="1" si="149"/>
        <v>4</v>
      </c>
      <c r="H505" s="47">
        <f t="shared" ca="1" si="150"/>
        <v>121779.91901897885</v>
      </c>
      <c r="I505">
        <f ca="1">Inputs!B13+(Inputs!D13-Inputs!B13)*BETAINV(RAND(),Model!H7,Model!I7)</f>
        <v>1.7049871376208801</v>
      </c>
      <c r="J505">
        <f ca="1">Inputs!E13+(Inputs!G13-Inputs!E13)*BETAINV(RAND(),Model!J7,Model!K7)</f>
        <v>0.20524340958557385</v>
      </c>
      <c r="K505">
        <f ca="1">(Inputs!H13+(Inputs!J13-Inputs!H13)*BETAINV(RAND(),Model!L7,Model!M7))*Inputs!$C$6</f>
        <v>60039.97840491945</v>
      </c>
      <c r="L505">
        <f t="shared" ca="1" si="151"/>
        <v>0.34993737342485748</v>
      </c>
      <c r="M505">
        <f t="shared" ca="1" si="152"/>
        <v>6.1203180531738677E-2</v>
      </c>
      <c r="N505">
        <f t="shared" ca="1" si="153"/>
        <v>0</v>
      </c>
      <c r="O505" s="47">
        <f t="shared" ca="1" si="154"/>
        <v>0</v>
      </c>
      <c r="P505">
        <f ca="1">Inputs!B14+(Inputs!D14-Inputs!B14)*BETAINV(RAND(),Model!H8,Model!I8)</f>
        <v>0.2278602146554527</v>
      </c>
      <c r="Q505">
        <f ca="1">Inputs!E14+(Inputs!G14-Inputs!E14)*BETAINV(RAND(),Model!J8,Model!K8)</f>
        <v>0.62249833698962442</v>
      </c>
      <c r="R505">
        <f ca="1">(Inputs!H14+(Inputs!J14-Inputs!H14)*BETAINV(RAND(),Model!L8,Model!M8))*Inputs!$C$6</f>
        <v>344108.21083610289</v>
      </c>
      <c r="S505">
        <f t="shared" ca="1" si="155"/>
        <v>0.14184260468911816</v>
      </c>
      <c r="T505">
        <f t="shared" ca="1" si="156"/>
        <v>0.23043820780765112</v>
      </c>
      <c r="U505">
        <f t="shared" ca="1" si="157"/>
        <v>0</v>
      </c>
      <c r="V505" s="47">
        <f t="shared" ca="1" si="158"/>
        <v>0</v>
      </c>
      <c r="W505">
        <f ca="1">Inputs!B15+(Inputs!D15-Inputs!B15)*BETAINV(RAND(),Model!H9,Model!I9)</f>
        <v>0.84067785897457648</v>
      </c>
      <c r="X505">
        <f ca="1">Inputs!E15+(Inputs!G15-Inputs!E15)*BETAINV(RAND(),Model!J9,Model!K9)</f>
        <v>0.61336603183476746</v>
      </c>
      <c r="Y505">
        <f ca="1">(Inputs!H15+(Inputs!J15-Inputs!H15)*BETAINV(RAND(),Model!L9,Model!M9))*Inputs!$C$6</f>
        <v>8738.3787034563829</v>
      </c>
      <c r="Z505">
        <f t="shared" ca="1" si="159"/>
        <v>0.51564324241058423</v>
      </c>
      <c r="AA505">
        <f t="shared" ca="1" si="160"/>
        <v>0.87602064559567472</v>
      </c>
      <c r="AB505">
        <f t="shared" ca="1" si="161"/>
        <v>1</v>
      </c>
      <c r="AC505" s="47">
        <f t="shared" ca="1" si="162"/>
        <v>8738.3787034563829</v>
      </c>
      <c r="AD505">
        <f ca="1">Inputs!B16+(Inputs!D16-Inputs!B16)*BETAINV(RAND(),Model!H10,Model!I10)</f>
        <v>0.34519498835756007</v>
      </c>
      <c r="AE505">
        <f ca="1">Inputs!E16+(Inputs!G16-Inputs!E16)*BETAINV(RAND(),Model!J10,Model!K10)</f>
        <v>0.69454853429647678</v>
      </c>
      <c r="AF505">
        <f ca="1">(Inputs!H16+(Inputs!J16-Inputs!H16)*BETAINV(RAND(),Model!L10,Model!M10))*Inputs!$C$6</f>
        <v>67606.56210659261</v>
      </c>
      <c r="AG505">
        <f t="shared" ca="1" si="163"/>
        <v>0.23975467321023272</v>
      </c>
      <c r="AH505">
        <f t="shared" ca="1" si="164"/>
        <v>0.20779285562757011</v>
      </c>
      <c r="AI505">
        <f t="shared" ca="1" si="165"/>
        <v>0</v>
      </c>
      <c r="AJ505" s="47">
        <f t="shared" ca="1" si="166"/>
        <v>0</v>
      </c>
      <c r="AK505">
        <f t="shared" ca="1" si="167"/>
        <v>130518.29772243524</v>
      </c>
    </row>
    <row r="506" spans="2:37" x14ac:dyDescent="0.2">
      <c r="B506">
        <f ca="1">Inputs!B12+(Inputs!D12-Inputs!B12)*BETAINV(RAND(),Model!H6,Model!I6)</f>
        <v>4.9254678460362982</v>
      </c>
      <c r="C506">
        <f ca="1">Inputs!E12+(Inputs!G12-Inputs!E12)*BETAINV(RAND(),Model!J6,Model!K6)</f>
        <v>0.45805209152810322</v>
      </c>
      <c r="D506">
        <f ca="1">(Inputs!H12+(Inputs!J12-Inputs!H12)*BETAINV(RAND(),Model!L6,Model!M6))*Inputs!$C$6</f>
        <v>32693.054462135278</v>
      </c>
      <c r="E506">
        <f t="shared" ca="1" si="147"/>
        <v>2.256120848631348</v>
      </c>
      <c r="F506">
        <f t="shared" ca="1" si="148"/>
        <v>0.43409977464200666</v>
      </c>
      <c r="G506">
        <f t="shared" ca="1" si="149"/>
        <v>2</v>
      </c>
      <c r="H506" s="47">
        <f t="shared" ca="1" si="150"/>
        <v>65386.108924270557</v>
      </c>
      <c r="I506">
        <f ca="1">Inputs!B13+(Inputs!D13-Inputs!B13)*BETAINV(RAND(),Model!H7,Model!I7)</f>
        <v>2.8463470541419262</v>
      </c>
      <c r="J506">
        <f ca="1">Inputs!E13+(Inputs!G13-Inputs!E13)*BETAINV(RAND(),Model!J7,Model!K7)</f>
        <v>0.36810212044707413</v>
      </c>
      <c r="K506">
        <f ca="1">(Inputs!H13+(Inputs!J13-Inputs!H13)*BETAINV(RAND(),Model!L7,Model!M7))*Inputs!$C$6</f>
        <v>24585.2593407897</v>
      </c>
      <c r="L506">
        <f t="shared" ca="1" si="151"/>
        <v>1.0477463861579259</v>
      </c>
      <c r="M506">
        <f t="shared" ca="1" si="152"/>
        <v>0.7195084028263018</v>
      </c>
      <c r="N506">
        <f t="shared" ca="1" si="153"/>
        <v>2</v>
      </c>
      <c r="O506" s="47">
        <f t="shared" ca="1" si="154"/>
        <v>49170.5186815794</v>
      </c>
      <c r="P506">
        <f ca="1">Inputs!B14+(Inputs!D14-Inputs!B14)*BETAINV(RAND(),Model!H8,Model!I8)</f>
        <v>0.42050564177806782</v>
      </c>
      <c r="Q506">
        <f ca="1">Inputs!E14+(Inputs!G14-Inputs!E14)*BETAINV(RAND(),Model!J8,Model!K8)</f>
        <v>0.5867525605416628</v>
      </c>
      <c r="R506">
        <f ca="1">(Inputs!H14+(Inputs!J14-Inputs!H14)*BETAINV(RAND(),Model!L8,Model!M8))*Inputs!$C$6</f>
        <v>362216.44232914009</v>
      </c>
      <c r="S506">
        <f t="shared" ca="1" si="155"/>
        <v>0.24673276203549652</v>
      </c>
      <c r="T506">
        <f t="shared" ca="1" si="156"/>
        <v>0.71873782098576655</v>
      </c>
      <c r="U506">
        <f t="shared" ca="1" si="157"/>
        <v>0</v>
      </c>
      <c r="V506" s="47">
        <f t="shared" ca="1" si="158"/>
        <v>0</v>
      </c>
      <c r="W506">
        <f ca="1">Inputs!B15+(Inputs!D15-Inputs!B15)*BETAINV(RAND(),Model!H9,Model!I9)</f>
        <v>1.4215509798202257</v>
      </c>
      <c r="X506">
        <f ca="1">Inputs!E15+(Inputs!G15-Inputs!E15)*BETAINV(RAND(),Model!J9,Model!K9)</f>
        <v>0.36109518540777352</v>
      </c>
      <c r="Y506">
        <f ca="1">(Inputs!H15+(Inputs!J15-Inputs!H15)*BETAINV(RAND(),Model!L9,Model!M9))*Inputs!$C$6</f>
        <v>24867.352568791277</v>
      </c>
      <c r="Z506">
        <f t="shared" ca="1" si="159"/>
        <v>0.51331521462478658</v>
      </c>
      <c r="AA506">
        <f t="shared" ca="1" si="160"/>
        <v>0.78226005696478396</v>
      </c>
      <c r="AB506">
        <f t="shared" ca="1" si="161"/>
        <v>1</v>
      </c>
      <c r="AC506" s="47">
        <f t="shared" ca="1" si="162"/>
        <v>24867.352568791277</v>
      </c>
      <c r="AD506">
        <f ca="1">Inputs!B16+(Inputs!D16-Inputs!B16)*BETAINV(RAND(),Model!H10,Model!I10)</f>
        <v>0.38951071682360078</v>
      </c>
      <c r="AE506">
        <f ca="1">Inputs!E16+(Inputs!G16-Inputs!E16)*BETAINV(RAND(),Model!J10,Model!K10)</f>
        <v>0.5844059715305927</v>
      </c>
      <c r="AF506">
        <f ca="1">(Inputs!H16+(Inputs!J16-Inputs!H16)*BETAINV(RAND(),Model!L10,Model!M10))*Inputs!$C$6</f>
        <v>77072.987081206302</v>
      </c>
      <c r="AG506">
        <f t="shared" ca="1" si="163"/>
        <v>0.22763238888687398</v>
      </c>
      <c r="AH506">
        <f t="shared" ca="1" si="164"/>
        <v>0.83790163370882786</v>
      </c>
      <c r="AI506">
        <f t="shared" ca="1" si="165"/>
        <v>1</v>
      </c>
      <c r="AJ506" s="47">
        <f t="shared" ca="1" si="166"/>
        <v>77072.987081206302</v>
      </c>
      <c r="AK506">
        <f t="shared" ca="1" si="167"/>
        <v>216496.96725584753</v>
      </c>
    </row>
    <row r="507" spans="2:37" x14ac:dyDescent="0.2">
      <c r="B507">
        <f ca="1">Inputs!B12+(Inputs!D12-Inputs!B12)*BETAINV(RAND(),Model!H6,Model!I6)</f>
        <v>1.5314911889694853</v>
      </c>
      <c r="C507">
        <f ca="1">Inputs!E12+(Inputs!G12-Inputs!E12)*BETAINV(RAND(),Model!J6,Model!K6)</f>
        <v>0.25062276068598544</v>
      </c>
      <c r="D507">
        <f ca="1">(Inputs!H12+(Inputs!J12-Inputs!H12)*BETAINV(RAND(),Model!L6,Model!M6))*Inputs!$C$6</f>
        <v>13094.332715415945</v>
      </c>
      <c r="E507">
        <f t="shared" ca="1" si="147"/>
        <v>0.38382654974579461</v>
      </c>
      <c r="F507">
        <f t="shared" ca="1" si="148"/>
        <v>0.64759400044518844</v>
      </c>
      <c r="G507">
        <f t="shared" ca="1" si="149"/>
        <v>0</v>
      </c>
      <c r="H507" s="47">
        <f t="shared" ca="1" si="150"/>
        <v>0</v>
      </c>
      <c r="I507">
        <f ca="1">Inputs!B13+(Inputs!D13-Inputs!B13)*BETAINV(RAND(),Model!H7,Model!I7)</f>
        <v>3.5004543302493776</v>
      </c>
      <c r="J507">
        <f ca="1">Inputs!E13+(Inputs!G13-Inputs!E13)*BETAINV(RAND(),Model!J7,Model!K7)</f>
        <v>0.30341616623502765</v>
      </c>
      <c r="K507">
        <f ca="1">(Inputs!H13+(Inputs!J13-Inputs!H13)*BETAINV(RAND(),Model!L7,Model!M7))*Inputs!$C$6</f>
        <v>18606.641211448194</v>
      </c>
      <c r="L507">
        <f t="shared" ca="1" si="151"/>
        <v>1.0620944329650674</v>
      </c>
      <c r="M507">
        <f t="shared" ca="1" si="152"/>
        <v>0.20955345748408416</v>
      </c>
      <c r="N507">
        <f t="shared" ca="1" si="153"/>
        <v>0</v>
      </c>
      <c r="O507" s="47">
        <f t="shared" ca="1" si="154"/>
        <v>0</v>
      </c>
      <c r="P507">
        <f ca="1">Inputs!B14+(Inputs!D14-Inputs!B14)*BETAINV(RAND(),Model!H8,Model!I8)</f>
        <v>0.19160537160459193</v>
      </c>
      <c r="Q507">
        <f ca="1">Inputs!E14+(Inputs!G14-Inputs!E14)*BETAINV(RAND(),Model!J8,Model!K8)</f>
        <v>0.46085590847374558</v>
      </c>
      <c r="R507">
        <f ca="1">(Inputs!H14+(Inputs!J14-Inputs!H14)*BETAINV(RAND(),Model!L8,Model!M8))*Inputs!$C$6</f>
        <v>297304.23840265529</v>
      </c>
      <c r="S507">
        <f t="shared" ca="1" si="155"/>
        <v>8.8302467599283826E-2</v>
      </c>
      <c r="T507">
        <f t="shared" ca="1" si="156"/>
        <v>0.40487719050162985</v>
      </c>
      <c r="U507">
        <f t="shared" ca="1" si="157"/>
        <v>0</v>
      </c>
      <c r="V507" s="47">
        <f t="shared" ca="1" si="158"/>
        <v>0</v>
      </c>
      <c r="W507">
        <f ca="1">Inputs!B15+(Inputs!D15-Inputs!B15)*BETAINV(RAND(),Model!H9,Model!I9)</f>
        <v>0.56452908166713034</v>
      </c>
      <c r="X507">
        <f ca="1">Inputs!E15+(Inputs!G15-Inputs!E15)*BETAINV(RAND(),Model!J9,Model!K9)</f>
        <v>0.51447353896414039</v>
      </c>
      <c r="Y507">
        <f ca="1">(Inputs!H15+(Inputs!J15-Inputs!H15)*BETAINV(RAND(),Model!L9,Model!M9))*Inputs!$C$6</f>
        <v>47975.231474889028</v>
      </c>
      <c r="Z507">
        <f t="shared" ca="1" si="159"/>
        <v>0.29043527449346479</v>
      </c>
      <c r="AA507">
        <f t="shared" ca="1" si="160"/>
        <v>3.6233404175017081E-2</v>
      </c>
      <c r="AB507">
        <f t="shared" ca="1" si="161"/>
        <v>0</v>
      </c>
      <c r="AC507" s="47">
        <f t="shared" ca="1" si="162"/>
        <v>0</v>
      </c>
      <c r="AD507">
        <f ca="1">Inputs!B16+(Inputs!D16-Inputs!B16)*BETAINV(RAND(),Model!H10,Model!I10)</f>
        <v>0.69289026456404268</v>
      </c>
      <c r="AE507">
        <f ca="1">Inputs!E16+(Inputs!G16-Inputs!E16)*BETAINV(RAND(),Model!J10,Model!K10)</f>
        <v>0.53211766384418402</v>
      </c>
      <c r="AF507">
        <f ca="1">(Inputs!H16+(Inputs!J16-Inputs!H16)*BETAINV(RAND(),Model!L10,Model!M10))*Inputs!$C$6</f>
        <v>104543.25981374962</v>
      </c>
      <c r="AG507">
        <f t="shared" ca="1" si="163"/>
        <v>0.368699148880197</v>
      </c>
      <c r="AH507">
        <f t="shared" ca="1" si="164"/>
        <v>0.97794812274423526</v>
      </c>
      <c r="AI507">
        <f t="shared" ca="1" si="165"/>
        <v>2</v>
      </c>
      <c r="AJ507" s="47">
        <f t="shared" ca="1" si="166"/>
        <v>209086.51962749925</v>
      </c>
      <c r="AK507">
        <f t="shared" ca="1" si="167"/>
        <v>209086.51962749925</v>
      </c>
    </row>
    <row r="508" spans="2:37" x14ac:dyDescent="0.2">
      <c r="B508">
        <f ca="1">Inputs!B12+(Inputs!D12-Inputs!B12)*BETAINV(RAND(),Model!H6,Model!I6)</f>
        <v>5.0139209548020096</v>
      </c>
      <c r="C508">
        <f ca="1">Inputs!E12+(Inputs!G12-Inputs!E12)*BETAINV(RAND(),Model!J6,Model!K6)</f>
        <v>0.26317258153002487</v>
      </c>
      <c r="D508">
        <f ca="1">(Inputs!H12+(Inputs!J12-Inputs!H12)*BETAINV(RAND(),Model!L6,Model!M6))*Inputs!$C$6</f>
        <v>30717.60469716377</v>
      </c>
      <c r="E508">
        <f t="shared" ca="1" si="147"/>
        <v>1.3195265212627321</v>
      </c>
      <c r="F508">
        <f t="shared" ca="1" si="148"/>
        <v>0.97608888004434258</v>
      </c>
      <c r="G508">
        <f t="shared" ca="1" si="149"/>
        <v>4</v>
      </c>
      <c r="H508" s="47">
        <f t="shared" ca="1" si="150"/>
        <v>122870.41878865508</v>
      </c>
      <c r="I508">
        <f ca="1">Inputs!B13+(Inputs!D13-Inputs!B13)*BETAINV(RAND(),Model!H7,Model!I7)</f>
        <v>1.7870660577120261</v>
      </c>
      <c r="J508">
        <f ca="1">Inputs!E13+(Inputs!G13-Inputs!E13)*BETAINV(RAND(),Model!J7,Model!K7)</f>
        <v>0.30152889699024565</v>
      </c>
      <c r="K508">
        <f ca="1">(Inputs!H13+(Inputs!J13-Inputs!H13)*BETAINV(RAND(),Model!L7,Model!M7))*Inputs!$C$6</f>
        <v>50454.786649810972</v>
      </c>
      <c r="L508">
        <f t="shared" ca="1" si="151"/>
        <v>0.53885205723061391</v>
      </c>
      <c r="M508">
        <f t="shared" ca="1" si="152"/>
        <v>0.27478825278805308</v>
      </c>
      <c r="N508">
        <f t="shared" ca="1" si="153"/>
        <v>0</v>
      </c>
      <c r="O508" s="47">
        <f t="shared" ca="1" si="154"/>
        <v>0</v>
      </c>
      <c r="P508">
        <f ca="1">Inputs!B14+(Inputs!D14-Inputs!B14)*BETAINV(RAND(),Model!H8,Model!I8)</f>
        <v>0.33058373172266575</v>
      </c>
      <c r="Q508">
        <f ca="1">Inputs!E14+(Inputs!G14-Inputs!E14)*BETAINV(RAND(),Model!J8,Model!K8)</f>
        <v>0.41983029194425214</v>
      </c>
      <c r="R508">
        <f ca="1">(Inputs!H14+(Inputs!J14-Inputs!H14)*BETAINV(RAND(),Model!L8,Model!M8))*Inputs!$C$6</f>
        <v>193079.30239129148</v>
      </c>
      <c r="S508">
        <f t="shared" ca="1" si="155"/>
        <v>0.13878906460114709</v>
      </c>
      <c r="T508">
        <f t="shared" ca="1" si="156"/>
        <v>0.50342902153661295</v>
      </c>
      <c r="U508">
        <f t="shared" ca="1" si="157"/>
        <v>0</v>
      </c>
      <c r="V508" s="47">
        <f t="shared" ca="1" si="158"/>
        <v>0</v>
      </c>
      <c r="W508">
        <f ca="1">Inputs!B15+(Inputs!D15-Inputs!B15)*BETAINV(RAND(),Model!H9,Model!I9)</f>
        <v>1.6799260458787768</v>
      </c>
      <c r="X508">
        <f ca="1">Inputs!E15+(Inputs!G15-Inputs!E15)*BETAINV(RAND(),Model!J9,Model!K9)</f>
        <v>0.54478893136880913</v>
      </c>
      <c r="Y508">
        <f ca="1">(Inputs!H15+(Inputs!J15-Inputs!H15)*BETAINV(RAND(),Model!L9,Model!M9))*Inputs!$C$6</f>
        <v>41803.814991349565</v>
      </c>
      <c r="Z508">
        <f t="shared" ca="1" si="159"/>
        <v>0.91520511531292781</v>
      </c>
      <c r="AA508">
        <f t="shared" ca="1" si="160"/>
        <v>0.22945033079207278</v>
      </c>
      <c r="AB508">
        <f t="shared" ca="1" si="161"/>
        <v>0</v>
      </c>
      <c r="AC508" s="47">
        <f t="shared" ca="1" si="162"/>
        <v>0</v>
      </c>
      <c r="AD508">
        <f ca="1">Inputs!B16+(Inputs!D16-Inputs!B16)*BETAINV(RAND(),Model!H10,Model!I10)</f>
        <v>0.71104255939493455</v>
      </c>
      <c r="AE508">
        <f ca="1">Inputs!E16+(Inputs!G16-Inputs!E16)*BETAINV(RAND(),Model!J10,Model!K10)</f>
        <v>0.41563227876257314</v>
      </c>
      <c r="AF508">
        <f ca="1">(Inputs!H16+(Inputs!J16-Inputs!H16)*BETAINV(RAND(),Model!L10,Model!M10))*Inputs!$C$6</f>
        <v>85019.623473075873</v>
      </c>
      <c r="AG508">
        <f t="shared" ca="1" si="163"/>
        <v>0.29553223925848893</v>
      </c>
      <c r="AH508">
        <f t="shared" ca="1" si="164"/>
        <v>9.6384473355366374E-2</v>
      </c>
      <c r="AI508">
        <f t="shared" ca="1" si="165"/>
        <v>0</v>
      </c>
      <c r="AJ508" s="47">
        <f t="shared" ca="1" si="166"/>
        <v>0</v>
      </c>
      <c r="AK508">
        <f t="shared" ca="1" si="167"/>
        <v>122870.41878865508</v>
      </c>
    </row>
    <row r="509" spans="2:37" x14ac:dyDescent="0.2">
      <c r="B509">
        <f ca="1">Inputs!B12+(Inputs!D12-Inputs!B12)*BETAINV(RAND(),Model!H6,Model!I6)</f>
        <v>2.7554951602500175</v>
      </c>
      <c r="C509">
        <f ca="1">Inputs!E12+(Inputs!G12-Inputs!E12)*BETAINV(RAND(),Model!J6,Model!K6)</f>
        <v>0.35081764032293644</v>
      </c>
      <c r="D509">
        <f ca="1">(Inputs!H12+(Inputs!J12-Inputs!H12)*BETAINV(RAND(),Model!L6,Model!M6))*Inputs!$C$6</f>
        <v>30621.262735043234</v>
      </c>
      <c r="E509">
        <f t="shared" ca="1" si="147"/>
        <v>0.96667631004018273</v>
      </c>
      <c r="F509">
        <f t="shared" ca="1" si="148"/>
        <v>0.62677996509887968</v>
      </c>
      <c r="G509">
        <f t="shared" ca="1" si="149"/>
        <v>1</v>
      </c>
      <c r="H509" s="47">
        <f t="shared" ca="1" si="150"/>
        <v>30621.262735043234</v>
      </c>
      <c r="I509">
        <f ca="1">Inputs!B13+(Inputs!D13-Inputs!B13)*BETAINV(RAND(),Model!H7,Model!I7)</f>
        <v>1.6454437445195766</v>
      </c>
      <c r="J509">
        <f ca="1">Inputs!E13+(Inputs!G13-Inputs!E13)*BETAINV(RAND(),Model!J7,Model!K7)</f>
        <v>0.26610606914189378</v>
      </c>
      <c r="K509">
        <f ca="1">(Inputs!H13+(Inputs!J13-Inputs!H13)*BETAINV(RAND(),Model!L7,Model!M7))*Inputs!$C$6</f>
        <v>15651.830356357175</v>
      </c>
      <c r="L509">
        <f t="shared" ca="1" si="151"/>
        <v>0.43786256684822306</v>
      </c>
      <c r="M509">
        <f t="shared" ca="1" si="152"/>
        <v>0.30674241783645173</v>
      </c>
      <c r="N509">
        <f t="shared" ca="1" si="153"/>
        <v>0</v>
      </c>
      <c r="O509" s="47">
        <f t="shared" ca="1" si="154"/>
        <v>0</v>
      </c>
      <c r="P509">
        <f ca="1">Inputs!B14+(Inputs!D14-Inputs!B14)*BETAINV(RAND(),Model!H8,Model!I8)</f>
        <v>0.14071086657790333</v>
      </c>
      <c r="Q509">
        <f ca="1">Inputs!E14+(Inputs!G14-Inputs!E14)*BETAINV(RAND(),Model!J8,Model!K8)</f>
        <v>0.77425726255362637</v>
      </c>
      <c r="R509">
        <f ca="1">(Inputs!H14+(Inputs!J14-Inputs!H14)*BETAINV(RAND(),Model!L8,Model!M8))*Inputs!$C$6</f>
        <v>484168.83929742168</v>
      </c>
      <c r="S509">
        <f t="shared" ca="1" si="155"/>
        <v>0.10894641036815599</v>
      </c>
      <c r="T509">
        <f t="shared" ca="1" si="156"/>
        <v>0.87712672972614503</v>
      </c>
      <c r="U509">
        <f t="shared" ca="1" si="157"/>
        <v>0</v>
      </c>
      <c r="V509" s="47">
        <f t="shared" ca="1" si="158"/>
        <v>0</v>
      </c>
      <c r="W509">
        <f ca="1">Inputs!B15+(Inputs!D15-Inputs!B15)*BETAINV(RAND(),Model!H9,Model!I9)</f>
        <v>2.0541133898816177</v>
      </c>
      <c r="X509">
        <f ca="1">Inputs!E15+(Inputs!G15-Inputs!E15)*BETAINV(RAND(),Model!J9,Model!K9)</f>
        <v>0.47121605983181714</v>
      </c>
      <c r="Y509">
        <f ca="1">(Inputs!H15+(Inputs!J15-Inputs!H15)*BETAINV(RAND(),Model!L9,Model!M9))*Inputs!$C$6</f>
        <v>43544.385690855517</v>
      </c>
      <c r="Z509">
        <f t="shared" ca="1" si="159"/>
        <v>0.96793121802779314</v>
      </c>
      <c r="AA509">
        <f t="shared" ca="1" si="160"/>
        <v>0.87609089821172859</v>
      </c>
      <c r="AB509">
        <f t="shared" ca="1" si="161"/>
        <v>2</v>
      </c>
      <c r="AC509" s="47">
        <f t="shared" ca="1" si="162"/>
        <v>87088.771381711034</v>
      </c>
      <c r="AD509">
        <f ca="1">Inputs!B16+(Inputs!D16-Inputs!B16)*BETAINV(RAND(),Model!H10,Model!I10)</f>
        <v>0.45572413221939073</v>
      </c>
      <c r="AE509">
        <f ca="1">Inputs!E16+(Inputs!G16-Inputs!E16)*BETAINV(RAND(),Model!J10,Model!K10)</f>
        <v>0.70859710599182346</v>
      </c>
      <c r="AF509">
        <f ca="1">(Inputs!H16+(Inputs!J16-Inputs!H16)*BETAINV(RAND(),Model!L10,Model!M10))*Inputs!$C$6</f>
        <v>75591.046830530424</v>
      </c>
      <c r="AG509">
        <f t="shared" ca="1" si="163"/>
        <v>0.32292480122129541</v>
      </c>
      <c r="AH509">
        <f t="shared" ca="1" si="164"/>
        <v>0.45694488383984244</v>
      </c>
      <c r="AI509">
        <f t="shared" ca="1" si="165"/>
        <v>0</v>
      </c>
      <c r="AJ509" s="47">
        <f t="shared" ca="1" si="166"/>
        <v>0</v>
      </c>
      <c r="AK509">
        <f t="shared" ca="1" si="167"/>
        <v>117710.03411675426</v>
      </c>
    </row>
    <row r="510" spans="2:37" x14ac:dyDescent="0.2">
      <c r="B510">
        <f ca="1">Inputs!B12+(Inputs!D12-Inputs!B12)*BETAINV(RAND(),Model!H6,Model!I6)</f>
        <v>2.7814335832747936</v>
      </c>
      <c r="C510">
        <f ca="1">Inputs!E12+(Inputs!G12-Inputs!E12)*BETAINV(RAND(),Model!J6,Model!K6)</f>
        <v>0.37208778614805232</v>
      </c>
      <c r="D510">
        <f ca="1">(Inputs!H12+(Inputs!J12-Inputs!H12)*BETAINV(RAND(),Model!L6,Model!M6))*Inputs!$C$6</f>
        <v>26111.30811429469</v>
      </c>
      <c r="E510">
        <f t="shared" ca="1" si="147"/>
        <v>1.0349374643185623</v>
      </c>
      <c r="F510">
        <f t="shared" ca="1" si="148"/>
        <v>0.31660866316764014</v>
      </c>
      <c r="G510">
        <f t="shared" ca="1" si="149"/>
        <v>0</v>
      </c>
      <c r="H510" s="47">
        <f t="shared" ca="1" si="150"/>
        <v>0</v>
      </c>
      <c r="I510">
        <f ca="1">Inputs!B13+(Inputs!D13-Inputs!B13)*BETAINV(RAND(),Model!H7,Model!I7)</f>
        <v>1.442255542801012</v>
      </c>
      <c r="J510">
        <f ca="1">Inputs!E13+(Inputs!G13-Inputs!E13)*BETAINV(RAND(),Model!J7,Model!K7)</f>
        <v>0.39841698469152387</v>
      </c>
      <c r="K510">
        <f ca="1">(Inputs!H13+(Inputs!J13-Inputs!H13)*BETAINV(RAND(),Model!L7,Model!M7))*Inputs!$C$6</f>
        <v>27174.335423766104</v>
      </c>
      <c r="L510">
        <f t="shared" ca="1" si="151"/>
        <v>0.57461910451741627</v>
      </c>
      <c r="M510">
        <f t="shared" ca="1" si="152"/>
        <v>2.8000943223582819E-2</v>
      </c>
      <c r="N510">
        <f t="shared" ca="1" si="153"/>
        <v>0</v>
      </c>
      <c r="O510" s="47">
        <f t="shared" ca="1" si="154"/>
        <v>0</v>
      </c>
      <c r="P510">
        <f ca="1">Inputs!B14+(Inputs!D14-Inputs!B14)*BETAINV(RAND(),Model!H8,Model!I8)</f>
        <v>0.21170810970960985</v>
      </c>
      <c r="Q510">
        <f ca="1">Inputs!E14+(Inputs!G14-Inputs!E14)*BETAINV(RAND(),Model!J8,Model!K8)</f>
        <v>0.48307517187194138</v>
      </c>
      <c r="R510">
        <f ca="1">(Inputs!H14+(Inputs!J14-Inputs!H14)*BETAINV(RAND(),Model!L8,Model!M8))*Inputs!$C$6</f>
        <v>169941.14010985146</v>
      </c>
      <c r="S510">
        <f t="shared" ca="1" si="155"/>
        <v>0.1022709314846536</v>
      </c>
      <c r="T510">
        <f t="shared" ca="1" si="156"/>
        <v>0.79983980477500449</v>
      </c>
      <c r="U510">
        <f t="shared" ca="1" si="157"/>
        <v>0</v>
      </c>
      <c r="V510" s="47">
        <f t="shared" ca="1" si="158"/>
        <v>0</v>
      </c>
      <c r="W510">
        <f ca="1">Inputs!B15+(Inputs!D15-Inputs!B15)*BETAINV(RAND(),Model!H9,Model!I9)</f>
        <v>0.64661037289378631</v>
      </c>
      <c r="X510">
        <f ca="1">Inputs!E15+(Inputs!G15-Inputs!E15)*BETAINV(RAND(),Model!J9,Model!K9)</f>
        <v>0.46623991746701599</v>
      </c>
      <c r="Y510">
        <f ca="1">(Inputs!H15+(Inputs!J15-Inputs!H15)*BETAINV(RAND(),Model!L9,Model!M9))*Inputs!$C$6</f>
        <v>14282.035547266154</v>
      </c>
      <c r="Z510">
        <f t="shared" ca="1" si="159"/>
        <v>0.30147556689131538</v>
      </c>
      <c r="AA510">
        <f t="shared" ca="1" si="160"/>
        <v>0.41655313229858548</v>
      </c>
      <c r="AB510">
        <f t="shared" ca="1" si="161"/>
        <v>0</v>
      </c>
      <c r="AC510" s="47">
        <f t="shared" ca="1" si="162"/>
        <v>0</v>
      </c>
      <c r="AD510">
        <f ca="1">Inputs!B16+(Inputs!D16-Inputs!B16)*BETAINV(RAND(),Model!H10,Model!I10)</f>
        <v>1.1574647235082018</v>
      </c>
      <c r="AE510">
        <f ca="1">Inputs!E16+(Inputs!G16-Inputs!E16)*BETAINV(RAND(),Model!J10,Model!K10)</f>
        <v>0.67233631516595516</v>
      </c>
      <c r="AF510">
        <f ca="1">(Inputs!H16+(Inputs!J16-Inputs!H16)*BETAINV(RAND(),Model!L10,Model!M10))*Inputs!$C$6</f>
        <v>117278.02563464202</v>
      </c>
      <c r="AG510">
        <f t="shared" ca="1" si="163"/>
        <v>0.77820556713808553</v>
      </c>
      <c r="AH510">
        <f t="shared" ca="1" si="164"/>
        <v>0.67180723900788131</v>
      </c>
      <c r="AI510">
        <f t="shared" ca="1" si="165"/>
        <v>1</v>
      </c>
      <c r="AJ510" s="47">
        <f t="shared" ca="1" si="166"/>
        <v>117278.02563464202</v>
      </c>
      <c r="AK510">
        <f t="shared" ca="1" si="167"/>
        <v>117278.02563464202</v>
      </c>
    </row>
    <row r="511" spans="2:37" x14ac:dyDescent="0.2">
      <c r="B511">
        <f ca="1">Inputs!B12+(Inputs!D12-Inputs!B12)*BETAINV(RAND(),Model!H6,Model!I6)</f>
        <v>2.2880585524232711</v>
      </c>
      <c r="C511">
        <f ca="1">Inputs!E12+(Inputs!G12-Inputs!E12)*BETAINV(RAND(),Model!J6,Model!K6)</f>
        <v>0.30356043806686839</v>
      </c>
      <c r="D511">
        <f ca="1">(Inputs!H12+(Inputs!J12-Inputs!H12)*BETAINV(RAND(),Model!L6,Model!M6))*Inputs!$C$6</f>
        <v>25223.802793745181</v>
      </c>
      <c r="E511">
        <f t="shared" ca="1" si="147"/>
        <v>0.69456405649625286</v>
      </c>
      <c r="F511">
        <f t="shared" ca="1" si="148"/>
        <v>0.36831756618033129</v>
      </c>
      <c r="G511">
        <f t="shared" ca="1" si="149"/>
        <v>0</v>
      </c>
      <c r="H511" s="47">
        <f t="shared" ca="1" si="150"/>
        <v>0</v>
      </c>
      <c r="I511">
        <f ca="1">Inputs!B13+(Inputs!D13-Inputs!B13)*BETAINV(RAND(),Model!H7,Model!I7)</f>
        <v>2.40231078924075</v>
      </c>
      <c r="J511">
        <f ca="1">Inputs!E13+(Inputs!G13-Inputs!E13)*BETAINV(RAND(),Model!J7,Model!K7)</f>
        <v>0.27997153500841476</v>
      </c>
      <c r="K511">
        <f ca="1">(Inputs!H13+(Inputs!J13-Inputs!H13)*BETAINV(RAND(),Model!L7,Model!M7))*Inputs!$C$6</f>
        <v>30057.265423049066</v>
      </c>
      <c r="L511">
        <f t="shared" ca="1" si="151"/>
        <v>0.67257863923100913</v>
      </c>
      <c r="M511">
        <f t="shared" ca="1" si="152"/>
        <v>0.21219746654262361</v>
      </c>
      <c r="N511">
        <f t="shared" ca="1" si="153"/>
        <v>0</v>
      </c>
      <c r="O511" s="47">
        <f t="shared" ca="1" si="154"/>
        <v>0</v>
      </c>
      <c r="P511">
        <f ca="1">Inputs!B14+(Inputs!D14-Inputs!B14)*BETAINV(RAND(),Model!H8,Model!I8)</f>
        <v>0.24180527544200708</v>
      </c>
      <c r="Q511">
        <f ca="1">Inputs!E14+(Inputs!G14-Inputs!E14)*BETAINV(RAND(),Model!J8,Model!K8)</f>
        <v>0.69521193142781046</v>
      </c>
      <c r="R511">
        <f ca="1">(Inputs!H14+(Inputs!J14-Inputs!H14)*BETAINV(RAND(),Model!L8,Model!M8))*Inputs!$C$6</f>
        <v>399914.3186600334</v>
      </c>
      <c r="S511">
        <f t="shared" ca="1" si="155"/>
        <v>0.16810591256947144</v>
      </c>
      <c r="T511">
        <f t="shared" ca="1" si="156"/>
        <v>0.54102843877094264</v>
      </c>
      <c r="U511">
        <f t="shared" ca="1" si="157"/>
        <v>0</v>
      </c>
      <c r="V511" s="47">
        <f t="shared" ca="1" si="158"/>
        <v>0</v>
      </c>
      <c r="W511">
        <f ca="1">Inputs!B15+(Inputs!D15-Inputs!B15)*BETAINV(RAND(),Model!H9,Model!I9)</f>
        <v>1.6614294604615922</v>
      </c>
      <c r="X511">
        <f ca="1">Inputs!E15+(Inputs!G15-Inputs!E15)*BETAINV(RAND(),Model!J9,Model!K9)</f>
        <v>0.43202556270503145</v>
      </c>
      <c r="Y511">
        <f ca="1">(Inputs!H15+(Inputs!J15-Inputs!H15)*BETAINV(RAND(),Model!L9,Model!M9))*Inputs!$C$6</f>
        <v>47970.405898101519</v>
      </c>
      <c r="Z511">
        <f t="shared" ca="1" si="159"/>
        <v>0.71777999755063615</v>
      </c>
      <c r="AA511">
        <f t="shared" ca="1" si="160"/>
        <v>0.24156629820279962</v>
      </c>
      <c r="AB511">
        <f t="shared" ca="1" si="161"/>
        <v>0</v>
      </c>
      <c r="AC511" s="47">
        <f t="shared" ca="1" si="162"/>
        <v>0</v>
      </c>
      <c r="AD511">
        <f ca="1">Inputs!B16+(Inputs!D16-Inputs!B16)*BETAINV(RAND(),Model!H10,Model!I10)</f>
        <v>0.78309777477087517</v>
      </c>
      <c r="AE511">
        <f ca="1">Inputs!E16+(Inputs!G16-Inputs!E16)*BETAINV(RAND(),Model!J10,Model!K10)</f>
        <v>0.50291749316790102</v>
      </c>
      <c r="AF511">
        <f ca="1">(Inputs!H16+(Inputs!J16-Inputs!H16)*BETAINV(RAND(),Model!L10,Model!M10))*Inputs!$C$6</f>
        <v>113647.20425640406</v>
      </c>
      <c r="AG511">
        <f t="shared" ca="1" si="163"/>
        <v>0.39383356979313011</v>
      </c>
      <c r="AH511">
        <f t="shared" ca="1" si="164"/>
        <v>0.32033850746721448</v>
      </c>
      <c r="AI511">
        <f t="shared" ca="1" si="165"/>
        <v>0</v>
      </c>
      <c r="AJ511" s="47">
        <f t="shared" ca="1" si="166"/>
        <v>0</v>
      </c>
      <c r="AK511">
        <f t="shared" ca="1" si="167"/>
        <v>0</v>
      </c>
    </row>
    <row r="512" spans="2:37" x14ac:dyDescent="0.2">
      <c r="B512">
        <f ca="1">Inputs!B12+(Inputs!D12-Inputs!B12)*BETAINV(RAND(),Model!H6,Model!I6)</f>
        <v>3.7110677071866762</v>
      </c>
      <c r="C512">
        <f ca="1">Inputs!E12+(Inputs!G12-Inputs!E12)*BETAINV(RAND(),Model!J6,Model!K6)</f>
        <v>0.29530178488318515</v>
      </c>
      <c r="D512">
        <f ca="1">(Inputs!H12+(Inputs!J12-Inputs!H12)*BETAINV(RAND(),Model!L6,Model!M6))*Inputs!$C$6</f>
        <v>30445.262383990728</v>
      </c>
      <c r="E512">
        <f t="shared" ca="1" si="147"/>
        <v>1.0958849177545751</v>
      </c>
      <c r="F512">
        <f t="shared" ca="1" si="148"/>
        <v>0.80947296341370689</v>
      </c>
      <c r="G512">
        <f t="shared" ca="1" si="149"/>
        <v>2</v>
      </c>
      <c r="H512" s="47">
        <f t="shared" ca="1" si="150"/>
        <v>60890.524767981457</v>
      </c>
      <c r="I512">
        <f ca="1">Inputs!B13+(Inputs!D13-Inputs!B13)*BETAINV(RAND(),Model!H7,Model!I7)</f>
        <v>2.2561966640005906</v>
      </c>
      <c r="J512">
        <f ca="1">Inputs!E13+(Inputs!G13-Inputs!E13)*BETAINV(RAND(),Model!J7,Model!K7)</f>
        <v>0.14391301251532473</v>
      </c>
      <c r="K512">
        <f ca="1">(Inputs!H13+(Inputs!J13-Inputs!H13)*BETAINV(RAND(),Model!L7,Model!M7))*Inputs!$C$6</f>
        <v>23590.828930008014</v>
      </c>
      <c r="L512">
        <f t="shared" ca="1" si="151"/>
        <v>0.32469605874335089</v>
      </c>
      <c r="M512">
        <f t="shared" ca="1" si="152"/>
        <v>0.46266091017308097</v>
      </c>
      <c r="N512">
        <f t="shared" ca="1" si="153"/>
        <v>0</v>
      </c>
      <c r="O512" s="47">
        <f t="shared" ca="1" si="154"/>
        <v>0</v>
      </c>
      <c r="P512">
        <f ca="1">Inputs!B14+(Inputs!D14-Inputs!B14)*BETAINV(RAND(),Model!H8,Model!I8)</f>
        <v>0.4108715383321464</v>
      </c>
      <c r="Q512">
        <f ca="1">Inputs!E14+(Inputs!G14-Inputs!E14)*BETAINV(RAND(),Model!J8,Model!K8)</f>
        <v>0.55535111176541552</v>
      </c>
      <c r="R512">
        <f ca="1">(Inputs!H14+(Inputs!J14-Inputs!H14)*BETAINV(RAND(),Model!L8,Model!M8))*Inputs!$C$6</f>
        <v>439830.07666380983</v>
      </c>
      <c r="S512">
        <f t="shared" ca="1" si="155"/>
        <v>0.22817796560552403</v>
      </c>
      <c r="T512">
        <f t="shared" ca="1" si="156"/>
        <v>0.48914424544406687</v>
      </c>
      <c r="U512">
        <f t="shared" ca="1" si="157"/>
        <v>0</v>
      </c>
      <c r="V512" s="47">
        <f t="shared" ca="1" si="158"/>
        <v>0</v>
      </c>
      <c r="W512">
        <f ca="1">Inputs!B15+(Inputs!D15-Inputs!B15)*BETAINV(RAND(),Model!H9,Model!I9)</f>
        <v>1.4291335202052107</v>
      </c>
      <c r="X512">
        <f ca="1">Inputs!E15+(Inputs!G15-Inputs!E15)*BETAINV(RAND(),Model!J9,Model!K9)</f>
        <v>0.29021157147605942</v>
      </c>
      <c r="Y512">
        <f ca="1">(Inputs!H15+(Inputs!J15-Inputs!H15)*BETAINV(RAND(),Model!L9,Model!M9))*Inputs!$C$6</f>
        <v>43185.802985411727</v>
      </c>
      <c r="Z512">
        <f t="shared" ca="1" si="159"/>
        <v>0.41475108474786693</v>
      </c>
      <c r="AA512">
        <f t="shared" ca="1" si="160"/>
        <v>0.66490313754140562</v>
      </c>
      <c r="AB512">
        <f t="shared" ca="1" si="161"/>
        <v>1</v>
      </c>
      <c r="AC512" s="47">
        <f t="shared" ca="1" si="162"/>
        <v>43185.802985411727</v>
      </c>
      <c r="AD512">
        <f ca="1">Inputs!B16+(Inputs!D16-Inputs!B16)*BETAINV(RAND(),Model!H10,Model!I10)</f>
        <v>1.0341782776268695</v>
      </c>
      <c r="AE512">
        <f ca="1">Inputs!E16+(Inputs!G16-Inputs!E16)*BETAINV(RAND(),Model!J10,Model!K10)</f>
        <v>0.73948838139921247</v>
      </c>
      <c r="AF512">
        <f ca="1">(Inputs!H16+(Inputs!J16-Inputs!H16)*BETAINV(RAND(),Model!L10,Model!M10))*Inputs!$C$6</f>
        <v>133986.9816282113</v>
      </c>
      <c r="AG512">
        <f t="shared" ca="1" si="163"/>
        <v>0.76476282060051914</v>
      </c>
      <c r="AH512">
        <f t="shared" ca="1" si="164"/>
        <v>0.62646931205864198</v>
      </c>
      <c r="AI512">
        <f t="shared" ca="1" si="165"/>
        <v>1</v>
      </c>
      <c r="AJ512" s="47">
        <f t="shared" ca="1" si="166"/>
        <v>133986.9816282113</v>
      </c>
      <c r="AK512">
        <f t="shared" ca="1" si="167"/>
        <v>238063.30938160449</v>
      </c>
    </row>
    <row r="513" spans="2:37" x14ac:dyDescent="0.2">
      <c r="B513">
        <f ca="1">Inputs!B12+(Inputs!D12-Inputs!B12)*BETAINV(RAND(),Model!H6,Model!I6)</f>
        <v>2.490626602860277</v>
      </c>
      <c r="C513">
        <f ca="1">Inputs!E12+(Inputs!G12-Inputs!E12)*BETAINV(RAND(),Model!J6,Model!K6)</f>
        <v>0.31059259658239891</v>
      </c>
      <c r="D513">
        <f ca="1">(Inputs!H12+(Inputs!J12-Inputs!H12)*BETAINV(RAND(),Model!L6,Model!M6))*Inputs!$C$6</f>
        <v>33430.062047372914</v>
      </c>
      <c r="E513">
        <f t="shared" ca="1" si="147"/>
        <v>0.77357018369957264</v>
      </c>
      <c r="F513">
        <f t="shared" ca="1" si="148"/>
        <v>0.65784668631381849</v>
      </c>
      <c r="G513">
        <f t="shared" ca="1" si="149"/>
        <v>1</v>
      </c>
      <c r="H513" s="47">
        <f t="shared" ca="1" si="150"/>
        <v>33430.062047372914</v>
      </c>
      <c r="I513">
        <f ca="1">Inputs!B13+(Inputs!D13-Inputs!B13)*BETAINV(RAND(),Model!H7,Model!I7)</f>
        <v>2.4345650853522192</v>
      </c>
      <c r="J513">
        <f ca="1">Inputs!E13+(Inputs!G13-Inputs!E13)*BETAINV(RAND(),Model!J7,Model!K7)</f>
        <v>0.33752404625756149</v>
      </c>
      <c r="K513">
        <f ca="1">(Inputs!H13+(Inputs!J13-Inputs!H13)*BETAINV(RAND(),Model!L7,Model!M7))*Inputs!$C$6</f>
        <v>42851.090728580421</v>
      </c>
      <c r="L513">
        <f t="shared" ca="1" si="151"/>
        <v>0.8217242584854666</v>
      </c>
      <c r="M513">
        <f t="shared" ca="1" si="152"/>
        <v>0.208283613400151</v>
      </c>
      <c r="N513">
        <f t="shared" ca="1" si="153"/>
        <v>0</v>
      </c>
      <c r="O513" s="47">
        <f t="shared" ca="1" si="154"/>
        <v>0</v>
      </c>
      <c r="P513">
        <f ca="1">Inputs!B14+(Inputs!D14-Inputs!B14)*BETAINV(RAND(),Model!H8,Model!I8)</f>
        <v>0.50638028240848998</v>
      </c>
      <c r="Q513">
        <f ca="1">Inputs!E14+(Inputs!G14-Inputs!E14)*BETAINV(RAND(),Model!J8,Model!K8)</f>
        <v>0.38981481269588003</v>
      </c>
      <c r="R513">
        <f ca="1">(Inputs!H14+(Inputs!J14-Inputs!H14)*BETAINV(RAND(),Model!L8,Model!M8))*Inputs!$C$6</f>
        <v>294494.37379693752</v>
      </c>
      <c r="S513">
        <f t="shared" ca="1" si="155"/>
        <v>0.19739453493995235</v>
      </c>
      <c r="T513">
        <f t="shared" ca="1" si="156"/>
        <v>0.74420559131579755</v>
      </c>
      <c r="U513">
        <f t="shared" ca="1" si="157"/>
        <v>0</v>
      </c>
      <c r="V513" s="47">
        <f t="shared" ca="1" si="158"/>
        <v>0</v>
      </c>
      <c r="W513">
        <f ca="1">Inputs!B15+(Inputs!D15-Inputs!B15)*BETAINV(RAND(),Model!H9,Model!I9)</f>
        <v>0.99580814974462672</v>
      </c>
      <c r="X513">
        <f ca="1">Inputs!E15+(Inputs!G15-Inputs!E15)*BETAINV(RAND(),Model!J9,Model!K9)</f>
        <v>0.47518079326578222</v>
      </c>
      <c r="Y513">
        <f ca="1">(Inputs!H15+(Inputs!J15-Inputs!H15)*BETAINV(RAND(),Model!L9,Model!M9))*Inputs!$C$6</f>
        <v>55574.892118750875</v>
      </c>
      <c r="Z513">
        <f t="shared" ca="1" si="159"/>
        <v>0.47318890653618256</v>
      </c>
      <c r="AA513">
        <f t="shared" ca="1" si="160"/>
        <v>0.56083492941282043</v>
      </c>
      <c r="AB513">
        <f t="shared" ca="1" si="161"/>
        <v>0</v>
      </c>
      <c r="AC513" s="47">
        <f t="shared" ca="1" si="162"/>
        <v>0</v>
      </c>
      <c r="AD513">
        <f ca="1">Inputs!B16+(Inputs!D16-Inputs!B16)*BETAINV(RAND(),Model!H10,Model!I10)</f>
        <v>0.68269777734235348</v>
      </c>
      <c r="AE513">
        <f ca="1">Inputs!E16+(Inputs!G16-Inputs!E16)*BETAINV(RAND(),Model!J10,Model!K10)</f>
        <v>0.64540942666894674</v>
      </c>
      <c r="AF513">
        <f ca="1">(Inputs!H16+(Inputs!J16-Inputs!H16)*BETAINV(RAND(),Model!L10,Model!M10))*Inputs!$C$6</f>
        <v>64549.786011172509</v>
      </c>
      <c r="AG513">
        <f t="shared" ca="1" si="163"/>
        <v>0.44061958106269261</v>
      </c>
      <c r="AH513">
        <f t="shared" ca="1" si="164"/>
        <v>0.65607327639509938</v>
      </c>
      <c r="AI513">
        <f t="shared" ca="1" si="165"/>
        <v>1</v>
      </c>
      <c r="AJ513" s="47">
        <f t="shared" ca="1" si="166"/>
        <v>64549.786011172509</v>
      </c>
      <c r="AK513">
        <f t="shared" ca="1" si="167"/>
        <v>97979.848058545424</v>
      </c>
    </row>
    <row r="514" spans="2:37" x14ac:dyDescent="0.2">
      <c r="B514">
        <f ca="1">Inputs!B12+(Inputs!D12-Inputs!B12)*BETAINV(RAND(),Model!H6,Model!I6)</f>
        <v>3.9319294388915456</v>
      </c>
      <c r="C514">
        <f ca="1">Inputs!E12+(Inputs!G12-Inputs!E12)*BETAINV(RAND(),Model!J6,Model!K6)</f>
        <v>0.1678052991457939</v>
      </c>
      <c r="D514">
        <f ca="1">(Inputs!H12+(Inputs!J12-Inputs!H12)*BETAINV(RAND(),Model!L6,Model!M6))*Inputs!$C$6</f>
        <v>36014.577183298228</v>
      </c>
      <c r="E514">
        <f t="shared" ca="1" si="147"/>
        <v>0.65979859571334931</v>
      </c>
      <c r="F514">
        <f t="shared" ca="1" si="148"/>
        <v>2.1565300161697221E-2</v>
      </c>
      <c r="G514">
        <f t="shared" ca="1" si="149"/>
        <v>0</v>
      </c>
      <c r="H514" s="47">
        <f t="shared" ca="1" si="150"/>
        <v>0</v>
      </c>
      <c r="I514">
        <f ca="1">Inputs!B13+(Inputs!D13-Inputs!B13)*BETAINV(RAND(),Model!H7,Model!I7)</f>
        <v>2.8516717370194407</v>
      </c>
      <c r="J514">
        <f ca="1">Inputs!E13+(Inputs!G13-Inputs!E13)*BETAINV(RAND(),Model!J7,Model!K7)</f>
        <v>0.12815082617888879</v>
      </c>
      <c r="K514">
        <f ca="1">(Inputs!H13+(Inputs!J13-Inputs!H13)*BETAINV(RAND(),Model!L7,Model!M7))*Inputs!$C$6</f>
        <v>42904.705012342507</v>
      </c>
      <c r="L514">
        <f t="shared" ca="1" si="151"/>
        <v>0.36544408909002818</v>
      </c>
      <c r="M514">
        <f t="shared" ca="1" si="152"/>
        <v>0.41032806323222559</v>
      </c>
      <c r="N514">
        <f t="shared" ca="1" si="153"/>
        <v>0</v>
      </c>
      <c r="O514" s="47">
        <f t="shared" ca="1" si="154"/>
        <v>0</v>
      </c>
      <c r="P514">
        <f ca="1">Inputs!B14+(Inputs!D14-Inputs!B14)*BETAINV(RAND(),Model!H8,Model!I8)</f>
        <v>0.44601419049111546</v>
      </c>
      <c r="Q514">
        <f ca="1">Inputs!E14+(Inputs!G14-Inputs!E14)*BETAINV(RAND(),Model!J8,Model!K8)</f>
        <v>0.63201067565957625</v>
      </c>
      <c r="R514">
        <f ca="1">(Inputs!H14+(Inputs!J14-Inputs!H14)*BETAINV(RAND(),Model!L8,Model!M8))*Inputs!$C$6</f>
        <v>263603.76055179595</v>
      </c>
      <c r="S514">
        <f t="shared" ca="1" si="155"/>
        <v>0.28188572988604882</v>
      </c>
      <c r="T514">
        <f t="shared" ca="1" si="156"/>
        <v>0.9895216624638532</v>
      </c>
      <c r="U514">
        <f t="shared" ca="1" si="157"/>
        <v>2</v>
      </c>
      <c r="V514" s="47">
        <f t="shared" ca="1" si="158"/>
        <v>527207.52110359189</v>
      </c>
      <c r="W514">
        <f ca="1">Inputs!B15+(Inputs!D15-Inputs!B15)*BETAINV(RAND(),Model!H9,Model!I9)</f>
        <v>0.97183900846289517</v>
      </c>
      <c r="X514">
        <f ca="1">Inputs!E15+(Inputs!G15-Inputs!E15)*BETAINV(RAND(),Model!J9,Model!K9)</f>
        <v>0.53059286705174791</v>
      </c>
      <c r="Y514">
        <f ca="1">(Inputs!H15+(Inputs!J15-Inputs!H15)*BETAINV(RAND(),Model!L9,Model!M9))*Inputs!$C$6</f>
        <v>26593.870387960607</v>
      </c>
      <c r="Z514">
        <f t="shared" ca="1" si="159"/>
        <v>0.51565084581305543</v>
      </c>
      <c r="AA514">
        <f t="shared" ca="1" si="160"/>
        <v>0.42289966567104276</v>
      </c>
      <c r="AB514">
        <f t="shared" ca="1" si="161"/>
        <v>0</v>
      </c>
      <c r="AC514" s="47">
        <f t="shared" ca="1" si="162"/>
        <v>0</v>
      </c>
      <c r="AD514">
        <f ca="1">Inputs!B16+(Inputs!D16-Inputs!B16)*BETAINV(RAND(),Model!H10,Model!I10)</f>
        <v>0.3040298585315967</v>
      </c>
      <c r="AE514">
        <f ca="1">Inputs!E16+(Inputs!G16-Inputs!E16)*BETAINV(RAND(),Model!J10,Model!K10)</f>
        <v>0.56868593509238696</v>
      </c>
      <c r="AF514">
        <f ca="1">(Inputs!H16+(Inputs!J16-Inputs!H16)*BETAINV(RAND(),Model!L10,Model!M10))*Inputs!$C$6</f>
        <v>78308.983632804622</v>
      </c>
      <c r="AG514">
        <f t="shared" ca="1" si="163"/>
        <v>0.1728975043950472</v>
      </c>
      <c r="AH514">
        <f t="shared" ca="1" si="164"/>
        <v>0.34636968268587398</v>
      </c>
      <c r="AI514">
        <f t="shared" ca="1" si="165"/>
        <v>0</v>
      </c>
      <c r="AJ514" s="47">
        <f t="shared" ca="1" si="166"/>
        <v>0</v>
      </c>
      <c r="AK514">
        <f t="shared" ca="1" si="167"/>
        <v>527207.52110359189</v>
      </c>
    </row>
    <row r="515" spans="2:37" x14ac:dyDescent="0.2">
      <c r="B515">
        <f ca="1">Inputs!B12+(Inputs!D12-Inputs!B12)*BETAINV(RAND(),Model!H6,Model!I6)</f>
        <v>2.7636584602677643</v>
      </c>
      <c r="C515">
        <f ca="1">Inputs!E12+(Inputs!G12-Inputs!E12)*BETAINV(RAND(),Model!J6,Model!K6)</f>
        <v>0.19247566281392947</v>
      </c>
      <c r="D515">
        <f ca="1">(Inputs!H12+(Inputs!J12-Inputs!H12)*BETAINV(RAND(),Model!L6,Model!M6))*Inputs!$C$6</f>
        <v>24844.776174377286</v>
      </c>
      <c r="E515">
        <f t="shared" ca="1" si="147"/>
        <v>0.53193699393136173</v>
      </c>
      <c r="F515">
        <f t="shared" ca="1" si="148"/>
        <v>0.64974185838577025</v>
      </c>
      <c r="G515">
        <f t="shared" ca="1" si="149"/>
        <v>1</v>
      </c>
      <c r="H515" s="47">
        <f t="shared" ca="1" si="150"/>
        <v>24844.776174377286</v>
      </c>
      <c r="I515">
        <f ca="1">Inputs!B13+(Inputs!D13-Inputs!B13)*BETAINV(RAND(),Model!H7,Model!I7)</f>
        <v>3.5513047187760516</v>
      </c>
      <c r="J515">
        <f ca="1">Inputs!E13+(Inputs!G13-Inputs!E13)*BETAINV(RAND(),Model!J7,Model!K7)</f>
        <v>0.26131654507062241</v>
      </c>
      <c r="K515">
        <f ca="1">(Inputs!H13+(Inputs!J13-Inputs!H13)*BETAINV(RAND(),Model!L7,Model!M7))*Inputs!$C$6</f>
        <v>37458.200971129896</v>
      </c>
      <c r="L515">
        <f t="shared" ca="1" si="151"/>
        <v>0.9280146796035561</v>
      </c>
      <c r="M515">
        <f t="shared" ca="1" si="152"/>
        <v>0.36757342602019438</v>
      </c>
      <c r="N515">
        <f t="shared" ca="1" si="153"/>
        <v>0</v>
      </c>
      <c r="O515" s="47">
        <f t="shared" ca="1" si="154"/>
        <v>0</v>
      </c>
      <c r="P515">
        <f ca="1">Inputs!B14+(Inputs!D14-Inputs!B14)*BETAINV(RAND(),Model!H8,Model!I8)</f>
        <v>0.13611269071169058</v>
      </c>
      <c r="Q515">
        <f ca="1">Inputs!E14+(Inputs!G14-Inputs!E14)*BETAINV(RAND(),Model!J8,Model!K8)</f>
        <v>0.49814017392105525</v>
      </c>
      <c r="R515">
        <f ca="1">(Inputs!H14+(Inputs!J14-Inputs!H14)*BETAINV(RAND(),Model!L8,Model!M8))*Inputs!$C$6</f>
        <v>462352.65213533741</v>
      </c>
      <c r="S515">
        <f t="shared" ca="1" si="155"/>
        <v>6.7803199423984342E-2</v>
      </c>
      <c r="T515">
        <f t="shared" ca="1" si="156"/>
        <v>0.37616282681636759</v>
      </c>
      <c r="U515">
        <f t="shared" ca="1" si="157"/>
        <v>0</v>
      </c>
      <c r="V515" s="47">
        <f t="shared" ca="1" si="158"/>
        <v>0</v>
      </c>
      <c r="W515">
        <f ca="1">Inputs!B15+(Inputs!D15-Inputs!B15)*BETAINV(RAND(),Model!H9,Model!I9)</f>
        <v>1.3367054834132133</v>
      </c>
      <c r="X515">
        <f ca="1">Inputs!E15+(Inputs!G15-Inputs!E15)*BETAINV(RAND(),Model!J9,Model!K9)</f>
        <v>0.40997503206164765</v>
      </c>
      <c r="Y515">
        <f ca="1">(Inputs!H15+(Inputs!J15-Inputs!H15)*BETAINV(RAND(),Model!L9,Model!M9))*Inputs!$C$6</f>
        <v>34952.55923140196</v>
      </c>
      <c r="Z515">
        <f t="shared" ca="1" si="159"/>
        <v>0.54801587341931235</v>
      </c>
      <c r="AA515">
        <f t="shared" ca="1" si="160"/>
        <v>0.50048443610728111</v>
      </c>
      <c r="AB515">
        <f t="shared" ca="1" si="161"/>
        <v>0</v>
      </c>
      <c r="AC515" s="47">
        <f t="shared" ca="1" si="162"/>
        <v>0</v>
      </c>
      <c r="AD515">
        <f ca="1">Inputs!B16+(Inputs!D16-Inputs!B16)*BETAINV(RAND(),Model!H10,Model!I10)</f>
        <v>0.278357636371237</v>
      </c>
      <c r="AE515">
        <f ca="1">Inputs!E16+(Inputs!G16-Inputs!E16)*BETAINV(RAND(),Model!J10,Model!K10)</f>
        <v>0.63979739643513311</v>
      </c>
      <c r="AF515">
        <f ca="1">(Inputs!H16+(Inputs!J16-Inputs!H16)*BETAINV(RAND(),Model!L10,Model!M10))*Inputs!$C$6</f>
        <v>88355.211277896</v>
      </c>
      <c r="AG515">
        <f t="shared" ca="1" si="163"/>
        <v>0.17809249102815494</v>
      </c>
      <c r="AH515">
        <f t="shared" ca="1" si="164"/>
        <v>0.60924204002864224</v>
      </c>
      <c r="AI515">
        <f t="shared" ca="1" si="165"/>
        <v>0</v>
      </c>
      <c r="AJ515" s="47">
        <f t="shared" ca="1" si="166"/>
        <v>0</v>
      </c>
      <c r="AK515">
        <f t="shared" ca="1" si="167"/>
        <v>24844.776174377286</v>
      </c>
    </row>
    <row r="516" spans="2:37" x14ac:dyDescent="0.2">
      <c r="B516">
        <f ca="1">Inputs!B12+(Inputs!D12-Inputs!B12)*BETAINV(RAND(),Model!H6,Model!I6)</f>
        <v>2.6800324842609093</v>
      </c>
      <c r="C516">
        <f ca="1">Inputs!E12+(Inputs!G12-Inputs!E12)*BETAINV(RAND(),Model!J6,Model!K6)</f>
        <v>0.22133310340122192</v>
      </c>
      <c r="D516">
        <f ca="1">(Inputs!H12+(Inputs!J12-Inputs!H12)*BETAINV(RAND(),Model!L6,Model!M6))*Inputs!$C$6</f>
        <v>27726.169782059347</v>
      </c>
      <c r="E516">
        <f t="shared" ca="1" si="147"/>
        <v>0.59317990695755352</v>
      </c>
      <c r="F516">
        <f t="shared" ca="1" si="148"/>
        <v>0.95003271832529501</v>
      </c>
      <c r="G516">
        <f t="shared" ca="1" si="149"/>
        <v>2</v>
      </c>
      <c r="H516" s="47">
        <f t="shared" ca="1" si="150"/>
        <v>55452.339564118694</v>
      </c>
      <c r="I516">
        <f ca="1">Inputs!B13+(Inputs!D13-Inputs!B13)*BETAINV(RAND(),Model!H7,Model!I7)</f>
        <v>1.6648041535503184</v>
      </c>
      <c r="J516">
        <f ca="1">Inputs!E13+(Inputs!G13-Inputs!E13)*BETAINV(RAND(),Model!J7,Model!K7)</f>
        <v>0.20984823072901668</v>
      </c>
      <c r="K516">
        <f ca="1">(Inputs!H13+(Inputs!J13-Inputs!H13)*BETAINV(RAND(),Model!L7,Model!M7))*Inputs!$C$6</f>
        <v>57531.95625367247</v>
      </c>
      <c r="L516">
        <f t="shared" ca="1" si="151"/>
        <v>0.34935620613285251</v>
      </c>
      <c r="M516">
        <f t="shared" ca="1" si="152"/>
        <v>0.74373960399116446</v>
      </c>
      <c r="N516">
        <f t="shared" ca="1" si="153"/>
        <v>1</v>
      </c>
      <c r="O516" s="47">
        <f t="shared" ca="1" si="154"/>
        <v>57531.95625367247</v>
      </c>
      <c r="P516">
        <f ca="1">Inputs!B14+(Inputs!D14-Inputs!B14)*BETAINV(RAND(),Model!H8,Model!I8)</f>
        <v>0.35302457195088199</v>
      </c>
      <c r="Q516">
        <f ca="1">Inputs!E14+(Inputs!G14-Inputs!E14)*BETAINV(RAND(),Model!J8,Model!K8)</f>
        <v>0.81469062818247995</v>
      </c>
      <c r="R516">
        <f ca="1">(Inputs!H14+(Inputs!J14-Inputs!H14)*BETAINV(RAND(),Model!L8,Model!M8))*Inputs!$C$6</f>
        <v>596456.85243049031</v>
      </c>
      <c r="S516">
        <f t="shared" ca="1" si="155"/>
        <v>0.28760581028651516</v>
      </c>
      <c r="T516">
        <f t="shared" ca="1" si="156"/>
        <v>0.78930254582239778</v>
      </c>
      <c r="U516">
        <f t="shared" ca="1" si="157"/>
        <v>1</v>
      </c>
      <c r="V516" s="47">
        <f t="shared" ca="1" si="158"/>
        <v>596456.85243049031</v>
      </c>
      <c r="W516">
        <f ca="1">Inputs!B15+(Inputs!D15-Inputs!B15)*BETAINV(RAND(),Model!H9,Model!I9)</f>
        <v>0.57438545265627172</v>
      </c>
      <c r="X516">
        <f ca="1">Inputs!E15+(Inputs!G15-Inputs!E15)*BETAINV(RAND(),Model!J9,Model!K9)</f>
        <v>0.33105723455573188</v>
      </c>
      <c r="Y516">
        <f ca="1">(Inputs!H15+(Inputs!J15-Inputs!H15)*BETAINV(RAND(),Model!L9,Model!M9))*Inputs!$C$6</f>
        <v>16328.251872134384</v>
      </c>
      <c r="Z516">
        <f t="shared" ca="1" si="159"/>
        <v>0.19015445952542759</v>
      </c>
      <c r="AA516">
        <f t="shared" ca="1" si="160"/>
        <v>0.80645621112109489</v>
      </c>
      <c r="AB516">
        <f t="shared" ca="1" si="161"/>
        <v>0</v>
      </c>
      <c r="AC516" s="47">
        <f t="shared" ca="1" si="162"/>
        <v>0</v>
      </c>
      <c r="AD516">
        <f ca="1">Inputs!B16+(Inputs!D16-Inputs!B16)*BETAINV(RAND(),Model!H10,Model!I10)</f>
        <v>0.63272819874832587</v>
      </c>
      <c r="AE516">
        <f ca="1">Inputs!E16+(Inputs!G16-Inputs!E16)*BETAINV(RAND(),Model!J10,Model!K10)</f>
        <v>0.52920106560067148</v>
      </c>
      <c r="AF516">
        <f ca="1">(Inputs!H16+(Inputs!J16-Inputs!H16)*BETAINV(RAND(),Model!L10,Model!M10))*Inputs!$C$6</f>
        <v>74849.99190179311</v>
      </c>
      <c r="AG516">
        <f t="shared" ca="1" si="163"/>
        <v>0.33484043701320748</v>
      </c>
      <c r="AH516">
        <f t="shared" ca="1" si="164"/>
        <v>0.61497381115566241</v>
      </c>
      <c r="AI516">
        <f t="shared" ca="1" si="165"/>
        <v>0</v>
      </c>
      <c r="AJ516" s="47">
        <f t="shared" ca="1" si="166"/>
        <v>0</v>
      </c>
      <c r="AK516">
        <f t="shared" ca="1" si="167"/>
        <v>709441.14824828145</v>
      </c>
    </row>
    <row r="517" spans="2:37" x14ac:dyDescent="0.2">
      <c r="B517">
        <f ca="1">Inputs!B12+(Inputs!D12-Inputs!B12)*BETAINV(RAND(),Model!H6,Model!I6)</f>
        <v>3.514895022569227</v>
      </c>
      <c r="C517">
        <f ca="1">Inputs!E12+(Inputs!G12-Inputs!E12)*BETAINV(RAND(),Model!J6,Model!K6)</f>
        <v>0.1812202751859133</v>
      </c>
      <c r="D517">
        <f ca="1">(Inputs!H12+(Inputs!J12-Inputs!H12)*BETAINV(RAND(),Model!L6,Model!M6))*Inputs!$C$6</f>
        <v>26722.811175986611</v>
      </c>
      <c r="E517">
        <f t="shared" ca="1" si="147"/>
        <v>0.63697024323959228</v>
      </c>
      <c r="F517">
        <f t="shared" ca="1" si="148"/>
        <v>0.46960516590987311</v>
      </c>
      <c r="G517">
        <f t="shared" ca="1" si="149"/>
        <v>0</v>
      </c>
      <c r="H517" s="47">
        <f t="shared" ca="1" si="150"/>
        <v>0</v>
      </c>
      <c r="I517">
        <f ca="1">Inputs!B13+(Inputs!D13-Inputs!B13)*BETAINV(RAND(),Model!H7,Model!I7)</f>
        <v>1.5438154071667787</v>
      </c>
      <c r="J517">
        <f ca="1">Inputs!E13+(Inputs!G13-Inputs!E13)*BETAINV(RAND(),Model!J7,Model!K7)</f>
        <v>0.20353777134456438</v>
      </c>
      <c r="K517">
        <f ca="1">(Inputs!H13+(Inputs!J13-Inputs!H13)*BETAINV(RAND(),Model!L7,Model!M7))*Inputs!$C$6</f>
        <v>79106.545666578197</v>
      </c>
      <c r="L517">
        <f t="shared" ca="1" si="151"/>
        <v>0.31422474734212735</v>
      </c>
      <c r="M517">
        <f t="shared" ca="1" si="152"/>
        <v>0.44874965652434973</v>
      </c>
      <c r="N517">
        <f t="shared" ca="1" si="153"/>
        <v>0</v>
      </c>
      <c r="O517" s="47">
        <f t="shared" ca="1" si="154"/>
        <v>0</v>
      </c>
      <c r="P517">
        <f ca="1">Inputs!B14+(Inputs!D14-Inputs!B14)*BETAINV(RAND(),Model!H8,Model!I8)</f>
        <v>0.26476778061778283</v>
      </c>
      <c r="Q517">
        <f ca="1">Inputs!E14+(Inputs!G14-Inputs!E14)*BETAINV(RAND(),Model!J8,Model!K8)</f>
        <v>0.43401571537391004</v>
      </c>
      <c r="R517">
        <f ca="1">(Inputs!H14+(Inputs!J14-Inputs!H14)*BETAINV(RAND(),Model!L8,Model!M8))*Inputs!$C$6</f>
        <v>428662.45171709667</v>
      </c>
      <c r="S517">
        <f t="shared" ca="1" si="155"/>
        <v>0.11491337771278949</v>
      </c>
      <c r="T517">
        <f t="shared" ca="1" si="156"/>
        <v>0.18597233704592597</v>
      </c>
      <c r="U517">
        <f t="shared" ca="1" si="157"/>
        <v>0</v>
      </c>
      <c r="V517" s="47">
        <f t="shared" ca="1" si="158"/>
        <v>0</v>
      </c>
      <c r="W517">
        <f ca="1">Inputs!B15+(Inputs!D15-Inputs!B15)*BETAINV(RAND(),Model!H9,Model!I9)</f>
        <v>0.96919113136319734</v>
      </c>
      <c r="X517">
        <f ca="1">Inputs!E15+(Inputs!G15-Inputs!E15)*BETAINV(RAND(),Model!J9,Model!K9)</f>
        <v>0.3669983868060106</v>
      </c>
      <c r="Y517">
        <f ca="1">(Inputs!H15+(Inputs!J15-Inputs!H15)*BETAINV(RAND(),Model!L9,Model!M9))*Inputs!$C$6</f>
        <v>29488.939748530447</v>
      </c>
      <c r="Z517">
        <f t="shared" ca="1" si="159"/>
        <v>0.35569158171698573</v>
      </c>
      <c r="AA517">
        <f t="shared" ca="1" si="160"/>
        <v>8.9389178191622176E-2</v>
      </c>
      <c r="AB517">
        <f t="shared" ca="1" si="161"/>
        <v>0</v>
      </c>
      <c r="AC517" s="47">
        <f t="shared" ca="1" si="162"/>
        <v>0</v>
      </c>
      <c r="AD517">
        <f ca="1">Inputs!B16+(Inputs!D16-Inputs!B16)*BETAINV(RAND(),Model!H10,Model!I10)</f>
        <v>0.42885002678871464</v>
      </c>
      <c r="AE517">
        <f ca="1">Inputs!E16+(Inputs!G16-Inputs!E16)*BETAINV(RAND(),Model!J10,Model!K10)</f>
        <v>0.57798431686430518</v>
      </c>
      <c r="AF517">
        <f ca="1">(Inputs!H16+(Inputs!J16-Inputs!H16)*BETAINV(RAND(),Model!L10,Model!M10))*Inputs!$C$6</f>
        <v>61170.028700757604</v>
      </c>
      <c r="AG517">
        <f t="shared" ca="1" si="163"/>
        <v>0.24786858977071421</v>
      </c>
      <c r="AH517">
        <f t="shared" ca="1" si="164"/>
        <v>0.13843905823848246</v>
      </c>
      <c r="AI517">
        <f t="shared" ca="1" si="165"/>
        <v>0</v>
      </c>
      <c r="AJ517" s="47">
        <f t="shared" ca="1" si="166"/>
        <v>0</v>
      </c>
      <c r="AK517">
        <f t="shared" ca="1" si="167"/>
        <v>0</v>
      </c>
    </row>
    <row r="518" spans="2:37" x14ac:dyDescent="0.2">
      <c r="B518">
        <f ca="1">Inputs!B12+(Inputs!D12-Inputs!B12)*BETAINV(RAND(),Model!H6,Model!I6)</f>
        <v>5.6050073511831453</v>
      </c>
      <c r="C518">
        <f ca="1">Inputs!E12+(Inputs!G12-Inputs!E12)*BETAINV(RAND(),Model!J6,Model!K6)</f>
        <v>0.25348853721075787</v>
      </c>
      <c r="D518">
        <f ca="1">(Inputs!H12+(Inputs!J12-Inputs!H12)*BETAINV(RAND(),Model!L6,Model!M6))*Inputs!$C$6</f>
        <v>28978.008014588362</v>
      </c>
      <c r="E518">
        <f t="shared" ca="1" si="147"/>
        <v>1.4208051145069602</v>
      </c>
      <c r="F518">
        <f t="shared" ca="1" si="148"/>
        <v>0.43547680620472284</v>
      </c>
      <c r="G518">
        <f t="shared" ca="1" si="149"/>
        <v>1</v>
      </c>
      <c r="H518" s="47">
        <f t="shared" ca="1" si="150"/>
        <v>28978.008014588362</v>
      </c>
      <c r="I518">
        <f ca="1">Inputs!B13+(Inputs!D13-Inputs!B13)*BETAINV(RAND(),Model!H7,Model!I7)</f>
        <v>1.963166897701019</v>
      </c>
      <c r="J518">
        <f ca="1">Inputs!E13+(Inputs!G13-Inputs!E13)*BETAINV(RAND(),Model!J7,Model!K7)</f>
        <v>0.29432760906477429</v>
      </c>
      <c r="K518">
        <f ca="1">(Inputs!H13+(Inputs!J13-Inputs!H13)*BETAINV(RAND(),Model!L7,Model!M7))*Inputs!$C$6</f>
        <v>19615.561956120382</v>
      </c>
      <c r="L518">
        <f t="shared" ca="1" si="151"/>
        <v>0.57781421919545128</v>
      </c>
      <c r="M518">
        <f t="shared" ca="1" si="152"/>
        <v>0.42272366848940457</v>
      </c>
      <c r="N518">
        <f t="shared" ca="1" si="153"/>
        <v>0</v>
      </c>
      <c r="O518" s="47">
        <f t="shared" ca="1" si="154"/>
        <v>0</v>
      </c>
      <c r="P518">
        <f ca="1">Inputs!B14+(Inputs!D14-Inputs!B14)*BETAINV(RAND(),Model!H8,Model!I8)</f>
        <v>0.57412032014196135</v>
      </c>
      <c r="Q518">
        <f ca="1">Inputs!E14+(Inputs!G14-Inputs!E14)*BETAINV(RAND(),Model!J8,Model!K8)</f>
        <v>0.63764763308965478</v>
      </c>
      <c r="R518">
        <f ca="1">(Inputs!H14+(Inputs!J14-Inputs!H14)*BETAINV(RAND(),Model!L8,Model!M8))*Inputs!$C$6</f>
        <v>377730.23261675052</v>
      </c>
      <c r="S518">
        <f t="shared" ca="1" si="155"/>
        <v>0.36608646324719651</v>
      </c>
      <c r="T518">
        <f t="shared" ca="1" si="156"/>
        <v>0.92820715315639113</v>
      </c>
      <c r="U518">
        <f t="shared" ca="1" si="157"/>
        <v>1</v>
      </c>
      <c r="V518" s="47">
        <f t="shared" ca="1" si="158"/>
        <v>377730.23261675052</v>
      </c>
      <c r="W518">
        <f ca="1">Inputs!B15+(Inputs!D15-Inputs!B15)*BETAINV(RAND(),Model!H9,Model!I9)</f>
        <v>0.67004853764701799</v>
      </c>
      <c r="X518">
        <f ca="1">Inputs!E15+(Inputs!G15-Inputs!E15)*BETAINV(RAND(),Model!J9,Model!K9)</f>
        <v>0.43229224192221327</v>
      </c>
      <c r="Y518">
        <f ca="1">(Inputs!H15+(Inputs!J15-Inputs!H15)*BETAINV(RAND(),Model!L9,Model!M9))*Inputs!$C$6</f>
        <v>42490.339653520685</v>
      </c>
      <c r="Z518">
        <f t="shared" ca="1" si="159"/>
        <v>0.28965678453612992</v>
      </c>
      <c r="AA518">
        <f t="shared" ca="1" si="160"/>
        <v>5.4208284155472075E-2</v>
      </c>
      <c r="AB518">
        <f t="shared" ca="1" si="161"/>
        <v>0</v>
      </c>
      <c r="AC518" s="47">
        <f t="shared" ca="1" si="162"/>
        <v>0</v>
      </c>
      <c r="AD518">
        <f ca="1">Inputs!B16+(Inputs!D16-Inputs!B16)*BETAINV(RAND(),Model!H10,Model!I10)</f>
        <v>0.47211614891746173</v>
      </c>
      <c r="AE518">
        <f ca="1">Inputs!E16+(Inputs!G16-Inputs!E16)*BETAINV(RAND(),Model!J10,Model!K10)</f>
        <v>0.60734572829972844</v>
      </c>
      <c r="AF518">
        <f ca="1">(Inputs!H16+(Inputs!J16-Inputs!H16)*BETAINV(RAND(),Model!L10,Model!M10))*Inputs!$C$6</f>
        <v>61954.155041707068</v>
      </c>
      <c r="AG518">
        <f t="shared" ca="1" si="163"/>
        <v>0.28673772630633887</v>
      </c>
      <c r="AH518">
        <f t="shared" ca="1" si="164"/>
        <v>0.30221415371973737</v>
      </c>
      <c r="AI518">
        <f t="shared" ca="1" si="165"/>
        <v>0</v>
      </c>
      <c r="AJ518" s="47">
        <f t="shared" ca="1" si="166"/>
        <v>0</v>
      </c>
      <c r="AK518">
        <f t="shared" ca="1" si="167"/>
        <v>406708.24063133891</v>
      </c>
    </row>
    <row r="519" spans="2:37" x14ac:dyDescent="0.2">
      <c r="B519">
        <f ca="1">Inputs!B12+(Inputs!D12-Inputs!B12)*BETAINV(RAND(),Model!H6,Model!I6)</f>
        <v>2.5792919271116066</v>
      </c>
      <c r="C519">
        <f ca="1">Inputs!E12+(Inputs!G12-Inputs!E12)*BETAINV(RAND(),Model!J6,Model!K6)</f>
        <v>0.41579655049350361</v>
      </c>
      <c r="D519">
        <f ca="1">(Inputs!H12+(Inputs!J12-Inputs!H12)*BETAINV(RAND(),Model!L6,Model!M6))*Inputs!$C$6</f>
        <v>30346.599225622384</v>
      </c>
      <c r="E519">
        <f t="shared" ca="1" si="147"/>
        <v>1.0724606860087473</v>
      </c>
      <c r="F519">
        <f t="shared" ca="1" si="148"/>
        <v>0.24185314744388775</v>
      </c>
      <c r="G519">
        <f t="shared" ca="1" si="149"/>
        <v>0</v>
      </c>
      <c r="H519" s="47">
        <f t="shared" ca="1" si="150"/>
        <v>0</v>
      </c>
      <c r="I519">
        <f ca="1">Inputs!B13+(Inputs!D13-Inputs!B13)*BETAINV(RAND(),Model!H7,Model!I7)</f>
        <v>1.5400931849391857</v>
      </c>
      <c r="J519">
        <f ca="1">Inputs!E13+(Inputs!G13-Inputs!E13)*BETAINV(RAND(),Model!J7,Model!K7)</f>
        <v>0.27135126146990746</v>
      </c>
      <c r="K519">
        <f ca="1">(Inputs!H13+(Inputs!J13-Inputs!H13)*BETAINV(RAND(),Model!L7,Model!M7))*Inputs!$C$6</f>
        <v>56615.263573646647</v>
      </c>
      <c r="L519">
        <f t="shared" ca="1" si="151"/>
        <v>0.41790622851445552</v>
      </c>
      <c r="M519">
        <f t="shared" ca="1" si="152"/>
        <v>0.60917432012727635</v>
      </c>
      <c r="N519">
        <f t="shared" ca="1" si="153"/>
        <v>0</v>
      </c>
      <c r="O519" s="47">
        <f t="shared" ca="1" si="154"/>
        <v>0</v>
      </c>
      <c r="P519">
        <f ca="1">Inputs!B14+(Inputs!D14-Inputs!B14)*BETAINV(RAND(),Model!H8,Model!I8)</f>
        <v>0.36246050540152985</v>
      </c>
      <c r="Q519">
        <f ca="1">Inputs!E14+(Inputs!G14-Inputs!E14)*BETAINV(RAND(),Model!J8,Model!K8)</f>
        <v>0.49123178387351973</v>
      </c>
      <c r="R519">
        <f ca="1">(Inputs!H14+(Inputs!J14-Inputs!H14)*BETAINV(RAND(),Model!L8,Model!M8))*Inputs!$C$6</f>
        <v>392307.26525974605</v>
      </c>
      <c r="S519">
        <f t="shared" ca="1" si="155"/>
        <v>0.17805212065209106</v>
      </c>
      <c r="T519">
        <f t="shared" ca="1" si="156"/>
        <v>0.76208978947246242</v>
      </c>
      <c r="U519">
        <f t="shared" ca="1" si="157"/>
        <v>0</v>
      </c>
      <c r="V519" s="47">
        <f t="shared" ca="1" si="158"/>
        <v>0</v>
      </c>
      <c r="W519">
        <f ca="1">Inputs!B15+(Inputs!D15-Inputs!B15)*BETAINV(RAND(),Model!H9,Model!I9)</f>
        <v>1.0662671273859792</v>
      </c>
      <c r="X519">
        <f ca="1">Inputs!E15+(Inputs!G15-Inputs!E15)*BETAINV(RAND(),Model!J9,Model!K9)</f>
        <v>0.52840137625643135</v>
      </c>
      <c r="Y519">
        <f ca="1">(Inputs!H15+(Inputs!J15-Inputs!H15)*BETAINV(RAND(),Model!L9,Model!M9))*Inputs!$C$6</f>
        <v>18364.725634632774</v>
      </c>
      <c r="Z519">
        <f t="shared" ca="1" si="159"/>
        <v>0.56341701756774298</v>
      </c>
      <c r="AA519">
        <f t="shared" ca="1" si="160"/>
        <v>0.4162759856802164</v>
      </c>
      <c r="AB519">
        <f t="shared" ca="1" si="161"/>
        <v>0</v>
      </c>
      <c r="AC519" s="47">
        <f t="shared" ca="1" si="162"/>
        <v>0</v>
      </c>
      <c r="AD519">
        <f ca="1">Inputs!B16+(Inputs!D16-Inputs!B16)*BETAINV(RAND(),Model!H10,Model!I10)</f>
        <v>0.30124403772747976</v>
      </c>
      <c r="AE519">
        <f ca="1">Inputs!E16+(Inputs!G16-Inputs!E16)*BETAINV(RAND(),Model!J10,Model!K10)</f>
        <v>0.50646152699884439</v>
      </c>
      <c r="AF519">
        <f ca="1">(Inputs!H16+(Inputs!J16-Inputs!H16)*BETAINV(RAND(),Model!L10,Model!M10))*Inputs!$C$6</f>
        <v>108800.80346330054</v>
      </c>
      <c r="AG519">
        <f t="shared" ca="1" si="163"/>
        <v>0.15256851534675689</v>
      </c>
      <c r="AH519">
        <f t="shared" ca="1" si="164"/>
        <v>0.85838856171089872</v>
      </c>
      <c r="AI519">
        <f t="shared" ca="1" si="165"/>
        <v>0</v>
      </c>
      <c r="AJ519" s="47">
        <f t="shared" ca="1" si="166"/>
        <v>0</v>
      </c>
      <c r="AK519">
        <f t="shared" ca="1" si="167"/>
        <v>0</v>
      </c>
    </row>
    <row r="520" spans="2:37" x14ac:dyDescent="0.2">
      <c r="B520">
        <f ca="1">Inputs!B12+(Inputs!D12-Inputs!B12)*BETAINV(RAND(),Model!H6,Model!I6)</f>
        <v>3.066205961221792</v>
      </c>
      <c r="C520">
        <f ca="1">Inputs!E12+(Inputs!G12-Inputs!E12)*BETAINV(RAND(),Model!J6,Model!K6)</f>
        <v>0.27174532514070598</v>
      </c>
      <c r="D520">
        <f ca="1">(Inputs!H12+(Inputs!J12-Inputs!H12)*BETAINV(RAND(),Model!L6,Model!M6))*Inputs!$C$6</f>
        <v>19524.846984116841</v>
      </c>
      <c r="E520">
        <f t="shared" ca="1" si="147"/>
        <v>0.83322713588058683</v>
      </c>
      <c r="F520">
        <f t="shared" ca="1" si="148"/>
        <v>7.9264404944100808E-2</v>
      </c>
      <c r="G520">
        <f t="shared" ca="1" si="149"/>
        <v>0</v>
      </c>
      <c r="H520" s="47">
        <f t="shared" ca="1" si="150"/>
        <v>0</v>
      </c>
      <c r="I520">
        <f ca="1">Inputs!B13+(Inputs!D13-Inputs!B13)*BETAINV(RAND(),Model!H7,Model!I7)</f>
        <v>1.580994187773443</v>
      </c>
      <c r="J520">
        <f ca="1">Inputs!E13+(Inputs!G13-Inputs!E13)*BETAINV(RAND(),Model!J7,Model!K7)</f>
        <v>0.39542963186619751</v>
      </c>
      <c r="K520">
        <f ca="1">(Inputs!H13+(Inputs!J13-Inputs!H13)*BETAINV(RAND(),Model!L7,Model!M7))*Inputs!$C$6</f>
        <v>28210.658024055007</v>
      </c>
      <c r="L520">
        <f t="shared" ca="1" si="151"/>
        <v>0.62517194965385048</v>
      </c>
      <c r="M520">
        <f t="shared" ca="1" si="152"/>
        <v>0.91620375794744091</v>
      </c>
      <c r="N520">
        <f t="shared" ca="1" si="153"/>
        <v>2</v>
      </c>
      <c r="O520" s="47">
        <f t="shared" ca="1" si="154"/>
        <v>56421.316048110013</v>
      </c>
      <c r="P520">
        <f ca="1">Inputs!B14+(Inputs!D14-Inputs!B14)*BETAINV(RAND(),Model!H8,Model!I8)</f>
        <v>0.41497945856198937</v>
      </c>
      <c r="Q520">
        <f ca="1">Inputs!E14+(Inputs!G14-Inputs!E14)*BETAINV(RAND(),Model!J8,Model!K8)</f>
        <v>0.73604104873289367</v>
      </c>
      <c r="R520">
        <f ca="1">(Inputs!H14+(Inputs!J14-Inputs!H14)*BETAINV(RAND(),Model!L8,Model!M8))*Inputs!$C$6</f>
        <v>262705.40970419539</v>
      </c>
      <c r="S520">
        <f t="shared" ca="1" si="155"/>
        <v>0.30544191588257502</v>
      </c>
      <c r="T520">
        <f t="shared" ca="1" si="156"/>
        <v>0.26765596192191854</v>
      </c>
      <c r="U520">
        <f t="shared" ca="1" si="157"/>
        <v>0</v>
      </c>
      <c r="V520" s="47">
        <f t="shared" ca="1" si="158"/>
        <v>0</v>
      </c>
      <c r="W520">
        <f ca="1">Inputs!B15+(Inputs!D15-Inputs!B15)*BETAINV(RAND(),Model!H9,Model!I9)</f>
        <v>0.81004141272625563</v>
      </c>
      <c r="X520">
        <f ca="1">Inputs!E15+(Inputs!G15-Inputs!E15)*BETAINV(RAND(),Model!J9,Model!K9)</f>
        <v>0.44984529575590737</v>
      </c>
      <c r="Y520">
        <f ca="1">(Inputs!H15+(Inputs!J15-Inputs!H15)*BETAINV(RAND(),Model!L9,Model!M9))*Inputs!$C$6</f>
        <v>42145.586641026537</v>
      </c>
      <c r="Z520">
        <f t="shared" ca="1" si="159"/>
        <v>0.36439331888237547</v>
      </c>
      <c r="AA520">
        <f t="shared" ca="1" si="160"/>
        <v>0.69953631956808249</v>
      </c>
      <c r="AB520">
        <f t="shared" ca="1" si="161"/>
        <v>1</v>
      </c>
      <c r="AC520" s="47">
        <f t="shared" ca="1" si="162"/>
        <v>42145.586641026537</v>
      </c>
      <c r="AD520">
        <f ca="1">Inputs!B16+(Inputs!D16-Inputs!B16)*BETAINV(RAND(),Model!H10,Model!I10)</f>
        <v>0.70530524660471161</v>
      </c>
      <c r="AE520">
        <f ca="1">Inputs!E16+(Inputs!G16-Inputs!E16)*BETAINV(RAND(),Model!J10,Model!K10)</f>
        <v>0.5776692761721246</v>
      </c>
      <c r="AF520">
        <f ca="1">(Inputs!H16+(Inputs!J16-Inputs!H16)*BETAINV(RAND(),Model!L10,Model!M10))*Inputs!$C$6</f>
        <v>59552.091840740948</v>
      </c>
      <c r="AG520">
        <f t="shared" ca="1" si="163"/>
        <v>0.4074331712865456</v>
      </c>
      <c r="AH520">
        <f t="shared" ca="1" si="164"/>
        <v>5.4267475349688343E-2</v>
      </c>
      <c r="AI520">
        <f t="shared" ca="1" si="165"/>
        <v>0</v>
      </c>
      <c r="AJ520" s="47">
        <f t="shared" ca="1" si="166"/>
        <v>0</v>
      </c>
      <c r="AK520">
        <f t="shared" ca="1" si="167"/>
        <v>98566.90268913655</v>
      </c>
    </row>
    <row r="521" spans="2:37" x14ac:dyDescent="0.2">
      <c r="B521">
        <f ca="1">Inputs!B12+(Inputs!D12-Inputs!B12)*BETAINV(RAND(),Model!H6,Model!I6)</f>
        <v>2.8473199987649718</v>
      </c>
      <c r="C521">
        <f ca="1">Inputs!E12+(Inputs!G12-Inputs!E12)*BETAINV(RAND(),Model!J6,Model!K6)</f>
        <v>0.29446850407383923</v>
      </c>
      <c r="D521">
        <f ca="1">(Inputs!H12+(Inputs!J12-Inputs!H12)*BETAINV(RAND(),Model!L6,Model!M6))*Inputs!$C$6</f>
        <v>9124.6735360815146</v>
      </c>
      <c r="E521">
        <f t="shared" ca="1" si="147"/>
        <v>0.83844606065584704</v>
      </c>
      <c r="F521">
        <f t="shared" ca="1" si="148"/>
        <v>0.91987904356089023</v>
      </c>
      <c r="G521">
        <f t="shared" ca="1" si="149"/>
        <v>2</v>
      </c>
      <c r="H521" s="47">
        <f t="shared" ca="1" si="150"/>
        <v>18249.347072163029</v>
      </c>
      <c r="I521">
        <f ca="1">Inputs!B13+(Inputs!D13-Inputs!B13)*BETAINV(RAND(),Model!H7,Model!I7)</f>
        <v>1.1308036113441093</v>
      </c>
      <c r="J521">
        <f ca="1">Inputs!E13+(Inputs!G13-Inputs!E13)*BETAINV(RAND(),Model!J7,Model!K7)</f>
        <v>0.23055386215492071</v>
      </c>
      <c r="K521">
        <f ca="1">(Inputs!H13+(Inputs!J13-Inputs!H13)*BETAINV(RAND(),Model!L7,Model!M7))*Inputs!$C$6</f>
        <v>24848.702762591922</v>
      </c>
      <c r="L521">
        <f t="shared" ca="1" si="151"/>
        <v>0.26071113993411632</v>
      </c>
      <c r="M521">
        <f t="shared" ca="1" si="152"/>
        <v>0.93797972203144908</v>
      </c>
      <c r="N521">
        <f t="shared" ca="1" si="153"/>
        <v>1</v>
      </c>
      <c r="O521" s="47">
        <f t="shared" ca="1" si="154"/>
        <v>24848.702762591922</v>
      </c>
      <c r="P521">
        <f ca="1">Inputs!B14+(Inputs!D14-Inputs!B14)*BETAINV(RAND(),Model!H8,Model!I8)</f>
        <v>0.36715890556177289</v>
      </c>
      <c r="Q521">
        <f ca="1">Inputs!E14+(Inputs!G14-Inputs!E14)*BETAINV(RAND(),Model!J8,Model!K8)</f>
        <v>0.64134740664612244</v>
      </c>
      <c r="R521">
        <f ca="1">(Inputs!H14+(Inputs!J14-Inputs!H14)*BETAINV(RAND(),Model!L8,Model!M8))*Inputs!$C$6</f>
        <v>281176.25985061034</v>
      </c>
      <c r="S521">
        <f t="shared" ca="1" si="155"/>
        <v>0.23547641190907162</v>
      </c>
      <c r="T521">
        <f t="shared" ca="1" si="156"/>
        <v>0.76884196061834997</v>
      </c>
      <c r="U521">
        <f t="shared" ca="1" si="157"/>
        <v>0</v>
      </c>
      <c r="V521" s="47">
        <f t="shared" ca="1" si="158"/>
        <v>0</v>
      </c>
      <c r="W521">
        <f ca="1">Inputs!B15+(Inputs!D15-Inputs!B15)*BETAINV(RAND(),Model!H9,Model!I9)</f>
        <v>1.6598929384096637</v>
      </c>
      <c r="X521">
        <f ca="1">Inputs!E15+(Inputs!G15-Inputs!E15)*BETAINV(RAND(),Model!J9,Model!K9)</f>
        <v>0.5771847208428369</v>
      </c>
      <c r="Y521">
        <f ca="1">(Inputs!H15+(Inputs!J15-Inputs!H15)*BETAINV(RAND(),Model!L9,Model!M9))*Inputs!$C$6</f>
        <v>13776.114064082158</v>
      </c>
      <c r="Z521">
        <f t="shared" ca="1" si="159"/>
        <v>0.95806484228497801</v>
      </c>
      <c r="AA521">
        <f t="shared" ca="1" si="160"/>
        <v>0.26622874737785895</v>
      </c>
      <c r="AB521">
        <f t="shared" ca="1" si="161"/>
        <v>0</v>
      </c>
      <c r="AC521" s="47">
        <f t="shared" ca="1" si="162"/>
        <v>0</v>
      </c>
      <c r="AD521">
        <f ca="1">Inputs!B16+(Inputs!D16-Inputs!B16)*BETAINV(RAND(),Model!H10,Model!I10)</f>
        <v>0.65656819734558447</v>
      </c>
      <c r="AE521">
        <f ca="1">Inputs!E16+(Inputs!G16-Inputs!E16)*BETAINV(RAND(),Model!J10,Model!K10)</f>
        <v>0.58431101879455249</v>
      </c>
      <c r="AF521">
        <f ca="1">(Inputs!H16+(Inputs!J16-Inputs!H16)*BETAINV(RAND(),Model!L10,Model!M10))*Inputs!$C$6</f>
        <v>95944.429802567087</v>
      </c>
      <c r="AG521">
        <f t="shared" ca="1" si="163"/>
        <v>0.38364003229910126</v>
      </c>
      <c r="AH521">
        <f t="shared" ca="1" si="164"/>
        <v>0.49535392056092376</v>
      </c>
      <c r="AI521">
        <f t="shared" ca="1" si="165"/>
        <v>0</v>
      </c>
      <c r="AJ521" s="47">
        <f t="shared" ca="1" si="166"/>
        <v>0</v>
      </c>
      <c r="AK521">
        <f t="shared" ca="1" si="167"/>
        <v>43098.049834754951</v>
      </c>
    </row>
    <row r="522" spans="2:37" x14ac:dyDescent="0.2">
      <c r="B522">
        <f ca="1">Inputs!B12+(Inputs!D12-Inputs!B12)*BETAINV(RAND(),Model!H6,Model!I6)</f>
        <v>3.0821606645179052</v>
      </c>
      <c r="C522">
        <f ca="1">Inputs!E12+(Inputs!G12-Inputs!E12)*BETAINV(RAND(),Model!J6,Model!K6)</f>
        <v>0.29085344290349063</v>
      </c>
      <c r="D522">
        <f ca="1">(Inputs!H12+(Inputs!J12-Inputs!H12)*BETAINV(RAND(),Model!L6,Model!M6))*Inputs!$C$6</f>
        <v>22877.381489132764</v>
      </c>
      <c r="E522">
        <f t="shared" ca="1" si="147"/>
        <v>0.89645704085674327</v>
      </c>
      <c r="F522">
        <f t="shared" ca="1" si="148"/>
        <v>0.8400779027560582</v>
      </c>
      <c r="G522">
        <f t="shared" ca="1" si="149"/>
        <v>2</v>
      </c>
      <c r="H522" s="47">
        <f t="shared" ca="1" si="150"/>
        <v>45754.762978265528</v>
      </c>
      <c r="I522">
        <f ca="1">Inputs!B13+(Inputs!D13-Inputs!B13)*BETAINV(RAND(),Model!H7,Model!I7)</f>
        <v>1.6713278034293941</v>
      </c>
      <c r="J522">
        <f ca="1">Inputs!E13+(Inputs!G13-Inputs!E13)*BETAINV(RAND(),Model!J7,Model!K7)</f>
        <v>0.38843715210284357</v>
      </c>
      <c r="K522">
        <f ca="1">(Inputs!H13+(Inputs!J13-Inputs!H13)*BETAINV(RAND(),Model!L7,Model!M7))*Inputs!$C$6</f>
        <v>38930.281904879965</v>
      </c>
      <c r="L522">
        <f t="shared" ca="1" si="151"/>
        <v>0.64920581219441498</v>
      </c>
      <c r="M522">
        <f t="shared" ca="1" si="152"/>
        <v>0.79883054929711972</v>
      </c>
      <c r="N522">
        <f t="shared" ca="1" si="153"/>
        <v>1</v>
      </c>
      <c r="O522" s="47">
        <f t="shared" ca="1" si="154"/>
        <v>38930.281904879965</v>
      </c>
      <c r="P522">
        <f ca="1">Inputs!B14+(Inputs!D14-Inputs!B14)*BETAINV(RAND(),Model!H8,Model!I8)</f>
        <v>0.54457512260825991</v>
      </c>
      <c r="Q522">
        <f ca="1">Inputs!E14+(Inputs!G14-Inputs!E14)*BETAINV(RAND(),Model!J8,Model!K8)</f>
        <v>0.51606427350572137</v>
      </c>
      <c r="R522">
        <f ca="1">(Inputs!H14+(Inputs!J14-Inputs!H14)*BETAINV(RAND(),Model!L8,Model!M8))*Inputs!$C$6</f>
        <v>587919.8598198595</v>
      </c>
      <c r="S522">
        <f t="shared" ca="1" si="155"/>
        <v>0.28103576501812078</v>
      </c>
      <c r="T522">
        <f t="shared" ca="1" si="156"/>
        <v>0.6257609266580979</v>
      </c>
      <c r="U522">
        <f t="shared" ca="1" si="157"/>
        <v>0</v>
      </c>
      <c r="V522" s="47">
        <f t="shared" ca="1" si="158"/>
        <v>0</v>
      </c>
      <c r="W522">
        <f ca="1">Inputs!B15+(Inputs!D15-Inputs!B15)*BETAINV(RAND(),Model!H9,Model!I9)</f>
        <v>1.7066052659828201</v>
      </c>
      <c r="X522">
        <f ca="1">Inputs!E15+(Inputs!G15-Inputs!E15)*BETAINV(RAND(),Model!J9,Model!K9)</f>
        <v>0.49101734102582401</v>
      </c>
      <c r="Y522">
        <f ca="1">(Inputs!H15+(Inputs!J15-Inputs!H15)*BETAINV(RAND(),Model!L9,Model!M9))*Inputs!$C$6</f>
        <v>17854.685542590109</v>
      </c>
      <c r="Z522">
        <f t="shared" ca="1" si="159"/>
        <v>0.83797277988355345</v>
      </c>
      <c r="AA522">
        <f t="shared" ca="1" si="160"/>
        <v>4.1999527362271971E-2</v>
      </c>
      <c r="AB522">
        <f t="shared" ca="1" si="161"/>
        <v>0</v>
      </c>
      <c r="AC522" s="47">
        <f t="shared" ca="1" si="162"/>
        <v>0</v>
      </c>
      <c r="AD522">
        <f ca="1">Inputs!B16+(Inputs!D16-Inputs!B16)*BETAINV(RAND(),Model!H10,Model!I10)</f>
        <v>0.79047398935067914</v>
      </c>
      <c r="AE522">
        <f ca="1">Inputs!E16+(Inputs!G16-Inputs!E16)*BETAINV(RAND(),Model!J10,Model!K10)</f>
        <v>0.65231719900609675</v>
      </c>
      <c r="AF522">
        <f ca="1">(Inputs!H16+(Inputs!J16-Inputs!H16)*BETAINV(RAND(),Model!L10,Model!M10))*Inputs!$C$6</f>
        <v>86576.50873707897</v>
      </c>
      <c r="AG522">
        <f t="shared" ca="1" si="163"/>
        <v>0.51563977862041022</v>
      </c>
      <c r="AH522">
        <f t="shared" ca="1" si="164"/>
        <v>0.44462179781593192</v>
      </c>
      <c r="AI522">
        <f t="shared" ca="1" si="165"/>
        <v>0</v>
      </c>
      <c r="AJ522" s="47">
        <f t="shared" ca="1" si="166"/>
        <v>0</v>
      </c>
      <c r="AK522">
        <f t="shared" ca="1" si="167"/>
        <v>84685.044883145485</v>
      </c>
    </row>
    <row r="523" spans="2:37" x14ac:dyDescent="0.2">
      <c r="B523">
        <f ca="1">Inputs!B12+(Inputs!D12-Inputs!B12)*BETAINV(RAND(),Model!H6,Model!I6)</f>
        <v>3.4491763450784028</v>
      </c>
      <c r="C523">
        <f ca="1">Inputs!E12+(Inputs!G12-Inputs!E12)*BETAINV(RAND(),Model!J6,Model!K6)</f>
        <v>0.48081688501537978</v>
      </c>
      <c r="D523">
        <f ca="1">(Inputs!H12+(Inputs!J12-Inputs!H12)*BETAINV(RAND(),Model!L6,Model!M6))*Inputs!$C$6</f>
        <v>27080.912265292558</v>
      </c>
      <c r="E523">
        <f t="shared" ca="1" si="147"/>
        <v>1.6584222261093302</v>
      </c>
      <c r="F523">
        <f t="shared" ca="1" si="148"/>
        <v>0.92812730524446141</v>
      </c>
      <c r="G523">
        <f t="shared" ca="1" si="149"/>
        <v>4</v>
      </c>
      <c r="H523" s="47">
        <f t="shared" ca="1" si="150"/>
        <v>108323.64906117023</v>
      </c>
      <c r="I523">
        <f ca="1">Inputs!B13+(Inputs!D13-Inputs!B13)*BETAINV(RAND(),Model!H7,Model!I7)</f>
        <v>2.4330487512329233</v>
      </c>
      <c r="J523">
        <f ca="1">Inputs!E13+(Inputs!G13-Inputs!E13)*BETAINV(RAND(),Model!J7,Model!K7)</f>
        <v>0.27857305821518691</v>
      </c>
      <c r="K523">
        <f ca="1">(Inputs!H13+(Inputs!J13-Inputs!H13)*BETAINV(RAND(),Model!L7,Model!M7))*Inputs!$C$6</f>
        <v>22208.897111392642</v>
      </c>
      <c r="L523">
        <f t="shared" ca="1" si="151"/>
        <v>0.67778183141759696</v>
      </c>
      <c r="M523">
        <f t="shared" ca="1" si="152"/>
        <v>0.7382476228680761</v>
      </c>
      <c r="N523">
        <f t="shared" ca="1" si="153"/>
        <v>1</v>
      </c>
      <c r="O523" s="47">
        <f t="shared" ca="1" si="154"/>
        <v>22208.897111392642</v>
      </c>
      <c r="P523">
        <f ca="1">Inputs!B14+(Inputs!D14-Inputs!B14)*BETAINV(RAND(),Model!H8,Model!I8)</f>
        <v>0.16578757182891779</v>
      </c>
      <c r="Q523">
        <f ca="1">Inputs!E14+(Inputs!G14-Inputs!E14)*BETAINV(RAND(),Model!J8,Model!K8)</f>
        <v>0.38622307275976087</v>
      </c>
      <c r="R523">
        <f ca="1">(Inputs!H14+(Inputs!J14-Inputs!H14)*BETAINV(RAND(),Model!L8,Model!M8))*Inputs!$C$6</f>
        <v>353659.44438455312</v>
      </c>
      <c r="S523">
        <f t="shared" ca="1" si="155"/>
        <v>6.4030985417144193E-2</v>
      </c>
      <c r="T523">
        <f t="shared" ca="1" si="156"/>
        <v>0.29761118045631285</v>
      </c>
      <c r="U523">
        <f t="shared" ca="1" si="157"/>
        <v>0</v>
      </c>
      <c r="V523" s="47">
        <f t="shared" ca="1" si="158"/>
        <v>0</v>
      </c>
      <c r="W523">
        <f ca="1">Inputs!B15+(Inputs!D15-Inputs!B15)*BETAINV(RAND(),Model!H9,Model!I9)</f>
        <v>0.62542337945616266</v>
      </c>
      <c r="X523">
        <f ca="1">Inputs!E15+(Inputs!G15-Inputs!E15)*BETAINV(RAND(),Model!J9,Model!K9)</f>
        <v>0.43296690451504349</v>
      </c>
      <c r="Y523">
        <f ca="1">(Inputs!H15+(Inputs!J15-Inputs!H15)*BETAINV(RAND(),Model!L9,Model!M9))*Inputs!$C$6</f>
        <v>20551.567441006973</v>
      </c>
      <c r="Z523">
        <f t="shared" ca="1" si="159"/>
        <v>0.2707876246144722</v>
      </c>
      <c r="AA523">
        <f t="shared" ca="1" si="160"/>
        <v>0.99161507367532908</v>
      </c>
      <c r="AB523">
        <f t="shared" ca="1" si="161"/>
        <v>2</v>
      </c>
      <c r="AC523" s="47">
        <f t="shared" ca="1" si="162"/>
        <v>41103.134882013946</v>
      </c>
      <c r="AD523">
        <f ca="1">Inputs!B16+(Inputs!D16-Inputs!B16)*BETAINV(RAND(),Model!H10,Model!I10)</f>
        <v>0.86408349649897565</v>
      </c>
      <c r="AE523">
        <f ca="1">Inputs!E16+(Inputs!G16-Inputs!E16)*BETAINV(RAND(),Model!J10,Model!K10)</f>
        <v>0.58253589920546212</v>
      </c>
      <c r="AF523">
        <f ca="1">(Inputs!H16+(Inputs!J16-Inputs!H16)*BETAINV(RAND(),Model!L10,Model!M10))*Inputs!$C$6</f>
        <v>44528.060206916205</v>
      </c>
      <c r="AG523">
        <f t="shared" ca="1" si="163"/>
        <v>0.50335965662163051</v>
      </c>
      <c r="AH523">
        <f t="shared" ca="1" si="164"/>
        <v>0.79685514658705303</v>
      </c>
      <c r="AI523">
        <f t="shared" ca="1" si="165"/>
        <v>1</v>
      </c>
      <c r="AJ523" s="47">
        <f t="shared" ca="1" si="166"/>
        <v>44528.060206916205</v>
      </c>
      <c r="AK523">
        <f t="shared" ca="1" si="167"/>
        <v>216163.74126149304</v>
      </c>
    </row>
    <row r="524" spans="2:37" x14ac:dyDescent="0.2">
      <c r="B524">
        <f ca="1">Inputs!B12+(Inputs!D12-Inputs!B12)*BETAINV(RAND(),Model!H6,Model!I6)</f>
        <v>3.1999540409161122</v>
      </c>
      <c r="C524">
        <f ca="1">Inputs!E12+(Inputs!G12-Inputs!E12)*BETAINV(RAND(),Model!J6,Model!K6)</f>
        <v>0.28089375871442795</v>
      </c>
      <c r="D524">
        <f ca="1">(Inputs!H12+(Inputs!J12-Inputs!H12)*BETAINV(RAND(),Model!L6,Model!M6))*Inputs!$C$6</f>
        <v>53536.194824907543</v>
      </c>
      <c r="E524">
        <f t="shared" ref="E524:E587" ca="1" si="168">B524*C524</f>
        <v>0.89884711826634911</v>
      </c>
      <c r="F524">
        <f t="shared" ref="F524:F587" ca="1" si="169">RAND()</f>
        <v>0.38912843068221592</v>
      </c>
      <c r="G524">
        <f t="shared" ref="G524:G587" ca="1" si="170">IF(F524&lt;EXP(-E524),0,IF(F524&lt;EXP(-E524)*(1+E524),1,IF(F524&lt;EXP(-E524)*(1+E524+E524^2/2),2,IF(F524&lt;EXP(-E524)*(1+E524+E524^2/2+E524^3/6),3,4))))</f>
        <v>0</v>
      </c>
      <c r="H524" s="47">
        <f t="shared" ref="H524:H587" ca="1" si="171">G524*D524</f>
        <v>0</v>
      </c>
      <c r="I524">
        <f ca="1">Inputs!B13+(Inputs!D13-Inputs!B13)*BETAINV(RAND(),Model!H7,Model!I7)</f>
        <v>1.028948664262521</v>
      </c>
      <c r="J524">
        <f ca="1">Inputs!E13+(Inputs!G13-Inputs!E13)*BETAINV(RAND(),Model!J7,Model!K7)</f>
        <v>0.18544188758384667</v>
      </c>
      <c r="K524">
        <f ca="1">(Inputs!H13+(Inputs!J13-Inputs!H13)*BETAINV(RAND(),Model!L7,Model!M7))*Inputs!$C$6</f>
        <v>28098.755850132849</v>
      </c>
      <c r="L524">
        <f t="shared" ref="L524:L587" ca="1" si="172">I524*J524</f>
        <v>0.19081018252771959</v>
      </c>
      <c r="M524">
        <f t="shared" ref="M524:M587" ca="1" si="173">RAND()</f>
        <v>0.17082709115574402</v>
      </c>
      <c r="N524">
        <f t="shared" ref="N524:N587" ca="1" si="174">IF(M524&lt;EXP(-L524),0,IF(M524&lt;EXP(-L524)*(1+L524),1,IF(M524&lt;EXP(-L524)*(1+L524+L524^2/2),2,IF(M524&lt;EXP(-L524)*(1+L524+L524^2/2+L524^3/6),3,4))))</f>
        <v>0</v>
      </c>
      <c r="O524" s="47">
        <f t="shared" ref="O524:O587" ca="1" si="175">N524*K524</f>
        <v>0</v>
      </c>
      <c r="P524">
        <f ca="1">Inputs!B14+(Inputs!D14-Inputs!B14)*BETAINV(RAND(),Model!H8,Model!I8)</f>
        <v>0.41386641889852926</v>
      </c>
      <c r="Q524">
        <f ca="1">Inputs!E14+(Inputs!G14-Inputs!E14)*BETAINV(RAND(),Model!J8,Model!K8)</f>
        <v>0.72881584598161653</v>
      </c>
      <c r="R524">
        <f ca="1">(Inputs!H14+(Inputs!J14-Inputs!H14)*BETAINV(RAND(),Model!L8,Model!M8))*Inputs!$C$6</f>
        <v>312033.87063222594</v>
      </c>
      <c r="S524">
        <f t="shared" ref="S524:S587" ca="1" si="176">P524*Q524</f>
        <v>0.30163240421291371</v>
      </c>
      <c r="T524">
        <f t="shared" ref="T524:T587" ca="1" si="177">RAND()</f>
        <v>9.0124796517389472E-2</v>
      </c>
      <c r="U524">
        <f t="shared" ref="U524:U587" ca="1" si="178">IF(T524&lt;EXP(-S524),0,IF(T524&lt;EXP(-S524)*(1+S524),1,IF(T524&lt;EXP(-S524)*(1+S524+S524^2/2),2,IF(T524&lt;EXP(-S524)*(1+S524+S524^2/2+S524^3/6),3,4))))</f>
        <v>0</v>
      </c>
      <c r="V524" s="47">
        <f t="shared" ref="V524:V587" ca="1" si="179">U524*R524</f>
        <v>0</v>
      </c>
      <c r="W524">
        <f ca="1">Inputs!B15+(Inputs!D15-Inputs!B15)*BETAINV(RAND(),Model!H9,Model!I9)</f>
        <v>1.3286975656663167</v>
      </c>
      <c r="X524">
        <f ca="1">Inputs!E15+(Inputs!G15-Inputs!E15)*BETAINV(RAND(),Model!J9,Model!K9)</f>
        <v>0.5986370319242027</v>
      </c>
      <c r="Y524">
        <f ca="1">(Inputs!H15+(Inputs!J15-Inputs!H15)*BETAINV(RAND(),Model!L9,Model!M9))*Inputs!$C$6</f>
        <v>11553.980711580225</v>
      </c>
      <c r="Z524">
        <f t="shared" ref="Z524:Z587" ca="1" si="180">W524*X524</f>
        <v>0.79540756703539728</v>
      </c>
      <c r="AA524">
        <f t="shared" ref="AA524:AA587" ca="1" si="181">RAND()</f>
        <v>0.16214811067115942</v>
      </c>
      <c r="AB524">
        <f t="shared" ref="AB524:AB587" ca="1" si="182">IF(AA524&lt;EXP(-Z524),0,IF(AA524&lt;EXP(-Z524)*(1+Z524),1,IF(AA524&lt;EXP(-Z524)*(1+Z524+Z524^2/2),2,IF(AA524&lt;EXP(-Z524)*(1+Z524+Z524^2/2+Z524^3/6),3,4))))</f>
        <v>0</v>
      </c>
      <c r="AC524" s="47">
        <f t="shared" ref="AC524:AC587" ca="1" si="183">AB524*Y524</f>
        <v>0</v>
      </c>
      <c r="AD524">
        <f ca="1">Inputs!B16+(Inputs!D16-Inputs!B16)*BETAINV(RAND(),Model!H10,Model!I10)</f>
        <v>1.2173457103398304</v>
      </c>
      <c r="AE524">
        <f ca="1">Inputs!E16+(Inputs!G16-Inputs!E16)*BETAINV(RAND(),Model!J10,Model!K10)</f>
        <v>0.64038883397242019</v>
      </c>
      <c r="AF524">
        <f ca="1">(Inputs!H16+(Inputs!J16-Inputs!H16)*BETAINV(RAND(),Model!L10,Model!M10))*Inputs!$C$6</f>
        <v>80200.797667350751</v>
      </c>
      <c r="AG524">
        <f t="shared" ref="AG524:AG587" ca="1" si="184">AD524*AE524</f>
        <v>0.77957459998585155</v>
      </c>
      <c r="AH524">
        <f t="shared" ref="AH524:AH587" ca="1" si="185">RAND()</f>
        <v>0.93690910296744434</v>
      </c>
      <c r="AI524">
        <f t="shared" ref="AI524:AI587" ca="1" si="186">IF(AH524&lt;EXP(-AG524),0,IF(AH524&lt;EXP(-AG524)*(1+AG524),1,IF(AH524&lt;EXP(-AG524)*(1+AG524+AG524^2/2),2,IF(AH524&lt;EXP(-AG524)*(1+AG524+AG524^2/2+AG524^3/6),3,4))))</f>
        <v>2</v>
      </c>
      <c r="AJ524" s="47">
        <f t="shared" ref="AJ524:AJ587" ca="1" si="187">AI524*AF524</f>
        <v>160401.5953347015</v>
      </c>
      <c r="AK524">
        <f t="shared" ref="AK524:AK587" ca="1" si="188">H524+O524+V524+AC524+AJ524</f>
        <v>160401.5953347015</v>
      </c>
    </row>
    <row r="525" spans="2:37" x14ac:dyDescent="0.2">
      <c r="B525">
        <f ca="1">Inputs!B12+(Inputs!D12-Inputs!B12)*BETAINV(RAND(),Model!H6,Model!I6)</f>
        <v>5.2259664241306787</v>
      </c>
      <c r="C525">
        <f ca="1">Inputs!E12+(Inputs!G12-Inputs!E12)*BETAINV(RAND(),Model!J6,Model!K6)</f>
        <v>0.4552096288545403</v>
      </c>
      <c r="D525">
        <f ca="1">(Inputs!H12+(Inputs!J12-Inputs!H12)*BETAINV(RAND(),Model!L6,Model!M6))*Inputs!$C$6</f>
        <v>22721.920555893004</v>
      </c>
      <c r="E525">
        <f t="shared" ca="1" si="168"/>
        <v>2.3789102363348156</v>
      </c>
      <c r="F525">
        <f t="shared" ca="1" si="169"/>
        <v>0.13545822724945167</v>
      </c>
      <c r="G525">
        <f t="shared" ca="1" si="170"/>
        <v>1</v>
      </c>
      <c r="H525" s="47">
        <f t="shared" ca="1" si="171"/>
        <v>22721.920555893004</v>
      </c>
      <c r="I525">
        <f ca="1">Inputs!B13+(Inputs!D13-Inputs!B13)*BETAINV(RAND(),Model!H7,Model!I7)</f>
        <v>2.0138635003953089</v>
      </c>
      <c r="J525">
        <f ca="1">Inputs!E13+(Inputs!G13-Inputs!E13)*BETAINV(RAND(),Model!J7,Model!K7)</f>
        <v>0.22677397751316716</v>
      </c>
      <c r="K525">
        <f ca="1">(Inputs!H13+(Inputs!J13-Inputs!H13)*BETAINV(RAND(),Model!L7,Model!M7))*Inputs!$C$6</f>
        <v>45201.552005186306</v>
      </c>
      <c r="L525">
        <f t="shared" ca="1" si="172"/>
        <v>0.45669183615323389</v>
      </c>
      <c r="M525">
        <f t="shared" ca="1" si="173"/>
        <v>0.45726137079705453</v>
      </c>
      <c r="N525">
        <f t="shared" ca="1" si="174"/>
        <v>0</v>
      </c>
      <c r="O525" s="47">
        <f t="shared" ca="1" si="175"/>
        <v>0</v>
      </c>
      <c r="P525">
        <f ca="1">Inputs!B14+(Inputs!D14-Inputs!B14)*BETAINV(RAND(),Model!H8,Model!I8)</f>
        <v>0.53815389053101259</v>
      </c>
      <c r="Q525">
        <f ca="1">Inputs!E14+(Inputs!G14-Inputs!E14)*BETAINV(RAND(),Model!J8,Model!K8)</f>
        <v>0.60937494655805047</v>
      </c>
      <c r="R525">
        <f ca="1">(Inputs!H14+(Inputs!J14-Inputs!H14)*BETAINV(RAND(),Model!L8,Model!M8))*Inputs!$C$6</f>
        <v>225508.01664443119</v>
      </c>
      <c r="S525">
        <f t="shared" ca="1" si="176"/>
        <v>0.32793749828234275</v>
      </c>
      <c r="T525">
        <f t="shared" ca="1" si="177"/>
        <v>0.79974588582503814</v>
      </c>
      <c r="U525">
        <f t="shared" ca="1" si="178"/>
        <v>1</v>
      </c>
      <c r="V525" s="47">
        <f t="shared" ca="1" si="179"/>
        <v>225508.01664443119</v>
      </c>
      <c r="W525">
        <f ca="1">Inputs!B15+(Inputs!D15-Inputs!B15)*BETAINV(RAND(),Model!H9,Model!I9)</f>
        <v>0.95069597411737727</v>
      </c>
      <c r="X525">
        <f ca="1">Inputs!E15+(Inputs!G15-Inputs!E15)*BETAINV(RAND(),Model!J9,Model!K9)</f>
        <v>0.41975185808677706</v>
      </c>
      <c r="Y525">
        <f ca="1">(Inputs!H15+(Inputs!J15-Inputs!H15)*BETAINV(RAND(),Model!L9,Model!M9))*Inputs!$C$6</f>
        <v>25364.766995390743</v>
      </c>
      <c r="Z525">
        <f t="shared" ca="1" si="180"/>
        <v>0.39905640161138761</v>
      </c>
      <c r="AA525">
        <f t="shared" ca="1" si="181"/>
        <v>0.57751420432593426</v>
      </c>
      <c r="AB525">
        <f t="shared" ca="1" si="182"/>
        <v>0</v>
      </c>
      <c r="AC525" s="47">
        <f t="shared" ca="1" si="183"/>
        <v>0</v>
      </c>
      <c r="AD525">
        <f ca="1">Inputs!B16+(Inputs!D16-Inputs!B16)*BETAINV(RAND(),Model!H10,Model!I10)</f>
        <v>0.50219739062998725</v>
      </c>
      <c r="AE525">
        <f ca="1">Inputs!E16+(Inputs!G16-Inputs!E16)*BETAINV(RAND(),Model!J10,Model!K10)</f>
        <v>0.57623704178571855</v>
      </c>
      <c r="AF525">
        <f ca="1">(Inputs!H16+(Inputs!J16-Inputs!H16)*BETAINV(RAND(),Model!L10,Model!M10))*Inputs!$C$6</f>
        <v>84140.102621016136</v>
      </c>
      <c r="AG525">
        <f t="shared" ca="1" si="184"/>
        <v>0.28938473876913079</v>
      </c>
      <c r="AH525">
        <f t="shared" ca="1" si="185"/>
        <v>0.16130534563607835</v>
      </c>
      <c r="AI525">
        <f t="shared" ca="1" si="186"/>
        <v>0</v>
      </c>
      <c r="AJ525" s="47">
        <f t="shared" ca="1" si="187"/>
        <v>0</v>
      </c>
      <c r="AK525">
        <f t="shared" ca="1" si="188"/>
        <v>248229.9372003242</v>
      </c>
    </row>
    <row r="526" spans="2:37" x14ac:dyDescent="0.2">
      <c r="B526">
        <f ca="1">Inputs!B12+(Inputs!D12-Inputs!B12)*BETAINV(RAND(),Model!H6,Model!I6)</f>
        <v>4.7697631598951613</v>
      </c>
      <c r="C526">
        <f ca="1">Inputs!E12+(Inputs!G12-Inputs!E12)*BETAINV(RAND(),Model!J6,Model!K6)</f>
        <v>0.25967217297097489</v>
      </c>
      <c r="D526">
        <f ca="1">(Inputs!H12+(Inputs!J12-Inputs!H12)*BETAINV(RAND(),Model!L6,Model!M6))*Inputs!$C$6</f>
        <v>50452.41555806862</v>
      </c>
      <c r="E526">
        <f t="shared" ca="1" si="168"/>
        <v>1.2385747642868801</v>
      </c>
      <c r="F526">
        <f t="shared" ca="1" si="169"/>
        <v>0.15519933626227023</v>
      </c>
      <c r="G526">
        <f t="shared" ca="1" si="170"/>
        <v>0</v>
      </c>
      <c r="H526" s="47">
        <f t="shared" ca="1" si="171"/>
        <v>0</v>
      </c>
      <c r="I526">
        <f ca="1">Inputs!B13+(Inputs!D13-Inputs!B13)*BETAINV(RAND(),Model!H7,Model!I7)</f>
        <v>1.0487848775778323</v>
      </c>
      <c r="J526">
        <f ca="1">Inputs!E13+(Inputs!G13-Inputs!E13)*BETAINV(RAND(),Model!J7,Model!K7)</f>
        <v>0.22700347963912709</v>
      </c>
      <c r="K526">
        <f ca="1">(Inputs!H13+(Inputs!J13-Inputs!H13)*BETAINV(RAND(),Model!L7,Model!M7))*Inputs!$C$6</f>
        <v>40847.067299680457</v>
      </c>
      <c r="L526">
        <f t="shared" ca="1" si="172"/>
        <v>0.23807781660306387</v>
      </c>
      <c r="M526">
        <f t="shared" ca="1" si="173"/>
        <v>0.90218700308306643</v>
      </c>
      <c r="N526">
        <f t="shared" ca="1" si="174"/>
        <v>1</v>
      </c>
      <c r="O526" s="47">
        <f t="shared" ca="1" si="175"/>
        <v>40847.067299680457</v>
      </c>
      <c r="P526">
        <f ca="1">Inputs!B14+(Inputs!D14-Inputs!B14)*BETAINV(RAND(),Model!H8,Model!I8)</f>
        <v>0.37009335366830765</v>
      </c>
      <c r="Q526">
        <f ca="1">Inputs!E14+(Inputs!G14-Inputs!E14)*BETAINV(RAND(),Model!J8,Model!K8)</f>
        <v>0.69554121388128864</v>
      </c>
      <c r="R526">
        <f ca="1">(Inputs!H14+(Inputs!J14-Inputs!H14)*BETAINV(RAND(),Model!L8,Model!M8))*Inputs!$C$6</f>
        <v>515115.18059879338</v>
      </c>
      <c r="S526">
        <f t="shared" ca="1" si="176"/>
        <v>0.25741518045985179</v>
      </c>
      <c r="T526">
        <f t="shared" ca="1" si="177"/>
        <v>0.61537612672648079</v>
      </c>
      <c r="U526">
        <f t="shared" ca="1" si="178"/>
        <v>0</v>
      </c>
      <c r="V526" s="47">
        <f t="shared" ca="1" si="179"/>
        <v>0</v>
      </c>
      <c r="W526">
        <f ca="1">Inputs!B15+(Inputs!D15-Inputs!B15)*BETAINV(RAND(),Model!H9,Model!I9)</f>
        <v>1.8385862417730698</v>
      </c>
      <c r="X526">
        <f ca="1">Inputs!E15+(Inputs!G15-Inputs!E15)*BETAINV(RAND(),Model!J9,Model!K9)</f>
        <v>0.475248128434829</v>
      </c>
      <c r="Y526">
        <f ca="1">(Inputs!H15+(Inputs!J15-Inputs!H15)*BETAINV(RAND(),Model!L9,Model!M9))*Inputs!$C$6</f>
        <v>47627.416792205229</v>
      </c>
      <c r="Z526">
        <f t="shared" ca="1" si="180"/>
        <v>0.87378467036867746</v>
      </c>
      <c r="AA526">
        <f t="shared" ca="1" si="181"/>
        <v>0.55695915445184285</v>
      </c>
      <c r="AB526">
        <f t="shared" ca="1" si="182"/>
        <v>1</v>
      </c>
      <c r="AC526" s="47">
        <f t="shared" ca="1" si="183"/>
        <v>47627.416792205229</v>
      </c>
      <c r="AD526">
        <f ca="1">Inputs!B16+(Inputs!D16-Inputs!B16)*BETAINV(RAND(),Model!H10,Model!I10)</f>
        <v>0.50946557085557109</v>
      </c>
      <c r="AE526">
        <f ca="1">Inputs!E16+(Inputs!G16-Inputs!E16)*BETAINV(RAND(),Model!J10,Model!K10)</f>
        <v>0.62490339725780841</v>
      </c>
      <c r="AF526">
        <f ca="1">(Inputs!H16+(Inputs!J16-Inputs!H16)*BETAINV(RAND(),Model!L10,Model!M10))*Inputs!$C$6</f>
        <v>74020.992004027212</v>
      </c>
      <c r="AG526">
        <f t="shared" ca="1" si="184"/>
        <v>0.31836676601353509</v>
      </c>
      <c r="AH526">
        <f t="shared" ca="1" si="185"/>
        <v>0.24730619614369498</v>
      </c>
      <c r="AI526">
        <f t="shared" ca="1" si="186"/>
        <v>0</v>
      </c>
      <c r="AJ526" s="47">
        <f t="shared" ca="1" si="187"/>
        <v>0</v>
      </c>
      <c r="AK526">
        <f t="shared" ca="1" si="188"/>
        <v>88474.484091885679</v>
      </c>
    </row>
    <row r="527" spans="2:37" x14ac:dyDescent="0.2">
      <c r="B527">
        <f ca="1">Inputs!B12+(Inputs!D12-Inputs!B12)*BETAINV(RAND(),Model!H6,Model!I6)</f>
        <v>2.2813988316250162</v>
      </c>
      <c r="C527">
        <f ca="1">Inputs!E12+(Inputs!G12-Inputs!E12)*BETAINV(RAND(),Model!J6,Model!K6)</f>
        <v>0.35873853934270078</v>
      </c>
      <c r="D527">
        <f ca="1">(Inputs!H12+(Inputs!J12-Inputs!H12)*BETAINV(RAND(),Model!L6,Model!M6))*Inputs!$C$6</f>
        <v>9993.0195440974294</v>
      </c>
      <c r="E527">
        <f t="shared" ca="1" si="168"/>
        <v>0.81842568451530251</v>
      </c>
      <c r="F527">
        <f t="shared" ca="1" si="169"/>
        <v>0.6193631917808109</v>
      </c>
      <c r="G527">
        <f t="shared" ca="1" si="170"/>
        <v>1</v>
      </c>
      <c r="H527" s="47">
        <f t="shared" ca="1" si="171"/>
        <v>9993.0195440974294</v>
      </c>
      <c r="I527">
        <f ca="1">Inputs!B13+(Inputs!D13-Inputs!B13)*BETAINV(RAND(),Model!H7,Model!I7)</f>
        <v>2.1556094183874932</v>
      </c>
      <c r="J527">
        <f ca="1">Inputs!E13+(Inputs!G13-Inputs!E13)*BETAINV(RAND(),Model!J7,Model!K7)</f>
        <v>0.20988384632749102</v>
      </c>
      <c r="K527">
        <f ca="1">(Inputs!H13+(Inputs!J13-Inputs!H13)*BETAINV(RAND(),Model!L7,Model!M7))*Inputs!$C$6</f>
        <v>8346.6299155203233</v>
      </c>
      <c r="L527">
        <f t="shared" ca="1" si="172"/>
        <v>0.4524275959109329</v>
      </c>
      <c r="M527">
        <f t="shared" ca="1" si="173"/>
        <v>0.56754890737699282</v>
      </c>
      <c r="N527">
        <f t="shared" ca="1" si="174"/>
        <v>0</v>
      </c>
      <c r="O527" s="47">
        <f t="shared" ca="1" si="175"/>
        <v>0</v>
      </c>
      <c r="P527">
        <f ca="1">Inputs!B14+(Inputs!D14-Inputs!B14)*BETAINV(RAND(),Model!H8,Model!I8)</f>
        <v>0.3053824090099051</v>
      </c>
      <c r="Q527">
        <f ca="1">Inputs!E14+(Inputs!G14-Inputs!E14)*BETAINV(RAND(),Model!J8,Model!K8)</f>
        <v>0.65291102817835633</v>
      </c>
      <c r="R527">
        <f ca="1">(Inputs!H14+(Inputs!J14-Inputs!H14)*BETAINV(RAND(),Model!L8,Model!M8))*Inputs!$C$6</f>
        <v>309004.93419309502</v>
      </c>
      <c r="S527">
        <f t="shared" ca="1" si="176"/>
        <v>0.1993875426542405</v>
      </c>
      <c r="T527">
        <f t="shared" ca="1" si="177"/>
        <v>0.29484009059359106</v>
      </c>
      <c r="U527">
        <f t="shared" ca="1" si="178"/>
        <v>0</v>
      </c>
      <c r="V527" s="47">
        <f t="shared" ca="1" si="179"/>
        <v>0</v>
      </c>
      <c r="W527">
        <f ca="1">Inputs!B15+(Inputs!D15-Inputs!B15)*BETAINV(RAND(),Model!H9,Model!I9)</f>
        <v>1.8155664062884032</v>
      </c>
      <c r="X527">
        <f ca="1">Inputs!E15+(Inputs!G15-Inputs!E15)*BETAINV(RAND(),Model!J9,Model!K9)</f>
        <v>0.38678006769459872</v>
      </c>
      <c r="Y527">
        <f ca="1">(Inputs!H15+(Inputs!J15-Inputs!H15)*BETAINV(RAND(),Model!L9,Model!M9))*Inputs!$C$6</f>
        <v>31307.960014047472</v>
      </c>
      <c r="Z527">
        <f t="shared" ca="1" si="180"/>
        <v>0.70222489752826789</v>
      </c>
      <c r="AA527">
        <f t="shared" ca="1" si="181"/>
        <v>0.41073624813522192</v>
      </c>
      <c r="AB527">
        <f t="shared" ca="1" si="182"/>
        <v>0</v>
      </c>
      <c r="AC527" s="47">
        <f t="shared" ca="1" si="183"/>
        <v>0</v>
      </c>
      <c r="AD527">
        <f ca="1">Inputs!B16+(Inputs!D16-Inputs!B16)*BETAINV(RAND(),Model!H10,Model!I10)</f>
        <v>0.9262108509374043</v>
      </c>
      <c r="AE527">
        <f ca="1">Inputs!E16+(Inputs!G16-Inputs!E16)*BETAINV(RAND(),Model!J10,Model!K10)</f>
        <v>0.52336505085793583</v>
      </c>
      <c r="AF527">
        <f ca="1">(Inputs!H16+(Inputs!J16-Inputs!H16)*BETAINV(RAND(),Model!L10,Model!M10))*Inputs!$C$6</f>
        <v>55494.502610691918</v>
      </c>
      <c r="AG527">
        <f t="shared" ca="1" si="184"/>
        <v>0.48474638910602663</v>
      </c>
      <c r="AH527">
        <f t="shared" ca="1" si="185"/>
        <v>4.2264512168446955E-2</v>
      </c>
      <c r="AI527">
        <f t="shared" ca="1" si="186"/>
        <v>0</v>
      </c>
      <c r="AJ527" s="47">
        <f t="shared" ca="1" si="187"/>
        <v>0</v>
      </c>
      <c r="AK527">
        <f t="shared" ca="1" si="188"/>
        <v>9993.0195440974294</v>
      </c>
    </row>
    <row r="528" spans="2:37" x14ac:dyDescent="0.2">
      <c r="B528">
        <f ca="1">Inputs!B12+(Inputs!D12-Inputs!B12)*BETAINV(RAND(),Model!H6,Model!I6)</f>
        <v>2.1525831085024851</v>
      </c>
      <c r="C528">
        <f ca="1">Inputs!E12+(Inputs!G12-Inputs!E12)*BETAINV(RAND(),Model!J6,Model!K6)</f>
        <v>0.38473455956039238</v>
      </c>
      <c r="D528">
        <f ca="1">(Inputs!H12+(Inputs!J12-Inputs!H12)*BETAINV(RAND(),Model!L6,Model!M6))*Inputs!$C$6</f>
        <v>32514.926422551842</v>
      </c>
      <c r="E528">
        <f t="shared" ca="1" si="168"/>
        <v>0.82817311416684392</v>
      </c>
      <c r="F528">
        <f t="shared" ca="1" si="169"/>
        <v>0.53255101865202703</v>
      </c>
      <c r="G528">
        <f t="shared" ca="1" si="170"/>
        <v>1</v>
      </c>
      <c r="H528" s="47">
        <f t="shared" ca="1" si="171"/>
        <v>32514.926422551842</v>
      </c>
      <c r="I528">
        <f ca="1">Inputs!B13+(Inputs!D13-Inputs!B13)*BETAINV(RAND(),Model!H7,Model!I7)</f>
        <v>2.3311624404478204</v>
      </c>
      <c r="J528">
        <f ca="1">Inputs!E13+(Inputs!G13-Inputs!E13)*BETAINV(RAND(),Model!J7,Model!K7)</f>
        <v>0.3655790914668936</v>
      </c>
      <c r="K528">
        <f ca="1">(Inputs!H13+(Inputs!J13-Inputs!H13)*BETAINV(RAND(),Model!L7,Model!M7))*Inputs!$C$6</f>
        <v>44192.690895082313</v>
      </c>
      <c r="L528">
        <f t="shared" ca="1" si="172"/>
        <v>0.85222424704066069</v>
      </c>
      <c r="M528">
        <f t="shared" ca="1" si="173"/>
        <v>0.52195214268579093</v>
      </c>
      <c r="N528">
        <f t="shared" ca="1" si="174"/>
        <v>1</v>
      </c>
      <c r="O528" s="47">
        <f t="shared" ca="1" si="175"/>
        <v>44192.690895082313</v>
      </c>
      <c r="P528">
        <f ca="1">Inputs!B14+(Inputs!D14-Inputs!B14)*BETAINV(RAND(),Model!H8,Model!I8)</f>
        <v>0.62068952386486476</v>
      </c>
      <c r="Q528">
        <f ca="1">Inputs!E14+(Inputs!G14-Inputs!E14)*BETAINV(RAND(),Model!J8,Model!K8)</f>
        <v>0.69613698690846826</v>
      </c>
      <c r="R528">
        <f ca="1">(Inputs!H14+(Inputs!J14-Inputs!H14)*BETAINV(RAND(),Model!L8,Model!M8))*Inputs!$C$6</f>
        <v>625119.43610492302</v>
      </c>
      <c r="S528">
        <f t="shared" ca="1" si="176"/>
        <v>0.43208493494893874</v>
      </c>
      <c r="T528">
        <f t="shared" ca="1" si="177"/>
        <v>0.82624286468250085</v>
      </c>
      <c r="U528">
        <f t="shared" ca="1" si="178"/>
        <v>1</v>
      </c>
      <c r="V528" s="47">
        <f t="shared" ca="1" si="179"/>
        <v>625119.43610492302</v>
      </c>
      <c r="W528">
        <f ca="1">Inputs!B15+(Inputs!D15-Inputs!B15)*BETAINV(RAND(),Model!H9,Model!I9)</f>
        <v>1.2828922280401711</v>
      </c>
      <c r="X528">
        <f ca="1">Inputs!E15+(Inputs!G15-Inputs!E15)*BETAINV(RAND(),Model!J9,Model!K9)</f>
        <v>0.53469680382966611</v>
      </c>
      <c r="Y528">
        <f ca="1">(Inputs!H15+(Inputs!J15-Inputs!H15)*BETAINV(RAND(),Model!L9,Model!M9))*Inputs!$C$6</f>
        <v>22167.139547404338</v>
      </c>
      <c r="Z528">
        <f t="shared" ca="1" si="180"/>
        <v>0.68595837399099868</v>
      </c>
      <c r="AA528">
        <f t="shared" ca="1" si="181"/>
        <v>0.58768052860897402</v>
      </c>
      <c r="AB528">
        <f t="shared" ca="1" si="182"/>
        <v>1</v>
      </c>
      <c r="AC528" s="47">
        <f t="shared" ca="1" si="183"/>
        <v>22167.139547404338</v>
      </c>
      <c r="AD528">
        <f ca="1">Inputs!B16+(Inputs!D16-Inputs!B16)*BETAINV(RAND(),Model!H10,Model!I10)</f>
        <v>1.0172934958128057</v>
      </c>
      <c r="AE528">
        <f ca="1">Inputs!E16+(Inputs!G16-Inputs!E16)*BETAINV(RAND(),Model!J10,Model!K10)</f>
        <v>0.42912215695093542</v>
      </c>
      <c r="AF528">
        <f ca="1">(Inputs!H16+(Inputs!J16-Inputs!H16)*BETAINV(RAND(),Model!L10,Model!M10))*Inputs!$C$6</f>
        <v>68566.512963697649</v>
      </c>
      <c r="AG528">
        <f t="shared" ca="1" si="184"/>
        <v>0.43654317917534857</v>
      </c>
      <c r="AH528">
        <f t="shared" ca="1" si="185"/>
        <v>0.47173083804209803</v>
      </c>
      <c r="AI528">
        <f t="shared" ca="1" si="186"/>
        <v>0</v>
      </c>
      <c r="AJ528" s="47">
        <f t="shared" ca="1" si="187"/>
        <v>0</v>
      </c>
      <c r="AK528">
        <f t="shared" ca="1" si="188"/>
        <v>723994.19296996156</v>
      </c>
    </row>
    <row r="529" spans="2:37" x14ac:dyDescent="0.2">
      <c r="B529">
        <f ca="1">Inputs!B12+(Inputs!D12-Inputs!B12)*BETAINV(RAND(),Model!H6,Model!I6)</f>
        <v>4.2645808342433353</v>
      </c>
      <c r="C529">
        <f ca="1">Inputs!E12+(Inputs!G12-Inputs!E12)*BETAINV(RAND(),Model!J6,Model!K6)</f>
        <v>0.17102038730788841</v>
      </c>
      <c r="D529">
        <f ca="1">(Inputs!H12+(Inputs!J12-Inputs!H12)*BETAINV(RAND(),Model!L6,Model!M6))*Inputs!$C$6</f>
        <v>17325.97490230792</v>
      </c>
      <c r="E529">
        <f t="shared" ca="1" si="168"/>
        <v>0.72933026597809303</v>
      </c>
      <c r="F529">
        <f t="shared" ca="1" si="169"/>
        <v>0.85519872863620938</v>
      </c>
      <c r="G529">
        <f t="shared" ca="1" si="170"/>
        <v>2</v>
      </c>
      <c r="H529" s="47">
        <f t="shared" ca="1" si="171"/>
        <v>34651.949804615841</v>
      </c>
      <c r="I529">
        <f ca="1">Inputs!B13+(Inputs!D13-Inputs!B13)*BETAINV(RAND(),Model!H7,Model!I7)</f>
        <v>3.2418993864130456</v>
      </c>
      <c r="J529">
        <f ca="1">Inputs!E13+(Inputs!G13-Inputs!E13)*BETAINV(RAND(),Model!J7,Model!K7)</f>
        <v>0.37935010681550085</v>
      </c>
      <c r="K529">
        <f ca="1">(Inputs!H13+(Inputs!J13-Inputs!H13)*BETAINV(RAND(),Model!L7,Model!M7))*Inputs!$C$6</f>
        <v>24643.881610713943</v>
      </c>
      <c r="L529">
        <f t="shared" ca="1" si="172"/>
        <v>1.2298148785208955</v>
      </c>
      <c r="M529">
        <f t="shared" ca="1" si="173"/>
        <v>0.90806796905069753</v>
      </c>
      <c r="N529">
        <f t="shared" ca="1" si="174"/>
        <v>3</v>
      </c>
      <c r="O529" s="47">
        <f t="shared" ca="1" si="175"/>
        <v>73931.644832141828</v>
      </c>
      <c r="P529">
        <f ca="1">Inputs!B14+(Inputs!D14-Inputs!B14)*BETAINV(RAND(),Model!H8,Model!I8)</f>
        <v>0.43861017820142034</v>
      </c>
      <c r="Q529">
        <f ca="1">Inputs!E14+(Inputs!G14-Inputs!E14)*BETAINV(RAND(),Model!J8,Model!K8)</f>
        <v>0.4105018706305647</v>
      </c>
      <c r="R529">
        <f ca="1">(Inputs!H14+(Inputs!J14-Inputs!H14)*BETAINV(RAND(),Model!L8,Model!M8))*Inputs!$C$6</f>
        <v>318952.21242561872</v>
      </c>
      <c r="S529">
        <f t="shared" ca="1" si="176"/>
        <v>0.1800502986292884</v>
      </c>
      <c r="T529">
        <f t="shared" ca="1" si="177"/>
        <v>0.63981134324537092</v>
      </c>
      <c r="U529">
        <f t="shared" ca="1" si="178"/>
        <v>0</v>
      </c>
      <c r="V529" s="47">
        <f t="shared" ca="1" si="179"/>
        <v>0</v>
      </c>
      <c r="W529">
        <f ca="1">Inputs!B15+(Inputs!D15-Inputs!B15)*BETAINV(RAND(),Model!H9,Model!I9)</f>
        <v>1.7692388368528991</v>
      </c>
      <c r="X529">
        <f ca="1">Inputs!E15+(Inputs!G15-Inputs!E15)*BETAINV(RAND(),Model!J9,Model!K9)</f>
        <v>0.3658064161840302</v>
      </c>
      <c r="Y529">
        <f ca="1">(Inputs!H15+(Inputs!J15-Inputs!H15)*BETAINV(RAND(),Model!L9,Model!M9))*Inputs!$C$6</f>
        <v>19102.036071523569</v>
      </c>
      <c r="Z529">
        <f t="shared" ca="1" si="180"/>
        <v>0.6471989182827611</v>
      </c>
      <c r="AA529">
        <f t="shared" ca="1" si="181"/>
        <v>0.64331304892507368</v>
      </c>
      <c r="AB529">
        <f t="shared" ca="1" si="182"/>
        <v>1</v>
      </c>
      <c r="AC529" s="47">
        <f t="shared" ca="1" si="183"/>
        <v>19102.036071523569</v>
      </c>
      <c r="AD529">
        <f ca="1">Inputs!B16+(Inputs!D16-Inputs!B16)*BETAINV(RAND(),Model!H10,Model!I10)</f>
        <v>1.0543476270175782</v>
      </c>
      <c r="AE529">
        <f ca="1">Inputs!E16+(Inputs!G16-Inputs!E16)*BETAINV(RAND(),Model!J10,Model!K10)</f>
        <v>0.51960221049170974</v>
      </c>
      <c r="AF529">
        <f ca="1">(Inputs!H16+(Inputs!J16-Inputs!H16)*BETAINV(RAND(),Model!L10,Model!M10))*Inputs!$C$6</f>
        <v>84696.21841844653</v>
      </c>
      <c r="AG529">
        <f t="shared" ca="1" si="184"/>
        <v>0.5478413576250224</v>
      </c>
      <c r="AH529">
        <f t="shared" ca="1" si="185"/>
        <v>0.74724064130087731</v>
      </c>
      <c r="AI529">
        <f t="shared" ca="1" si="186"/>
        <v>1</v>
      </c>
      <c r="AJ529" s="47">
        <f t="shared" ca="1" si="187"/>
        <v>84696.21841844653</v>
      </c>
      <c r="AK529">
        <f t="shared" ca="1" si="188"/>
        <v>212381.84912672779</v>
      </c>
    </row>
    <row r="530" spans="2:37" x14ac:dyDescent="0.2">
      <c r="B530">
        <f ca="1">Inputs!B12+(Inputs!D12-Inputs!B12)*BETAINV(RAND(),Model!H6,Model!I6)</f>
        <v>3.0862072664617797</v>
      </c>
      <c r="C530">
        <f ca="1">Inputs!E12+(Inputs!G12-Inputs!E12)*BETAINV(RAND(),Model!J6,Model!K6)</f>
        <v>0.32433164843979267</v>
      </c>
      <c r="D530">
        <f ca="1">(Inputs!H12+(Inputs!J12-Inputs!H12)*BETAINV(RAND(),Model!L6,Model!M6))*Inputs!$C$6</f>
        <v>58362.869594816089</v>
      </c>
      <c r="E530">
        <f t="shared" ca="1" si="168"/>
        <v>1.0009546901584154</v>
      </c>
      <c r="F530">
        <f t="shared" ca="1" si="169"/>
        <v>0.73024131452197472</v>
      </c>
      <c r="G530">
        <f t="shared" ca="1" si="170"/>
        <v>1</v>
      </c>
      <c r="H530" s="47">
        <f t="shared" ca="1" si="171"/>
        <v>58362.869594816089</v>
      </c>
      <c r="I530">
        <f ca="1">Inputs!B13+(Inputs!D13-Inputs!B13)*BETAINV(RAND(),Model!H7,Model!I7)</f>
        <v>1.969130898487693</v>
      </c>
      <c r="J530">
        <f ca="1">Inputs!E13+(Inputs!G13-Inputs!E13)*BETAINV(RAND(),Model!J7,Model!K7)</f>
        <v>0.14728656398174031</v>
      </c>
      <c r="K530">
        <f ca="1">(Inputs!H13+(Inputs!J13-Inputs!H13)*BETAINV(RAND(),Model!L7,Model!M7))*Inputs!$C$6</f>
        <v>45853.218716431533</v>
      </c>
      <c r="L530">
        <f t="shared" ca="1" si="172"/>
        <v>0.29002652406852936</v>
      </c>
      <c r="M530">
        <f t="shared" ca="1" si="173"/>
        <v>0.97452393931637959</v>
      </c>
      <c r="N530">
        <f t="shared" ca="1" si="174"/>
        <v>2</v>
      </c>
      <c r="O530" s="47">
        <f t="shared" ca="1" si="175"/>
        <v>91706.437432863066</v>
      </c>
      <c r="P530">
        <f ca="1">Inputs!B14+(Inputs!D14-Inputs!B14)*BETAINV(RAND(),Model!H8,Model!I8)</f>
        <v>0.21220130689463687</v>
      </c>
      <c r="Q530">
        <f ca="1">Inputs!E14+(Inputs!G14-Inputs!E14)*BETAINV(RAND(),Model!J8,Model!K8)</f>
        <v>0.8405522825384697</v>
      </c>
      <c r="R530">
        <f ca="1">(Inputs!H14+(Inputs!J14-Inputs!H14)*BETAINV(RAND(),Model!L8,Model!M8))*Inputs!$C$6</f>
        <v>323113.27128021268</v>
      </c>
      <c r="S530">
        <f t="shared" ca="1" si="176"/>
        <v>0.17836629286793332</v>
      </c>
      <c r="T530">
        <f t="shared" ca="1" si="177"/>
        <v>0.55544587886293528</v>
      </c>
      <c r="U530">
        <f t="shared" ca="1" si="178"/>
        <v>0</v>
      </c>
      <c r="V530" s="47">
        <f t="shared" ca="1" si="179"/>
        <v>0</v>
      </c>
      <c r="W530">
        <f ca="1">Inputs!B15+(Inputs!D15-Inputs!B15)*BETAINV(RAND(),Model!H9,Model!I9)</f>
        <v>1.0338126763149249</v>
      </c>
      <c r="X530">
        <f ca="1">Inputs!E15+(Inputs!G15-Inputs!E15)*BETAINV(RAND(),Model!J9,Model!K9)</f>
        <v>0.2608807446052317</v>
      </c>
      <c r="Y530">
        <f ca="1">(Inputs!H15+(Inputs!J15-Inputs!H15)*BETAINV(RAND(),Model!L9,Model!M9))*Inputs!$C$6</f>
        <v>35561.9250470611</v>
      </c>
      <c r="Z530">
        <f t="shared" ca="1" si="180"/>
        <v>0.269701820779365</v>
      </c>
      <c r="AA530">
        <f t="shared" ca="1" si="181"/>
        <v>0.33762282565272139</v>
      </c>
      <c r="AB530">
        <f t="shared" ca="1" si="182"/>
        <v>0</v>
      </c>
      <c r="AC530" s="47">
        <f t="shared" ca="1" si="183"/>
        <v>0</v>
      </c>
      <c r="AD530">
        <f ca="1">Inputs!B16+(Inputs!D16-Inputs!B16)*BETAINV(RAND(),Model!H10,Model!I10)</f>
        <v>0.57221057328816194</v>
      </c>
      <c r="AE530">
        <f ca="1">Inputs!E16+(Inputs!G16-Inputs!E16)*BETAINV(RAND(),Model!J10,Model!K10)</f>
        <v>0.61474207417339644</v>
      </c>
      <c r="AF530">
        <f ca="1">(Inputs!H16+(Inputs!J16-Inputs!H16)*BETAINV(RAND(),Model!L10,Model!M10))*Inputs!$C$6</f>
        <v>69344.70770151235</v>
      </c>
      <c r="AG530">
        <f t="shared" ca="1" si="184"/>
        <v>0.35176191468711293</v>
      </c>
      <c r="AH530">
        <f t="shared" ca="1" si="185"/>
        <v>0.28185121370293598</v>
      </c>
      <c r="AI530">
        <f t="shared" ca="1" si="186"/>
        <v>0</v>
      </c>
      <c r="AJ530" s="47">
        <f t="shared" ca="1" si="187"/>
        <v>0</v>
      </c>
      <c r="AK530">
        <f t="shared" ca="1" si="188"/>
        <v>150069.30702767917</v>
      </c>
    </row>
    <row r="531" spans="2:37" x14ac:dyDescent="0.2">
      <c r="B531">
        <f ca="1">Inputs!B12+(Inputs!D12-Inputs!B12)*BETAINV(RAND(),Model!H6,Model!I6)</f>
        <v>7.134832220544622</v>
      </c>
      <c r="C531">
        <f ca="1">Inputs!E12+(Inputs!G12-Inputs!E12)*BETAINV(RAND(),Model!J6,Model!K6)</f>
        <v>0.19360417173018496</v>
      </c>
      <c r="D531">
        <f ca="1">(Inputs!H12+(Inputs!J12-Inputs!H12)*BETAINV(RAND(),Model!L6,Model!M6))*Inputs!$C$6</f>
        <v>17627.835723272012</v>
      </c>
      <c r="E531">
        <f t="shared" ca="1" si="168"/>
        <v>1.3813332824923779</v>
      </c>
      <c r="F531">
        <f t="shared" ca="1" si="169"/>
        <v>0.17217715505683195</v>
      </c>
      <c r="G531">
        <f t="shared" ca="1" si="170"/>
        <v>0</v>
      </c>
      <c r="H531" s="47">
        <f t="shared" ca="1" si="171"/>
        <v>0</v>
      </c>
      <c r="I531">
        <f ca="1">Inputs!B13+(Inputs!D13-Inputs!B13)*BETAINV(RAND(),Model!H7,Model!I7)</f>
        <v>1.4201646082457104</v>
      </c>
      <c r="J531">
        <f ca="1">Inputs!E13+(Inputs!G13-Inputs!E13)*BETAINV(RAND(),Model!J7,Model!K7)</f>
        <v>0.24147093055722468</v>
      </c>
      <c r="K531">
        <f ca="1">(Inputs!H13+(Inputs!J13-Inputs!H13)*BETAINV(RAND(),Model!L7,Model!M7))*Inputs!$C$6</f>
        <v>18687.729260354274</v>
      </c>
      <c r="L531">
        <f t="shared" ca="1" si="172"/>
        <v>0.34292846949752814</v>
      </c>
      <c r="M531">
        <f t="shared" ca="1" si="173"/>
        <v>0.1085994280658612</v>
      </c>
      <c r="N531">
        <f t="shared" ca="1" si="174"/>
        <v>0</v>
      </c>
      <c r="O531" s="47">
        <f t="shared" ca="1" si="175"/>
        <v>0</v>
      </c>
      <c r="P531">
        <f ca="1">Inputs!B14+(Inputs!D14-Inputs!B14)*BETAINV(RAND(),Model!H8,Model!I8)</f>
        <v>0.23295575856878306</v>
      </c>
      <c r="Q531">
        <f ca="1">Inputs!E14+(Inputs!G14-Inputs!E14)*BETAINV(RAND(),Model!J8,Model!K8)</f>
        <v>0.62927136576687159</v>
      </c>
      <c r="R531">
        <f ca="1">(Inputs!H14+(Inputs!J14-Inputs!H14)*BETAINV(RAND(),Model!L8,Model!M8))*Inputs!$C$6</f>
        <v>186836.68823105629</v>
      </c>
      <c r="S531">
        <f t="shared" ca="1" si="176"/>
        <v>0.14659238835783572</v>
      </c>
      <c r="T531">
        <f t="shared" ca="1" si="177"/>
        <v>0.99778772903079049</v>
      </c>
      <c r="U531">
        <f t="shared" ca="1" si="178"/>
        <v>2</v>
      </c>
      <c r="V531" s="47">
        <f t="shared" ca="1" si="179"/>
        <v>373673.37646211259</v>
      </c>
      <c r="W531">
        <f ca="1">Inputs!B15+(Inputs!D15-Inputs!B15)*BETAINV(RAND(),Model!H9,Model!I9)</f>
        <v>0.61838565226903053</v>
      </c>
      <c r="X531">
        <f ca="1">Inputs!E15+(Inputs!G15-Inputs!E15)*BETAINV(RAND(),Model!J9,Model!K9)</f>
        <v>0.26483691136561982</v>
      </c>
      <c r="Y531">
        <f ca="1">(Inputs!H15+(Inputs!J15-Inputs!H15)*BETAINV(RAND(),Model!L9,Model!M9))*Inputs!$C$6</f>
        <v>29553.328414945947</v>
      </c>
      <c r="Z531">
        <f t="shared" ca="1" si="180"/>
        <v>0.16377134617974423</v>
      </c>
      <c r="AA531">
        <f t="shared" ca="1" si="181"/>
        <v>0.26968620252163611</v>
      </c>
      <c r="AB531">
        <f t="shared" ca="1" si="182"/>
        <v>0</v>
      </c>
      <c r="AC531" s="47">
        <f t="shared" ca="1" si="183"/>
        <v>0</v>
      </c>
      <c r="AD531">
        <f ca="1">Inputs!B16+(Inputs!D16-Inputs!B16)*BETAINV(RAND(),Model!H10,Model!I10)</f>
        <v>0.41533652750308125</v>
      </c>
      <c r="AE531">
        <f ca="1">Inputs!E16+(Inputs!G16-Inputs!E16)*BETAINV(RAND(),Model!J10,Model!K10)</f>
        <v>0.63736064981614959</v>
      </c>
      <c r="AF531">
        <f ca="1">(Inputs!H16+(Inputs!J16-Inputs!H16)*BETAINV(RAND(),Model!L10,Model!M10))*Inputs!$C$6</f>
        <v>85944.168868487526</v>
      </c>
      <c r="AG531">
        <f t="shared" ca="1" si="184"/>
        <v>0.26471915906174698</v>
      </c>
      <c r="AH531">
        <f t="shared" ca="1" si="185"/>
        <v>0.29420303317777652</v>
      </c>
      <c r="AI531">
        <f t="shared" ca="1" si="186"/>
        <v>0</v>
      </c>
      <c r="AJ531" s="47">
        <f t="shared" ca="1" si="187"/>
        <v>0</v>
      </c>
      <c r="AK531">
        <f t="shared" ca="1" si="188"/>
        <v>373673.37646211259</v>
      </c>
    </row>
    <row r="532" spans="2:37" x14ac:dyDescent="0.2">
      <c r="B532">
        <f ca="1">Inputs!B12+(Inputs!D12-Inputs!B12)*BETAINV(RAND(),Model!H6,Model!I6)</f>
        <v>2.8187441906483288</v>
      </c>
      <c r="C532">
        <f ca="1">Inputs!E12+(Inputs!G12-Inputs!E12)*BETAINV(RAND(),Model!J6,Model!K6)</f>
        <v>0.23121601310946149</v>
      </c>
      <c r="D532">
        <f ca="1">(Inputs!H12+(Inputs!J12-Inputs!H12)*BETAINV(RAND(),Model!L6,Model!M6))*Inputs!$C$6</f>
        <v>12132.99445000977</v>
      </c>
      <c r="E532">
        <f t="shared" ca="1" si="168"/>
        <v>0.65173879373716237</v>
      </c>
      <c r="F532">
        <f t="shared" ca="1" si="169"/>
        <v>0.22088814247635913</v>
      </c>
      <c r="G532">
        <f t="shared" ca="1" si="170"/>
        <v>0</v>
      </c>
      <c r="H532" s="47">
        <f t="shared" ca="1" si="171"/>
        <v>0</v>
      </c>
      <c r="I532">
        <f ca="1">Inputs!B13+(Inputs!D13-Inputs!B13)*BETAINV(RAND(),Model!H7,Model!I7)</f>
        <v>3.4914146336483824</v>
      </c>
      <c r="J532">
        <f ca="1">Inputs!E13+(Inputs!G13-Inputs!E13)*BETAINV(RAND(),Model!J7,Model!K7)</f>
        <v>0.37986631599234988</v>
      </c>
      <c r="K532">
        <f ca="1">(Inputs!H13+(Inputs!J13-Inputs!H13)*BETAINV(RAND(),Model!L7,Model!M7))*Inputs!$C$6</f>
        <v>26435.493429578106</v>
      </c>
      <c r="L532">
        <f t="shared" ca="1" si="172"/>
        <v>1.3262708144857909</v>
      </c>
      <c r="M532">
        <f t="shared" ca="1" si="173"/>
        <v>0.56731015851202393</v>
      </c>
      <c r="N532">
        <f t="shared" ca="1" si="174"/>
        <v>1</v>
      </c>
      <c r="O532" s="47">
        <f t="shared" ca="1" si="175"/>
        <v>26435.493429578106</v>
      </c>
      <c r="P532">
        <f ca="1">Inputs!B14+(Inputs!D14-Inputs!B14)*BETAINV(RAND(),Model!H8,Model!I8)</f>
        <v>0.13054241688124035</v>
      </c>
      <c r="Q532">
        <f ca="1">Inputs!E14+(Inputs!G14-Inputs!E14)*BETAINV(RAND(),Model!J8,Model!K8)</f>
        <v>0.57657944300854991</v>
      </c>
      <c r="R532">
        <f ca="1">(Inputs!H14+(Inputs!J14-Inputs!H14)*BETAINV(RAND(),Model!L8,Model!M8))*Inputs!$C$6</f>
        <v>516439.31065187231</v>
      </c>
      <c r="S532">
        <f t="shared" ca="1" si="176"/>
        <v>7.5268074014375491E-2</v>
      </c>
      <c r="T532">
        <f t="shared" ca="1" si="177"/>
        <v>0.2731018433657475</v>
      </c>
      <c r="U532">
        <f t="shared" ca="1" si="178"/>
        <v>0</v>
      </c>
      <c r="V532" s="47">
        <f t="shared" ca="1" si="179"/>
        <v>0</v>
      </c>
      <c r="W532">
        <f ca="1">Inputs!B15+(Inputs!D15-Inputs!B15)*BETAINV(RAND(),Model!H9,Model!I9)</f>
        <v>1.1279740525040578</v>
      </c>
      <c r="X532">
        <f ca="1">Inputs!E15+(Inputs!G15-Inputs!E15)*BETAINV(RAND(),Model!J9,Model!K9)</f>
        <v>0.3863857223648523</v>
      </c>
      <c r="Y532">
        <f ca="1">(Inputs!H15+(Inputs!J15-Inputs!H15)*BETAINV(RAND(),Model!L9,Model!M9))*Inputs!$C$6</f>
        <v>26014.561604229963</v>
      </c>
      <c r="Z532">
        <f t="shared" ca="1" si="180"/>
        <v>0.43583306908559022</v>
      </c>
      <c r="AA532">
        <f t="shared" ca="1" si="181"/>
        <v>0.87362186658758845</v>
      </c>
      <c r="AB532">
        <f t="shared" ca="1" si="182"/>
        <v>1</v>
      </c>
      <c r="AC532" s="47">
        <f t="shared" ca="1" si="183"/>
        <v>26014.561604229963</v>
      </c>
      <c r="AD532">
        <f ca="1">Inputs!B16+(Inputs!D16-Inputs!B16)*BETAINV(RAND(),Model!H10,Model!I10)</f>
        <v>0.31064054031358901</v>
      </c>
      <c r="AE532">
        <f ca="1">Inputs!E16+(Inputs!G16-Inputs!E16)*BETAINV(RAND(),Model!J10,Model!K10)</f>
        <v>0.8047006831056237</v>
      </c>
      <c r="AF532">
        <f ca="1">(Inputs!H16+(Inputs!J16-Inputs!H16)*BETAINV(RAND(),Model!L10,Model!M10))*Inputs!$C$6</f>
        <v>84947.684271564518</v>
      </c>
      <c r="AG532">
        <f t="shared" ca="1" si="184"/>
        <v>0.24997265499064511</v>
      </c>
      <c r="AH532">
        <f t="shared" ca="1" si="185"/>
        <v>0.4045370507973558</v>
      </c>
      <c r="AI532">
        <f t="shared" ca="1" si="186"/>
        <v>0</v>
      </c>
      <c r="AJ532" s="47">
        <f t="shared" ca="1" si="187"/>
        <v>0</v>
      </c>
      <c r="AK532">
        <f t="shared" ca="1" si="188"/>
        <v>52450.055033808065</v>
      </c>
    </row>
    <row r="533" spans="2:37" x14ac:dyDescent="0.2">
      <c r="B533">
        <f ca="1">Inputs!B12+(Inputs!D12-Inputs!B12)*BETAINV(RAND(),Model!H6,Model!I6)</f>
        <v>3.9069339202008346</v>
      </c>
      <c r="C533">
        <f ca="1">Inputs!E12+(Inputs!G12-Inputs!E12)*BETAINV(RAND(),Model!J6,Model!K6)</f>
        <v>0.41526459968743312</v>
      </c>
      <c r="D533">
        <f ca="1">(Inputs!H12+(Inputs!J12-Inputs!H12)*BETAINV(RAND(),Model!L6,Model!M6))*Inputs!$C$6</f>
        <v>39066.187204924332</v>
      </c>
      <c r="E533">
        <f t="shared" ca="1" si="168"/>
        <v>1.6224113503774533</v>
      </c>
      <c r="F533">
        <f t="shared" ca="1" si="169"/>
        <v>0.14840910865947554</v>
      </c>
      <c r="G533">
        <f t="shared" ca="1" si="170"/>
        <v>0</v>
      </c>
      <c r="H533" s="47">
        <f t="shared" ca="1" si="171"/>
        <v>0</v>
      </c>
      <c r="I533">
        <f ca="1">Inputs!B13+(Inputs!D13-Inputs!B13)*BETAINV(RAND(),Model!H7,Model!I7)</f>
        <v>1.6599395151100858</v>
      </c>
      <c r="J533">
        <f ca="1">Inputs!E13+(Inputs!G13-Inputs!E13)*BETAINV(RAND(),Model!J7,Model!K7)</f>
        <v>0.2457957266036587</v>
      </c>
      <c r="K533">
        <f ca="1">(Inputs!H13+(Inputs!J13-Inputs!H13)*BETAINV(RAND(),Model!L7,Model!M7))*Inputs!$C$6</f>
        <v>15704.602498753902</v>
      </c>
      <c r="L533">
        <f t="shared" ca="1" si="172"/>
        <v>0.40800603923460843</v>
      </c>
      <c r="M533">
        <f t="shared" ca="1" si="173"/>
        <v>0.37723496348818086</v>
      </c>
      <c r="N533">
        <f t="shared" ca="1" si="174"/>
        <v>0</v>
      </c>
      <c r="O533" s="47">
        <f t="shared" ca="1" si="175"/>
        <v>0</v>
      </c>
      <c r="P533">
        <f ca="1">Inputs!B14+(Inputs!D14-Inputs!B14)*BETAINV(RAND(),Model!H8,Model!I8)</f>
        <v>0.16069612352289375</v>
      </c>
      <c r="Q533">
        <f ca="1">Inputs!E14+(Inputs!G14-Inputs!E14)*BETAINV(RAND(),Model!J8,Model!K8)</f>
        <v>0.44251259813834765</v>
      </c>
      <c r="R533">
        <f ca="1">(Inputs!H14+(Inputs!J14-Inputs!H14)*BETAINV(RAND(),Model!L8,Model!M8))*Inputs!$C$6</f>
        <v>489373.8634959042</v>
      </c>
      <c r="S533">
        <f t="shared" ca="1" si="176"/>
        <v>7.1110059130876563E-2</v>
      </c>
      <c r="T533">
        <f t="shared" ca="1" si="177"/>
        <v>0.49702403413007734</v>
      </c>
      <c r="U533">
        <f t="shared" ca="1" si="178"/>
        <v>0</v>
      </c>
      <c r="V533" s="47">
        <f t="shared" ca="1" si="179"/>
        <v>0</v>
      </c>
      <c r="W533">
        <f ca="1">Inputs!B15+(Inputs!D15-Inputs!B15)*BETAINV(RAND(),Model!H9,Model!I9)</f>
        <v>1.2475282613922916</v>
      </c>
      <c r="X533">
        <f ca="1">Inputs!E15+(Inputs!G15-Inputs!E15)*BETAINV(RAND(),Model!J9,Model!K9)</f>
        <v>0.48935144758829074</v>
      </c>
      <c r="Y533">
        <f ca="1">(Inputs!H15+(Inputs!J15-Inputs!H15)*BETAINV(RAND(),Model!L9,Model!M9))*Inputs!$C$6</f>
        <v>13988.001541961967</v>
      </c>
      <c r="Z533">
        <f t="shared" ca="1" si="180"/>
        <v>0.61047976061962139</v>
      </c>
      <c r="AA533">
        <f t="shared" ca="1" si="181"/>
        <v>0.66613594117722419</v>
      </c>
      <c r="AB533">
        <f t="shared" ca="1" si="182"/>
        <v>1</v>
      </c>
      <c r="AC533" s="47">
        <f t="shared" ca="1" si="183"/>
        <v>13988.001541961967</v>
      </c>
      <c r="AD533">
        <f ca="1">Inputs!B16+(Inputs!D16-Inputs!B16)*BETAINV(RAND(),Model!H10,Model!I10)</f>
        <v>0.39040546379613694</v>
      </c>
      <c r="AE533">
        <f ca="1">Inputs!E16+(Inputs!G16-Inputs!E16)*BETAINV(RAND(),Model!J10,Model!K10)</f>
        <v>0.67413109446005215</v>
      </c>
      <c r="AF533">
        <f ca="1">(Inputs!H16+(Inputs!J16-Inputs!H16)*BETAINV(RAND(),Model!L10,Model!M10))*Inputs!$C$6</f>
        <v>113515.31500611693</v>
      </c>
      <c r="AG533">
        <f t="shared" ca="1" si="184"/>
        <v>0.26318446259207406</v>
      </c>
      <c r="AH533">
        <f t="shared" ca="1" si="185"/>
        <v>0.55570892358125734</v>
      </c>
      <c r="AI533">
        <f t="shared" ca="1" si="186"/>
        <v>0</v>
      </c>
      <c r="AJ533" s="47">
        <f t="shared" ca="1" si="187"/>
        <v>0</v>
      </c>
      <c r="AK533">
        <f t="shared" ca="1" si="188"/>
        <v>13988.001541961967</v>
      </c>
    </row>
    <row r="534" spans="2:37" x14ac:dyDescent="0.2">
      <c r="B534">
        <f ca="1">Inputs!B12+(Inputs!D12-Inputs!B12)*BETAINV(RAND(),Model!H6,Model!I6)</f>
        <v>2.059862719378462</v>
      </c>
      <c r="C534">
        <f ca="1">Inputs!E12+(Inputs!G12-Inputs!E12)*BETAINV(RAND(),Model!J6,Model!K6)</f>
        <v>0.29283849594644396</v>
      </c>
      <c r="D534">
        <f ca="1">(Inputs!H12+(Inputs!J12-Inputs!H12)*BETAINV(RAND(),Model!L6,Model!M6))*Inputs!$C$6</f>
        <v>29582.02398965555</v>
      </c>
      <c r="E534">
        <f t="shared" ca="1" si="168"/>
        <v>0.60320710059894078</v>
      </c>
      <c r="F534">
        <f t="shared" ca="1" si="169"/>
        <v>0.98730332867002568</v>
      </c>
      <c r="G534">
        <f t="shared" ca="1" si="170"/>
        <v>3</v>
      </c>
      <c r="H534" s="47">
        <f t="shared" ca="1" si="171"/>
        <v>88746.071968966658</v>
      </c>
      <c r="I534">
        <f ca="1">Inputs!B13+(Inputs!D13-Inputs!B13)*BETAINV(RAND(),Model!H7,Model!I7)</f>
        <v>1.5256477747038508</v>
      </c>
      <c r="J534">
        <f ca="1">Inputs!E13+(Inputs!G13-Inputs!E13)*BETAINV(RAND(),Model!J7,Model!K7)</f>
        <v>0.30230246924763771</v>
      </c>
      <c r="K534">
        <f ca="1">(Inputs!H13+(Inputs!J13-Inputs!H13)*BETAINV(RAND(),Model!L7,Model!M7))*Inputs!$C$6</f>
        <v>47301.276735157815</v>
      </c>
      <c r="L534">
        <f t="shared" ca="1" si="172"/>
        <v>0.46120708949513778</v>
      </c>
      <c r="M534">
        <f t="shared" ca="1" si="173"/>
        <v>8.4278403510452682E-3</v>
      </c>
      <c r="N534">
        <f t="shared" ca="1" si="174"/>
        <v>0</v>
      </c>
      <c r="O534" s="47">
        <f t="shared" ca="1" si="175"/>
        <v>0</v>
      </c>
      <c r="P534">
        <f ca="1">Inputs!B14+(Inputs!D14-Inputs!B14)*BETAINV(RAND(),Model!H8,Model!I8)</f>
        <v>0.47656380879038807</v>
      </c>
      <c r="Q534">
        <f ca="1">Inputs!E14+(Inputs!G14-Inputs!E14)*BETAINV(RAND(),Model!J8,Model!K8)</f>
        <v>0.61105929734252995</v>
      </c>
      <c r="R534">
        <f ca="1">(Inputs!H14+(Inputs!J14-Inputs!H14)*BETAINV(RAND(),Model!L8,Model!M8))*Inputs!$C$6</f>
        <v>320059.29177377711</v>
      </c>
      <c r="S534">
        <f t="shared" ca="1" si="176"/>
        <v>0.29120874613833431</v>
      </c>
      <c r="T534">
        <f t="shared" ca="1" si="177"/>
        <v>0.78324461137715262</v>
      </c>
      <c r="U534">
        <f t="shared" ca="1" si="178"/>
        <v>1</v>
      </c>
      <c r="V534" s="47">
        <f t="shared" ca="1" si="179"/>
        <v>320059.29177377711</v>
      </c>
      <c r="W534">
        <f ca="1">Inputs!B15+(Inputs!D15-Inputs!B15)*BETAINV(RAND(),Model!H9,Model!I9)</f>
        <v>1.0555609375943575</v>
      </c>
      <c r="X534">
        <f ca="1">Inputs!E15+(Inputs!G15-Inputs!E15)*BETAINV(RAND(),Model!J9,Model!K9)</f>
        <v>0.39772354476552085</v>
      </c>
      <c r="Y534">
        <f ca="1">(Inputs!H15+(Inputs!J15-Inputs!H15)*BETAINV(RAND(),Model!L9,Model!M9))*Inputs!$C$6</f>
        <v>43957.632766023526</v>
      </c>
      <c r="Z534">
        <f t="shared" ca="1" si="180"/>
        <v>0.41982143781604464</v>
      </c>
      <c r="AA534">
        <f t="shared" ca="1" si="181"/>
        <v>0.27421418789963159</v>
      </c>
      <c r="AB534">
        <f t="shared" ca="1" si="182"/>
        <v>0</v>
      </c>
      <c r="AC534" s="47">
        <f t="shared" ca="1" si="183"/>
        <v>0</v>
      </c>
      <c r="AD534">
        <f ca="1">Inputs!B16+(Inputs!D16-Inputs!B16)*BETAINV(RAND(),Model!H10,Model!I10)</f>
        <v>0.45558581481872684</v>
      </c>
      <c r="AE534">
        <f ca="1">Inputs!E16+(Inputs!G16-Inputs!E16)*BETAINV(RAND(),Model!J10,Model!K10)</f>
        <v>0.67815324897185048</v>
      </c>
      <c r="AF534">
        <f ca="1">(Inputs!H16+(Inputs!J16-Inputs!H16)*BETAINV(RAND(),Model!L10,Model!M10))*Inputs!$C$6</f>
        <v>111765.07956078662</v>
      </c>
      <c r="AG534">
        <f t="shared" ca="1" si="184"/>
        <v>0.30895700050480746</v>
      </c>
      <c r="AH534">
        <f t="shared" ca="1" si="185"/>
        <v>0.30605659155499354</v>
      </c>
      <c r="AI534">
        <f t="shared" ca="1" si="186"/>
        <v>0</v>
      </c>
      <c r="AJ534" s="47">
        <f t="shared" ca="1" si="187"/>
        <v>0</v>
      </c>
      <c r="AK534">
        <f t="shared" ca="1" si="188"/>
        <v>408805.36374274374</v>
      </c>
    </row>
    <row r="535" spans="2:37" x14ac:dyDescent="0.2">
      <c r="B535">
        <f ca="1">Inputs!B12+(Inputs!D12-Inputs!B12)*BETAINV(RAND(),Model!H6,Model!I6)</f>
        <v>2.6941721744236862</v>
      </c>
      <c r="C535">
        <f ca="1">Inputs!E12+(Inputs!G12-Inputs!E12)*BETAINV(RAND(),Model!J6,Model!K6)</f>
        <v>0.35894046711050853</v>
      </c>
      <c r="D535">
        <f ca="1">(Inputs!H12+(Inputs!J12-Inputs!H12)*BETAINV(RAND(),Model!L6,Model!M6))*Inputs!$C$6</f>
        <v>23577.067074793365</v>
      </c>
      <c r="E535">
        <f t="shared" ca="1" si="168"/>
        <v>0.96704741876377243</v>
      </c>
      <c r="F535">
        <f t="shared" ca="1" si="169"/>
        <v>0.28950956430161623</v>
      </c>
      <c r="G535">
        <f t="shared" ca="1" si="170"/>
        <v>0</v>
      </c>
      <c r="H535" s="47">
        <f t="shared" ca="1" si="171"/>
        <v>0</v>
      </c>
      <c r="I535">
        <f ca="1">Inputs!B13+(Inputs!D13-Inputs!B13)*BETAINV(RAND(),Model!H7,Model!I7)</f>
        <v>3.2698432116636376</v>
      </c>
      <c r="J535">
        <f ca="1">Inputs!E13+(Inputs!G13-Inputs!E13)*BETAINV(RAND(),Model!J7,Model!K7)</f>
        <v>0.29434364683260705</v>
      </c>
      <c r="K535">
        <f ca="1">(Inputs!H13+(Inputs!J13-Inputs!H13)*BETAINV(RAND(),Model!L7,Model!M7))*Inputs!$C$6</f>
        <v>54470.436330576013</v>
      </c>
      <c r="L535">
        <f t="shared" ca="1" si="172"/>
        <v>0.96245757549191935</v>
      </c>
      <c r="M535">
        <f t="shared" ca="1" si="173"/>
        <v>0.15868735282674484</v>
      </c>
      <c r="N535">
        <f t="shared" ca="1" si="174"/>
        <v>0</v>
      </c>
      <c r="O535" s="47">
        <f t="shared" ca="1" si="175"/>
        <v>0</v>
      </c>
      <c r="P535">
        <f ca="1">Inputs!B14+(Inputs!D14-Inputs!B14)*BETAINV(RAND(),Model!H8,Model!I8)</f>
        <v>0.25882798848318345</v>
      </c>
      <c r="Q535">
        <f ca="1">Inputs!E14+(Inputs!G14-Inputs!E14)*BETAINV(RAND(),Model!J8,Model!K8)</f>
        <v>0.5750384455693125</v>
      </c>
      <c r="R535">
        <f ca="1">(Inputs!H14+(Inputs!J14-Inputs!H14)*BETAINV(RAND(),Model!L8,Model!M8))*Inputs!$C$6</f>
        <v>380494.45564623142</v>
      </c>
      <c r="S535">
        <f t="shared" ca="1" si="176"/>
        <v>0.14883604416720173</v>
      </c>
      <c r="T535">
        <f t="shared" ca="1" si="177"/>
        <v>0.7339667261959143</v>
      </c>
      <c r="U535">
        <f t="shared" ca="1" si="178"/>
        <v>0</v>
      </c>
      <c r="V535" s="47">
        <f t="shared" ca="1" si="179"/>
        <v>0</v>
      </c>
      <c r="W535">
        <f ca="1">Inputs!B15+(Inputs!D15-Inputs!B15)*BETAINV(RAND(),Model!H9,Model!I9)</f>
        <v>1.152472796020406</v>
      </c>
      <c r="X535">
        <f ca="1">Inputs!E15+(Inputs!G15-Inputs!E15)*BETAINV(RAND(),Model!J9,Model!K9)</f>
        <v>0.45007659022716962</v>
      </c>
      <c r="Y535">
        <f ca="1">(Inputs!H15+(Inputs!J15-Inputs!H15)*BETAINV(RAND(),Model!L9,Model!M9))*Inputs!$C$6</f>
        <v>42050.852502609472</v>
      </c>
      <c r="Z535">
        <f t="shared" ca="1" si="180"/>
        <v>0.51870102636243665</v>
      </c>
      <c r="AA535">
        <f t="shared" ca="1" si="181"/>
        <v>0.84334486715936496</v>
      </c>
      <c r="AB535">
        <f t="shared" ca="1" si="182"/>
        <v>1</v>
      </c>
      <c r="AC535" s="47">
        <f t="shared" ca="1" si="183"/>
        <v>42050.852502609472</v>
      </c>
      <c r="AD535">
        <f ca="1">Inputs!B16+(Inputs!D16-Inputs!B16)*BETAINV(RAND(),Model!H10,Model!I10)</f>
        <v>0.31976853717111475</v>
      </c>
      <c r="AE535">
        <f ca="1">Inputs!E16+(Inputs!G16-Inputs!E16)*BETAINV(RAND(),Model!J10,Model!K10)</f>
        <v>0.67868642441140659</v>
      </c>
      <c r="AF535">
        <f ca="1">(Inputs!H16+(Inputs!J16-Inputs!H16)*BETAINV(RAND(),Model!L10,Model!M10))*Inputs!$C$6</f>
        <v>106458.03475919348</v>
      </c>
      <c r="AG535">
        <f t="shared" ca="1" si="184"/>
        <v>0.21702256513192983</v>
      </c>
      <c r="AH535">
        <f t="shared" ca="1" si="185"/>
        <v>0.39519498403225384</v>
      </c>
      <c r="AI535">
        <f t="shared" ca="1" si="186"/>
        <v>0</v>
      </c>
      <c r="AJ535" s="47">
        <f t="shared" ca="1" si="187"/>
        <v>0</v>
      </c>
      <c r="AK535">
        <f t="shared" ca="1" si="188"/>
        <v>42050.852502609472</v>
      </c>
    </row>
    <row r="536" spans="2:37" x14ac:dyDescent="0.2">
      <c r="B536">
        <f ca="1">Inputs!B12+(Inputs!D12-Inputs!B12)*BETAINV(RAND(),Model!H6,Model!I6)</f>
        <v>1.4656272718368653</v>
      </c>
      <c r="C536">
        <f ca="1">Inputs!E12+(Inputs!G12-Inputs!E12)*BETAINV(RAND(),Model!J6,Model!K6)</f>
        <v>0.36910137579049795</v>
      </c>
      <c r="D536">
        <f ca="1">(Inputs!H12+(Inputs!J12-Inputs!H12)*BETAINV(RAND(),Model!L6,Model!M6))*Inputs!$C$6</f>
        <v>30023.322346931425</v>
      </c>
      <c r="E536">
        <f t="shared" ca="1" si="168"/>
        <v>0.54096504243106114</v>
      </c>
      <c r="F536">
        <f t="shared" ca="1" si="169"/>
        <v>0.69971765151045051</v>
      </c>
      <c r="G536">
        <f t="shared" ca="1" si="170"/>
        <v>1</v>
      </c>
      <c r="H536" s="47">
        <f t="shared" ca="1" si="171"/>
        <v>30023.322346931425</v>
      </c>
      <c r="I536">
        <f ca="1">Inputs!B13+(Inputs!D13-Inputs!B13)*BETAINV(RAND(),Model!H7,Model!I7)</f>
        <v>2.0180911416397458</v>
      </c>
      <c r="J536">
        <f ca="1">Inputs!E13+(Inputs!G13-Inputs!E13)*BETAINV(RAND(),Model!J7,Model!K7)</f>
        <v>0.15017642733390138</v>
      </c>
      <c r="K536">
        <f ca="1">(Inputs!H13+(Inputs!J13-Inputs!H13)*BETAINV(RAND(),Model!L7,Model!M7))*Inputs!$C$6</f>
        <v>42590.174757169152</v>
      </c>
      <c r="L536">
        <f t="shared" ca="1" si="172"/>
        <v>0.30306971768565139</v>
      </c>
      <c r="M536">
        <f t="shared" ca="1" si="173"/>
        <v>0.79776601290218307</v>
      </c>
      <c r="N536">
        <f t="shared" ca="1" si="174"/>
        <v>1</v>
      </c>
      <c r="O536" s="47">
        <f t="shared" ca="1" si="175"/>
        <v>42590.174757169152</v>
      </c>
      <c r="P536">
        <f ca="1">Inputs!B14+(Inputs!D14-Inputs!B14)*BETAINV(RAND(),Model!H8,Model!I8)</f>
        <v>0.33085650775303932</v>
      </c>
      <c r="Q536">
        <f ca="1">Inputs!E14+(Inputs!G14-Inputs!E14)*BETAINV(RAND(),Model!J8,Model!K8)</f>
        <v>0.53006210792736197</v>
      </c>
      <c r="R536">
        <f ca="1">(Inputs!H14+(Inputs!J14-Inputs!H14)*BETAINV(RAND(),Model!L8,Model!M8))*Inputs!$C$6</f>
        <v>359272.72784074361</v>
      </c>
      <c r="S536">
        <f t="shared" ca="1" si="176"/>
        <v>0.17537449792106161</v>
      </c>
      <c r="T536">
        <f t="shared" ca="1" si="177"/>
        <v>0.30404519284750964</v>
      </c>
      <c r="U536">
        <f t="shared" ca="1" si="178"/>
        <v>0</v>
      </c>
      <c r="V536" s="47">
        <f t="shared" ca="1" si="179"/>
        <v>0</v>
      </c>
      <c r="W536">
        <f ca="1">Inputs!B15+(Inputs!D15-Inputs!B15)*BETAINV(RAND(),Model!H9,Model!I9)</f>
        <v>0.58091573852469525</v>
      </c>
      <c r="X536">
        <f ca="1">Inputs!E15+(Inputs!G15-Inputs!E15)*BETAINV(RAND(),Model!J9,Model!K9)</f>
        <v>0.44365261071527984</v>
      </c>
      <c r="Y536">
        <f ca="1">(Inputs!H15+(Inputs!J15-Inputs!H15)*BETAINV(RAND(),Model!L9,Model!M9))*Inputs!$C$6</f>
        <v>28458.725696282349</v>
      </c>
      <c r="Z536">
        <f t="shared" ca="1" si="180"/>
        <v>0.25772478400207594</v>
      </c>
      <c r="AA536">
        <f t="shared" ca="1" si="181"/>
        <v>0.4419853657039392</v>
      </c>
      <c r="AB536">
        <f t="shared" ca="1" si="182"/>
        <v>0</v>
      </c>
      <c r="AC536" s="47">
        <f t="shared" ca="1" si="183"/>
        <v>0</v>
      </c>
      <c r="AD536">
        <f ca="1">Inputs!B16+(Inputs!D16-Inputs!B16)*BETAINV(RAND(),Model!H10,Model!I10)</f>
        <v>0.4789609009933597</v>
      </c>
      <c r="AE536">
        <f ca="1">Inputs!E16+(Inputs!G16-Inputs!E16)*BETAINV(RAND(),Model!J10,Model!K10)</f>
        <v>0.60979927363978148</v>
      </c>
      <c r="AF536">
        <f ca="1">(Inputs!H16+(Inputs!J16-Inputs!H16)*BETAINV(RAND(),Model!L10,Model!M10))*Inputs!$C$6</f>
        <v>55512.906430957824</v>
      </c>
      <c r="AG536">
        <f t="shared" ca="1" si="184"/>
        <v>0.29207000952760603</v>
      </c>
      <c r="AH536">
        <f t="shared" ca="1" si="185"/>
        <v>4.5730869869678781E-2</v>
      </c>
      <c r="AI536">
        <f t="shared" ca="1" si="186"/>
        <v>0</v>
      </c>
      <c r="AJ536" s="47">
        <f t="shared" ca="1" si="187"/>
        <v>0</v>
      </c>
      <c r="AK536">
        <f t="shared" ca="1" si="188"/>
        <v>72613.497104100577</v>
      </c>
    </row>
    <row r="537" spans="2:37" x14ac:dyDescent="0.2">
      <c r="B537">
        <f ca="1">Inputs!B12+(Inputs!D12-Inputs!B12)*BETAINV(RAND(),Model!H6,Model!I6)</f>
        <v>2.0566311415100325</v>
      </c>
      <c r="C537">
        <f ca="1">Inputs!E12+(Inputs!G12-Inputs!E12)*BETAINV(RAND(),Model!J6,Model!K6)</f>
        <v>0.36323046667557818</v>
      </c>
      <c r="D537">
        <f ca="1">(Inputs!H12+(Inputs!J12-Inputs!H12)*BETAINV(RAND(),Model!L6,Model!M6))*Inputs!$C$6</f>
        <v>37909.119621311998</v>
      </c>
      <c r="E537">
        <f t="shared" ca="1" si="168"/>
        <v>0.74703108931021611</v>
      </c>
      <c r="F537">
        <f t="shared" ca="1" si="169"/>
        <v>0.62702311749909712</v>
      </c>
      <c r="G537">
        <f t="shared" ca="1" si="170"/>
        <v>1</v>
      </c>
      <c r="H537" s="47">
        <f t="shared" ca="1" si="171"/>
        <v>37909.119621311998</v>
      </c>
      <c r="I537">
        <f ca="1">Inputs!B13+(Inputs!D13-Inputs!B13)*BETAINV(RAND(),Model!H7,Model!I7)</f>
        <v>3.9989430541114723</v>
      </c>
      <c r="J537">
        <f ca="1">Inputs!E13+(Inputs!G13-Inputs!E13)*BETAINV(RAND(),Model!J7,Model!K7)</f>
        <v>0.45016600098850235</v>
      </c>
      <c r="K537">
        <f ca="1">(Inputs!H13+(Inputs!J13-Inputs!H13)*BETAINV(RAND(),Model!L7,Model!M7))*Inputs!$C$6</f>
        <v>48573.46560229778</v>
      </c>
      <c r="L537">
        <f t="shared" ca="1" si="172"/>
        <v>1.8001882028501097</v>
      </c>
      <c r="M537">
        <f t="shared" ca="1" si="173"/>
        <v>0.74982869529994478</v>
      </c>
      <c r="N537">
        <f t="shared" ca="1" si="174"/>
        <v>3</v>
      </c>
      <c r="O537" s="47">
        <f t="shared" ca="1" si="175"/>
        <v>145720.39680689335</v>
      </c>
      <c r="P537">
        <f ca="1">Inputs!B14+(Inputs!D14-Inputs!B14)*BETAINV(RAND(),Model!H8,Model!I8)</f>
        <v>0.2943612178265459</v>
      </c>
      <c r="Q537">
        <f ca="1">Inputs!E14+(Inputs!G14-Inputs!E14)*BETAINV(RAND(),Model!J8,Model!K8)</f>
        <v>0.52802236282170789</v>
      </c>
      <c r="R537">
        <f ca="1">(Inputs!H14+(Inputs!J14-Inputs!H14)*BETAINV(RAND(),Model!L8,Model!M8))*Inputs!$C$6</f>
        <v>508482.77710430219</v>
      </c>
      <c r="S537">
        <f t="shared" ca="1" si="176"/>
        <v>0.1554293057598482</v>
      </c>
      <c r="T537">
        <f t="shared" ca="1" si="177"/>
        <v>0.32643969225352132</v>
      </c>
      <c r="U537">
        <f t="shared" ca="1" si="178"/>
        <v>0</v>
      </c>
      <c r="V537" s="47">
        <f t="shared" ca="1" si="179"/>
        <v>0</v>
      </c>
      <c r="W537">
        <f ca="1">Inputs!B15+(Inputs!D15-Inputs!B15)*BETAINV(RAND(),Model!H9,Model!I9)</f>
        <v>0.94960827356017807</v>
      </c>
      <c r="X537">
        <f ca="1">Inputs!E15+(Inputs!G15-Inputs!E15)*BETAINV(RAND(),Model!J9,Model!K9)</f>
        <v>0.46869714920388245</v>
      </c>
      <c r="Y537">
        <f ca="1">(Inputs!H15+(Inputs!J15-Inputs!H15)*BETAINV(RAND(),Model!L9,Model!M9))*Inputs!$C$6</f>
        <v>56334.162819020043</v>
      </c>
      <c r="Z537">
        <f t="shared" ca="1" si="180"/>
        <v>0.44507869067807598</v>
      </c>
      <c r="AA537">
        <f t="shared" ca="1" si="181"/>
        <v>0.57087396954147873</v>
      </c>
      <c r="AB537">
        <f t="shared" ca="1" si="182"/>
        <v>0</v>
      </c>
      <c r="AC537" s="47">
        <f t="shared" ca="1" si="183"/>
        <v>0</v>
      </c>
      <c r="AD537">
        <f ca="1">Inputs!B16+(Inputs!D16-Inputs!B16)*BETAINV(RAND(),Model!H10,Model!I10)</f>
        <v>0.70477920758043799</v>
      </c>
      <c r="AE537">
        <f ca="1">Inputs!E16+(Inputs!G16-Inputs!E16)*BETAINV(RAND(),Model!J10,Model!K10)</f>
        <v>0.56325532510094012</v>
      </c>
      <c r="AF537">
        <f ca="1">(Inputs!H16+(Inputs!J16-Inputs!H16)*BETAINV(RAND(),Model!L10,Model!M10))*Inputs!$C$6</f>
        <v>174431.40591482876</v>
      </c>
      <c r="AG537">
        <f t="shared" ca="1" si="184"/>
        <v>0.39697064169010254</v>
      </c>
      <c r="AH537">
        <f t="shared" ca="1" si="185"/>
        <v>0.72066020618547411</v>
      </c>
      <c r="AI537">
        <f t="shared" ca="1" si="186"/>
        <v>1</v>
      </c>
      <c r="AJ537" s="47">
        <f t="shared" ca="1" si="187"/>
        <v>174431.40591482876</v>
      </c>
      <c r="AK537">
        <f t="shared" ca="1" si="188"/>
        <v>358060.92234303412</v>
      </c>
    </row>
    <row r="538" spans="2:37" x14ac:dyDescent="0.2">
      <c r="B538">
        <f ca="1">Inputs!B12+(Inputs!D12-Inputs!B12)*BETAINV(RAND(),Model!H6,Model!I6)</f>
        <v>5.7904830800583404</v>
      </c>
      <c r="C538">
        <f ca="1">Inputs!E12+(Inputs!G12-Inputs!E12)*BETAINV(RAND(),Model!J6,Model!K6)</f>
        <v>0.18828881796835811</v>
      </c>
      <c r="D538">
        <f ca="1">(Inputs!H12+(Inputs!J12-Inputs!H12)*BETAINV(RAND(),Model!L6,Model!M6))*Inputs!$C$6</f>
        <v>22908.216438143158</v>
      </c>
      <c r="E538">
        <f t="shared" ca="1" si="168"/>
        <v>1.0902832146099626</v>
      </c>
      <c r="F538">
        <f t="shared" ca="1" si="169"/>
        <v>0.81967811551012248</v>
      </c>
      <c r="G538">
        <f t="shared" ca="1" si="170"/>
        <v>2</v>
      </c>
      <c r="H538" s="47">
        <f t="shared" ca="1" si="171"/>
        <v>45816.432876286315</v>
      </c>
      <c r="I538">
        <f ca="1">Inputs!B13+(Inputs!D13-Inputs!B13)*BETAINV(RAND(),Model!H7,Model!I7)</f>
        <v>2.433351687812785</v>
      </c>
      <c r="J538">
        <f ca="1">Inputs!E13+(Inputs!G13-Inputs!E13)*BETAINV(RAND(),Model!J7,Model!K7)</f>
        <v>0.21921068859033527</v>
      </c>
      <c r="K538">
        <f ca="1">(Inputs!H13+(Inputs!J13-Inputs!H13)*BETAINV(RAND(),Model!L7,Model!M7))*Inputs!$C$6</f>
        <v>17053.333762586826</v>
      </c>
      <c r="L538">
        <f t="shared" ca="1" si="172"/>
        <v>0.53341669906789513</v>
      </c>
      <c r="M538">
        <f t="shared" ca="1" si="173"/>
        <v>0.32073073543564601</v>
      </c>
      <c r="N538">
        <f t="shared" ca="1" si="174"/>
        <v>0</v>
      </c>
      <c r="O538" s="47">
        <f t="shared" ca="1" si="175"/>
        <v>0</v>
      </c>
      <c r="P538">
        <f ca="1">Inputs!B14+(Inputs!D14-Inputs!B14)*BETAINV(RAND(),Model!H8,Model!I8)</f>
        <v>0.49428036713171464</v>
      </c>
      <c r="Q538">
        <f ca="1">Inputs!E14+(Inputs!G14-Inputs!E14)*BETAINV(RAND(),Model!J8,Model!K8)</f>
        <v>0.59004177517646461</v>
      </c>
      <c r="R538">
        <f ca="1">(Inputs!H14+(Inputs!J14-Inputs!H14)*BETAINV(RAND(),Model!L8,Model!M8))*Inputs!$C$6</f>
        <v>326337.38595556922</v>
      </c>
      <c r="S538">
        <f t="shared" ca="1" si="176"/>
        <v>0.29164606525727155</v>
      </c>
      <c r="T538">
        <f t="shared" ca="1" si="177"/>
        <v>0.88406354214206517</v>
      </c>
      <c r="U538">
        <f t="shared" ca="1" si="178"/>
        <v>1</v>
      </c>
      <c r="V538" s="47">
        <f t="shared" ca="1" si="179"/>
        <v>326337.38595556922</v>
      </c>
      <c r="W538">
        <f ca="1">Inputs!B15+(Inputs!D15-Inputs!B15)*BETAINV(RAND(),Model!H9,Model!I9)</f>
        <v>1.1746585878544804</v>
      </c>
      <c r="X538">
        <f ca="1">Inputs!E15+(Inputs!G15-Inputs!E15)*BETAINV(RAND(),Model!J9,Model!K9)</f>
        <v>0.2524570416698661</v>
      </c>
      <c r="Y538">
        <f ca="1">(Inputs!H15+(Inputs!J15-Inputs!H15)*BETAINV(RAND(),Model!L9,Model!M9))*Inputs!$C$6</f>
        <v>36243.871800560701</v>
      </c>
      <c r="Z538">
        <f t="shared" ca="1" si="180"/>
        <v>0.29655083206184463</v>
      </c>
      <c r="AA538">
        <f t="shared" ca="1" si="181"/>
        <v>0.89263504660572013</v>
      </c>
      <c r="AB538">
        <f t="shared" ca="1" si="182"/>
        <v>1</v>
      </c>
      <c r="AC538" s="47">
        <f t="shared" ca="1" si="183"/>
        <v>36243.871800560701</v>
      </c>
      <c r="AD538">
        <f ca="1">Inputs!B16+(Inputs!D16-Inputs!B16)*BETAINV(RAND(),Model!H10,Model!I10)</f>
        <v>0.50879382893499048</v>
      </c>
      <c r="AE538">
        <f ca="1">Inputs!E16+(Inputs!G16-Inputs!E16)*BETAINV(RAND(),Model!J10,Model!K10)</f>
        <v>0.54744107250674534</v>
      </c>
      <c r="AF538">
        <f ca="1">(Inputs!H16+(Inputs!J16-Inputs!H16)*BETAINV(RAND(),Model!L10,Model!M10))*Inputs!$C$6</f>
        <v>115192.51407164556</v>
      </c>
      <c r="AG538">
        <f t="shared" ca="1" si="184"/>
        <v>0.2785346393969847</v>
      </c>
      <c r="AH538">
        <f t="shared" ca="1" si="185"/>
        <v>0.46855378193344732</v>
      </c>
      <c r="AI538">
        <f t="shared" ca="1" si="186"/>
        <v>0</v>
      </c>
      <c r="AJ538" s="47">
        <f t="shared" ca="1" si="187"/>
        <v>0</v>
      </c>
      <c r="AK538">
        <f t="shared" ca="1" si="188"/>
        <v>408397.69063241623</v>
      </c>
    </row>
    <row r="539" spans="2:37" x14ac:dyDescent="0.2">
      <c r="B539">
        <f ca="1">Inputs!B12+(Inputs!D12-Inputs!B12)*BETAINV(RAND(),Model!H6,Model!I6)</f>
        <v>3.1803154815134591</v>
      </c>
      <c r="C539">
        <f ca="1">Inputs!E12+(Inputs!G12-Inputs!E12)*BETAINV(RAND(),Model!J6,Model!K6)</f>
        <v>0.23710467518324524</v>
      </c>
      <c r="D539">
        <f ca="1">(Inputs!H12+(Inputs!J12-Inputs!H12)*BETAINV(RAND(),Model!L6,Model!M6))*Inputs!$C$6</f>
        <v>20638.065068069958</v>
      </c>
      <c r="E539">
        <f t="shared" ca="1" si="168"/>
        <v>0.75406766922449486</v>
      </c>
      <c r="F539">
        <f t="shared" ca="1" si="169"/>
        <v>0.16078253883878968</v>
      </c>
      <c r="G539">
        <f t="shared" ca="1" si="170"/>
        <v>0</v>
      </c>
      <c r="H539" s="47">
        <f t="shared" ca="1" si="171"/>
        <v>0</v>
      </c>
      <c r="I539">
        <f ca="1">Inputs!B13+(Inputs!D13-Inputs!B13)*BETAINV(RAND(),Model!H7,Model!I7)</f>
        <v>2.540035958646806</v>
      </c>
      <c r="J539">
        <f ca="1">Inputs!E13+(Inputs!G13-Inputs!E13)*BETAINV(RAND(),Model!J7,Model!K7)</f>
        <v>0.24753181638404165</v>
      </c>
      <c r="K539">
        <f ca="1">(Inputs!H13+(Inputs!J13-Inputs!H13)*BETAINV(RAND(),Model!L7,Model!M7))*Inputs!$C$6</f>
        <v>39050.449935569704</v>
      </c>
      <c r="L539">
        <f t="shared" ca="1" si="172"/>
        <v>0.6287397145246244</v>
      </c>
      <c r="M539">
        <f t="shared" ca="1" si="173"/>
        <v>0.71776088431405827</v>
      </c>
      <c r="N539">
        <f t="shared" ca="1" si="174"/>
        <v>1</v>
      </c>
      <c r="O539" s="47">
        <f t="shared" ca="1" si="175"/>
        <v>39050.449935569704</v>
      </c>
      <c r="P539">
        <f ca="1">Inputs!B14+(Inputs!D14-Inputs!B14)*BETAINV(RAND(),Model!H8,Model!I8)</f>
        <v>0.39196452408213378</v>
      </c>
      <c r="Q539">
        <f ca="1">Inputs!E14+(Inputs!G14-Inputs!E14)*BETAINV(RAND(),Model!J8,Model!K8)</f>
        <v>0.34917558739662324</v>
      </c>
      <c r="R539">
        <f ca="1">(Inputs!H14+(Inputs!J14-Inputs!H14)*BETAINV(RAND(),Model!L8,Model!M8))*Inputs!$C$6</f>
        <v>262223.43875460234</v>
      </c>
      <c r="S539">
        <f t="shared" ca="1" si="176"/>
        <v>0.13686444293501693</v>
      </c>
      <c r="T539">
        <f t="shared" ca="1" si="177"/>
        <v>0.92901910576279734</v>
      </c>
      <c r="U539">
        <f t="shared" ca="1" si="178"/>
        <v>1</v>
      </c>
      <c r="V539" s="47">
        <f t="shared" ca="1" si="179"/>
        <v>262223.43875460234</v>
      </c>
      <c r="W539">
        <f ca="1">Inputs!B15+(Inputs!D15-Inputs!B15)*BETAINV(RAND(),Model!H9,Model!I9)</f>
        <v>0.64622007819466298</v>
      </c>
      <c r="X539">
        <f ca="1">Inputs!E15+(Inputs!G15-Inputs!E15)*BETAINV(RAND(),Model!J9,Model!K9)</f>
        <v>0.39700894192078806</v>
      </c>
      <c r="Y539">
        <f ca="1">(Inputs!H15+(Inputs!J15-Inputs!H15)*BETAINV(RAND(),Model!L9,Model!M9))*Inputs!$C$6</f>
        <v>21415.138579439783</v>
      </c>
      <c r="Z539">
        <f t="shared" ca="1" si="180"/>
        <v>0.25655514949203206</v>
      </c>
      <c r="AA539">
        <f t="shared" ca="1" si="181"/>
        <v>0.89806756200225268</v>
      </c>
      <c r="AB539">
        <f t="shared" ca="1" si="182"/>
        <v>1</v>
      </c>
      <c r="AC539" s="47">
        <f t="shared" ca="1" si="183"/>
        <v>21415.138579439783</v>
      </c>
      <c r="AD539">
        <f ca="1">Inputs!B16+(Inputs!D16-Inputs!B16)*BETAINV(RAND(),Model!H10,Model!I10)</f>
        <v>0.78978309483333553</v>
      </c>
      <c r="AE539">
        <f ca="1">Inputs!E16+(Inputs!G16-Inputs!E16)*BETAINV(RAND(),Model!J10,Model!K10)</f>
        <v>0.71823078432272203</v>
      </c>
      <c r="AF539">
        <f ca="1">(Inputs!H16+(Inputs!J16-Inputs!H16)*BETAINV(RAND(),Model!L10,Model!M10))*Inputs!$C$6</f>
        <v>92495.513055896809</v>
      </c>
      <c r="AG539">
        <f t="shared" ca="1" si="184"/>
        <v>0.56724653164697336</v>
      </c>
      <c r="AH539">
        <f t="shared" ca="1" si="185"/>
        <v>7.6381256194193892E-2</v>
      </c>
      <c r="AI539">
        <f t="shared" ca="1" si="186"/>
        <v>0</v>
      </c>
      <c r="AJ539" s="47">
        <f t="shared" ca="1" si="187"/>
        <v>0</v>
      </c>
      <c r="AK539">
        <f t="shared" ca="1" si="188"/>
        <v>322689.02726961183</v>
      </c>
    </row>
    <row r="540" spans="2:37" x14ac:dyDescent="0.2">
      <c r="B540">
        <f ca="1">Inputs!B12+(Inputs!D12-Inputs!B12)*BETAINV(RAND(),Model!H6,Model!I6)</f>
        <v>4.6291984594591966</v>
      </c>
      <c r="C540">
        <f ca="1">Inputs!E12+(Inputs!G12-Inputs!E12)*BETAINV(RAND(),Model!J6,Model!K6)</f>
        <v>0.30024398529973328</v>
      </c>
      <c r="D540">
        <f ca="1">(Inputs!H12+(Inputs!J12-Inputs!H12)*BETAINV(RAND(),Model!L6,Model!M6))*Inputs!$C$6</f>
        <v>7073.0557274383918</v>
      </c>
      <c r="E540">
        <f t="shared" ca="1" si="168"/>
        <v>1.389888994211415</v>
      </c>
      <c r="F540">
        <f t="shared" ca="1" si="169"/>
        <v>0.17203390115260464</v>
      </c>
      <c r="G540">
        <f t="shared" ca="1" si="170"/>
        <v>0</v>
      </c>
      <c r="H540" s="47">
        <f t="shared" ca="1" si="171"/>
        <v>0</v>
      </c>
      <c r="I540">
        <f ca="1">Inputs!B13+(Inputs!D13-Inputs!B13)*BETAINV(RAND(),Model!H7,Model!I7)</f>
        <v>2.3525428084944981</v>
      </c>
      <c r="J540">
        <f ca="1">Inputs!E13+(Inputs!G13-Inputs!E13)*BETAINV(RAND(),Model!J7,Model!K7)</f>
        <v>0.22233100677029527</v>
      </c>
      <c r="K540">
        <f ca="1">(Inputs!H13+(Inputs!J13-Inputs!H13)*BETAINV(RAND(),Model!L7,Model!M7))*Inputs!$C$6</f>
        <v>45788.359818975288</v>
      </c>
      <c r="L540">
        <f t="shared" ca="1" si="172"/>
        <v>0.52304321108279972</v>
      </c>
      <c r="M540">
        <f t="shared" ca="1" si="173"/>
        <v>0.905581974611538</v>
      </c>
      <c r="N540">
        <f t="shared" ca="1" si="174"/>
        <v>2</v>
      </c>
      <c r="O540" s="47">
        <f t="shared" ca="1" si="175"/>
        <v>91576.719637950577</v>
      </c>
      <c r="P540">
        <f ca="1">Inputs!B14+(Inputs!D14-Inputs!B14)*BETAINV(RAND(),Model!H8,Model!I8)</f>
        <v>0.61081560595330664</v>
      </c>
      <c r="Q540">
        <f ca="1">Inputs!E14+(Inputs!G14-Inputs!E14)*BETAINV(RAND(),Model!J8,Model!K8)</f>
        <v>0.52694537037995914</v>
      </c>
      <c r="R540">
        <f ca="1">(Inputs!H14+(Inputs!J14-Inputs!H14)*BETAINV(RAND(),Model!L8,Model!M8))*Inputs!$C$6</f>
        <v>412977.27664433565</v>
      </c>
      <c r="S540">
        <f t="shared" ca="1" si="176"/>
        <v>0.32186645571292433</v>
      </c>
      <c r="T540">
        <f t="shared" ca="1" si="177"/>
        <v>0.3661971059864132</v>
      </c>
      <c r="U540">
        <f t="shared" ca="1" si="178"/>
        <v>0</v>
      </c>
      <c r="V540" s="47">
        <f t="shared" ca="1" si="179"/>
        <v>0</v>
      </c>
      <c r="W540">
        <f ca="1">Inputs!B15+(Inputs!D15-Inputs!B15)*BETAINV(RAND(),Model!H9,Model!I9)</f>
        <v>0.36980559364098287</v>
      </c>
      <c r="X540">
        <f ca="1">Inputs!E15+(Inputs!G15-Inputs!E15)*BETAINV(RAND(),Model!J9,Model!K9)</f>
        <v>0.33969794811493803</v>
      </c>
      <c r="Y540">
        <f ca="1">(Inputs!H15+(Inputs!J15-Inputs!H15)*BETAINV(RAND(),Model!L9,Model!M9))*Inputs!$C$6</f>
        <v>24884.412903864253</v>
      </c>
      <c r="Z540">
        <f t="shared" ca="1" si="180"/>
        <v>0.12562220136126845</v>
      </c>
      <c r="AA540">
        <f t="shared" ca="1" si="181"/>
        <v>0.2525401512822244</v>
      </c>
      <c r="AB540">
        <f t="shared" ca="1" si="182"/>
        <v>0</v>
      </c>
      <c r="AC540" s="47">
        <f t="shared" ca="1" si="183"/>
        <v>0</v>
      </c>
      <c r="AD540">
        <f ca="1">Inputs!B16+(Inputs!D16-Inputs!B16)*BETAINV(RAND(),Model!H10,Model!I10)</f>
        <v>0.39908898874607002</v>
      </c>
      <c r="AE540">
        <f ca="1">Inputs!E16+(Inputs!G16-Inputs!E16)*BETAINV(RAND(),Model!J10,Model!K10)</f>
        <v>0.55623503464512614</v>
      </c>
      <c r="AF540">
        <f ca="1">(Inputs!H16+(Inputs!J16-Inputs!H16)*BETAINV(RAND(),Model!L10,Model!M10))*Inputs!$C$6</f>
        <v>53411.733472396758</v>
      </c>
      <c r="AG540">
        <f t="shared" ca="1" si="184"/>
        <v>0.22198727748165861</v>
      </c>
      <c r="AH540">
        <f t="shared" ca="1" si="185"/>
        <v>0.91801315962862662</v>
      </c>
      <c r="AI540">
        <f t="shared" ca="1" si="186"/>
        <v>1</v>
      </c>
      <c r="AJ540" s="47">
        <f t="shared" ca="1" si="187"/>
        <v>53411.733472396758</v>
      </c>
      <c r="AK540">
        <f t="shared" ca="1" si="188"/>
        <v>144988.45311034733</v>
      </c>
    </row>
    <row r="541" spans="2:37" x14ac:dyDescent="0.2">
      <c r="B541">
        <f ca="1">Inputs!B12+(Inputs!D12-Inputs!B12)*BETAINV(RAND(),Model!H6,Model!I6)</f>
        <v>6.5228378471269028</v>
      </c>
      <c r="C541">
        <f ca="1">Inputs!E12+(Inputs!G12-Inputs!E12)*BETAINV(RAND(),Model!J6,Model!K6)</f>
        <v>0.34903538402427997</v>
      </c>
      <c r="D541">
        <f ca="1">(Inputs!H12+(Inputs!J12-Inputs!H12)*BETAINV(RAND(),Model!L6,Model!M6))*Inputs!$C$6</f>
        <v>23699.08373678572</v>
      </c>
      <c r="E541">
        <f t="shared" ca="1" si="168"/>
        <v>2.2767012129000461</v>
      </c>
      <c r="F541">
        <f t="shared" ca="1" si="169"/>
        <v>0.59494114687321331</v>
      </c>
      <c r="G541">
        <f t="shared" ca="1" si="170"/>
        <v>2</v>
      </c>
      <c r="H541" s="47">
        <f t="shared" ca="1" si="171"/>
        <v>47398.16747357144</v>
      </c>
      <c r="I541">
        <f ca="1">Inputs!B13+(Inputs!D13-Inputs!B13)*BETAINV(RAND(),Model!H7,Model!I7)</f>
        <v>1.6996093529298535</v>
      </c>
      <c r="J541">
        <f ca="1">Inputs!E13+(Inputs!G13-Inputs!E13)*BETAINV(RAND(),Model!J7,Model!K7)</f>
        <v>0.43397519585688238</v>
      </c>
      <c r="K541">
        <f ca="1">(Inputs!H13+(Inputs!J13-Inputs!H13)*BETAINV(RAND(),Model!L7,Model!M7))*Inputs!$C$6</f>
        <v>25121.59260643589</v>
      </c>
      <c r="L541">
        <f t="shared" ca="1" si="172"/>
        <v>0.73758830181792234</v>
      </c>
      <c r="M541">
        <f t="shared" ca="1" si="173"/>
        <v>8.5979162859068925E-3</v>
      </c>
      <c r="N541">
        <f t="shared" ca="1" si="174"/>
        <v>0</v>
      </c>
      <c r="O541" s="47">
        <f t="shared" ca="1" si="175"/>
        <v>0</v>
      </c>
      <c r="P541">
        <f ca="1">Inputs!B14+(Inputs!D14-Inputs!B14)*BETAINV(RAND(),Model!H8,Model!I8)</f>
        <v>0.14012845867365292</v>
      </c>
      <c r="Q541">
        <f ca="1">Inputs!E14+(Inputs!G14-Inputs!E14)*BETAINV(RAND(),Model!J8,Model!K8)</f>
        <v>0.80903360794099544</v>
      </c>
      <c r="R541">
        <f ca="1">(Inputs!H14+(Inputs!J14-Inputs!H14)*BETAINV(RAND(),Model!L8,Model!M8))*Inputs!$C$6</f>
        <v>447602.28321054712</v>
      </c>
      <c r="S541">
        <f t="shared" ca="1" si="176"/>
        <v>0.11336863249595611</v>
      </c>
      <c r="T541">
        <f t="shared" ca="1" si="177"/>
        <v>0.73721005040782128</v>
      </c>
      <c r="U541">
        <f t="shared" ca="1" si="178"/>
        <v>0</v>
      </c>
      <c r="V541" s="47">
        <f t="shared" ca="1" si="179"/>
        <v>0</v>
      </c>
      <c r="W541">
        <f ca="1">Inputs!B15+(Inputs!D15-Inputs!B15)*BETAINV(RAND(),Model!H9,Model!I9)</f>
        <v>0.96113294903546453</v>
      </c>
      <c r="X541">
        <f ca="1">Inputs!E15+(Inputs!G15-Inputs!E15)*BETAINV(RAND(),Model!J9,Model!K9)</f>
        <v>0.61795433251458676</v>
      </c>
      <c r="Y541">
        <f ca="1">(Inputs!H15+(Inputs!J15-Inputs!H15)*BETAINV(RAND(),Model!L9,Model!M9))*Inputs!$C$6</f>
        <v>11551.176386468229</v>
      </c>
      <c r="Z541">
        <f t="shared" ca="1" si="180"/>
        <v>0.59393626997898685</v>
      </c>
      <c r="AA541">
        <f t="shared" ca="1" si="181"/>
        <v>0.39025043781762658</v>
      </c>
      <c r="AB541">
        <f t="shared" ca="1" si="182"/>
        <v>0</v>
      </c>
      <c r="AC541" s="47">
        <f t="shared" ca="1" si="183"/>
        <v>0</v>
      </c>
      <c r="AD541">
        <f ca="1">Inputs!B16+(Inputs!D16-Inputs!B16)*BETAINV(RAND(),Model!H10,Model!I10)</f>
        <v>0.58972611347965431</v>
      </c>
      <c r="AE541">
        <f ca="1">Inputs!E16+(Inputs!G16-Inputs!E16)*BETAINV(RAND(),Model!J10,Model!K10)</f>
        <v>0.6721837574377254</v>
      </c>
      <c r="AF541">
        <f ca="1">(Inputs!H16+(Inputs!J16-Inputs!H16)*BETAINV(RAND(),Model!L10,Model!M10))*Inputs!$C$6</f>
        <v>51901.973978497474</v>
      </c>
      <c r="AG541">
        <f t="shared" ca="1" si="184"/>
        <v>0.3964043148179005</v>
      </c>
      <c r="AH541">
        <f t="shared" ca="1" si="185"/>
        <v>0.84750199192997011</v>
      </c>
      <c r="AI541">
        <f t="shared" ca="1" si="186"/>
        <v>1</v>
      </c>
      <c r="AJ541" s="47">
        <f t="shared" ca="1" si="187"/>
        <v>51901.973978497474</v>
      </c>
      <c r="AK541">
        <f t="shared" ca="1" si="188"/>
        <v>99300.141452068914</v>
      </c>
    </row>
    <row r="542" spans="2:37" x14ac:dyDescent="0.2">
      <c r="B542">
        <f ca="1">Inputs!B12+(Inputs!D12-Inputs!B12)*BETAINV(RAND(),Model!H6,Model!I6)</f>
        <v>2.7465338054371111</v>
      </c>
      <c r="C542">
        <f ca="1">Inputs!E12+(Inputs!G12-Inputs!E12)*BETAINV(RAND(),Model!J6,Model!K6)</f>
        <v>0.2829121933847587</v>
      </c>
      <c r="D542">
        <f ca="1">(Inputs!H12+(Inputs!J12-Inputs!H12)*BETAINV(RAND(),Model!L6,Model!M6))*Inputs!$C$6</f>
        <v>28727.939005359574</v>
      </c>
      <c r="E542">
        <f t="shared" ca="1" si="168"/>
        <v>0.77702790310160119</v>
      </c>
      <c r="F542">
        <f t="shared" ca="1" si="169"/>
        <v>0.11996182717484505</v>
      </c>
      <c r="G542">
        <f t="shared" ca="1" si="170"/>
        <v>0</v>
      </c>
      <c r="H542" s="47">
        <f t="shared" ca="1" si="171"/>
        <v>0</v>
      </c>
      <c r="I542">
        <f ca="1">Inputs!B13+(Inputs!D13-Inputs!B13)*BETAINV(RAND(),Model!H7,Model!I7)</f>
        <v>2.5298746231149507</v>
      </c>
      <c r="J542">
        <f ca="1">Inputs!E13+(Inputs!G13-Inputs!E13)*BETAINV(RAND(),Model!J7,Model!K7)</f>
        <v>0.19006967014393161</v>
      </c>
      <c r="K542">
        <f ca="1">(Inputs!H13+(Inputs!J13-Inputs!H13)*BETAINV(RAND(),Model!L7,Model!M7))*Inputs!$C$6</f>
        <v>20379.908553724166</v>
      </c>
      <c r="L542">
        <f t="shared" ca="1" si="172"/>
        <v>0.48085243512096199</v>
      </c>
      <c r="M542">
        <f t="shared" ca="1" si="173"/>
        <v>0.75956386208587245</v>
      </c>
      <c r="N542">
        <f t="shared" ca="1" si="174"/>
        <v>1</v>
      </c>
      <c r="O542" s="47">
        <f t="shared" ca="1" si="175"/>
        <v>20379.908553724166</v>
      </c>
      <c r="P542">
        <f ca="1">Inputs!B14+(Inputs!D14-Inputs!B14)*BETAINV(RAND(),Model!H8,Model!I8)</f>
        <v>0.5978072456813619</v>
      </c>
      <c r="Q542">
        <f ca="1">Inputs!E14+(Inputs!G14-Inputs!E14)*BETAINV(RAND(),Model!J8,Model!K8)</f>
        <v>0.42060150893597281</v>
      </c>
      <c r="R542">
        <f ca="1">(Inputs!H14+(Inputs!J14-Inputs!H14)*BETAINV(RAND(),Model!L8,Model!M8))*Inputs!$C$6</f>
        <v>519103.04571333871</v>
      </c>
      <c r="S542">
        <f t="shared" ca="1" si="176"/>
        <v>0.25143862958643864</v>
      </c>
      <c r="T542">
        <f t="shared" ca="1" si="177"/>
        <v>0.67962881047072221</v>
      </c>
      <c r="U542">
        <f t="shared" ca="1" si="178"/>
        <v>0</v>
      </c>
      <c r="V542" s="47">
        <f t="shared" ca="1" si="179"/>
        <v>0</v>
      </c>
      <c r="W542">
        <f ca="1">Inputs!B15+(Inputs!D15-Inputs!B15)*BETAINV(RAND(),Model!H9,Model!I9)</f>
        <v>0.66511123936813421</v>
      </c>
      <c r="X542">
        <f ca="1">Inputs!E15+(Inputs!G15-Inputs!E15)*BETAINV(RAND(),Model!J9,Model!K9)</f>
        <v>0.5796130959075978</v>
      </c>
      <c r="Y542">
        <f ca="1">(Inputs!H15+(Inputs!J15-Inputs!H15)*BETAINV(RAND(),Model!L9,Model!M9))*Inputs!$C$6</f>
        <v>26475.715479149425</v>
      </c>
      <c r="Z542">
        <f t="shared" ca="1" si="180"/>
        <v>0.38550718457310362</v>
      </c>
      <c r="AA542">
        <f t="shared" ca="1" si="181"/>
        <v>0.23359381829613324</v>
      </c>
      <c r="AB542">
        <f t="shared" ca="1" si="182"/>
        <v>0</v>
      </c>
      <c r="AC542" s="47">
        <f t="shared" ca="1" si="183"/>
        <v>0</v>
      </c>
      <c r="AD542">
        <f ca="1">Inputs!B16+(Inputs!D16-Inputs!B16)*BETAINV(RAND(),Model!H10,Model!I10)</f>
        <v>0.84791071092249948</v>
      </c>
      <c r="AE542">
        <f ca="1">Inputs!E16+(Inputs!G16-Inputs!E16)*BETAINV(RAND(),Model!J10,Model!K10)</f>
        <v>0.69281476985379142</v>
      </c>
      <c r="AF542">
        <f ca="1">(Inputs!H16+(Inputs!J16-Inputs!H16)*BETAINV(RAND(),Model!L10,Model!M10))*Inputs!$C$6</f>
        <v>105136.74587700951</v>
      </c>
      <c r="AG542">
        <f t="shared" ca="1" si="184"/>
        <v>0.58744506404433616</v>
      </c>
      <c r="AH542">
        <f t="shared" ca="1" si="185"/>
        <v>0.77866008367480199</v>
      </c>
      <c r="AI542">
        <f t="shared" ca="1" si="186"/>
        <v>1</v>
      </c>
      <c r="AJ542" s="47">
        <f t="shared" ca="1" si="187"/>
        <v>105136.74587700951</v>
      </c>
      <c r="AK542">
        <f t="shared" ca="1" si="188"/>
        <v>125516.65443073367</v>
      </c>
    </row>
    <row r="543" spans="2:37" x14ac:dyDescent="0.2">
      <c r="B543">
        <f ca="1">Inputs!B12+(Inputs!D12-Inputs!B12)*BETAINV(RAND(),Model!H6,Model!I6)</f>
        <v>4.9361088618918245</v>
      </c>
      <c r="C543">
        <f ca="1">Inputs!E12+(Inputs!G12-Inputs!E12)*BETAINV(RAND(),Model!J6,Model!K6)</f>
        <v>0.20994377357793542</v>
      </c>
      <c r="D543">
        <f ca="1">(Inputs!H12+(Inputs!J12-Inputs!H12)*BETAINV(RAND(),Model!L6,Model!M6))*Inputs!$C$6</f>
        <v>37050.224277602625</v>
      </c>
      <c r="E543">
        <f t="shared" ca="1" si="168"/>
        <v>1.0363053212570577</v>
      </c>
      <c r="F543">
        <f t="shared" ca="1" si="169"/>
        <v>0.32116278415761423</v>
      </c>
      <c r="G543">
        <f t="shared" ca="1" si="170"/>
        <v>0</v>
      </c>
      <c r="H543" s="47">
        <f t="shared" ca="1" si="171"/>
        <v>0</v>
      </c>
      <c r="I543">
        <f ca="1">Inputs!B13+(Inputs!D13-Inputs!B13)*BETAINV(RAND(),Model!H7,Model!I7)</f>
        <v>1.0410529672046116</v>
      </c>
      <c r="J543">
        <f ca="1">Inputs!E13+(Inputs!G13-Inputs!E13)*BETAINV(RAND(),Model!J7,Model!K7)</f>
        <v>0.31733394330063647</v>
      </c>
      <c r="K543">
        <f ca="1">(Inputs!H13+(Inputs!J13-Inputs!H13)*BETAINV(RAND(),Model!L7,Model!M7))*Inputs!$C$6</f>
        <v>36748.024918116818</v>
      </c>
      <c r="L543">
        <f t="shared" ca="1" si="172"/>
        <v>0.33036144326786759</v>
      </c>
      <c r="M543">
        <f t="shared" ca="1" si="173"/>
        <v>0.43771986864682733</v>
      </c>
      <c r="N543">
        <f t="shared" ca="1" si="174"/>
        <v>0</v>
      </c>
      <c r="O543" s="47">
        <f t="shared" ca="1" si="175"/>
        <v>0</v>
      </c>
      <c r="P543">
        <f ca="1">Inputs!B14+(Inputs!D14-Inputs!B14)*BETAINV(RAND(),Model!H8,Model!I8)</f>
        <v>0.22460047013148993</v>
      </c>
      <c r="Q543">
        <f ca="1">Inputs!E14+(Inputs!G14-Inputs!E14)*BETAINV(RAND(),Model!J8,Model!K8)</f>
        <v>0.69099936989806654</v>
      </c>
      <c r="R543">
        <f ca="1">(Inputs!H14+(Inputs!J14-Inputs!H14)*BETAINV(RAND(),Model!L8,Model!M8))*Inputs!$C$6</f>
        <v>364660.82218090346</v>
      </c>
      <c r="S543">
        <f t="shared" ca="1" si="176"/>
        <v>0.15519878333966905</v>
      </c>
      <c r="T543">
        <f t="shared" ca="1" si="177"/>
        <v>0.24412941029758695</v>
      </c>
      <c r="U543">
        <f t="shared" ca="1" si="178"/>
        <v>0</v>
      </c>
      <c r="V543" s="47">
        <f t="shared" ca="1" si="179"/>
        <v>0</v>
      </c>
      <c r="W543">
        <f ca="1">Inputs!B15+(Inputs!D15-Inputs!B15)*BETAINV(RAND(),Model!H9,Model!I9)</f>
        <v>1.1509330008631367</v>
      </c>
      <c r="X543">
        <f ca="1">Inputs!E15+(Inputs!G15-Inputs!E15)*BETAINV(RAND(),Model!J9,Model!K9)</f>
        <v>0.58054683813021402</v>
      </c>
      <c r="Y543">
        <f ca="1">(Inputs!H15+(Inputs!J15-Inputs!H15)*BETAINV(RAND(),Model!L9,Model!M9))*Inputs!$C$6</f>
        <v>18736.854154947065</v>
      </c>
      <c r="Z543">
        <f t="shared" ca="1" si="180"/>
        <v>0.66817051455081289</v>
      </c>
      <c r="AA543">
        <f t="shared" ca="1" si="181"/>
        <v>0.49721841502969122</v>
      </c>
      <c r="AB543">
        <f t="shared" ca="1" si="182"/>
        <v>0</v>
      </c>
      <c r="AC543" s="47">
        <f t="shared" ca="1" si="183"/>
        <v>0</v>
      </c>
      <c r="AD543">
        <f ca="1">Inputs!B16+(Inputs!D16-Inputs!B16)*BETAINV(RAND(),Model!H10,Model!I10)</f>
        <v>0.6445248192410169</v>
      </c>
      <c r="AE543">
        <f ca="1">Inputs!E16+(Inputs!G16-Inputs!E16)*BETAINV(RAND(),Model!J10,Model!K10)</f>
        <v>0.52228481669033022</v>
      </c>
      <c r="AF543">
        <f ca="1">(Inputs!H16+(Inputs!J16-Inputs!H16)*BETAINV(RAND(),Model!L10,Model!M10))*Inputs!$C$6</f>
        <v>51937.632834748671</v>
      </c>
      <c r="AG543">
        <f t="shared" ca="1" si="184"/>
        <v>0.33662552706966276</v>
      </c>
      <c r="AH543">
        <f t="shared" ca="1" si="185"/>
        <v>0.94837902613268044</v>
      </c>
      <c r="AI543">
        <f t="shared" ca="1" si="186"/>
        <v>1</v>
      </c>
      <c r="AJ543" s="47">
        <f t="shared" ca="1" si="187"/>
        <v>51937.632834748671</v>
      </c>
      <c r="AK543">
        <f t="shared" ca="1" si="188"/>
        <v>51937.632834748671</v>
      </c>
    </row>
    <row r="544" spans="2:37" x14ac:dyDescent="0.2">
      <c r="B544">
        <f ca="1">Inputs!B12+(Inputs!D12-Inputs!B12)*BETAINV(RAND(),Model!H6,Model!I6)</f>
        <v>2.5907356824599499</v>
      </c>
      <c r="C544">
        <f ca="1">Inputs!E12+(Inputs!G12-Inputs!E12)*BETAINV(RAND(),Model!J6,Model!K6)</f>
        <v>0.36115328664463653</v>
      </c>
      <c r="D544">
        <f ca="1">(Inputs!H12+(Inputs!J12-Inputs!H12)*BETAINV(RAND(),Model!L6,Model!M6))*Inputs!$C$6</f>
        <v>28649.930324581124</v>
      </c>
      <c r="E544">
        <f t="shared" ca="1" si="168"/>
        <v>0.9356527065479463</v>
      </c>
      <c r="F544">
        <f t="shared" ca="1" si="169"/>
        <v>0.51992064244336589</v>
      </c>
      <c r="G544">
        <f t="shared" ca="1" si="170"/>
        <v>1</v>
      </c>
      <c r="H544" s="47">
        <f t="shared" ca="1" si="171"/>
        <v>28649.930324581124</v>
      </c>
      <c r="I544">
        <f ca="1">Inputs!B13+(Inputs!D13-Inputs!B13)*BETAINV(RAND(),Model!H7,Model!I7)</f>
        <v>2.8240477443125367</v>
      </c>
      <c r="J544">
        <f ca="1">Inputs!E13+(Inputs!G13-Inputs!E13)*BETAINV(RAND(),Model!J7,Model!K7)</f>
        <v>0.32220406132149848</v>
      </c>
      <c r="K544">
        <f ca="1">(Inputs!H13+(Inputs!J13-Inputs!H13)*BETAINV(RAND(),Model!L7,Model!M7))*Inputs!$C$6</f>
        <v>51047.110819463604</v>
      </c>
      <c r="L544">
        <f t="shared" ca="1" si="172"/>
        <v>0.90991965258331609</v>
      </c>
      <c r="M544">
        <f t="shared" ca="1" si="173"/>
        <v>0.8646828467915727</v>
      </c>
      <c r="N544">
        <f t="shared" ca="1" si="174"/>
        <v>2</v>
      </c>
      <c r="O544" s="47">
        <f t="shared" ca="1" si="175"/>
        <v>102094.22163892721</v>
      </c>
      <c r="P544">
        <f ca="1">Inputs!B14+(Inputs!D14-Inputs!B14)*BETAINV(RAND(),Model!H8,Model!I8)</f>
        <v>0.15442989881301172</v>
      </c>
      <c r="Q544">
        <f ca="1">Inputs!E14+(Inputs!G14-Inputs!E14)*BETAINV(RAND(),Model!J8,Model!K8)</f>
        <v>0.71819392252246961</v>
      </c>
      <c r="R544">
        <f ca="1">(Inputs!H14+(Inputs!J14-Inputs!H14)*BETAINV(RAND(),Model!L8,Model!M8))*Inputs!$C$6</f>
        <v>358021.51143248694</v>
      </c>
      <c r="S544">
        <f t="shared" ca="1" si="176"/>
        <v>0.11091061478326496</v>
      </c>
      <c r="T544">
        <f t="shared" ca="1" si="177"/>
        <v>0.22480105164205155</v>
      </c>
      <c r="U544">
        <f t="shared" ca="1" si="178"/>
        <v>0</v>
      </c>
      <c r="V544" s="47">
        <f t="shared" ca="1" si="179"/>
        <v>0</v>
      </c>
      <c r="W544">
        <f ca="1">Inputs!B15+(Inputs!D15-Inputs!B15)*BETAINV(RAND(),Model!H9,Model!I9)</f>
        <v>1.6378715813230629</v>
      </c>
      <c r="X544">
        <f ca="1">Inputs!E15+(Inputs!G15-Inputs!E15)*BETAINV(RAND(),Model!J9,Model!K9)</f>
        <v>0.39440159774822059</v>
      </c>
      <c r="Y544">
        <f ca="1">(Inputs!H15+(Inputs!J15-Inputs!H15)*BETAINV(RAND(),Model!L9,Model!M9))*Inputs!$C$6</f>
        <v>29730.904640611145</v>
      </c>
      <c r="Z544">
        <f t="shared" ca="1" si="180"/>
        <v>0.64597916858022064</v>
      </c>
      <c r="AA544">
        <f t="shared" ca="1" si="181"/>
        <v>0.63009421656808495</v>
      </c>
      <c r="AB544">
        <f t="shared" ca="1" si="182"/>
        <v>1</v>
      </c>
      <c r="AC544" s="47">
        <f t="shared" ca="1" si="183"/>
        <v>29730.904640611145</v>
      </c>
      <c r="AD544">
        <f ca="1">Inputs!B16+(Inputs!D16-Inputs!B16)*BETAINV(RAND(),Model!H10,Model!I10)</f>
        <v>0.90343516072551666</v>
      </c>
      <c r="AE544">
        <f ca="1">Inputs!E16+(Inputs!G16-Inputs!E16)*BETAINV(RAND(),Model!J10,Model!K10)</f>
        <v>0.69468373070455869</v>
      </c>
      <c r="AF544">
        <f ca="1">(Inputs!H16+(Inputs!J16-Inputs!H16)*BETAINV(RAND(),Model!L10,Model!M10))*Inputs!$C$6</f>
        <v>54018.27094551234</v>
      </c>
      <c r="AG544">
        <f t="shared" ca="1" si="184"/>
        <v>0.62760170790247449</v>
      </c>
      <c r="AH544">
        <f t="shared" ca="1" si="185"/>
        <v>0.75837855887667949</v>
      </c>
      <c r="AI544">
        <f t="shared" ca="1" si="186"/>
        <v>1</v>
      </c>
      <c r="AJ544" s="47">
        <f t="shared" ca="1" si="187"/>
        <v>54018.27094551234</v>
      </c>
      <c r="AK544">
        <f t="shared" ca="1" si="188"/>
        <v>214493.32754963182</v>
      </c>
    </row>
    <row r="545" spans="2:37" x14ac:dyDescent="0.2">
      <c r="B545">
        <f ca="1">Inputs!B12+(Inputs!D12-Inputs!B12)*BETAINV(RAND(),Model!H6,Model!I6)</f>
        <v>3.6159351550778291</v>
      </c>
      <c r="C545">
        <f ca="1">Inputs!E12+(Inputs!G12-Inputs!E12)*BETAINV(RAND(),Model!J6,Model!K6)</f>
        <v>0.31950534592608937</v>
      </c>
      <c r="D545">
        <f ca="1">(Inputs!H12+(Inputs!J12-Inputs!H12)*BETAINV(RAND(),Model!L6,Model!M6))*Inputs!$C$6</f>
        <v>28702.102155401433</v>
      </c>
      <c r="E545">
        <f t="shared" ca="1" si="168"/>
        <v>1.1553106125694494</v>
      </c>
      <c r="F545">
        <f t="shared" ca="1" si="169"/>
        <v>0.1312790924501237</v>
      </c>
      <c r="G545">
        <f t="shared" ca="1" si="170"/>
        <v>0</v>
      </c>
      <c r="H545" s="47">
        <f t="shared" ca="1" si="171"/>
        <v>0</v>
      </c>
      <c r="I545">
        <f ca="1">Inputs!B13+(Inputs!D13-Inputs!B13)*BETAINV(RAND(),Model!H7,Model!I7)</f>
        <v>2.1916620666645574</v>
      </c>
      <c r="J545">
        <f ca="1">Inputs!E13+(Inputs!G13-Inputs!E13)*BETAINV(RAND(),Model!J7,Model!K7)</f>
        <v>0.2876322568257752</v>
      </c>
      <c r="K545">
        <f ca="1">(Inputs!H13+(Inputs!J13-Inputs!H13)*BETAINV(RAND(),Model!L7,Model!M7))*Inputs!$C$6</f>
        <v>74533.21005763617</v>
      </c>
      <c r="L545">
        <f t="shared" ca="1" si="172"/>
        <v>0.63039270643416923</v>
      </c>
      <c r="M545">
        <f t="shared" ca="1" si="173"/>
        <v>0.96214625442651225</v>
      </c>
      <c r="N545">
        <f t="shared" ca="1" si="174"/>
        <v>2</v>
      </c>
      <c r="O545" s="47">
        <f t="shared" ca="1" si="175"/>
        <v>149066.42011527234</v>
      </c>
      <c r="P545">
        <f ca="1">Inputs!B14+(Inputs!D14-Inputs!B14)*BETAINV(RAND(),Model!H8,Model!I8)</f>
        <v>0.30741551581145876</v>
      </c>
      <c r="Q545">
        <f ca="1">Inputs!E14+(Inputs!G14-Inputs!E14)*BETAINV(RAND(),Model!J8,Model!K8)</f>
        <v>0.62243548096590406</v>
      </c>
      <c r="R545">
        <f ca="1">(Inputs!H14+(Inputs!J14-Inputs!H14)*BETAINV(RAND(),Model!L8,Model!M8))*Inputs!$C$6</f>
        <v>320661.25647276774</v>
      </c>
      <c r="S545">
        <f t="shared" ca="1" si="176"/>
        <v>0.19134632444048683</v>
      </c>
      <c r="T545">
        <f t="shared" ca="1" si="177"/>
        <v>0.54427085530943553</v>
      </c>
      <c r="U545">
        <f t="shared" ca="1" si="178"/>
        <v>0</v>
      </c>
      <c r="V545" s="47">
        <f t="shared" ca="1" si="179"/>
        <v>0</v>
      </c>
      <c r="W545">
        <f ca="1">Inputs!B15+(Inputs!D15-Inputs!B15)*BETAINV(RAND(),Model!H9,Model!I9)</f>
        <v>0.73747754187457026</v>
      </c>
      <c r="X545">
        <f ca="1">Inputs!E15+(Inputs!G15-Inputs!E15)*BETAINV(RAND(),Model!J9,Model!K9)</f>
        <v>0.47136418917471079</v>
      </c>
      <c r="Y545">
        <f ca="1">(Inputs!H15+(Inputs!J15-Inputs!H15)*BETAINV(RAND(),Model!L9,Model!M9))*Inputs!$C$6</f>
        <v>36766.397496015881</v>
      </c>
      <c r="Z545">
        <f t="shared" ca="1" si="180"/>
        <v>0.34762050356026564</v>
      </c>
      <c r="AA545">
        <f t="shared" ca="1" si="181"/>
        <v>0.73922417400400808</v>
      </c>
      <c r="AB545">
        <f t="shared" ca="1" si="182"/>
        <v>1</v>
      </c>
      <c r="AC545" s="47">
        <f t="shared" ca="1" si="183"/>
        <v>36766.397496015881</v>
      </c>
      <c r="AD545">
        <f ca="1">Inputs!B16+(Inputs!D16-Inputs!B16)*BETAINV(RAND(),Model!H10,Model!I10)</f>
        <v>0.4295866394353573</v>
      </c>
      <c r="AE545">
        <f ca="1">Inputs!E16+(Inputs!G16-Inputs!E16)*BETAINV(RAND(),Model!J10,Model!K10)</f>
        <v>0.48899725412989592</v>
      </c>
      <c r="AF545">
        <f ca="1">(Inputs!H16+(Inputs!J16-Inputs!H16)*BETAINV(RAND(),Model!L10,Model!M10))*Inputs!$C$6</f>
        <v>108816.34611260363</v>
      </c>
      <c r="AG545">
        <f t="shared" ca="1" si="184"/>
        <v>0.21006668709477938</v>
      </c>
      <c r="AH545">
        <f t="shared" ca="1" si="185"/>
        <v>0.36747660421446793</v>
      </c>
      <c r="AI545">
        <f t="shared" ca="1" si="186"/>
        <v>0</v>
      </c>
      <c r="AJ545" s="47">
        <f t="shared" ca="1" si="187"/>
        <v>0</v>
      </c>
      <c r="AK545">
        <f t="shared" ca="1" si="188"/>
        <v>185832.81761128822</v>
      </c>
    </row>
    <row r="546" spans="2:37" x14ac:dyDescent="0.2">
      <c r="B546">
        <f ca="1">Inputs!B12+(Inputs!D12-Inputs!B12)*BETAINV(RAND(),Model!H6,Model!I6)</f>
        <v>3.4907566297675734</v>
      </c>
      <c r="C546">
        <f ca="1">Inputs!E12+(Inputs!G12-Inputs!E12)*BETAINV(RAND(),Model!J6,Model!K6)</f>
        <v>0.41753878023763202</v>
      </c>
      <c r="D546">
        <f ca="1">(Inputs!H12+(Inputs!J12-Inputs!H12)*BETAINV(RAND(),Model!L6,Model!M6))*Inputs!$C$6</f>
        <v>49820.753258361889</v>
      </c>
      <c r="E546">
        <f t="shared" ca="1" si="168"/>
        <v>1.4575262652995797</v>
      </c>
      <c r="F546">
        <f t="shared" ca="1" si="169"/>
        <v>0.73464170598894363</v>
      </c>
      <c r="G546">
        <f t="shared" ca="1" si="170"/>
        <v>2</v>
      </c>
      <c r="H546" s="47">
        <f t="shared" ca="1" si="171"/>
        <v>99641.506516723777</v>
      </c>
      <c r="I546">
        <f ca="1">Inputs!B13+(Inputs!D13-Inputs!B13)*BETAINV(RAND(),Model!H7,Model!I7)</f>
        <v>3.2572461610792525</v>
      </c>
      <c r="J546">
        <f ca="1">Inputs!E13+(Inputs!G13-Inputs!E13)*BETAINV(RAND(),Model!J7,Model!K7)</f>
        <v>0.38274470731927923</v>
      </c>
      <c r="K546">
        <f ca="1">(Inputs!H13+(Inputs!J13-Inputs!H13)*BETAINV(RAND(),Model!L7,Model!M7))*Inputs!$C$6</f>
        <v>39229.717400501882</v>
      </c>
      <c r="L546">
        <f t="shared" ca="1" si="172"/>
        <v>1.2466937285891244</v>
      </c>
      <c r="M546">
        <f t="shared" ca="1" si="173"/>
        <v>0.56514610670304832</v>
      </c>
      <c r="N546">
        <f t="shared" ca="1" si="174"/>
        <v>1</v>
      </c>
      <c r="O546" s="47">
        <f t="shared" ca="1" si="175"/>
        <v>39229.717400501882</v>
      </c>
      <c r="P546">
        <f ca="1">Inputs!B14+(Inputs!D14-Inputs!B14)*BETAINV(RAND(),Model!H8,Model!I8)</f>
        <v>0.21674276359840849</v>
      </c>
      <c r="Q546">
        <f ca="1">Inputs!E14+(Inputs!G14-Inputs!E14)*BETAINV(RAND(),Model!J8,Model!K8)</f>
        <v>0.45060507866540522</v>
      </c>
      <c r="R546">
        <f ca="1">(Inputs!H14+(Inputs!J14-Inputs!H14)*BETAINV(RAND(),Model!L8,Model!M8))*Inputs!$C$6</f>
        <v>424363.55175040726</v>
      </c>
      <c r="S546">
        <f t="shared" ca="1" si="176"/>
        <v>9.7665390041418193E-2</v>
      </c>
      <c r="T546">
        <f t="shared" ca="1" si="177"/>
        <v>0.59067522934996508</v>
      </c>
      <c r="U546">
        <f t="shared" ca="1" si="178"/>
        <v>0</v>
      </c>
      <c r="V546" s="47">
        <f t="shared" ca="1" si="179"/>
        <v>0</v>
      </c>
      <c r="W546">
        <f ca="1">Inputs!B15+(Inputs!D15-Inputs!B15)*BETAINV(RAND(),Model!H9,Model!I9)</f>
        <v>1.4094588606840794</v>
      </c>
      <c r="X546">
        <f ca="1">Inputs!E15+(Inputs!G15-Inputs!E15)*BETAINV(RAND(),Model!J9,Model!K9)</f>
        <v>0.46581178307792881</v>
      </c>
      <c r="Y546">
        <f ca="1">(Inputs!H15+(Inputs!J15-Inputs!H15)*BETAINV(RAND(),Model!L9,Model!M9))*Inputs!$C$6</f>
        <v>17904.226904893847</v>
      </c>
      <c r="Z546">
        <f t="shared" ca="1" si="180"/>
        <v>0.65654254507023713</v>
      </c>
      <c r="AA546">
        <f t="shared" ca="1" si="181"/>
        <v>6.1042354200690374E-2</v>
      </c>
      <c r="AB546">
        <f t="shared" ca="1" si="182"/>
        <v>0</v>
      </c>
      <c r="AC546" s="47">
        <f t="shared" ca="1" si="183"/>
        <v>0</v>
      </c>
      <c r="AD546">
        <f ca="1">Inputs!B16+(Inputs!D16-Inputs!B16)*BETAINV(RAND(),Model!H10,Model!I10)</f>
        <v>0.99829089285048567</v>
      </c>
      <c r="AE546">
        <f ca="1">Inputs!E16+(Inputs!G16-Inputs!E16)*BETAINV(RAND(),Model!J10,Model!K10)</f>
        <v>0.67970107417324166</v>
      </c>
      <c r="AF546">
        <f ca="1">(Inputs!H16+(Inputs!J16-Inputs!H16)*BETAINV(RAND(),Model!L10,Model!M10))*Inputs!$C$6</f>
        <v>46361.757026256419</v>
      </c>
      <c r="AG546">
        <f t="shared" ca="1" si="184"/>
        <v>0.67853939220783965</v>
      </c>
      <c r="AH546">
        <f t="shared" ca="1" si="185"/>
        <v>0.249186351588771</v>
      </c>
      <c r="AI546">
        <f t="shared" ca="1" si="186"/>
        <v>0</v>
      </c>
      <c r="AJ546" s="47">
        <f t="shared" ca="1" si="187"/>
        <v>0</v>
      </c>
      <c r="AK546">
        <f t="shared" ca="1" si="188"/>
        <v>138871.22391722567</v>
      </c>
    </row>
    <row r="547" spans="2:37" x14ac:dyDescent="0.2">
      <c r="B547">
        <f ca="1">Inputs!B12+(Inputs!D12-Inputs!B12)*BETAINV(RAND(),Model!H6,Model!I6)</f>
        <v>1.5921912040254691</v>
      </c>
      <c r="C547">
        <f ca="1">Inputs!E12+(Inputs!G12-Inputs!E12)*BETAINV(RAND(),Model!J6,Model!K6)</f>
        <v>0.2691977231006969</v>
      </c>
      <c r="D547">
        <f ca="1">(Inputs!H12+(Inputs!J12-Inputs!H12)*BETAINV(RAND(),Model!L6,Model!M6))*Inputs!$C$6</f>
        <v>36186.55132141275</v>
      </c>
      <c r="E547">
        <f t="shared" ca="1" si="168"/>
        <v>0.42861424686461341</v>
      </c>
      <c r="F547">
        <f t="shared" ca="1" si="169"/>
        <v>0.7228217822671994</v>
      </c>
      <c r="G547">
        <f t="shared" ca="1" si="170"/>
        <v>1</v>
      </c>
      <c r="H547" s="47">
        <f t="shared" ca="1" si="171"/>
        <v>36186.55132141275</v>
      </c>
      <c r="I547">
        <f ca="1">Inputs!B13+(Inputs!D13-Inputs!B13)*BETAINV(RAND(),Model!H7,Model!I7)</f>
        <v>3.3322473767926701</v>
      </c>
      <c r="J547">
        <f ca="1">Inputs!E13+(Inputs!G13-Inputs!E13)*BETAINV(RAND(),Model!J7,Model!K7)</f>
        <v>0.33079253271779924</v>
      </c>
      <c r="K547">
        <f ca="1">(Inputs!H13+(Inputs!J13-Inputs!H13)*BETAINV(RAND(),Model!L7,Model!M7))*Inputs!$C$6</f>
        <v>26063.583820781118</v>
      </c>
      <c r="L547">
        <f t="shared" ca="1" si="172"/>
        <v>1.1022825494114901</v>
      </c>
      <c r="M547">
        <f t="shared" ca="1" si="173"/>
        <v>0.28034410111330432</v>
      </c>
      <c r="N547">
        <f t="shared" ca="1" si="174"/>
        <v>0</v>
      </c>
      <c r="O547" s="47">
        <f t="shared" ca="1" si="175"/>
        <v>0</v>
      </c>
      <c r="P547">
        <f ca="1">Inputs!B14+(Inputs!D14-Inputs!B14)*BETAINV(RAND(),Model!H8,Model!I8)</f>
        <v>0.36261321805974689</v>
      </c>
      <c r="Q547">
        <f ca="1">Inputs!E14+(Inputs!G14-Inputs!E14)*BETAINV(RAND(),Model!J8,Model!K8)</f>
        <v>0.48451519856471981</v>
      </c>
      <c r="R547">
        <f ca="1">(Inputs!H14+(Inputs!J14-Inputs!H14)*BETAINV(RAND(),Model!L8,Model!M8))*Inputs!$C$6</f>
        <v>407311.98703539459</v>
      </c>
      <c r="S547">
        <f t="shared" ca="1" si="176"/>
        <v>0.17569161535041031</v>
      </c>
      <c r="T547">
        <f t="shared" ca="1" si="177"/>
        <v>0.15154205655460096</v>
      </c>
      <c r="U547">
        <f t="shared" ca="1" si="178"/>
        <v>0</v>
      </c>
      <c r="V547" s="47">
        <f t="shared" ca="1" si="179"/>
        <v>0</v>
      </c>
      <c r="W547">
        <f ca="1">Inputs!B15+(Inputs!D15-Inputs!B15)*BETAINV(RAND(),Model!H9,Model!I9)</f>
        <v>1.4447459068443316</v>
      </c>
      <c r="X547">
        <f ca="1">Inputs!E15+(Inputs!G15-Inputs!E15)*BETAINV(RAND(),Model!J9,Model!K9)</f>
        <v>0.36779016438524414</v>
      </c>
      <c r="Y547">
        <f ca="1">(Inputs!H15+(Inputs!J15-Inputs!H15)*BETAINV(RAND(),Model!L9,Model!M9))*Inputs!$C$6</f>
        <v>43764.336458878992</v>
      </c>
      <c r="Z547">
        <f t="shared" ca="1" si="180"/>
        <v>0.5313633345731853</v>
      </c>
      <c r="AA547">
        <f t="shared" ca="1" si="181"/>
        <v>0.96642042334818035</v>
      </c>
      <c r="AB547">
        <f t="shared" ca="1" si="182"/>
        <v>2</v>
      </c>
      <c r="AC547" s="47">
        <f t="shared" ca="1" si="183"/>
        <v>87528.672917757984</v>
      </c>
      <c r="AD547">
        <f ca="1">Inputs!B16+(Inputs!D16-Inputs!B16)*BETAINV(RAND(),Model!H10,Model!I10)</f>
        <v>0.43543034904412509</v>
      </c>
      <c r="AE547">
        <f ca="1">Inputs!E16+(Inputs!G16-Inputs!E16)*BETAINV(RAND(),Model!J10,Model!K10)</f>
        <v>0.78163570689463657</v>
      </c>
      <c r="AF547">
        <f ca="1">(Inputs!H16+(Inputs!J16-Inputs!H16)*BETAINV(RAND(),Model!L10,Model!M10))*Inputs!$C$6</f>
        <v>47042.449990394707</v>
      </c>
      <c r="AG547">
        <f t="shared" ca="1" si="184"/>
        <v>0.34034790867848308</v>
      </c>
      <c r="AH547">
        <f t="shared" ca="1" si="185"/>
        <v>0.29397985657774539</v>
      </c>
      <c r="AI547">
        <f t="shared" ca="1" si="186"/>
        <v>0</v>
      </c>
      <c r="AJ547" s="47">
        <f t="shared" ca="1" si="187"/>
        <v>0</v>
      </c>
      <c r="AK547">
        <f t="shared" ca="1" si="188"/>
        <v>123715.22423917073</v>
      </c>
    </row>
    <row r="548" spans="2:37" x14ac:dyDescent="0.2">
      <c r="B548">
        <f ca="1">Inputs!B12+(Inputs!D12-Inputs!B12)*BETAINV(RAND(),Model!H6,Model!I6)</f>
        <v>5.8140576510328943</v>
      </c>
      <c r="C548">
        <f ca="1">Inputs!E12+(Inputs!G12-Inputs!E12)*BETAINV(RAND(),Model!J6,Model!K6)</f>
        <v>0.49304610652236625</v>
      </c>
      <c r="D548">
        <f ca="1">(Inputs!H12+(Inputs!J12-Inputs!H12)*BETAINV(RAND(),Model!L6,Model!M6))*Inputs!$C$6</f>
        <v>17032.441968720188</v>
      </c>
      <c r="E548">
        <f t="shared" ca="1" si="168"/>
        <v>2.8665984879383428</v>
      </c>
      <c r="F548">
        <f t="shared" ca="1" si="169"/>
        <v>0.34873824531001751</v>
      </c>
      <c r="G548">
        <f t="shared" ca="1" si="170"/>
        <v>2</v>
      </c>
      <c r="H548" s="47">
        <f t="shared" ca="1" si="171"/>
        <v>34064.883937440376</v>
      </c>
      <c r="I548">
        <f ca="1">Inputs!B13+(Inputs!D13-Inputs!B13)*BETAINV(RAND(),Model!H7,Model!I7)</f>
        <v>1.8539818234539989</v>
      </c>
      <c r="J548">
        <f ca="1">Inputs!E13+(Inputs!G13-Inputs!E13)*BETAINV(RAND(),Model!J7,Model!K7)</f>
        <v>0.33416297303695874</v>
      </c>
      <c r="K548">
        <f ca="1">(Inputs!H13+(Inputs!J13-Inputs!H13)*BETAINV(RAND(),Model!L7,Model!M7))*Inputs!$C$6</f>
        <v>54880.496757879831</v>
      </c>
      <c r="L548">
        <f t="shared" ca="1" si="172"/>
        <v>0.61953207808187027</v>
      </c>
      <c r="M548">
        <f t="shared" ca="1" si="173"/>
        <v>5.3466174452584836E-2</v>
      </c>
      <c r="N548">
        <f t="shared" ca="1" si="174"/>
        <v>0</v>
      </c>
      <c r="O548" s="47">
        <f t="shared" ca="1" si="175"/>
        <v>0</v>
      </c>
      <c r="P548">
        <f ca="1">Inputs!B14+(Inputs!D14-Inputs!B14)*BETAINV(RAND(),Model!H8,Model!I8)</f>
        <v>0.51789864912911165</v>
      </c>
      <c r="Q548">
        <f ca="1">Inputs!E14+(Inputs!G14-Inputs!E14)*BETAINV(RAND(),Model!J8,Model!K8)</f>
        <v>0.67125259421165051</v>
      </c>
      <c r="R548">
        <f ca="1">(Inputs!H14+(Inputs!J14-Inputs!H14)*BETAINV(RAND(),Model!L8,Model!M8))*Inputs!$C$6</f>
        <v>395018.90214716474</v>
      </c>
      <c r="S548">
        <f t="shared" ca="1" si="176"/>
        <v>0.34764081176662553</v>
      </c>
      <c r="T548">
        <f t="shared" ca="1" si="177"/>
        <v>4.5416343440898177E-2</v>
      </c>
      <c r="U548">
        <f t="shared" ca="1" si="178"/>
        <v>0</v>
      </c>
      <c r="V548" s="47">
        <f t="shared" ca="1" si="179"/>
        <v>0</v>
      </c>
      <c r="W548">
        <f ca="1">Inputs!B15+(Inputs!D15-Inputs!B15)*BETAINV(RAND(),Model!H9,Model!I9)</f>
        <v>1.4850992050171892</v>
      </c>
      <c r="X548">
        <f ca="1">Inputs!E15+(Inputs!G15-Inputs!E15)*BETAINV(RAND(),Model!J9,Model!K9)</f>
        <v>0.37844044921786424</v>
      </c>
      <c r="Y548">
        <f ca="1">(Inputs!H15+(Inputs!J15-Inputs!H15)*BETAINV(RAND(),Model!L9,Model!M9))*Inputs!$C$6</f>
        <v>36119.16743251327</v>
      </c>
      <c r="Z548">
        <f t="shared" ca="1" si="180"/>
        <v>0.56202161027979813</v>
      </c>
      <c r="AA548">
        <f t="shared" ca="1" si="181"/>
        <v>0.9079365991095204</v>
      </c>
      <c r="AB548">
        <f t="shared" ca="1" si="182"/>
        <v>2</v>
      </c>
      <c r="AC548" s="47">
        <f t="shared" ca="1" si="183"/>
        <v>72238.33486502654</v>
      </c>
      <c r="AD548">
        <f ca="1">Inputs!B16+(Inputs!D16-Inputs!B16)*BETAINV(RAND(),Model!H10,Model!I10)</f>
        <v>0.9597842886157717</v>
      </c>
      <c r="AE548">
        <f ca="1">Inputs!E16+(Inputs!G16-Inputs!E16)*BETAINV(RAND(),Model!J10,Model!K10)</f>
        <v>0.58661264723083151</v>
      </c>
      <c r="AF548">
        <f ca="1">(Inputs!H16+(Inputs!J16-Inputs!H16)*BETAINV(RAND(),Model!L10,Model!M10))*Inputs!$C$6</f>
        <v>47251.754869146716</v>
      </c>
      <c r="AG548">
        <f t="shared" ca="1" si="184"/>
        <v>0.56302160231545828</v>
      </c>
      <c r="AH548">
        <f t="shared" ca="1" si="185"/>
        <v>0.94609788384521321</v>
      </c>
      <c r="AI548">
        <f t="shared" ca="1" si="186"/>
        <v>2</v>
      </c>
      <c r="AJ548" s="47">
        <f t="shared" ca="1" si="187"/>
        <v>94503.509738293433</v>
      </c>
      <c r="AK548">
        <f t="shared" ca="1" si="188"/>
        <v>200806.72854076035</v>
      </c>
    </row>
    <row r="549" spans="2:37" x14ac:dyDescent="0.2">
      <c r="B549">
        <f ca="1">Inputs!B12+(Inputs!D12-Inputs!B12)*BETAINV(RAND(),Model!H6,Model!I6)</f>
        <v>1.8900108343856827</v>
      </c>
      <c r="C549">
        <f ca="1">Inputs!E12+(Inputs!G12-Inputs!E12)*BETAINV(RAND(),Model!J6,Model!K6)</f>
        <v>0.33964725731701073</v>
      </c>
      <c r="D549">
        <f ca="1">(Inputs!H12+(Inputs!J12-Inputs!H12)*BETAINV(RAND(),Model!L6,Model!M6))*Inputs!$C$6</f>
        <v>20940.410997321902</v>
      </c>
      <c r="E549">
        <f t="shared" ca="1" si="168"/>
        <v>0.64193699619853217</v>
      </c>
      <c r="F549">
        <f t="shared" ca="1" si="169"/>
        <v>0.65354379925807016</v>
      </c>
      <c r="G549">
        <f t="shared" ca="1" si="170"/>
        <v>1</v>
      </c>
      <c r="H549" s="47">
        <f t="shared" ca="1" si="171"/>
        <v>20940.410997321902</v>
      </c>
      <c r="I549">
        <f ca="1">Inputs!B13+(Inputs!D13-Inputs!B13)*BETAINV(RAND(),Model!H7,Model!I7)</f>
        <v>1.9712511614990644</v>
      </c>
      <c r="J549">
        <f ca="1">Inputs!E13+(Inputs!G13-Inputs!E13)*BETAINV(RAND(),Model!J7,Model!K7)</f>
        <v>0.12433008443846415</v>
      </c>
      <c r="K549">
        <f ca="1">(Inputs!H13+(Inputs!J13-Inputs!H13)*BETAINV(RAND(),Model!L7,Model!M7))*Inputs!$C$6</f>
        <v>72955.515011779848</v>
      </c>
      <c r="L549">
        <f t="shared" ca="1" si="172"/>
        <v>0.24508582335859921</v>
      </c>
      <c r="M549">
        <f t="shared" ca="1" si="173"/>
        <v>0.8160757501243322</v>
      </c>
      <c r="N549">
        <f t="shared" ca="1" si="174"/>
        <v>1</v>
      </c>
      <c r="O549" s="47">
        <f t="shared" ca="1" si="175"/>
        <v>72955.515011779848</v>
      </c>
      <c r="P549">
        <f ca="1">Inputs!B14+(Inputs!D14-Inputs!B14)*BETAINV(RAND(),Model!H8,Model!I8)</f>
        <v>0.26864380600665388</v>
      </c>
      <c r="Q549">
        <f ca="1">Inputs!E14+(Inputs!G14-Inputs!E14)*BETAINV(RAND(),Model!J8,Model!K8)</f>
        <v>0.81870100887699659</v>
      </c>
      <c r="R549">
        <f ca="1">(Inputs!H14+(Inputs!J14-Inputs!H14)*BETAINV(RAND(),Model!L8,Model!M8))*Inputs!$C$6</f>
        <v>370307.51282698626</v>
      </c>
      <c r="S549">
        <f t="shared" ca="1" si="176"/>
        <v>0.2199389550062037</v>
      </c>
      <c r="T549">
        <f t="shared" ca="1" si="177"/>
        <v>0.52440528171002931</v>
      </c>
      <c r="U549">
        <f t="shared" ca="1" si="178"/>
        <v>0</v>
      </c>
      <c r="V549" s="47">
        <f t="shared" ca="1" si="179"/>
        <v>0</v>
      </c>
      <c r="W549">
        <f ca="1">Inputs!B15+(Inputs!D15-Inputs!B15)*BETAINV(RAND(),Model!H9,Model!I9)</f>
        <v>0.79576237659323334</v>
      </c>
      <c r="X549">
        <f ca="1">Inputs!E15+(Inputs!G15-Inputs!E15)*BETAINV(RAND(),Model!J9,Model!K9)</f>
        <v>0.60499079060798677</v>
      </c>
      <c r="Y549">
        <f ca="1">(Inputs!H15+(Inputs!J15-Inputs!H15)*BETAINV(RAND(),Model!L9,Model!M9))*Inputs!$C$6</f>
        <v>26902.320751732976</v>
      </c>
      <c r="Z549">
        <f t="shared" ca="1" si="180"/>
        <v>0.48142890935123073</v>
      </c>
      <c r="AA549">
        <f t="shared" ca="1" si="181"/>
        <v>0.22496137925069015</v>
      </c>
      <c r="AB549">
        <f t="shared" ca="1" si="182"/>
        <v>0</v>
      </c>
      <c r="AC549" s="47">
        <f t="shared" ca="1" si="183"/>
        <v>0</v>
      </c>
      <c r="AD549">
        <f ca="1">Inputs!B16+(Inputs!D16-Inputs!B16)*BETAINV(RAND(),Model!H10,Model!I10)</f>
        <v>0.96665905911896854</v>
      </c>
      <c r="AE549">
        <f ca="1">Inputs!E16+(Inputs!G16-Inputs!E16)*BETAINV(RAND(),Model!J10,Model!K10)</f>
        <v>0.64906091622733364</v>
      </c>
      <c r="AF549">
        <f ca="1">(Inputs!H16+(Inputs!J16-Inputs!H16)*BETAINV(RAND(),Model!L10,Model!M10))*Inputs!$C$6</f>
        <v>46925.223678048118</v>
      </c>
      <c r="AG549">
        <f t="shared" ca="1" si="184"/>
        <v>0.62742061459121001</v>
      </c>
      <c r="AH549">
        <f t="shared" ca="1" si="185"/>
        <v>0.83520247078583976</v>
      </c>
      <c r="AI549">
        <f t="shared" ca="1" si="186"/>
        <v>1</v>
      </c>
      <c r="AJ549" s="47">
        <f t="shared" ca="1" si="187"/>
        <v>46925.223678048118</v>
      </c>
      <c r="AK549">
        <f t="shared" ca="1" si="188"/>
        <v>140821.14968714985</v>
      </c>
    </row>
    <row r="550" spans="2:37" x14ac:dyDescent="0.2">
      <c r="B550">
        <f ca="1">Inputs!B12+(Inputs!D12-Inputs!B12)*BETAINV(RAND(),Model!H6,Model!I6)</f>
        <v>3.7873381098068055</v>
      </c>
      <c r="C550">
        <f ca="1">Inputs!E12+(Inputs!G12-Inputs!E12)*BETAINV(RAND(),Model!J6,Model!K6)</f>
        <v>0.38353127018333644</v>
      </c>
      <c r="D550">
        <f ca="1">(Inputs!H12+(Inputs!J12-Inputs!H12)*BETAINV(RAND(),Model!L6,Model!M6))*Inputs!$C$6</f>
        <v>42082.254419365483</v>
      </c>
      <c r="E550">
        <f t="shared" ca="1" si="168"/>
        <v>1.4525625958679607</v>
      </c>
      <c r="F550">
        <f t="shared" ca="1" si="169"/>
        <v>0.10913982960822433</v>
      </c>
      <c r="G550">
        <f t="shared" ca="1" si="170"/>
        <v>0</v>
      </c>
      <c r="H550" s="47">
        <f t="shared" ca="1" si="171"/>
        <v>0</v>
      </c>
      <c r="I550">
        <f ca="1">Inputs!B13+(Inputs!D13-Inputs!B13)*BETAINV(RAND(),Model!H7,Model!I7)</f>
        <v>2.592993510723729</v>
      </c>
      <c r="J550">
        <f ca="1">Inputs!E13+(Inputs!G13-Inputs!E13)*BETAINV(RAND(),Model!J7,Model!K7)</f>
        <v>0.16898410525787438</v>
      </c>
      <c r="K550">
        <f ca="1">(Inputs!H13+(Inputs!J13-Inputs!H13)*BETAINV(RAND(),Model!L7,Model!M7))*Inputs!$C$6</f>
        <v>27780.632424853979</v>
      </c>
      <c r="L550">
        <f t="shared" ca="1" si="172"/>
        <v>0.43817468834912382</v>
      </c>
      <c r="M550">
        <f t="shared" ca="1" si="173"/>
        <v>0.78446485346870387</v>
      </c>
      <c r="N550">
        <f t="shared" ca="1" si="174"/>
        <v>1</v>
      </c>
      <c r="O550" s="47">
        <f t="shared" ca="1" si="175"/>
        <v>27780.632424853979</v>
      </c>
      <c r="P550">
        <f ca="1">Inputs!B14+(Inputs!D14-Inputs!B14)*BETAINV(RAND(),Model!H8,Model!I8)</f>
        <v>0.1299899218966574</v>
      </c>
      <c r="Q550">
        <f ca="1">Inputs!E14+(Inputs!G14-Inputs!E14)*BETAINV(RAND(),Model!J8,Model!K8)</f>
        <v>0.67328766325751976</v>
      </c>
      <c r="R550">
        <f ca="1">(Inputs!H14+(Inputs!J14-Inputs!H14)*BETAINV(RAND(),Model!L8,Model!M8))*Inputs!$C$6</f>
        <v>478305.59307636326</v>
      </c>
      <c r="S550">
        <f t="shared" ca="1" si="176"/>
        <v>8.7520610760827955E-2</v>
      </c>
      <c r="T550">
        <f t="shared" ca="1" si="177"/>
        <v>0.64071595640533741</v>
      </c>
      <c r="U550">
        <f t="shared" ca="1" si="178"/>
        <v>0</v>
      </c>
      <c r="V550" s="47">
        <f t="shared" ca="1" si="179"/>
        <v>0</v>
      </c>
      <c r="W550">
        <f ca="1">Inputs!B15+(Inputs!D15-Inputs!B15)*BETAINV(RAND(),Model!H9,Model!I9)</f>
        <v>1.0763378952269311</v>
      </c>
      <c r="X550">
        <f ca="1">Inputs!E15+(Inputs!G15-Inputs!E15)*BETAINV(RAND(),Model!J9,Model!K9)</f>
        <v>0.35446798334241991</v>
      </c>
      <c r="Y550">
        <f ca="1">(Inputs!H15+(Inputs!J15-Inputs!H15)*BETAINV(RAND(),Model!L9,Model!M9))*Inputs!$C$6</f>
        <v>15607.606098792266</v>
      </c>
      <c r="Z550">
        <f t="shared" ca="1" si="180"/>
        <v>0.38152732311611515</v>
      </c>
      <c r="AA550">
        <f t="shared" ca="1" si="181"/>
        <v>0.68126598106852554</v>
      </c>
      <c r="AB550">
        <f t="shared" ca="1" si="182"/>
        <v>0</v>
      </c>
      <c r="AC550" s="47">
        <f t="shared" ca="1" si="183"/>
        <v>0</v>
      </c>
      <c r="AD550">
        <f ca="1">Inputs!B16+(Inputs!D16-Inputs!B16)*BETAINV(RAND(),Model!H10,Model!I10)</f>
        <v>0.99838932163913396</v>
      </c>
      <c r="AE550">
        <f ca="1">Inputs!E16+(Inputs!G16-Inputs!E16)*BETAINV(RAND(),Model!J10,Model!K10)</f>
        <v>0.6109255488573746</v>
      </c>
      <c r="AF550">
        <f ca="1">(Inputs!H16+(Inputs!J16-Inputs!H16)*BETAINV(RAND(),Model!L10,Model!M10))*Inputs!$C$6</f>
        <v>98377.186758210722</v>
      </c>
      <c r="AG550">
        <f t="shared" ca="1" si="184"/>
        <v>0.60994154429572978</v>
      </c>
      <c r="AH550">
        <f t="shared" ca="1" si="185"/>
        <v>0.43660503497188918</v>
      </c>
      <c r="AI550">
        <f t="shared" ca="1" si="186"/>
        <v>0</v>
      </c>
      <c r="AJ550" s="47">
        <f t="shared" ca="1" si="187"/>
        <v>0</v>
      </c>
      <c r="AK550">
        <f t="shared" ca="1" si="188"/>
        <v>27780.632424853979</v>
      </c>
    </row>
    <row r="551" spans="2:37" x14ac:dyDescent="0.2">
      <c r="B551">
        <f ca="1">Inputs!B12+(Inputs!D12-Inputs!B12)*BETAINV(RAND(),Model!H6,Model!I6)</f>
        <v>1.4712986745886689</v>
      </c>
      <c r="C551">
        <f ca="1">Inputs!E12+(Inputs!G12-Inputs!E12)*BETAINV(RAND(),Model!J6,Model!K6)</f>
        <v>0.25231325194194643</v>
      </c>
      <c r="D551">
        <f ca="1">(Inputs!H12+(Inputs!J12-Inputs!H12)*BETAINV(RAND(),Model!L6,Model!M6))*Inputs!$C$6</f>
        <v>15981.15601860121</v>
      </c>
      <c r="E551">
        <f t="shared" ca="1" si="168"/>
        <v>0.37122815316334268</v>
      </c>
      <c r="F551">
        <f t="shared" ca="1" si="169"/>
        <v>0.13013833495535465</v>
      </c>
      <c r="G551">
        <f t="shared" ca="1" si="170"/>
        <v>0</v>
      </c>
      <c r="H551" s="47">
        <f t="shared" ca="1" si="171"/>
        <v>0</v>
      </c>
      <c r="I551">
        <f ca="1">Inputs!B13+(Inputs!D13-Inputs!B13)*BETAINV(RAND(),Model!H7,Model!I7)</f>
        <v>2.3508966459371177</v>
      </c>
      <c r="J551">
        <f ca="1">Inputs!E13+(Inputs!G13-Inputs!E13)*BETAINV(RAND(),Model!J7,Model!K7)</f>
        <v>0.18224202487195279</v>
      </c>
      <c r="K551">
        <f ca="1">(Inputs!H13+(Inputs!J13-Inputs!H13)*BETAINV(RAND(),Model!L7,Model!M7))*Inputs!$C$6</f>
        <v>53476.015425916507</v>
      </c>
      <c r="L551">
        <f t="shared" ca="1" si="172"/>
        <v>0.4284321650202626</v>
      </c>
      <c r="M551">
        <f t="shared" ca="1" si="173"/>
        <v>0.84822880902290188</v>
      </c>
      <c r="N551">
        <f t="shared" ca="1" si="174"/>
        <v>1</v>
      </c>
      <c r="O551" s="47">
        <f t="shared" ca="1" si="175"/>
        <v>53476.015425916507</v>
      </c>
      <c r="P551">
        <f ca="1">Inputs!B14+(Inputs!D14-Inputs!B14)*BETAINV(RAND(),Model!H8,Model!I8)</f>
        <v>0.29351967626742692</v>
      </c>
      <c r="Q551">
        <f ca="1">Inputs!E14+(Inputs!G14-Inputs!E14)*BETAINV(RAND(),Model!J8,Model!K8)</f>
        <v>0.49895837099827312</v>
      </c>
      <c r="R551">
        <f ca="1">(Inputs!H14+(Inputs!J14-Inputs!H14)*BETAINV(RAND(),Model!L8,Model!M8))*Inputs!$C$6</f>
        <v>330336.49671740289</v>
      </c>
      <c r="S551">
        <f t="shared" ca="1" si="176"/>
        <v>0.14645409952633581</v>
      </c>
      <c r="T551">
        <f t="shared" ca="1" si="177"/>
        <v>0.92053749415423314</v>
      </c>
      <c r="U551">
        <f t="shared" ca="1" si="178"/>
        <v>1</v>
      </c>
      <c r="V551" s="47">
        <f t="shared" ca="1" si="179"/>
        <v>330336.49671740289</v>
      </c>
      <c r="W551">
        <f ca="1">Inputs!B15+(Inputs!D15-Inputs!B15)*BETAINV(RAND(),Model!H9,Model!I9)</f>
        <v>1.1571740669162272</v>
      </c>
      <c r="X551">
        <f ca="1">Inputs!E15+(Inputs!G15-Inputs!E15)*BETAINV(RAND(),Model!J9,Model!K9)</f>
        <v>0.66824164500576833</v>
      </c>
      <c r="Y551">
        <f ca="1">(Inputs!H15+(Inputs!J15-Inputs!H15)*BETAINV(RAND(),Model!L9,Model!M9))*Inputs!$C$6</f>
        <v>23880.395269175009</v>
      </c>
      <c r="Z551">
        <f t="shared" ca="1" si="180"/>
        <v>0.77327190203411467</v>
      </c>
      <c r="AA551">
        <f t="shared" ca="1" si="181"/>
        <v>0.26564980518430215</v>
      </c>
      <c r="AB551">
        <f t="shared" ca="1" si="182"/>
        <v>0</v>
      </c>
      <c r="AC551" s="47">
        <f t="shared" ca="1" si="183"/>
        <v>0</v>
      </c>
      <c r="AD551">
        <f ca="1">Inputs!B16+(Inputs!D16-Inputs!B16)*BETAINV(RAND(),Model!H10,Model!I10)</f>
        <v>0.49291464800954476</v>
      </c>
      <c r="AE551">
        <f ca="1">Inputs!E16+(Inputs!G16-Inputs!E16)*BETAINV(RAND(),Model!J10,Model!K10)</f>
        <v>0.49227255280997018</v>
      </c>
      <c r="AF551">
        <f ca="1">(Inputs!H16+(Inputs!J16-Inputs!H16)*BETAINV(RAND(),Model!L10,Model!M10))*Inputs!$C$6</f>
        <v>78541.102941691948</v>
      </c>
      <c r="AG551">
        <f t="shared" ca="1" si="184"/>
        <v>0.24264835209308649</v>
      </c>
      <c r="AH551">
        <f t="shared" ca="1" si="185"/>
        <v>0.2368470646257913</v>
      </c>
      <c r="AI551">
        <f t="shared" ca="1" si="186"/>
        <v>0</v>
      </c>
      <c r="AJ551" s="47">
        <f t="shared" ca="1" si="187"/>
        <v>0</v>
      </c>
      <c r="AK551">
        <f t="shared" ca="1" si="188"/>
        <v>383812.51214331941</v>
      </c>
    </row>
    <row r="552" spans="2:37" x14ac:dyDescent="0.2">
      <c r="B552">
        <f ca="1">Inputs!B12+(Inputs!D12-Inputs!B12)*BETAINV(RAND(),Model!H6,Model!I6)</f>
        <v>5.0526042119551047</v>
      </c>
      <c r="C552">
        <f ca="1">Inputs!E12+(Inputs!G12-Inputs!E12)*BETAINV(RAND(),Model!J6,Model!K6)</f>
        <v>0.32832748339930312</v>
      </c>
      <c r="D552">
        <f ca="1">(Inputs!H12+(Inputs!J12-Inputs!H12)*BETAINV(RAND(),Model!L6,Model!M6))*Inputs!$C$6</f>
        <v>45161.737011231737</v>
      </c>
      <c r="E552">
        <f t="shared" ca="1" si="168"/>
        <v>1.6589088255239386</v>
      </c>
      <c r="F552">
        <f t="shared" ca="1" si="169"/>
        <v>4.1346005049775369E-2</v>
      </c>
      <c r="G552">
        <f t="shared" ca="1" si="170"/>
        <v>0</v>
      </c>
      <c r="H552" s="47">
        <f t="shared" ca="1" si="171"/>
        <v>0</v>
      </c>
      <c r="I552">
        <f ca="1">Inputs!B13+(Inputs!D13-Inputs!B13)*BETAINV(RAND(),Model!H7,Model!I7)</f>
        <v>1.2634145904091318</v>
      </c>
      <c r="J552">
        <f ca="1">Inputs!E13+(Inputs!G13-Inputs!E13)*BETAINV(RAND(),Model!J7,Model!K7)</f>
        <v>0.28716210068773396</v>
      </c>
      <c r="K552">
        <f ca="1">(Inputs!H13+(Inputs!J13-Inputs!H13)*BETAINV(RAND(),Model!L7,Model!M7))*Inputs!$C$6</f>
        <v>20704.436472322457</v>
      </c>
      <c r="L552">
        <f t="shared" ca="1" si="172"/>
        <v>0.36280478782141928</v>
      </c>
      <c r="M552">
        <f t="shared" ca="1" si="173"/>
        <v>0.70662260812687472</v>
      </c>
      <c r="N552">
        <f t="shared" ca="1" si="174"/>
        <v>1</v>
      </c>
      <c r="O552" s="47">
        <f t="shared" ca="1" si="175"/>
        <v>20704.436472322457</v>
      </c>
      <c r="P552">
        <f ca="1">Inputs!B14+(Inputs!D14-Inputs!B14)*BETAINV(RAND(),Model!H8,Model!I8)</f>
        <v>0.5212406307247015</v>
      </c>
      <c r="Q552">
        <f ca="1">Inputs!E14+(Inputs!G14-Inputs!E14)*BETAINV(RAND(),Model!J8,Model!K8)</f>
        <v>0.75030725103702645</v>
      </c>
      <c r="R552">
        <f ca="1">(Inputs!H14+(Inputs!J14-Inputs!H14)*BETAINV(RAND(),Model!L8,Model!M8))*Inputs!$C$6</f>
        <v>462060.10933302494</v>
      </c>
      <c r="S552">
        <f t="shared" ca="1" si="176"/>
        <v>0.39109062476785661</v>
      </c>
      <c r="T552">
        <f t="shared" ca="1" si="177"/>
        <v>0.52355950432828924</v>
      </c>
      <c r="U552">
        <f t="shared" ca="1" si="178"/>
        <v>0</v>
      </c>
      <c r="V552" s="47">
        <f t="shared" ca="1" si="179"/>
        <v>0</v>
      </c>
      <c r="W552">
        <f ca="1">Inputs!B15+(Inputs!D15-Inputs!B15)*BETAINV(RAND(),Model!H9,Model!I9)</f>
        <v>0.46614974967132961</v>
      </c>
      <c r="X552">
        <f ca="1">Inputs!E15+(Inputs!G15-Inputs!E15)*BETAINV(RAND(),Model!J9,Model!K9)</f>
        <v>0.3152220870915306</v>
      </c>
      <c r="Y552">
        <f ca="1">(Inputs!H15+(Inputs!J15-Inputs!H15)*BETAINV(RAND(),Model!L9,Model!M9))*Inputs!$C$6</f>
        <v>36302.073069266567</v>
      </c>
      <c r="Z552">
        <f t="shared" ca="1" si="180"/>
        <v>0.14694069698859105</v>
      </c>
      <c r="AA552">
        <f t="shared" ca="1" si="181"/>
        <v>0.46071861382148349</v>
      </c>
      <c r="AB552">
        <f t="shared" ca="1" si="182"/>
        <v>0</v>
      </c>
      <c r="AC552" s="47">
        <f t="shared" ca="1" si="183"/>
        <v>0</v>
      </c>
      <c r="AD552">
        <f ca="1">Inputs!B16+(Inputs!D16-Inputs!B16)*BETAINV(RAND(),Model!H10,Model!I10)</f>
        <v>0.70431159475741389</v>
      </c>
      <c r="AE552">
        <f ca="1">Inputs!E16+(Inputs!G16-Inputs!E16)*BETAINV(RAND(),Model!J10,Model!K10)</f>
        <v>0.688741310042566</v>
      </c>
      <c r="AF552">
        <f ca="1">(Inputs!H16+(Inputs!J16-Inputs!H16)*BETAINV(RAND(),Model!L10,Model!M10))*Inputs!$C$6</f>
        <v>67141.055881245687</v>
      </c>
      <c r="AG552">
        <f t="shared" ca="1" si="184"/>
        <v>0.48508849045139013</v>
      </c>
      <c r="AH552">
        <f t="shared" ca="1" si="185"/>
        <v>0.19201475038475468</v>
      </c>
      <c r="AI552">
        <f t="shared" ca="1" si="186"/>
        <v>0</v>
      </c>
      <c r="AJ552" s="47">
        <f t="shared" ca="1" si="187"/>
        <v>0</v>
      </c>
      <c r="AK552">
        <f t="shared" ca="1" si="188"/>
        <v>20704.436472322457</v>
      </c>
    </row>
    <row r="553" spans="2:37" x14ac:dyDescent="0.2">
      <c r="B553">
        <f ca="1">Inputs!B12+(Inputs!D12-Inputs!B12)*BETAINV(RAND(),Model!H6,Model!I6)</f>
        <v>1.6919131909804035</v>
      </c>
      <c r="C553">
        <f ca="1">Inputs!E12+(Inputs!G12-Inputs!E12)*BETAINV(RAND(),Model!J6,Model!K6)</f>
        <v>0.25111548409983375</v>
      </c>
      <c r="D553">
        <f ca="1">(Inputs!H12+(Inputs!J12-Inputs!H12)*BETAINV(RAND(),Model!L6,Model!M6))*Inputs!$C$6</f>
        <v>27786.215702927482</v>
      </c>
      <c r="E553">
        <f t="shared" ca="1" si="168"/>
        <v>0.42486560000793849</v>
      </c>
      <c r="F553">
        <f t="shared" ca="1" si="169"/>
        <v>0.12811743816670651</v>
      </c>
      <c r="G553">
        <f t="shared" ca="1" si="170"/>
        <v>0</v>
      </c>
      <c r="H553" s="47">
        <f t="shared" ca="1" si="171"/>
        <v>0</v>
      </c>
      <c r="I553">
        <f ca="1">Inputs!B13+(Inputs!D13-Inputs!B13)*BETAINV(RAND(),Model!H7,Model!I7)</f>
        <v>2.4269451586757587</v>
      </c>
      <c r="J553">
        <f ca="1">Inputs!E13+(Inputs!G13-Inputs!E13)*BETAINV(RAND(),Model!J7,Model!K7)</f>
        <v>0.33492140067406534</v>
      </c>
      <c r="K553">
        <f ca="1">(Inputs!H13+(Inputs!J13-Inputs!H13)*BETAINV(RAND(),Model!L7,Model!M7))*Inputs!$C$6</f>
        <v>35834.752010859011</v>
      </c>
      <c r="L553">
        <f t="shared" ca="1" si="172"/>
        <v>0.8128358719028268</v>
      </c>
      <c r="M553">
        <f t="shared" ca="1" si="173"/>
        <v>0.49645028906246436</v>
      </c>
      <c r="N553">
        <f t="shared" ca="1" si="174"/>
        <v>1</v>
      </c>
      <c r="O553" s="47">
        <f t="shared" ca="1" si="175"/>
        <v>35834.752010859011</v>
      </c>
      <c r="P553">
        <f ca="1">Inputs!B14+(Inputs!D14-Inputs!B14)*BETAINV(RAND(),Model!H8,Model!I8)</f>
        <v>0.40180306621489814</v>
      </c>
      <c r="Q553">
        <f ca="1">Inputs!E14+(Inputs!G14-Inputs!E14)*BETAINV(RAND(),Model!J8,Model!K8)</f>
        <v>0.48724993896337132</v>
      </c>
      <c r="R553">
        <f ca="1">(Inputs!H14+(Inputs!J14-Inputs!H14)*BETAINV(RAND(),Model!L8,Model!M8))*Inputs!$C$6</f>
        <v>499712.55995319231</v>
      </c>
      <c r="S553">
        <f t="shared" ca="1" si="176"/>
        <v>0.19577851948850455</v>
      </c>
      <c r="T553">
        <f t="shared" ca="1" si="177"/>
        <v>0.51596885122121627</v>
      </c>
      <c r="U553">
        <f t="shared" ca="1" si="178"/>
        <v>0</v>
      </c>
      <c r="V553" s="47">
        <f t="shared" ca="1" si="179"/>
        <v>0</v>
      </c>
      <c r="W553">
        <f ca="1">Inputs!B15+(Inputs!D15-Inputs!B15)*BETAINV(RAND(),Model!H9,Model!I9)</f>
        <v>1.3214896359272605</v>
      </c>
      <c r="X553">
        <f ca="1">Inputs!E15+(Inputs!G15-Inputs!E15)*BETAINV(RAND(),Model!J9,Model!K9)</f>
        <v>0.55186862849274931</v>
      </c>
      <c r="Y553">
        <f ca="1">(Inputs!H15+(Inputs!J15-Inputs!H15)*BETAINV(RAND(),Model!L9,Model!M9))*Inputs!$C$6</f>
        <v>38129.14481436104</v>
      </c>
      <c r="Z553">
        <f t="shared" ca="1" si="180"/>
        <v>0.72928867294655986</v>
      </c>
      <c r="AA553">
        <f t="shared" ca="1" si="181"/>
        <v>0.27459240894185744</v>
      </c>
      <c r="AB553">
        <f t="shared" ca="1" si="182"/>
        <v>0</v>
      </c>
      <c r="AC553" s="47">
        <f t="shared" ca="1" si="183"/>
        <v>0</v>
      </c>
      <c r="AD553">
        <f ca="1">Inputs!B16+(Inputs!D16-Inputs!B16)*BETAINV(RAND(),Model!H10,Model!I10)</f>
        <v>0.83729166874693872</v>
      </c>
      <c r="AE553">
        <f ca="1">Inputs!E16+(Inputs!G16-Inputs!E16)*BETAINV(RAND(),Model!J10,Model!K10)</f>
        <v>0.57260553759243482</v>
      </c>
      <c r="AF553">
        <f ca="1">(Inputs!H16+(Inputs!J16-Inputs!H16)*BETAINV(RAND(),Model!L10,Model!M10))*Inputs!$C$6</f>
        <v>119780.70250838815</v>
      </c>
      <c r="AG553">
        <f t="shared" ca="1" si="184"/>
        <v>0.47943784610450768</v>
      </c>
      <c r="AH553">
        <f t="shared" ca="1" si="185"/>
        <v>0.3356027680310083</v>
      </c>
      <c r="AI553">
        <f t="shared" ca="1" si="186"/>
        <v>0</v>
      </c>
      <c r="AJ553" s="47">
        <f t="shared" ca="1" si="187"/>
        <v>0</v>
      </c>
      <c r="AK553">
        <f t="shared" ca="1" si="188"/>
        <v>35834.752010859011</v>
      </c>
    </row>
    <row r="554" spans="2:37" x14ac:dyDescent="0.2">
      <c r="B554">
        <f ca="1">Inputs!B12+(Inputs!D12-Inputs!B12)*BETAINV(RAND(),Model!H6,Model!I6)</f>
        <v>2.0462785541917512</v>
      </c>
      <c r="C554">
        <f ca="1">Inputs!E12+(Inputs!G12-Inputs!E12)*BETAINV(RAND(),Model!J6,Model!K6)</f>
        <v>0.39440251408384414</v>
      </c>
      <c r="D554">
        <f ca="1">(Inputs!H12+(Inputs!J12-Inputs!H12)*BETAINV(RAND(),Model!L6,Model!M6))*Inputs!$C$6</f>
        <v>26565.434486331022</v>
      </c>
      <c r="E554">
        <f t="shared" ca="1" si="168"/>
        <v>0.8070574062890804</v>
      </c>
      <c r="F554">
        <f t="shared" ca="1" si="169"/>
        <v>0.33902711196838264</v>
      </c>
      <c r="G554">
        <f t="shared" ca="1" si="170"/>
        <v>0</v>
      </c>
      <c r="H554" s="47">
        <f t="shared" ca="1" si="171"/>
        <v>0</v>
      </c>
      <c r="I554">
        <f ca="1">Inputs!B13+(Inputs!D13-Inputs!B13)*BETAINV(RAND(),Model!H7,Model!I7)</f>
        <v>4.220338163580637</v>
      </c>
      <c r="J554">
        <f ca="1">Inputs!E13+(Inputs!G13-Inputs!E13)*BETAINV(RAND(),Model!J7,Model!K7)</f>
        <v>0.19688873148517511</v>
      </c>
      <c r="K554">
        <f ca="1">(Inputs!H13+(Inputs!J13-Inputs!H13)*BETAINV(RAND(),Model!L7,Model!M7))*Inputs!$C$6</f>
        <v>15434.837687743429</v>
      </c>
      <c r="L554">
        <f t="shared" ca="1" si="172"/>
        <v>0.83093702746586506</v>
      </c>
      <c r="M554">
        <f t="shared" ca="1" si="173"/>
        <v>0.5925097909199627</v>
      </c>
      <c r="N554">
        <f t="shared" ca="1" si="174"/>
        <v>1</v>
      </c>
      <c r="O554" s="47">
        <f t="shared" ca="1" si="175"/>
        <v>15434.837687743429</v>
      </c>
      <c r="P554">
        <f ca="1">Inputs!B14+(Inputs!D14-Inputs!B14)*BETAINV(RAND(),Model!H8,Model!I8)</f>
        <v>0.17934513613094993</v>
      </c>
      <c r="Q554">
        <f ca="1">Inputs!E14+(Inputs!G14-Inputs!E14)*BETAINV(RAND(),Model!J8,Model!K8)</f>
        <v>0.62116455193696463</v>
      </c>
      <c r="R554">
        <f ca="1">(Inputs!H14+(Inputs!J14-Inputs!H14)*BETAINV(RAND(),Model!L8,Model!M8))*Inputs!$C$6</f>
        <v>307406.77906870743</v>
      </c>
      <c r="S554">
        <f t="shared" ca="1" si="176"/>
        <v>0.11140284112685545</v>
      </c>
      <c r="T554">
        <f t="shared" ca="1" si="177"/>
        <v>0.70613802675173187</v>
      </c>
      <c r="U554">
        <f t="shared" ca="1" si="178"/>
        <v>0</v>
      </c>
      <c r="V554" s="47">
        <f t="shared" ca="1" si="179"/>
        <v>0</v>
      </c>
      <c r="W554">
        <f ca="1">Inputs!B15+(Inputs!D15-Inputs!B15)*BETAINV(RAND(),Model!H9,Model!I9)</f>
        <v>1.0053498614468503</v>
      </c>
      <c r="X554">
        <f ca="1">Inputs!E15+(Inputs!G15-Inputs!E15)*BETAINV(RAND(),Model!J9,Model!K9)</f>
        <v>0.35057271998610018</v>
      </c>
      <c r="Y554">
        <f ca="1">(Inputs!H15+(Inputs!J15-Inputs!H15)*BETAINV(RAND(),Model!L9,Model!M9))*Inputs!$C$6</f>
        <v>37706.232731924982</v>
      </c>
      <c r="Z554">
        <f t="shared" ca="1" si="180"/>
        <v>0.35244823546507126</v>
      </c>
      <c r="AA554">
        <f t="shared" ca="1" si="181"/>
        <v>0.15921034262316947</v>
      </c>
      <c r="AB554">
        <f t="shared" ca="1" si="182"/>
        <v>0</v>
      </c>
      <c r="AC554" s="47">
        <f t="shared" ca="1" si="183"/>
        <v>0</v>
      </c>
      <c r="AD554">
        <f ca="1">Inputs!B16+(Inputs!D16-Inputs!B16)*BETAINV(RAND(),Model!H10,Model!I10)</f>
        <v>0.64133398507860706</v>
      </c>
      <c r="AE554">
        <f ca="1">Inputs!E16+(Inputs!G16-Inputs!E16)*BETAINV(RAND(),Model!J10,Model!K10)</f>
        <v>0.68956093493753134</v>
      </c>
      <c r="AF554">
        <f ca="1">(Inputs!H16+(Inputs!J16-Inputs!H16)*BETAINV(RAND(),Model!L10,Model!M10))*Inputs!$C$6</f>
        <v>51211.702132157363</v>
      </c>
      <c r="AG554">
        <f t="shared" ca="1" si="184"/>
        <v>0.44223886235801707</v>
      </c>
      <c r="AH554">
        <f t="shared" ca="1" si="185"/>
        <v>0.39303430879785228</v>
      </c>
      <c r="AI554">
        <f t="shared" ca="1" si="186"/>
        <v>0</v>
      </c>
      <c r="AJ554" s="47">
        <f t="shared" ca="1" si="187"/>
        <v>0</v>
      </c>
      <c r="AK554">
        <f t="shared" ca="1" si="188"/>
        <v>15434.837687743429</v>
      </c>
    </row>
    <row r="555" spans="2:37" x14ac:dyDescent="0.2">
      <c r="B555">
        <f ca="1">Inputs!B12+(Inputs!D12-Inputs!B12)*BETAINV(RAND(),Model!H6,Model!I6)</f>
        <v>2.4291278949752488</v>
      </c>
      <c r="C555">
        <f ca="1">Inputs!E12+(Inputs!G12-Inputs!E12)*BETAINV(RAND(),Model!J6,Model!K6)</f>
        <v>0.34808179599283962</v>
      </c>
      <c r="D555">
        <f ca="1">(Inputs!H12+(Inputs!J12-Inputs!H12)*BETAINV(RAND(),Model!L6,Model!M6))*Inputs!$C$6</f>
        <v>10510.952307491027</v>
      </c>
      <c r="E555">
        <f t="shared" ca="1" si="168"/>
        <v>0.84553520037929053</v>
      </c>
      <c r="F555">
        <f t="shared" ca="1" si="169"/>
        <v>0.20738635121544802</v>
      </c>
      <c r="G555">
        <f t="shared" ca="1" si="170"/>
        <v>0</v>
      </c>
      <c r="H555" s="47">
        <f t="shared" ca="1" si="171"/>
        <v>0</v>
      </c>
      <c r="I555">
        <f ca="1">Inputs!B13+(Inputs!D13-Inputs!B13)*BETAINV(RAND(),Model!H7,Model!I7)</f>
        <v>0.79530583930401466</v>
      </c>
      <c r="J555">
        <f ca="1">Inputs!E13+(Inputs!G13-Inputs!E13)*BETAINV(RAND(),Model!J7,Model!K7)</f>
        <v>0.25361167979555177</v>
      </c>
      <c r="K555">
        <f ca="1">(Inputs!H13+(Inputs!J13-Inputs!H13)*BETAINV(RAND(),Model!L7,Model!M7))*Inputs!$C$6</f>
        <v>62153.356948718159</v>
      </c>
      <c r="L555">
        <f t="shared" ca="1" si="172"/>
        <v>0.20169884985710232</v>
      </c>
      <c r="M555">
        <f t="shared" ca="1" si="173"/>
        <v>0.65565228993382574</v>
      </c>
      <c r="N555">
        <f t="shared" ca="1" si="174"/>
        <v>0</v>
      </c>
      <c r="O555" s="47">
        <f t="shared" ca="1" si="175"/>
        <v>0</v>
      </c>
      <c r="P555">
        <f ca="1">Inputs!B14+(Inputs!D14-Inputs!B14)*BETAINV(RAND(),Model!H8,Model!I8)</f>
        <v>0.33359880216639276</v>
      </c>
      <c r="Q555">
        <f ca="1">Inputs!E14+(Inputs!G14-Inputs!E14)*BETAINV(RAND(),Model!J8,Model!K8)</f>
        <v>0.48195743834146676</v>
      </c>
      <c r="R555">
        <f ca="1">(Inputs!H14+(Inputs!J14-Inputs!H14)*BETAINV(RAND(),Model!L8,Model!M8))*Inputs!$C$6</f>
        <v>351492.16416226019</v>
      </c>
      <c r="S555">
        <f t="shared" ca="1" si="176"/>
        <v>0.16078042412589641</v>
      </c>
      <c r="T555">
        <f t="shared" ca="1" si="177"/>
        <v>0.12531136663706044</v>
      </c>
      <c r="U555">
        <f t="shared" ca="1" si="178"/>
        <v>0</v>
      </c>
      <c r="V555" s="47">
        <f t="shared" ca="1" si="179"/>
        <v>0</v>
      </c>
      <c r="W555">
        <f ca="1">Inputs!B15+(Inputs!D15-Inputs!B15)*BETAINV(RAND(),Model!H9,Model!I9)</f>
        <v>1.10702146036021</v>
      </c>
      <c r="X555">
        <f ca="1">Inputs!E15+(Inputs!G15-Inputs!E15)*BETAINV(RAND(),Model!J9,Model!K9)</f>
        <v>0.34566802165723864</v>
      </c>
      <c r="Y555">
        <f ca="1">(Inputs!H15+(Inputs!J15-Inputs!H15)*BETAINV(RAND(),Model!L9,Model!M9))*Inputs!$C$6</f>
        <v>39216.268645414173</v>
      </c>
      <c r="Z555">
        <f t="shared" ca="1" si="180"/>
        <v>0.38266191813482103</v>
      </c>
      <c r="AA555">
        <f t="shared" ca="1" si="181"/>
        <v>8.185855223191596E-2</v>
      </c>
      <c r="AB555">
        <f t="shared" ca="1" si="182"/>
        <v>0</v>
      </c>
      <c r="AC555" s="47">
        <f t="shared" ca="1" si="183"/>
        <v>0</v>
      </c>
      <c r="AD555">
        <f ca="1">Inputs!B16+(Inputs!D16-Inputs!B16)*BETAINV(RAND(),Model!H10,Model!I10)</f>
        <v>1.0853544810879223</v>
      </c>
      <c r="AE555">
        <f ca="1">Inputs!E16+(Inputs!G16-Inputs!E16)*BETAINV(RAND(),Model!J10,Model!K10)</f>
        <v>0.64718574538179219</v>
      </c>
      <c r="AF555">
        <f ca="1">(Inputs!H16+(Inputs!J16-Inputs!H16)*BETAINV(RAND(),Model!L10,Model!M10))*Inputs!$C$6</f>
        <v>113960.67083037214</v>
      </c>
      <c r="AG555">
        <f t="shared" ca="1" si="184"/>
        <v>0.70242594884635523</v>
      </c>
      <c r="AH555">
        <f t="shared" ca="1" si="185"/>
        <v>0.83877274059373574</v>
      </c>
      <c r="AI555">
        <f t="shared" ca="1" si="186"/>
        <v>1</v>
      </c>
      <c r="AJ555" s="47">
        <f t="shared" ca="1" si="187"/>
        <v>113960.67083037214</v>
      </c>
      <c r="AK555">
        <f t="shared" ca="1" si="188"/>
        <v>113960.67083037214</v>
      </c>
    </row>
    <row r="556" spans="2:37" x14ac:dyDescent="0.2">
      <c r="B556">
        <f ca="1">Inputs!B12+(Inputs!D12-Inputs!B12)*BETAINV(RAND(),Model!H6,Model!I6)</f>
        <v>3.4539212725153159</v>
      </c>
      <c r="C556">
        <f ca="1">Inputs!E12+(Inputs!G12-Inputs!E12)*BETAINV(RAND(),Model!J6,Model!K6)</f>
        <v>0.37913334980321389</v>
      </c>
      <c r="D556">
        <f ca="1">(Inputs!H12+(Inputs!J12-Inputs!H12)*BETAINV(RAND(),Model!L6,Model!M6))*Inputs!$C$6</f>
        <v>15412.568091432704</v>
      </c>
      <c r="E556">
        <f t="shared" ca="1" si="168"/>
        <v>1.309496742005311</v>
      </c>
      <c r="F556">
        <f t="shared" ca="1" si="169"/>
        <v>0.46316388309393175</v>
      </c>
      <c r="G556">
        <f t="shared" ca="1" si="170"/>
        <v>1</v>
      </c>
      <c r="H556" s="47">
        <f t="shared" ca="1" si="171"/>
        <v>15412.568091432704</v>
      </c>
      <c r="I556">
        <f ca="1">Inputs!B13+(Inputs!D13-Inputs!B13)*BETAINV(RAND(),Model!H7,Model!I7)</f>
        <v>1.8815044735574111</v>
      </c>
      <c r="J556">
        <f ca="1">Inputs!E13+(Inputs!G13-Inputs!E13)*BETAINV(RAND(),Model!J7,Model!K7)</f>
        <v>0.2678828049016273</v>
      </c>
      <c r="K556">
        <f ca="1">(Inputs!H13+(Inputs!J13-Inputs!H13)*BETAINV(RAND(),Model!L7,Model!M7))*Inputs!$C$6</f>
        <v>34476.878154897408</v>
      </c>
      <c r="L556">
        <f t="shared" ca="1" si="172"/>
        <v>0.50402269581151893</v>
      </c>
      <c r="M556">
        <f t="shared" ca="1" si="173"/>
        <v>0.16778824797919045</v>
      </c>
      <c r="N556">
        <f t="shared" ca="1" si="174"/>
        <v>0</v>
      </c>
      <c r="O556" s="47">
        <f t="shared" ca="1" si="175"/>
        <v>0</v>
      </c>
      <c r="P556">
        <f ca="1">Inputs!B14+(Inputs!D14-Inputs!B14)*BETAINV(RAND(),Model!H8,Model!I8)</f>
        <v>0.34924737464776912</v>
      </c>
      <c r="Q556">
        <f ca="1">Inputs!E14+(Inputs!G14-Inputs!E14)*BETAINV(RAND(),Model!J8,Model!K8)</f>
        <v>0.77934378178800134</v>
      </c>
      <c r="R556">
        <f ca="1">(Inputs!H14+(Inputs!J14-Inputs!H14)*BETAINV(RAND(),Model!L8,Model!M8))*Inputs!$C$6</f>
        <v>407998.89201299677</v>
      </c>
      <c r="S556">
        <f t="shared" ca="1" si="176"/>
        <v>0.27218376973752334</v>
      </c>
      <c r="T556">
        <f t="shared" ca="1" si="177"/>
        <v>0.22047690615779192</v>
      </c>
      <c r="U556">
        <f t="shared" ca="1" si="178"/>
        <v>0</v>
      </c>
      <c r="V556" s="47">
        <f t="shared" ca="1" si="179"/>
        <v>0</v>
      </c>
      <c r="W556">
        <f ca="1">Inputs!B15+(Inputs!D15-Inputs!B15)*BETAINV(RAND(),Model!H9,Model!I9)</f>
        <v>0.77406334224930795</v>
      </c>
      <c r="X556">
        <f ca="1">Inputs!E15+(Inputs!G15-Inputs!E15)*BETAINV(RAND(),Model!J9,Model!K9)</f>
        <v>0.39786859305977779</v>
      </c>
      <c r="Y556">
        <f ca="1">(Inputs!H15+(Inputs!J15-Inputs!H15)*BETAINV(RAND(),Model!L9,Model!M9))*Inputs!$C$6</f>
        <v>27928.645413094346</v>
      </c>
      <c r="Z556">
        <f t="shared" ca="1" si="180"/>
        <v>0.30797549291988141</v>
      </c>
      <c r="AA556">
        <f t="shared" ca="1" si="181"/>
        <v>0.57047470076437379</v>
      </c>
      <c r="AB556">
        <f t="shared" ca="1" si="182"/>
        <v>0</v>
      </c>
      <c r="AC556" s="47">
        <f t="shared" ca="1" si="183"/>
        <v>0</v>
      </c>
      <c r="AD556">
        <f ca="1">Inputs!B16+(Inputs!D16-Inputs!B16)*BETAINV(RAND(),Model!H10,Model!I10)</f>
        <v>0.61274102418248133</v>
      </c>
      <c r="AE556">
        <f ca="1">Inputs!E16+(Inputs!G16-Inputs!E16)*BETAINV(RAND(),Model!J10,Model!K10)</f>
        <v>0.65639462807780014</v>
      </c>
      <c r="AF556">
        <f ca="1">(Inputs!H16+(Inputs!J16-Inputs!H16)*BETAINV(RAND(),Model!L10,Model!M10))*Inputs!$C$6</f>
        <v>73139.836663016802</v>
      </c>
      <c r="AG556">
        <f t="shared" ca="1" si="184"/>
        <v>0.4021999166762702</v>
      </c>
      <c r="AH556">
        <f t="shared" ca="1" si="185"/>
        <v>0.78433970792433594</v>
      </c>
      <c r="AI556">
        <f t="shared" ca="1" si="186"/>
        <v>1</v>
      </c>
      <c r="AJ556" s="47">
        <f t="shared" ca="1" si="187"/>
        <v>73139.836663016802</v>
      </c>
      <c r="AK556">
        <f t="shared" ca="1" si="188"/>
        <v>88552.404754449512</v>
      </c>
    </row>
    <row r="557" spans="2:37" x14ac:dyDescent="0.2">
      <c r="B557">
        <f ca="1">Inputs!B12+(Inputs!D12-Inputs!B12)*BETAINV(RAND(),Model!H6,Model!I6)</f>
        <v>5.1056066016853823</v>
      </c>
      <c r="C557">
        <f ca="1">Inputs!E12+(Inputs!G12-Inputs!E12)*BETAINV(RAND(),Model!J6,Model!K6)</f>
        <v>0.27031463679865153</v>
      </c>
      <c r="D557">
        <f ca="1">(Inputs!H12+(Inputs!J12-Inputs!H12)*BETAINV(RAND(),Model!L6,Model!M6))*Inputs!$C$6</f>
        <v>10181.145681783657</v>
      </c>
      <c r="E557">
        <f t="shared" ca="1" si="168"/>
        <v>1.3801201941713817</v>
      </c>
      <c r="F557">
        <f t="shared" ca="1" si="169"/>
        <v>0.28143299431330648</v>
      </c>
      <c r="G557">
        <f t="shared" ca="1" si="170"/>
        <v>1</v>
      </c>
      <c r="H557" s="47">
        <f t="shared" ca="1" si="171"/>
        <v>10181.145681783657</v>
      </c>
      <c r="I557">
        <f ca="1">Inputs!B13+(Inputs!D13-Inputs!B13)*BETAINV(RAND(),Model!H7,Model!I7)</f>
        <v>1.7035160669022458</v>
      </c>
      <c r="J557">
        <f ca="1">Inputs!E13+(Inputs!G13-Inputs!E13)*BETAINV(RAND(),Model!J7,Model!K7)</f>
        <v>0.27876646047871045</v>
      </c>
      <c r="K557">
        <f ca="1">(Inputs!H13+(Inputs!J13-Inputs!H13)*BETAINV(RAND(),Model!L7,Model!M7))*Inputs!$C$6</f>
        <v>56428.146205942772</v>
      </c>
      <c r="L557">
        <f t="shared" ca="1" si="172"/>
        <v>0.47488314433895318</v>
      </c>
      <c r="M557">
        <f t="shared" ca="1" si="173"/>
        <v>0.26499463204040152</v>
      </c>
      <c r="N557">
        <f t="shared" ca="1" si="174"/>
        <v>0</v>
      </c>
      <c r="O557" s="47">
        <f t="shared" ca="1" si="175"/>
        <v>0</v>
      </c>
      <c r="P557">
        <f ca="1">Inputs!B14+(Inputs!D14-Inputs!B14)*BETAINV(RAND(),Model!H8,Model!I8)</f>
        <v>0.21007766217400581</v>
      </c>
      <c r="Q557">
        <f ca="1">Inputs!E14+(Inputs!G14-Inputs!E14)*BETAINV(RAND(),Model!J8,Model!K8)</f>
        <v>0.8456897415641873</v>
      </c>
      <c r="R557">
        <f ca="1">(Inputs!H14+(Inputs!J14-Inputs!H14)*BETAINV(RAND(),Model!L8,Model!M8))*Inputs!$C$6</f>
        <v>379794.84409658716</v>
      </c>
      <c r="S557">
        <f t="shared" ca="1" si="176"/>
        <v>0.17766052383234363</v>
      </c>
      <c r="T557">
        <f t="shared" ca="1" si="177"/>
        <v>0.96334994758723036</v>
      </c>
      <c r="U557">
        <f t="shared" ca="1" si="178"/>
        <v>1</v>
      </c>
      <c r="V557" s="47">
        <f t="shared" ca="1" si="179"/>
        <v>379794.84409658716</v>
      </c>
      <c r="W557">
        <f ca="1">Inputs!B15+(Inputs!D15-Inputs!B15)*BETAINV(RAND(),Model!H9,Model!I9)</f>
        <v>0.77609218059600504</v>
      </c>
      <c r="X557">
        <f ca="1">Inputs!E15+(Inputs!G15-Inputs!E15)*BETAINV(RAND(),Model!J9,Model!K9)</f>
        <v>0.44063319742875151</v>
      </c>
      <c r="Y557">
        <f ca="1">(Inputs!H15+(Inputs!J15-Inputs!H15)*BETAINV(RAND(),Model!L9,Model!M9))*Inputs!$C$6</f>
        <v>25434.575456398579</v>
      </c>
      <c r="Z557">
        <f t="shared" ca="1" si="180"/>
        <v>0.34197197903546978</v>
      </c>
      <c r="AA557">
        <f t="shared" ca="1" si="181"/>
        <v>0.90472045363285669</v>
      </c>
      <c r="AB557">
        <f t="shared" ca="1" si="182"/>
        <v>1</v>
      </c>
      <c r="AC557" s="47">
        <f t="shared" ca="1" si="183"/>
        <v>25434.575456398579</v>
      </c>
      <c r="AD557">
        <f ca="1">Inputs!B16+(Inputs!D16-Inputs!B16)*BETAINV(RAND(),Model!H10,Model!I10)</f>
        <v>0.63798317845318309</v>
      </c>
      <c r="AE557">
        <f ca="1">Inputs!E16+(Inputs!G16-Inputs!E16)*BETAINV(RAND(),Model!J10,Model!K10)</f>
        <v>0.47931920486155166</v>
      </c>
      <c r="AF557">
        <f ca="1">(Inputs!H16+(Inputs!J16-Inputs!H16)*BETAINV(RAND(),Model!L10,Model!M10))*Inputs!$C$6</f>
        <v>127223.28644899532</v>
      </c>
      <c r="AG557">
        <f t="shared" ca="1" si="184"/>
        <v>0.30579758981122512</v>
      </c>
      <c r="AH557">
        <f t="shared" ca="1" si="185"/>
        <v>0.25078367816869973</v>
      </c>
      <c r="AI557">
        <f t="shared" ca="1" si="186"/>
        <v>0</v>
      </c>
      <c r="AJ557" s="47">
        <f t="shared" ca="1" si="187"/>
        <v>0</v>
      </c>
      <c r="AK557">
        <f t="shared" ca="1" si="188"/>
        <v>415410.56523476943</v>
      </c>
    </row>
    <row r="558" spans="2:37" x14ac:dyDescent="0.2">
      <c r="B558">
        <f ca="1">Inputs!B12+(Inputs!D12-Inputs!B12)*BETAINV(RAND(),Model!H6,Model!I6)</f>
        <v>2.7133993257813018</v>
      </c>
      <c r="C558">
        <f ca="1">Inputs!E12+(Inputs!G12-Inputs!E12)*BETAINV(RAND(),Model!J6,Model!K6)</f>
        <v>0.29009387775623791</v>
      </c>
      <c r="D558">
        <f ca="1">(Inputs!H12+(Inputs!J12-Inputs!H12)*BETAINV(RAND(),Model!L6,Model!M6))*Inputs!$C$6</f>
        <v>28922.934884005739</v>
      </c>
      <c r="E558">
        <f t="shared" ca="1" si="168"/>
        <v>0.78714053231705927</v>
      </c>
      <c r="F558">
        <f t="shared" ca="1" si="169"/>
        <v>0.82473971762155496</v>
      </c>
      <c r="G558">
        <f t="shared" ca="1" si="170"/>
        <v>2</v>
      </c>
      <c r="H558" s="47">
        <f t="shared" ca="1" si="171"/>
        <v>57845.869768011478</v>
      </c>
      <c r="I558">
        <f ca="1">Inputs!B13+(Inputs!D13-Inputs!B13)*BETAINV(RAND(),Model!H7,Model!I7)</f>
        <v>2.2834068653176511</v>
      </c>
      <c r="J558">
        <f ca="1">Inputs!E13+(Inputs!G13-Inputs!E13)*BETAINV(RAND(),Model!J7,Model!K7)</f>
        <v>0.22737406731280554</v>
      </c>
      <c r="K558">
        <f ca="1">(Inputs!H13+(Inputs!J13-Inputs!H13)*BETAINV(RAND(),Model!L7,Model!M7))*Inputs!$C$6</f>
        <v>25084.808719902005</v>
      </c>
      <c r="L558">
        <f t="shared" ca="1" si="172"/>
        <v>0.51918750629725796</v>
      </c>
      <c r="M558">
        <f t="shared" ca="1" si="173"/>
        <v>0.25896078131670386</v>
      </c>
      <c r="N558">
        <f t="shared" ca="1" si="174"/>
        <v>0</v>
      </c>
      <c r="O558" s="47">
        <f t="shared" ca="1" si="175"/>
        <v>0</v>
      </c>
      <c r="P558">
        <f ca="1">Inputs!B14+(Inputs!D14-Inputs!B14)*BETAINV(RAND(),Model!H8,Model!I8)</f>
        <v>0.13808650713457166</v>
      </c>
      <c r="Q558">
        <f ca="1">Inputs!E14+(Inputs!G14-Inputs!E14)*BETAINV(RAND(),Model!J8,Model!K8)</f>
        <v>0.60701297305378388</v>
      </c>
      <c r="R558">
        <f ca="1">(Inputs!H14+(Inputs!J14-Inputs!H14)*BETAINV(RAND(),Model!L8,Model!M8))*Inputs!$C$6</f>
        <v>322891.49729780859</v>
      </c>
      <c r="S558">
        <f t="shared" ca="1" si="176"/>
        <v>8.3820301234368885E-2</v>
      </c>
      <c r="T558">
        <f t="shared" ca="1" si="177"/>
        <v>0.17627110080027342</v>
      </c>
      <c r="U558">
        <f t="shared" ca="1" si="178"/>
        <v>0</v>
      </c>
      <c r="V558" s="47">
        <f t="shared" ca="1" si="179"/>
        <v>0</v>
      </c>
      <c r="W558">
        <f ca="1">Inputs!B15+(Inputs!D15-Inputs!B15)*BETAINV(RAND(),Model!H9,Model!I9)</f>
        <v>1.0017539566982647</v>
      </c>
      <c r="X558">
        <f ca="1">Inputs!E15+(Inputs!G15-Inputs!E15)*BETAINV(RAND(),Model!J9,Model!K9)</f>
        <v>0.5911732577025357</v>
      </c>
      <c r="Y558">
        <f ca="1">(Inputs!H15+(Inputs!J15-Inputs!H15)*BETAINV(RAND(),Model!L9,Model!M9))*Inputs!$C$6</f>
        <v>33493.921264596203</v>
      </c>
      <c r="Z558">
        <f t="shared" ca="1" si="180"/>
        <v>0.59221014999771804</v>
      </c>
      <c r="AA558">
        <f t="shared" ca="1" si="181"/>
        <v>0.52942030711749188</v>
      </c>
      <c r="AB558">
        <f t="shared" ca="1" si="182"/>
        <v>0</v>
      </c>
      <c r="AC558" s="47">
        <f t="shared" ca="1" si="183"/>
        <v>0</v>
      </c>
      <c r="AD558">
        <f ca="1">Inputs!B16+(Inputs!D16-Inputs!B16)*BETAINV(RAND(),Model!H10,Model!I10)</f>
        <v>0.41355027531492067</v>
      </c>
      <c r="AE558">
        <f ca="1">Inputs!E16+(Inputs!G16-Inputs!E16)*BETAINV(RAND(),Model!J10,Model!K10)</f>
        <v>0.54042669030297918</v>
      </c>
      <c r="AF558">
        <f ca="1">(Inputs!H16+(Inputs!J16-Inputs!H16)*BETAINV(RAND(),Model!L10,Model!M10))*Inputs!$C$6</f>
        <v>71386.870591579951</v>
      </c>
      <c r="AG558">
        <f t="shared" ca="1" si="184"/>
        <v>0.22349360656232842</v>
      </c>
      <c r="AH558">
        <f t="shared" ca="1" si="185"/>
        <v>0.10131043946787077</v>
      </c>
      <c r="AI558">
        <f t="shared" ca="1" si="186"/>
        <v>0</v>
      </c>
      <c r="AJ558" s="47">
        <f t="shared" ca="1" si="187"/>
        <v>0</v>
      </c>
      <c r="AK558">
        <f t="shared" ca="1" si="188"/>
        <v>57845.869768011478</v>
      </c>
    </row>
    <row r="559" spans="2:37" x14ac:dyDescent="0.2">
      <c r="B559">
        <f ca="1">Inputs!B12+(Inputs!D12-Inputs!B12)*BETAINV(RAND(),Model!H6,Model!I6)</f>
        <v>2.0935275252117194</v>
      </c>
      <c r="C559">
        <f ca="1">Inputs!E12+(Inputs!G12-Inputs!E12)*BETAINV(RAND(),Model!J6,Model!K6)</f>
        <v>0.28223264577152107</v>
      </c>
      <c r="D559">
        <f ca="1">(Inputs!H12+(Inputs!J12-Inputs!H12)*BETAINV(RAND(),Model!L6,Model!M6))*Inputs!$C$6</f>
        <v>36784.501157004888</v>
      </c>
      <c r="E559">
        <f t="shared" ca="1" si="168"/>
        <v>0.59086181243600833</v>
      </c>
      <c r="F559">
        <f t="shared" ca="1" si="169"/>
        <v>0.77608935506460142</v>
      </c>
      <c r="G559">
        <f t="shared" ca="1" si="170"/>
        <v>1</v>
      </c>
      <c r="H559" s="47">
        <f t="shared" ca="1" si="171"/>
        <v>36784.501157004888</v>
      </c>
      <c r="I559">
        <f ca="1">Inputs!B13+(Inputs!D13-Inputs!B13)*BETAINV(RAND(),Model!H7,Model!I7)</f>
        <v>3.5717366202853471</v>
      </c>
      <c r="J559">
        <f ca="1">Inputs!E13+(Inputs!G13-Inputs!E13)*BETAINV(RAND(),Model!J7,Model!K7)</f>
        <v>0.19232331490812807</v>
      </c>
      <c r="K559">
        <f ca="1">(Inputs!H13+(Inputs!J13-Inputs!H13)*BETAINV(RAND(),Model!L7,Model!M7))*Inputs!$C$6</f>
        <v>51395.295153070183</v>
      </c>
      <c r="L559">
        <f t="shared" ca="1" si="172"/>
        <v>0.6869282267920318</v>
      </c>
      <c r="M559">
        <f t="shared" ca="1" si="173"/>
        <v>4.4674945575936542E-2</v>
      </c>
      <c r="N559">
        <f t="shared" ca="1" si="174"/>
        <v>0</v>
      </c>
      <c r="O559" s="47">
        <f t="shared" ca="1" si="175"/>
        <v>0</v>
      </c>
      <c r="P559">
        <f ca="1">Inputs!B14+(Inputs!D14-Inputs!B14)*BETAINV(RAND(),Model!H8,Model!I8)</f>
        <v>0.45490931044553873</v>
      </c>
      <c r="Q559">
        <f ca="1">Inputs!E14+(Inputs!G14-Inputs!E14)*BETAINV(RAND(),Model!J8,Model!K8)</f>
        <v>0.45792768913120585</v>
      </c>
      <c r="R559">
        <f ca="1">(Inputs!H14+(Inputs!J14-Inputs!H14)*BETAINV(RAND(),Model!L8,Model!M8))*Inputs!$C$6</f>
        <v>321761.3213644817</v>
      </c>
      <c r="S559">
        <f t="shared" ca="1" si="176"/>
        <v>0.20831556929659586</v>
      </c>
      <c r="T559">
        <f t="shared" ca="1" si="177"/>
        <v>0.184018489992124</v>
      </c>
      <c r="U559">
        <f t="shared" ca="1" si="178"/>
        <v>0</v>
      </c>
      <c r="V559" s="47">
        <f t="shared" ca="1" si="179"/>
        <v>0</v>
      </c>
      <c r="W559">
        <f ca="1">Inputs!B15+(Inputs!D15-Inputs!B15)*BETAINV(RAND(),Model!H9,Model!I9)</f>
        <v>1.2614722727563172</v>
      </c>
      <c r="X559">
        <f ca="1">Inputs!E15+(Inputs!G15-Inputs!E15)*BETAINV(RAND(),Model!J9,Model!K9)</f>
        <v>0.46447454928529669</v>
      </c>
      <c r="Y559">
        <f ca="1">(Inputs!H15+(Inputs!J15-Inputs!H15)*BETAINV(RAND(),Model!L9,Model!M9))*Inputs!$C$6</f>
        <v>41033.186586988537</v>
      </c>
      <c r="Z559">
        <f t="shared" ca="1" si="180"/>
        <v>0.58592176532438933</v>
      </c>
      <c r="AA559">
        <f t="shared" ca="1" si="181"/>
        <v>0.14891288550103643</v>
      </c>
      <c r="AB559">
        <f t="shared" ca="1" si="182"/>
        <v>0</v>
      </c>
      <c r="AC559" s="47">
        <f t="shared" ca="1" si="183"/>
        <v>0</v>
      </c>
      <c r="AD559">
        <f ca="1">Inputs!B16+(Inputs!D16-Inputs!B16)*BETAINV(RAND(),Model!H10,Model!I10)</f>
        <v>0.37535986321151915</v>
      </c>
      <c r="AE559">
        <f ca="1">Inputs!E16+(Inputs!G16-Inputs!E16)*BETAINV(RAND(),Model!J10,Model!K10)</f>
        <v>0.687029359173013</v>
      </c>
      <c r="AF559">
        <f ca="1">(Inputs!H16+(Inputs!J16-Inputs!H16)*BETAINV(RAND(),Model!L10,Model!M10))*Inputs!$C$6</f>
        <v>77554.466826078788</v>
      </c>
      <c r="AG559">
        <f t="shared" ca="1" si="184"/>
        <v>0.25788324628147979</v>
      </c>
      <c r="AH559">
        <f t="shared" ca="1" si="185"/>
        <v>0.74577370586748093</v>
      </c>
      <c r="AI559">
        <f t="shared" ca="1" si="186"/>
        <v>0</v>
      </c>
      <c r="AJ559" s="47">
        <f t="shared" ca="1" si="187"/>
        <v>0</v>
      </c>
      <c r="AK559">
        <f t="shared" ca="1" si="188"/>
        <v>36784.501157004888</v>
      </c>
    </row>
    <row r="560" spans="2:37" x14ac:dyDescent="0.2">
      <c r="B560">
        <f ca="1">Inputs!B12+(Inputs!D12-Inputs!B12)*BETAINV(RAND(),Model!H6,Model!I6)</f>
        <v>2.2544897051916113</v>
      </c>
      <c r="C560">
        <f ca="1">Inputs!E12+(Inputs!G12-Inputs!E12)*BETAINV(RAND(),Model!J6,Model!K6)</f>
        <v>0.44836093802248844</v>
      </c>
      <c r="D560">
        <f ca="1">(Inputs!H12+(Inputs!J12-Inputs!H12)*BETAINV(RAND(),Model!L6,Model!M6))*Inputs!$C$6</f>
        <v>37867.393992241719</v>
      </c>
      <c r="E560">
        <f t="shared" ca="1" si="168"/>
        <v>1.0108251189817543</v>
      </c>
      <c r="F560">
        <f t="shared" ca="1" si="169"/>
        <v>0.38879142793664323</v>
      </c>
      <c r="G560">
        <f t="shared" ca="1" si="170"/>
        <v>1</v>
      </c>
      <c r="H560" s="47">
        <f t="shared" ca="1" si="171"/>
        <v>37867.393992241719</v>
      </c>
      <c r="I560">
        <f ca="1">Inputs!B13+(Inputs!D13-Inputs!B13)*BETAINV(RAND(),Model!H7,Model!I7)</f>
        <v>2.3527963719201317</v>
      </c>
      <c r="J560">
        <f ca="1">Inputs!E13+(Inputs!G13-Inputs!E13)*BETAINV(RAND(),Model!J7,Model!K7)</f>
        <v>0.33970852257556394</v>
      </c>
      <c r="K560">
        <f ca="1">(Inputs!H13+(Inputs!J13-Inputs!H13)*BETAINV(RAND(),Model!L7,Model!M7))*Inputs!$C$6</f>
        <v>13981.413293219299</v>
      </c>
      <c r="L560">
        <f t="shared" ca="1" si="172"/>
        <v>0.79926497942613495</v>
      </c>
      <c r="M560">
        <f t="shared" ca="1" si="173"/>
        <v>0.38312443289627651</v>
      </c>
      <c r="N560">
        <f t="shared" ca="1" si="174"/>
        <v>0</v>
      </c>
      <c r="O560" s="47">
        <f t="shared" ca="1" si="175"/>
        <v>0</v>
      </c>
      <c r="P560">
        <f ca="1">Inputs!B14+(Inputs!D14-Inputs!B14)*BETAINV(RAND(),Model!H8,Model!I8)</f>
        <v>0.4605198272516644</v>
      </c>
      <c r="Q560">
        <f ca="1">Inputs!E14+(Inputs!G14-Inputs!E14)*BETAINV(RAND(),Model!J8,Model!K8)</f>
        <v>0.48766889660384016</v>
      </c>
      <c r="R560">
        <f ca="1">(Inputs!H14+(Inputs!J14-Inputs!H14)*BETAINV(RAND(),Model!L8,Model!M8))*Inputs!$C$6</f>
        <v>365955.36152822047</v>
      </c>
      <c r="S560">
        <f t="shared" ca="1" si="176"/>
        <v>0.22458119602001025</v>
      </c>
      <c r="T560">
        <f t="shared" ca="1" si="177"/>
        <v>0.20298191030001722</v>
      </c>
      <c r="U560">
        <f t="shared" ca="1" si="178"/>
        <v>0</v>
      </c>
      <c r="V560" s="47">
        <f t="shared" ca="1" si="179"/>
        <v>0</v>
      </c>
      <c r="W560">
        <f ca="1">Inputs!B15+(Inputs!D15-Inputs!B15)*BETAINV(RAND(),Model!H9,Model!I9)</f>
        <v>0.61627422965654399</v>
      </c>
      <c r="X560">
        <f ca="1">Inputs!E15+(Inputs!G15-Inputs!E15)*BETAINV(RAND(),Model!J9,Model!K9)</f>
        <v>0.52193160296810048</v>
      </c>
      <c r="Y560">
        <f ca="1">(Inputs!H15+(Inputs!J15-Inputs!H15)*BETAINV(RAND(),Model!L9,Model!M9))*Inputs!$C$6</f>
        <v>25869.999296716389</v>
      </c>
      <c r="Z560">
        <f t="shared" ca="1" si="180"/>
        <v>0.32165299655257129</v>
      </c>
      <c r="AA560">
        <f t="shared" ca="1" si="181"/>
        <v>0.40534102978069897</v>
      </c>
      <c r="AB560">
        <f t="shared" ca="1" si="182"/>
        <v>0</v>
      </c>
      <c r="AC560" s="47">
        <f t="shared" ca="1" si="183"/>
        <v>0</v>
      </c>
      <c r="AD560">
        <f ca="1">Inputs!B16+(Inputs!D16-Inputs!B16)*BETAINV(RAND(),Model!H10,Model!I10)</f>
        <v>0.29140514132494805</v>
      </c>
      <c r="AE560">
        <f ca="1">Inputs!E16+(Inputs!G16-Inputs!E16)*BETAINV(RAND(),Model!J10,Model!K10)</f>
        <v>0.72544407763530971</v>
      </c>
      <c r="AF560">
        <f ca="1">(Inputs!H16+(Inputs!J16-Inputs!H16)*BETAINV(RAND(),Model!L10,Model!M10))*Inputs!$C$6</f>
        <v>53668.359718533618</v>
      </c>
      <c r="AG560">
        <f t="shared" ca="1" si="184"/>
        <v>0.21139813396666401</v>
      </c>
      <c r="AH560">
        <f t="shared" ca="1" si="185"/>
        <v>0.41561758353421208</v>
      </c>
      <c r="AI560">
        <f t="shared" ca="1" si="186"/>
        <v>0</v>
      </c>
      <c r="AJ560" s="47">
        <f t="shared" ca="1" si="187"/>
        <v>0</v>
      </c>
      <c r="AK560">
        <f t="shared" ca="1" si="188"/>
        <v>37867.393992241719</v>
      </c>
    </row>
    <row r="561" spans="2:37" x14ac:dyDescent="0.2">
      <c r="B561">
        <f ca="1">Inputs!B12+(Inputs!D12-Inputs!B12)*BETAINV(RAND(),Model!H6,Model!I6)</f>
        <v>4.734645174407202</v>
      </c>
      <c r="C561">
        <f ca="1">Inputs!E12+(Inputs!G12-Inputs!E12)*BETAINV(RAND(),Model!J6,Model!K6)</f>
        <v>0.33519611159488349</v>
      </c>
      <c r="D561">
        <f ca="1">(Inputs!H12+(Inputs!J12-Inputs!H12)*BETAINV(RAND(),Model!L6,Model!M6))*Inputs!$C$6</f>
        <v>20181.310724997449</v>
      </c>
      <c r="E561">
        <f t="shared" ca="1" si="168"/>
        <v>1.5870346522427732</v>
      </c>
      <c r="F561">
        <f t="shared" ca="1" si="169"/>
        <v>0.72248561930011035</v>
      </c>
      <c r="G561">
        <f t="shared" ca="1" si="170"/>
        <v>2</v>
      </c>
      <c r="H561" s="47">
        <f t="shared" ca="1" si="171"/>
        <v>40362.621449994898</v>
      </c>
      <c r="I561">
        <f ca="1">Inputs!B13+(Inputs!D13-Inputs!B13)*BETAINV(RAND(),Model!H7,Model!I7)</f>
        <v>1.0126047907793203</v>
      </c>
      <c r="J561">
        <f ca="1">Inputs!E13+(Inputs!G13-Inputs!E13)*BETAINV(RAND(),Model!J7,Model!K7)</f>
        <v>0.29076149514054933</v>
      </c>
      <c r="K561">
        <f ca="1">(Inputs!H13+(Inputs!J13-Inputs!H13)*BETAINV(RAND(),Model!L7,Model!M7))*Inputs!$C$6</f>
        <v>36710.074575611136</v>
      </c>
      <c r="L561">
        <f t="shared" ca="1" si="172"/>
        <v>0.29442648295347829</v>
      </c>
      <c r="M561">
        <f t="shared" ca="1" si="173"/>
        <v>0.94762200471844316</v>
      </c>
      <c r="N561">
        <f t="shared" ca="1" si="174"/>
        <v>1</v>
      </c>
      <c r="O561" s="47">
        <f t="shared" ca="1" si="175"/>
        <v>36710.074575611136</v>
      </c>
      <c r="P561">
        <f ca="1">Inputs!B14+(Inputs!D14-Inputs!B14)*BETAINV(RAND(),Model!H8,Model!I8)</f>
        <v>0.14489248969303653</v>
      </c>
      <c r="Q561">
        <f ca="1">Inputs!E14+(Inputs!G14-Inputs!E14)*BETAINV(RAND(),Model!J8,Model!K8)</f>
        <v>0.61158300754163686</v>
      </c>
      <c r="R561">
        <f ca="1">(Inputs!H14+(Inputs!J14-Inputs!H14)*BETAINV(RAND(),Model!L8,Model!M8))*Inputs!$C$6</f>
        <v>292763.61911285977</v>
      </c>
      <c r="S561">
        <f t="shared" ca="1" si="176"/>
        <v>8.8613784616662902E-2</v>
      </c>
      <c r="T561">
        <f t="shared" ca="1" si="177"/>
        <v>6.0663615713107299E-2</v>
      </c>
      <c r="U561">
        <f t="shared" ca="1" si="178"/>
        <v>0</v>
      </c>
      <c r="V561" s="47">
        <f t="shared" ca="1" si="179"/>
        <v>0</v>
      </c>
      <c r="W561">
        <f ca="1">Inputs!B15+(Inputs!D15-Inputs!B15)*BETAINV(RAND(),Model!H9,Model!I9)</f>
        <v>1.4564031462881986</v>
      </c>
      <c r="X561">
        <f ca="1">Inputs!E15+(Inputs!G15-Inputs!E15)*BETAINV(RAND(),Model!J9,Model!K9)</f>
        <v>0.49363351355300256</v>
      </c>
      <c r="Y561">
        <f ca="1">(Inputs!H15+(Inputs!J15-Inputs!H15)*BETAINV(RAND(),Model!L9,Model!M9))*Inputs!$C$6</f>
        <v>25372.059481909764</v>
      </c>
      <c r="Z561">
        <f t="shared" ca="1" si="180"/>
        <v>0.71892940225189106</v>
      </c>
      <c r="AA561">
        <f t="shared" ca="1" si="181"/>
        <v>0.90148067352304695</v>
      </c>
      <c r="AB561">
        <f t="shared" ca="1" si="182"/>
        <v>2</v>
      </c>
      <c r="AC561" s="47">
        <f t="shared" ca="1" si="183"/>
        <v>50744.118963819528</v>
      </c>
      <c r="AD561">
        <f ca="1">Inputs!B16+(Inputs!D16-Inputs!B16)*BETAINV(RAND(),Model!H10,Model!I10)</f>
        <v>0.70979550394887791</v>
      </c>
      <c r="AE561">
        <f ca="1">Inputs!E16+(Inputs!G16-Inputs!E16)*BETAINV(RAND(),Model!J10,Model!K10)</f>
        <v>0.6278351461858247</v>
      </c>
      <c r="AF561">
        <f ca="1">(Inputs!H16+(Inputs!J16-Inputs!H16)*BETAINV(RAND(),Model!L10,Model!M10))*Inputs!$C$6</f>
        <v>53423.267801524729</v>
      </c>
      <c r="AG561">
        <f t="shared" ca="1" si="184"/>
        <v>0.44563456398378487</v>
      </c>
      <c r="AH561">
        <f t="shared" ca="1" si="185"/>
        <v>0.16438325984629043</v>
      </c>
      <c r="AI561">
        <f t="shared" ca="1" si="186"/>
        <v>0</v>
      </c>
      <c r="AJ561" s="47">
        <f t="shared" ca="1" si="187"/>
        <v>0</v>
      </c>
      <c r="AK561">
        <f t="shared" ca="1" si="188"/>
        <v>127816.81498942556</v>
      </c>
    </row>
    <row r="562" spans="2:37" x14ac:dyDescent="0.2">
      <c r="B562">
        <f ca="1">Inputs!B12+(Inputs!D12-Inputs!B12)*BETAINV(RAND(),Model!H6,Model!I6)</f>
        <v>3.821786314212881</v>
      </c>
      <c r="C562">
        <f ca="1">Inputs!E12+(Inputs!G12-Inputs!E12)*BETAINV(RAND(),Model!J6,Model!K6)</f>
        <v>0.35516711248663158</v>
      </c>
      <c r="D562">
        <f ca="1">(Inputs!H12+(Inputs!J12-Inputs!H12)*BETAINV(RAND(),Model!L6,Model!M6))*Inputs!$C$6</f>
        <v>28022.144477184211</v>
      </c>
      <c r="E562">
        <f t="shared" ca="1" si="168"/>
        <v>1.3573728097599154</v>
      </c>
      <c r="F562">
        <f t="shared" ca="1" si="169"/>
        <v>0.96207192322402335</v>
      </c>
      <c r="G562">
        <f t="shared" ca="1" si="170"/>
        <v>4</v>
      </c>
      <c r="H562" s="47">
        <f t="shared" ca="1" si="171"/>
        <v>112088.57790873684</v>
      </c>
      <c r="I562">
        <f ca="1">Inputs!B13+(Inputs!D13-Inputs!B13)*BETAINV(RAND(),Model!H7,Model!I7)</f>
        <v>2.0309631462685207</v>
      </c>
      <c r="J562">
        <f ca="1">Inputs!E13+(Inputs!G13-Inputs!E13)*BETAINV(RAND(),Model!J7,Model!K7)</f>
        <v>0.32917547136061553</v>
      </c>
      <c r="K562">
        <f ca="1">(Inputs!H13+(Inputs!J13-Inputs!H13)*BETAINV(RAND(),Model!L7,Model!M7))*Inputs!$C$6</f>
        <v>49752.835298335805</v>
      </c>
      <c r="L562">
        <f t="shared" ca="1" si="172"/>
        <v>0.66854325098897904</v>
      </c>
      <c r="M562">
        <f t="shared" ca="1" si="173"/>
        <v>0.28583474984270474</v>
      </c>
      <c r="N562">
        <f t="shared" ca="1" si="174"/>
        <v>0</v>
      </c>
      <c r="O562" s="47">
        <f t="shared" ca="1" si="175"/>
        <v>0</v>
      </c>
      <c r="P562">
        <f ca="1">Inputs!B14+(Inputs!D14-Inputs!B14)*BETAINV(RAND(),Model!H8,Model!I8)</f>
        <v>0.33745471279372552</v>
      </c>
      <c r="Q562">
        <f ca="1">Inputs!E14+(Inputs!G14-Inputs!E14)*BETAINV(RAND(),Model!J8,Model!K8)</f>
        <v>0.64842962449568897</v>
      </c>
      <c r="R562">
        <f ca="1">(Inputs!H14+(Inputs!J14-Inputs!H14)*BETAINV(RAND(),Model!L8,Model!M8))*Inputs!$C$6</f>
        <v>605614.08979112841</v>
      </c>
      <c r="S562">
        <f t="shared" ca="1" si="176"/>
        <v>0.21881563270113602</v>
      </c>
      <c r="T562">
        <f t="shared" ca="1" si="177"/>
        <v>6.3966184516820124E-2</v>
      </c>
      <c r="U562">
        <f t="shared" ca="1" si="178"/>
        <v>0</v>
      </c>
      <c r="V562" s="47">
        <f t="shared" ca="1" si="179"/>
        <v>0</v>
      </c>
      <c r="W562">
        <f ca="1">Inputs!B15+(Inputs!D15-Inputs!B15)*BETAINV(RAND(),Model!H9,Model!I9)</f>
        <v>0.69427743908708384</v>
      </c>
      <c r="X562">
        <f ca="1">Inputs!E15+(Inputs!G15-Inputs!E15)*BETAINV(RAND(),Model!J9,Model!K9)</f>
        <v>0.60056845255121172</v>
      </c>
      <c r="Y562">
        <f ca="1">(Inputs!H15+(Inputs!J15-Inputs!H15)*BETAINV(RAND(),Model!L9,Model!M9))*Inputs!$C$6</f>
        <v>42389.847895202998</v>
      </c>
      <c r="Z562">
        <f t="shared" ca="1" si="180"/>
        <v>0.41696112723374812</v>
      </c>
      <c r="AA562">
        <f t="shared" ca="1" si="181"/>
        <v>0.39464123195261336</v>
      </c>
      <c r="AB562">
        <f t="shared" ca="1" si="182"/>
        <v>0</v>
      </c>
      <c r="AC562" s="47">
        <f t="shared" ca="1" si="183"/>
        <v>0</v>
      </c>
      <c r="AD562">
        <f ca="1">Inputs!B16+(Inputs!D16-Inputs!B16)*BETAINV(RAND(),Model!H10,Model!I10)</f>
        <v>0.75601187821352389</v>
      </c>
      <c r="AE562">
        <f ca="1">Inputs!E16+(Inputs!G16-Inputs!E16)*BETAINV(RAND(),Model!J10,Model!K10)</f>
        <v>0.42731349961198389</v>
      </c>
      <c r="AF562">
        <f ca="1">(Inputs!H16+(Inputs!J16-Inputs!H16)*BETAINV(RAND(),Model!L10,Model!M10))*Inputs!$C$6</f>
        <v>50709.592380558264</v>
      </c>
      <c r="AG562">
        <f t="shared" ca="1" si="184"/>
        <v>0.32305408142764985</v>
      </c>
      <c r="AH562">
        <f t="shared" ca="1" si="185"/>
        <v>0.44002710905014275</v>
      </c>
      <c r="AI562">
        <f t="shared" ca="1" si="186"/>
        <v>0</v>
      </c>
      <c r="AJ562" s="47">
        <f t="shared" ca="1" si="187"/>
        <v>0</v>
      </c>
      <c r="AK562">
        <f t="shared" ca="1" si="188"/>
        <v>112088.57790873684</v>
      </c>
    </row>
    <row r="563" spans="2:37" x14ac:dyDescent="0.2">
      <c r="B563">
        <f ca="1">Inputs!B12+(Inputs!D12-Inputs!B12)*BETAINV(RAND(),Model!H6,Model!I6)</f>
        <v>3.4977543861860099</v>
      </c>
      <c r="C563">
        <f ca="1">Inputs!E12+(Inputs!G12-Inputs!E12)*BETAINV(RAND(),Model!J6,Model!K6)</f>
        <v>0.32365511294297711</v>
      </c>
      <c r="D563">
        <f ca="1">(Inputs!H12+(Inputs!J12-Inputs!H12)*BETAINV(RAND(),Model!L6,Model!M6))*Inputs!$C$6</f>
        <v>53049.237859618981</v>
      </c>
      <c r="E563">
        <f t="shared" ca="1" si="168"/>
        <v>1.1320660909078266</v>
      </c>
      <c r="F563">
        <f t="shared" ca="1" si="169"/>
        <v>0.24730812798534829</v>
      </c>
      <c r="G563">
        <f t="shared" ca="1" si="170"/>
        <v>0</v>
      </c>
      <c r="H563" s="47">
        <f t="shared" ca="1" si="171"/>
        <v>0</v>
      </c>
      <c r="I563">
        <f ca="1">Inputs!B13+(Inputs!D13-Inputs!B13)*BETAINV(RAND(),Model!H7,Model!I7)</f>
        <v>0.93611265729886228</v>
      </c>
      <c r="J563">
        <f ca="1">Inputs!E13+(Inputs!G13-Inputs!E13)*BETAINV(RAND(),Model!J7,Model!K7)</f>
        <v>0.20260166088070855</v>
      </c>
      <c r="K563">
        <f ca="1">(Inputs!H13+(Inputs!J13-Inputs!H13)*BETAINV(RAND(),Model!L7,Model!M7))*Inputs!$C$6</f>
        <v>55985.361272112088</v>
      </c>
      <c r="L563">
        <f t="shared" ca="1" si="172"/>
        <v>0.18965797914020305</v>
      </c>
      <c r="M563">
        <f t="shared" ca="1" si="173"/>
        <v>0.10253338993076366</v>
      </c>
      <c r="N563">
        <f t="shared" ca="1" si="174"/>
        <v>0</v>
      </c>
      <c r="O563" s="47">
        <f t="shared" ca="1" si="175"/>
        <v>0</v>
      </c>
      <c r="P563">
        <f ca="1">Inputs!B14+(Inputs!D14-Inputs!B14)*BETAINV(RAND(),Model!H8,Model!I8)</f>
        <v>0.28996625382554586</v>
      </c>
      <c r="Q563">
        <f ca="1">Inputs!E14+(Inputs!G14-Inputs!E14)*BETAINV(RAND(),Model!J8,Model!K8)</f>
        <v>0.61551719525779136</v>
      </c>
      <c r="R563">
        <f ca="1">(Inputs!H14+(Inputs!J14-Inputs!H14)*BETAINV(RAND(),Model!L8,Model!M8))*Inputs!$C$6</f>
        <v>247543.4663709139</v>
      </c>
      <c r="S563">
        <f t="shared" ca="1" si="176"/>
        <v>0.17847921527410882</v>
      </c>
      <c r="T563">
        <f t="shared" ca="1" si="177"/>
        <v>0.33538424872279049</v>
      </c>
      <c r="U563">
        <f t="shared" ca="1" si="178"/>
        <v>0</v>
      </c>
      <c r="V563" s="47">
        <f t="shared" ca="1" si="179"/>
        <v>0</v>
      </c>
      <c r="W563">
        <f ca="1">Inputs!B15+(Inputs!D15-Inputs!B15)*BETAINV(RAND(),Model!H9,Model!I9)</f>
        <v>1.0344659939326062</v>
      </c>
      <c r="X563">
        <f ca="1">Inputs!E15+(Inputs!G15-Inputs!E15)*BETAINV(RAND(),Model!J9,Model!K9)</f>
        <v>0.53868109682192777</v>
      </c>
      <c r="Y563">
        <f ca="1">(Inputs!H15+(Inputs!J15-Inputs!H15)*BETAINV(RAND(),Model!L9,Model!M9))*Inputs!$C$6</f>
        <v>17078.222955120786</v>
      </c>
      <c r="Z563">
        <f t="shared" ca="1" si="180"/>
        <v>0.55724727623660197</v>
      </c>
      <c r="AA563">
        <f t="shared" ca="1" si="181"/>
        <v>0.64063751828309989</v>
      </c>
      <c r="AB563">
        <f t="shared" ca="1" si="182"/>
        <v>1</v>
      </c>
      <c r="AC563" s="47">
        <f t="shared" ca="1" si="183"/>
        <v>17078.222955120786</v>
      </c>
      <c r="AD563">
        <f ca="1">Inputs!B16+(Inputs!D16-Inputs!B16)*BETAINV(RAND(),Model!H10,Model!I10)</f>
        <v>0.39161009938602936</v>
      </c>
      <c r="AE563">
        <f ca="1">Inputs!E16+(Inputs!G16-Inputs!E16)*BETAINV(RAND(),Model!J10,Model!K10)</f>
        <v>0.45325890503013416</v>
      </c>
      <c r="AF563">
        <f ca="1">(Inputs!H16+(Inputs!J16-Inputs!H16)*BETAINV(RAND(),Model!L10,Model!M10))*Inputs!$C$6</f>
        <v>78250.330538569789</v>
      </c>
      <c r="AG563">
        <f t="shared" ca="1" si="184"/>
        <v>0.17750076484645369</v>
      </c>
      <c r="AH563">
        <f t="shared" ca="1" si="185"/>
        <v>0.42910735091933372</v>
      </c>
      <c r="AI563">
        <f t="shared" ca="1" si="186"/>
        <v>0</v>
      </c>
      <c r="AJ563" s="47">
        <f t="shared" ca="1" si="187"/>
        <v>0</v>
      </c>
      <c r="AK563">
        <f t="shared" ca="1" si="188"/>
        <v>17078.222955120786</v>
      </c>
    </row>
    <row r="564" spans="2:37" x14ac:dyDescent="0.2">
      <c r="B564">
        <f ca="1">Inputs!B12+(Inputs!D12-Inputs!B12)*BETAINV(RAND(),Model!H6,Model!I6)</f>
        <v>4.1840900247413417</v>
      </c>
      <c r="C564">
        <f ca="1">Inputs!E12+(Inputs!G12-Inputs!E12)*BETAINV(RAND(),Model!J6,Model!K6)</f>
        <v>0.28730192926378556</v>
      </c>
      <c r="D564">
        <f ca="1">(Inputs!H12+(Inputs!J12-Inputs!H12)*BETAINV(RAND(),Model!L6,Model!M6))*Inputs!$C$6</f>
        <v>25653.197149549298</v>
      </c>
      <c r="E564">
        <f t="shared" ca="1" si="168"/>
        <v>1.2020971363215478</v>
      </c>
      <c r="F564">
        <f t="shared" ca="1" si="169"/>
        <v>8.4982011402919722E-2</v>
      </c>
      <c r="G564">
        <f t="shared" ca="1" si="170"/>
        <v>0</v>
      </c>
      <c r="H564" s="47">
        <f t="shared" ca="1" si="171"/>
        <v>0</v>
      </c>
      <c r="I564">
        <f ca="1">Inputs!B13+(Inputs!D13-Inputs!B13)*BETAINV(RAND(),Model!H7,Model!I7)</f>
        <v>2.1189666791918769</v>
      </c>
      <c r="J564">
        <f ca="1">Inputs!E13+(Inputs!G13-Inputs!E13)*BETAINV(RAND(),Model!J7,Model!K7)</f>
        <v>0.2640683737370414</v>
      </c>
      <c r="K564">
        <f ca="1">(Inputs!H13+(Inputs!J13-Inputs!H13)*BETAINV(RAND(),Model!L7,Model!M7))*Inputs!$C$6</f>
        <v>13558.183920660818</v>
      </c>
      <c r="L564">
        <f t="shared" ca="1" si="172"/>
        <v>0.55955208497717801</v>
      </c>
      <c r="M564">
        <f t="shared" ca="1" si="173"/>
        <v>0.38102695906886053</v>
      </c>
      <c r="N564">
        <f t="shared" ca="1" si="174"/>
        <v>0</v>
      </c>
      <c r="O564" s="47">
        <f t="shared" ca="1" si="175"/>
        <v>0</v>
      </c>
      <c r="P564">
        <f ca="1">Inputs!B14+(Inputs!D14-Inputs!B14)*BETAINV(RAND(),Model!H8,Model!I8)</f>
        <v>0.26675349595791065</v>
      </c>
      <c r="Q564">
        <f ca="1">Inputs!E14+(Inputs!G14-Inputs!E14)*BETAINV(RAND(),Model!J8,Model!K8)</f>
        <v>0.53456667785405643</v>
      </c>
      <c r="R564">
        <f ca="1">(Inputs!H14+(Inputs!J14-Inputs!H14)*BETAINV(RAND(),Model!L8,Model!M8))*Inputs!$C$6</f>
        <v>397669.97915465146</v>
      </c>
      <c r="S564">
        <f t="shared" ca="1" si="176"/>
        <v>0.14259753014017576</v>
      </c>
      <c r="T564">
        <f t="shared" ca="1" si="177"/>
        <v>8.9285231182699376E-2</v>
      </c>
      <c r="U564">
        <f t="shared" ca="1" si="178"/>
        <v>0</v>
      </c>
      <c r="V564" s="47">
        <f t="shared" ca="1" si="179"/>
        <v>0</v>
      </c>
      <c r="W564">
        <f ca="1">Inputs!B15+(Inputs!D15-Inputs!B15)*BETAINV(RAND(),Model!H9,Model!I9)</f>
        <v>1.7614791555205473</v>
      </c>
      <c r="X564">
        <f ca="1">Inputs!E15+(Inputs!G15-Inputs!E15)*BETAINV(RAND(),Model!J9,Model!K9)</f>
        <v>0.49950779305489013</v>
      </c>
      <c r="Y564">
        <f ca="1">(Inputs!H15+(Inputs!J15-Inputs!H15)*BETAINV(RAND(),Model!L9,Model!M9))*Inputs!$C$6</f>
        <v>62173.876756824109</v>
      </c>
      <c r="Z564">
        <f t="shared" ca="1" si="180"/>
        <v>0.87987256548626014</v>
      </c>
      <c r="AA564">
        <f t="shared" ca="1" si="181"/>
        <v>0.32836618886714208</v>
      </c>
      <c r="AB564">
        <f t="shared" ca="1" si="182"/>
        <v>0</v>
      </c>
      <c r="AC564" s="47">
        <f t="shared" ca="1" si="183"/>
        <v>0</v>
      </c>
      <c r="AD564">
        <f ca="1">Inputs!B16+(Inputs!D16-Inputs!B16)*BETAINV(RAND(),Model!H10,Model!I10)</f>
        <v>0.7268473941365261</v>
      </c>
      <c r="AE564">
        <f ca="1">Inputs!E16+(Inputs!G16-Inputs!E16)*BETAINV(RAND(),Model!J10,Model!K10)</f>
        <v>0.6281029128899891</v>
      </c>
      <c r="AF564">
        <f ca="1">(Inputs!H16+(Inputs!J16-Inputs!H16)*BETAINV(RAND(),Model!L10,Model!M10))*Inputs!$C$6</f>
        <v>127544.59115559069</v>
      </c>
      <c r="AG564">
        <f t="shared" ca="1" si="184"/>
        <v>0.45653496548365002</v>
      </c>
      <c r="AH564">
        <f t="shared" ca="1" si="185"/>
        <v>0.71776038773116235</v>
      </c>
      <c r="AI564">
        <f t="shared" ca="1" si="186"/>
        <v>1</v>
      </c>
      <c r="AJ564" s="47">
        <f t="shared" ca="1" si="187"/>
        <v>127544.59115559069</v>
      </c>
      <c r="AK564">
        <f t="shared" ca="1" si="188"/>
        <v>127544.59115559069</v>
      </c>
    </row>
    <row r="565" spans="2:37" x14ac:dyDescent="0.2">
      <c r="B565">
        <f ca="1">Inputs!B12+(Inputs!D12-Inputs!B12)*BETAINV(RAND(),Model!H6,Model!I6)</f>
        <v>4.7579646191348015</v>
      </c>
      <c r="C565">
        <f ca="1">Inputs!E12+(Inputs!G12-Inputs!E12)*BETAINV(RAND(),Model!J6,Model!K6)</f>
        <v>0.17815172930545914</v>
      </c>
      <c r="D565">
        <f ca="1">(Inputs!H12+(Inputs!J12-Inputs!H12)*BETAINV(RAND(),Model!L6,Model!M6))*Inputs!$C$6</f>
        <v>26547.941689603449</v>
      </c>
      <c r="E565">
        <f t="shared" ca="1" si="168"/>
        <v>0.84763962487305511</v>
      </c>
      <c r="F565">
        <f t="shared" ca="1" si="169"/>
        <v>0.10529973151977978</v>
      </c>
      <c r="G565">
        <f t="shared" ca="1" si="170"/>
        <v>0</v>
      </c>
      <c r="H565" s="47">
        <f t="shared" ca="1" si="171"/>
        <v>0</v>
      </c>
      <c r="I565">
        <f ca="1">Inputs!B13+(Inputs!D13-Inputs!B13)*BETAINV(RAND(),Model!H7,Model!I7)</f>
        <v>3.2094603405047097</v>
      </c>
      <c r="J565">
        <f ca="1">Inputs!E13+(Inputs!G13-Inputs!E13)*BETAINV(RAND(),Model!J7,Model!K7)</f>
        <v>0.21655368576504325</v>
      </c>
      <c r="K565">
        <f ca="1">(Inputs!H13+(Inputs!J13-Inputs!H13)*BETAINV(RAND(),Model!L7,Model!M7))*Inputs!$C$6</f>
        <v>51029.242261237763</v>
      </c>
      <c r="L565">
        <f t="shared" ca="1" si="172"/>
        <v>0.69502046605302559</v>
      </c>
      <c r="M565">
        <f t="shared" ca="1" si="173"/>
        <v>0.77681565422600696</v>
      </c>
      <c r="N565">
        <f t="shared" ca="1" si="174"/>
        <v>1</v>
      </c>
      <c r="O565" s="47">
        <f t="shared" ca="1" si="175"/>
        <v>51029.242261237763</v>
      </c>
      <c r="P565">
        <f ca="1">Inputs!B14+(Inputs!D14-Inputs!B14)*BETAINV(RAND(),Model!H8,Model!I8)</f>
        <v>0.32361074865892753</v>
      </c>
      <c r="Q565">
        <f ca="1">Inputs!E14+(Inputs!G14-Inputs!E14)*BETAINV(RAND(),Model!J8,Model!K8)</f>
        <v>0.52557392167514039</v>
      </c>
      <c r="R565">
        <f ca="1">(Inputs!H14+(Inputs!J14-Inputs!H14)*BETAINV(RAND(),Model!L8,Model!M8))*Inputs!$C$6</f>
        <v>433918.18413826317</v>
      </c>
      <c r="S565">
        <f t="shared" ca="1" si="176"/>
        <v>0.17008137026890072</v>
      </c>
      <c r="T565">
        <f t="shared" ca="1" si="177"/>
        <v>0.15545137989152036</v>
      </c>
      <c r="U565">
        <f t="shared" ca="1" si="178"/>
        <v>0</v>
      </c>
      <c r="V565" s="47">
        <f t="shared" ca="1" si="179"/>
        <v>0</v>
      </c>
      <c r="W565">
        <f ca="1">Inputs!B15+(Inputs!D15-Inputs!B15)*BETAINV(RAND(),Model!H9,Model!I9)</f>
        <v>1.431119764889573</v>
      </c>
      <c r="X565">
        <f ca="1">Inputs!E15+(Inputs!G15-Inputs!E15)*BETAINV(RAND(),Model!J9,Model!K9)</f>
        <v>0.41710375813600731</v>
      </c>
      <c r="Y565">
        <f ca="1">(Inputs!H15+(Inputs!J15-Inputs!H15)*BETAINV(RAND(),Model!L9,Model!M9))*Inputs!$C$6</f>
        <v>70777.624836859919</v>
      </c>
      <c r="Z565">
        <f t="shared" ca="1" si="180"/>
        <v>0.59692543227816008</v>
      </c>
      <c r="AA565">
        <f t="shared" ca="1" si="181"/>
        <v>0.30247397449216984</v>
      </c>
      <c r="AB565">
        <f t="shared" ca="1" si="182"/>
        <v>0</v>
      </c>
      <c r="AC565" s="47">
        <f t="shared" ca="1" si="183"/>
        <v>0</v>
      </c>
      <c r="AD565">
        <f ca="1">Inputs!B16+(Inputs!D16-Inputs!B16)*BETAINV(RAND(),Model!H10,Model!I10)</f>
        <v>0.51824954485507857</v>
      </c>
      <c r="AE565">
        <f ca="1">Inputs!E16+(Inputs!G16-Inputs!E16)*BETAINV(RAND(),Model!J10,Model!K10)</f>
        <v>0.61806432192943528</v>
      </c>
      <c r="AF565">
        <f ca="1">(Inputs!H16+(Inputs!J16-Inputs!H16)*BETAINV(RAND(),Model!L10,Model!M10))*Inputs!$C$6</f>
        <v>152076.63907424093</v>
      </c>
      <c r="AG565">
        <f t="shared" ca="1" si="184"/>
        <v>0.32031155353109259</v>
      </c>
      <c r="AH565">
        <f t="shared" ca="1" si="185"/>
        <v>0.57394883098520078</v>
      </c>
      <c r="AI565">
        <f t="shared" ca="1" si="186"/>
        <v>0</v>
      </c>
      <c r="AJ565" s="47">
        <f t="shared" ca="1" si="187"/>
        <v>0</v>
      </c>
      <c r="AK565">
        <f t="shared" ca="1" si="188"/>
        <v>51029.242261237763</v>
      </c>
    </row>
    <row r="566" spans="2:37" x14ac:dyDescent="0.2">
      <c r="B566">
        <f ca="1">Inputs!B12+(Inputs!D12-Inputs!B12)*BETAINV(RAND(),Model!H6,Model!I6)</f>
        <v>4.1492758212630809</v>
      </c>
      <c r="C566">
        <f ca="1">Inputs!E12+(Inputs!G12-Inputs!E12)*BETAINV(RAND(),Model!J6,Model!K6)</f>
        <v>0.45681437084154453</v>
      </c>
      <c r="D566">
        <f ca="1">(Inputs!H12+(Inputs!J12-Inputs!H12)*BETAINV(RAND(),Model!L6,Model!M6))*Inputs!$C$6</f>
        <v>48672.532121500808</v>
      </c>
      <c r="E566">
        <f t="shared" ca="1" si="168"/>
        <v>1.8954488237383273</v>
      </c>
      <c r="F566">
        <f t="shared" ca="1" si="169"/>
        <v>0.86393362022048936</v>
      </c>
      <c r="G566">
        <f t="shared" ca="1" si="170"/>
        <v>3</v>
      </c>
      <c r="H566" s="47">
        <f t="shared" ca="1" si="171"/>
        <v>146017.59636450242</v>
      </c>
      <c r="I566">
        <f ca="1">Inputs!B13+(Inputs!D13-Inputs!B13)*BETAINV(RAND(),Model!H7,Model!I7)</f>
        <v>1.8393929658311057</v>
      </c>
      <c r="J566">
        <f ca="1">Inputs!E13+(Inputs!G13-Inputs!E13)*BETAINV(RAND(),Model!J7,Model!K7)</f>
        <v>0.2270526190680261</v>
      </c>
      <c r="K566">
        <f ca="1">(Inputs!H13+(Inputs!J13-Inputs!H13)*BETAINV(RAND(),Model!L7,Model!M7))*Inputs!$C$6</f>
        <v>43922.114442078841</v>
      </c>
      <c r="L566">
        <f t="shared" ca="1" si="172"/>
        <v>0.41763899038725677</v>
      </c>
      <c r="M566">
        <f t="shared" ca="1" si="173"/>
        <v>0.67017794896070282</v>
      </c>
      <c r="N566">
        <f t="shared" ca="1" si="174"/>
        <v>1</v>
      </c>
      <c r="O566" s="47">
        <f t="shared" ca="1" si="175"/>
        <v>43922.114442078841</v>
      </c>
      <c r="P566">
        <f ca="1">Inputs!B14+(Inputs!D14-Inputs!B14)*BETAINV(RAND(),Model!H8,Model!I8)</f>
        <v>0.45855704736895231</v>
      </c>
      <c r="Q566">
        <f ca="1">Inputs!E14+(Inputs!G14-Inputs!E14)*BETAINV(RAND(),Model!J8,Model!K8)</f>
        <v>0.69426080682278035</v>
      </c>
      <c r="R566">
        <f ca="1">(Inputs!H14+(Inputs!J14-Inputs!H14)*BETAINV(RAND(),Model!L8,Model!M8))*Inputs!$C$6</f>
        <v>385214.67921167781</v>
      </c>
      <c r="S566">
        <f t="shared" ca="1" si="176"/>
        <v>0.31835818568064073</v>
      </c>
      <c r="T566">
        <f t="shared" ca="1" si="177"/>
        <v>0.63617983336294914</v>
      </c>
      <c r="U566">
        <f t="shared" ca="1" si="178"/>
        <v>0</v>
      </c>
      <c r="V566" s="47">
        <f t="shared" ca="1" si="179"/>
        <v>0</v>
      </c>
      <c r="W566">
        <f ca="1">Inputs!B15+(Inputs!D15-Inputs!B15)*BETAINV(RAND(),Model!H9,Model!I9)</f>
        <v>1.3059560187025563</v>
      </c>
      <c r="X566">
        <f ca="1">Inputs!E15+(Inputs!G15-Inputs!E15)*BETAINV(RAND(),Model!J9,Model!K9)</f>
        <v>0.60641660180558976</v>
      </c>
      <c r="Y566">
        <f ca="1">(Inputs!H15+(Inputs!J15-Inputs!H15)*BETAINV(RAND(),Model!L9,Model!M9))*Inputs!$C$6</f>
        <v>23955.401997689056</v>
      </c>
      <c r="Z566">
        <f t="shared" ca="1" si="180"/>
        <v>0.79195341096916139</v>
      </c>
      <c r="AA566">
        <f t="shared" ca="1" si="181"/>
        <v>8.5346924750861475E-2</v>
      </c>
      <c r="AB566">
        <f t="shared" ca="1" si="182"/>
        <v>0</v>
      </c>
      <c r="AC566" s="47">
        <f t="shared" ca="1" si="183"/>
        <v>0</v>
      </c>
      <c r="AD566">
        <f ca="1">Inputs!B16+(Inputs!D16-Inputs!B16)*BETAINV(RAND(),Model!H10,Model!I10)</f>
        <v>0.50993542417348481</v>
      </c>
      <c r="AE566">
        <f ca="1">Inputs!E16+(Inputs!G16-Inputs!E16)*BETAINV(RAND(),Model!J10,Model!K10)</f>
        <v>0.64890892694145919</v>
      </c>
      <c r="AF566">
        <f ca="1">(Inputs!H16+(Inputs!J16-Inputs!H16)*BETAINV(RAND(),Model!L10,Model!M10))*Inputs!$C$6</f>
        <v>41059.259898745768</v>
      </c>
      <c r="AG566">
        <f t="shared" ca="1" si="184"/>
        <v>0.33090164890985385</v>
      </c>
      <c r="AH566">
        <f t="shared" ca="1" si="185"/>
        <v>0.28731886199043688</v>
      </c>
      <c r="AI566">
        <f t="shared" ca="1" si="186"/>
        <v>0</v>
      </c>
      <c r="AJ566" s="47">
        <f t="shared" ca="1" si="187"/>
        <v>0</v>
      </c>
      <c r="AK566">
        <f t="shared" ca="1" si="188"/>
        <v>189939.71080658125</v>
      </c>
    </row>
    <row r="567" spans="2:37" x14ac:dyDescent="0.2">
      <c r="B567">
        <f ca="1">Inputs!B12+(Inputs!D12-Inputs!B12)*BETAINV(RAND(),Model!H6,Model!I6)</f>
        <v>3.0068654444078753</v>
      </c>
      <c r="C567">
        <f ca="1">Inputs!E12+(Inputs!G12-Inputs!E12)*BETAINV(RAND(),Model!J6,Model!K6)</f>
        <v>0.43651383432744506</v>
      </c>
      <c r="D567">
        <f ca="1">(Inputs!H12+(Inputs!J12-Inputs!H12)*BETAINV(RAND(),Model!L6,Model!M6))*Inputs!$C$6</f>
        <v>31154.768961640453</v>
      </c>
      <c r="E567">
        <f t="shared" ca="1" si="168"/>
        <v>1.3125383644451787</v>
      </c>
      <c r="F567">
        <f t="shared" ca="1" si="169"/>
        <v>0.44447090238528109</v>
      </c>
      <c r="G567">
        <f t="shared" ca="1" si="170"/>
        <v>1</v>
      </c>
      <c r="H567" s="47">
        <f t="shared" ca="1" si="171"/>
        <v>31154.768961640453</v>
      </c>
      <c r="I567">
        <f ca="1">Inputs!B13+(Inputs!D13-Inputs!B13)*BETAINV(RAND(),Model!H7,Model!I7)</f>
        <v>1.9132287523948492</v>
      </c>
      <c r="J567">
        <f ca="1">Inputs!E13+(Inputs!G13-Inputs!E13)*BETAINV(RAND(),Model!J7,Model!K7)</f>
        <v>0.25591159105160927</v>
      </c>
      <c r="K567">
        <f ca="1">(Inputs!H13+(Inputs!J13-Inputs!H13)*BETAINV(RAND(),Model!L7,Model!M7))*Inputs!$C$6</f>
        <v>46930.063215718408</v>
      </c>
      <c r="L567">
        <f t="shared" ca="1" si="172"/>
        <v>0.48961741407105125</v>
      </c>
      <c r="M567">
        <f t="shared" ca="1" si="173"/>
        <v>0.47718387274852336</v>
      </c>
      <c r="N567">
        <f t="shared" ca="1" si="174"/>
        <v>0</v>
      </c>
      <c r="O567" s="47">
        <f t="shared" ca="1" si="175"/>
        <v>0</v>
      </c>
      <c r="P567">
        <f ca="1">Inputs!B14+(Inputs!D14-Inputs!B14)*BETAINV(RAND(),Model!H8,Model!I8)</f>
        <v>0.48366843659094905</v>
      </c>
      <c r="Q567">
        <f ca="1">Inputs!E14+(Inputs!G14-Inputs!E14)*BETAINV(RAND(),Model!J8,Model!K8)</f>
        <v>0.58073613198800211</v>
      </c>
      <c r="R567">
        <f ca="1">(Inputs!H14+(Inputs!J14-Inputs!H14)*BETAINV(RAND(),Model!L8,Model!M8))*Inputs!$C$6</f>
        <v>460191.67200505175</v>
      </c>
      <c r="S567">
        <f t="shared" ca="1" si="176"/>
        <v>0.280883737030512</v>
      </c>
      <c r="T567">
        <f t="shared" ca="1" si="177"/>
        <v>0.88810562832406148</v>
      </c>
      <c r="U567">
        <f t="shared" ca="1" si="178"/>
        <v>1</v>
      </c>
      <c r="V567" s="47">
        <f t="shared" ca="1" si="179"/>
        <v>460191.67200505175</v>
      </c>
      <c r="W567">
        <f ca="1">Inputs!B15+(Inputs!D15-Inputs!B15)*BETAINV(RAND(),Model!H9,Model!I9)</f>
        <v>1.4588442652503804</v>
      </c>
      <c r="X567">
        <f ca="1">Inputs!E15+(Inputs!G15-Inputs!E15)*BETAINV(RAND(),Model!J9,Model!K9)</f>
        <v>0.39943069636352557</v>
      </c>
      <c r="Y567">
        <f ca="1">(Inputs!H15+(Inputs!J15-Inputs!H15)*BETAINV(RAND(),Model!L9,Model!M9))*Inputs!$C$6</f>
        <v>28451.822868656382</v>
      </c>
      <c r="Z567">
        <f t="shared" ca="1" si="180"/>
        <v>0.58270718075489525</v>
      </c>
      <c r="AA567">
        <f t="shared" ca="1" si="181"/>
        <v>0.4396818384737412</v>
      </c>
      <c r="AB567">
        <f t="shared" ca="1" si="182"/>
        <v>0</v>
      </c>
      <c r="AC567" s="47">
        <f t="shared" ca="1" si="183"/>
        <v>0</v>
      </c>
      <c r="AD567">
        <f ca="1">Inputs!B16+(Inputs!D16-Inputs!B16)*BETAINV(RAND(),Model!H10,Model!I10)</f>
        <v>0.79023792004269766</v>
      </c>
      <c r="AE567">
        <f ca="1">Inputs!E16+(Inputs!G16-Inputs!E16)*BETAINV(RAND(),Model!J10,Model!K10)</f>
        <v>0.78867107468281161</v>
      </c>
      <c r="AF567">
        <f ca="1">(Inputs!H16+(Inputs!J16-Inputs!H16)*BETAINV(RAND(),Model!L10,Model!M10))*Inputs!$C$6</f>
        <v>62435.084014992797</v>
      </c>
      <c r="AG567">
        <f t="shared" ca="1" si="184"/>
        <v>0.62323778965518417</v>
      </c>
      <c r="AH567">
        <f t="shared" ca="1" si="185"/>
        <v>0.73370774481192647</v>
      </c>
      <c r="AI567">
        <f t="shared" ca="1" si="186"/>
        <v>1</v>
      </c>
      <c r="AJ567" s="47">
        <f t="shared" ca="1" si="187"/>
        <v>62435.084014992797</v>
      </c>
      <c r="AK567">
        <f t="shared" ca="1" si="188"/>
        <v>553781.52498168498</v>
      </c>
    </row>
    <row r="568" spans="2:37" x14ac:dyDescent="0.2">
      <c r="B568">
        <f ca="1">Inputs!B12+(Inputs!D12-Inputs!B12)*BETAINV(RAND(),Model!H6,Model!I6)</f>
        <v>5.1198729649751407</v>
      </c>
      <c r="C568">
        <f ca="1">Inputs!E12+(Inputs!G12-Inputs!E12)*BETAINV(RAND(),Model!J6,Model!K6)</f>
        <v>0.34454316215237057</v>
      </c>
      <c r="D568">
        <f ca="1">(Inputs!H12+(Inputs!J12-Inputs!H12)*BETAINV(RAND(),Model!L6,Model!M6))*Inputs!$C$6</f>
        <v>19133.264006384063</v>
      </c>
      <c r="E568">
        <f t="shared" ca="1" si="168"/>
        <v>1.7640172211709682</v>
      </c>
      <c r="F568">
        <f t="shared" ca="1" si="169"/>
        <v>0.25425482055372917</v>
      </c>
      <c r="G568">
        <f t="shared" ca="1" si="170"/>
        <v>1</v>
      </c>
      <c r="H568" s="47">
        <f t="shared" ca="1" si="171"/>
        <v>19133.264006384063</v>
      </c>
      <c r="I568">
        <f ca="1">Inputs!B13+(Inputs!D13-Inputs!B13)*BETAINV(RAND(),Model!H7,Model!I7)</f>
        <v>2.5064223869368862</v>
      </c>
      <c r="J568">
        <f ca="1">Inputs!E13+(Inputs!G13-Inputs!E13)*BETAINV(RAND(),Model!J7,Model!K7)</f>
        <v>0.23102622006901341</v>
      </c>
      <c r="K568">
        <f ca="1">(Inputs!H13+(Inputs!J13-Inputs!H13)*BETAINV(RAND(),Model!L7,Model!M7))*Inputs!$C$6</f>
        <v>43964.519976048388</v>
      </c>
      <c r="L568">
        <f t="shared" ca="1" si="172"/>
        <v>0.57904928995038296</v>
      </c>
      <c r="M568">
        <f t="shared" ca="1" si="173"/>
        <v>0.49823870185445318</v>
      </c>
      <c r="N568">
        <f t="shared" ca="1" si="174"/>
        <v>0</v>
      </c>
      <c r="O568" s="47">
        <f t="shared" ca="1" si="175"/>
        <v>0</v>
      </c>
      <c r="P568">
        <f ca="1">Inputs!B14+(Inputs!D14-Inputs!B14)*BETAINV(RAND(),Model!H8,Model!I8)</f>
        <v>0.3028552941572949</v>
      </c>
      <c r="Q568">
        <f ca="1">Inputs!E14+(Inputs!G14-Inputs!E14)*BETAINV(RAND(),Model!J8,Model!K8)</f>
        <v>0.72313412793958531</v>
      </c>
      <c r="R568">
        <f ca="1">(Inputs!H14+(Inputs!J14-Inputs!H14)*BETAINV(RAND(),Model!L8,Model!M8))*Inputs!$C$6</f>
        <v>316762.11199669831</v>
      </c>
      <c r="S568">
        <f t="shared" ca="1" si="176"/>
        <v>0.21900499903232204</v>
      </c>
      <c r="T568">
        <f t="shared" ca="1" si="177"/>
        <v>5.6010086258024949E-2</v>
      </c>
      <c r="U568">
        <f t="shared" ca="1" si="178"/>
        <v>0</v>
      </c>
      <c r="V568" s="47">
        <f t="shared" ca="1" si="179"/>
        <v>0</v>
      </c>
      <c r="W568">
        <f ca="1">Inputs!B15+(Inputs!D15-Inputs!B15)*BETAINV(RAND(),Model!H9,Model!I9)</f>
        <v>1.4568643656800204</v>
      </c>
      <c r="X568">
        <f ca="1">Inputs!E15+(Inputs!G15-Inputs!E15)*BETAINV(RAND(),Model!J9,Model!K9)</f>
        <v>0.3710166593376516</v>
      </c>
      <c r="Y568">
        <f ca="1">(Inputs!H15+(Inputs!J15-Inputs!H15)*BETAINV(RAND(),Model!L9,Model!M9))*Inputs!$C$6</f>
        <v>19580.031162281281</v>
      </c>
      <c r="Z568">
        <f t="shared" ca="1" si="180"/>
        <v>0.54052095006266798</v>
      </c>
      <c r="AA568">
        <f t="shared" ca="1" si="181"/>
        <v>0.56280971710545513</v>
      </c>
      <c r="AB568">
        <f t="shared" ca="1" si="182"/>
        <v>0</v>
      </c>
      <c r="AC568" s="47">
        <f t="shared" ca="1" si="183"/>
        <v>0</v>
      </c>
      <c r="AD568">
        <f ca="1">Inputs!B16+(Inputs!D16-Inputs!B16)*BETAINV(RAND(),Model!H10,Model!I10)</f>
        <v>0.33296502492778723</v>
      </c>
      <c r="AE568">
        <f ca="1">Inputs!E16+(Inputs!G16-Inputs!E16)*BETAINV(RAND(),Model!J10,Model!K10)</f>
        <v>0.67861016610923963</v>
      </c>
      <c r="AF568">
        <f ca="1">(Inputs!H16+(Inputs!J16-Inputs!H16)*BETAINV(RAND(),Model!L10,Model!M10))*Inputs!$C$6</f>
        <v>93354.705954665726</v>
      </c>
      <c r="AG568">
        <f t="shared" ca="1" si="184"/>
        <v>0.22595345087481281</v>
      </c>
      <c r="AH568">
        <f t="shared" ca="1" si="185"/>
        <v>3.1998118027121158E-4</v>
      </c>
      <c r="AI568">
        <f t="shared" ca="1" si="186"/>
        <v>0</v>
      </c>
      <c r="AJ568" s="47">
        <f t="shared" ca="1" si="187"/>
        <v>0</v>
      </c>
      <c r="AK568">
        <f t="shared" ca="1" si="188"/>
        <v>19133.264006384063</v>
      </c>
    </row>
    <row r="569" spans="2:37" x14ac:dyDescent="0.2">
      <c r="B569">
        <f ca="1">Inputs!B12+(Inputs!D12-Inputs!B12)*BETAINV(RAND(),Model!H6,Model!I6)</f>
        <v>1.6476893937796362</v>
      </c>
      <c r="C569">
        <f ca="1">Inputs!E12+(Inputs!G12-Inputs!E12)*BETAINV(RAND(),Model!J6,Model!K6)</f>
        <v>0.35094336135218118</v>
      </c>
      <c r="D569">
        <f ca="1">(Inputs!H12+(Inputs!J12-Inputs!H12)*BETAINV(RAND(),Model!L6,Model!M6))*Inputs!$C$6</f>
        <v>43932.151341953249</v>
      </c>
      <c r="E569">
        <f t="shared" ca="1" si="168"/>
        <v>0.57824565431736319</v>
      </c>
      <c r="F569">
        <f t="shared" ca="1" si="169"/>
        <v>0.36795172916390029</v>
      </c>
      <c r="G569">
        <f t="shared" ca="1" si="170"/>
        <v>0</v>
      </c>
      <c r="H569" s="47">
        <f t="shared" ca="1" si="171"/>
        <v>0</v>
      </c>
      <c r="I569">
        <f ca="1">Inputs!B13+(Inputs!D13-Inputs!B13)*BETAINV(RAND(),Model!H7,Model!I7)</f>
        <v>3.2037655524951796</v>
      </c>
      <c r="J569">
        <f ca="1">Inputs!E13+(Inputs!G13-Inputs!E13)*BETAINV(RAND(),Model!J7,Model!K7)</f>
        <v>0.1927083212550082</v>
      </c>
      <c r="K569">
        <f ca="1">(Inputs!H13+(Inputs!J13-Inputs!H13)*BETAINV(RAND(),Model!L7,Model!M7))*Inputs!$C$6</f>
        <v>31569.79836992082</v>
      </c>
      <c r="L569">
        <f t="shared" ca="1" si="172"/>
        <v>0.6173922813159699</v>
      </c>
      <c r="M569">
        <f t="shared" ca="1" si="173"/>
        <v>0.58402814493380362</v>
      </c>
      <c r="N569">
        <f t="shared" ca="1" si="174"/>
        <v>1</v>
      </c>
      <c r="O569" s="47">
        <f t="shared" ca="1" si="175"/>
        <v>31569.79836992082</v>
      </c>
      <c r="P569">
        <f ca="1">Inputs!B14+(Inputs!D14-Inputs!B14)*BETAINV(RAND(),Model!H8,Model!I8)</f>
        <v>0.16590161681950549</v>
      </c>
      <c r="Q569">
        <f ca="1">Inputs!E14+(Inputs!G14-Inputs!E14)*BETAINV(RAND(),Model!J8,Model!K8)</f>
        <v>0.36404542512507609</v>
      </c>
      <c r="R569">
        <f ca="1">(Inputs!H14+(Inputs!J14-Inputs!H14)*BETAINV(RAND(),Model!L8,Model!M8))*Inputs!$C$6</f>
        <v>572012.40014881478</v>
      </c>
      <c r="S569">
        <f t="shared" ca="1" si="176"/>
        <v>6.0395724623994354E-2</v>
      </c>
      <c r="T569">
        <f t="shared" ca="1" si="177"/>
        <v>0.57718868623698572</v>
      </c>
      <c r="U569">
        <f t="shared" ca="1" si="178"/>
        <v>0</v>
      </c>
      <c r="V569" s="47">
        <f t="shared" ca="1" si="179"/>
        <v>0</v>
      </c>
      <c r="W569">
        <f ca="1">Inputs!B15+(Inputs!D15-Inputs!B15)*BETAINV(RAND(),Model!H9,Model!I9)</f>
        <v>1.0254313268886381</v>
      </c>
      <c r="X569">
        <f ca="1">Inputs!E15+(Inputs!G15-Inputs!E15)*BETAINV(RAND(),Model!J9,Model!K9)</f>
        <v>0.49582750443029855</v>
      </c>
      <c r="Y569">
        <f ca="1">(Inputs!H15+(Inputs!J15-Inputs!H15)*BETAINV(RAND(),Model!L9,Model!M9))*Inputs!$C$6</f>
        <v>17177.45806273706</v>
      </c>
      <c r="Z569">
        <f t="shared" ca="1" si="180"/>
        <v>0.50843705577584319</v>
      </c>
      <c r="AA569">
        <f t="shared" ca="1" si="181"/>
        <v>0.12630496259773216</v>
      </c>
      <c r="AB569">
        <f t="shared" ca="1" si="182"/>
        <v>0</v>
      </c>
      <c r="AC569" s="47">
        <f t="shared" ca="1" si="183"/>
        <v>0</v>
      </c>
      <c r="AD569">
        <f ca="1">Inputs!B16+(Inputs!D16-Inputs!B16)*BETAINV(RAND(),Model!H10,Model!I10)</f>
        <v>0.76253608414987273</v>
      </c>
      <c r="AE569">
        <f ca="1">Inputs!E16+(Inputs!G16-Inputs!E16)*BETAINV(RAND(),Model!J10,Model!K10)</f>
        <v>0.64945531501719533</v>
      </c>
      <c r="AF569">
        <f ca="1">(Inputs!H16+(Inputs!J16-Inputs!H16)*BETAINV(RAND(),Model!L10,Model!M10))*Inputs!$C$6</f>
        <v>141886.2984683114</v>
      </c>
      <c r="AG569">
        <f t="shared" ca="1" si="184"/>
        <v>0.49523311274353415</v>
      </c>
      <c r="AH569">
        <f t="shared" ca="1" si="185"/>
        <v>0.13961991344577329</v>
      </c>
      <c r="AI569">
        <f t="shared" ca="1" si="186"/>
        <v>0</v>
      </c>
      <c r="AJ569" s="47">
        <f t="shared" ca="1" si="187"/>
        <v>0</v>
      </c>
      <c r="AK569">
        <f t="shared" ca="1" si="188"/>
        <v>31569.79836992082</v>
      </c>
    </row>
    <row r="570" spans="2:37" x14ac:dyDescent="0.2">
      <c r="B570">
        <f ca="1">Inputs!B12+(Inputs!D12-Inputs!B12)*BETAINV(RAND(),Model!H6,Model!I6)</f>
        <v>4.1635077170042312</v>
      </c>
      <c r="C570">
        <f ca="1">Inputs!E12+(Inputs!G12-Inputs!E12)*BETAINV(RAND(),Model!J6,Model!K6)</f>
        <v>0.31709291122851169</v>
      </c>
      <c r="D570">
        <f ca="1">(Inputs!H12+(Inputs!J12-Inputs!H12)*BETAINV(RAND(),Model!L6,Model!M6))*Inputs!$C$6</f>
        <v>17141.062902982259</v>
      </c>
      <c r="E570">
        <f t="shared" ca="1" si="168"/>
        <v>1.320218782907246</v>
      </c>
      <c r="F570">
        <f t="shared" ca="1" si="169"/>
        <v>0.64926967681986925</v>
      </c>
      <c r="G570">
        <f t="shared" ca="1" si="170"/>
        <v>2</v>
      </c>
      <c r="H570" s="47">
        <f t="shared" ca="1" si="171"/>
        <v>34282.125805964519</v>
      </c>
      <c r="I570">
        <f ca="1">Inputs!B13+(Inputs!D13-Inputs!B13)*BETAINV(RAND(),Model!H7,Model!I7)</f>
        <v>2.5946734536360712</v>
      </c>
      <c r="J570">
        <f ca="1">Inputs!E13+(Inputs!G13-Inputs!E13)*BETAINV(RAND(),Model!J7,Model!K7)</f>
        <v>0.25266089492050048</v>
      </c>
      <c r="K570">
        <f ca="1">(Inputs!H13+(Inputs!J13-Inputs!H13)*BETAINV(RAND(),Model!L7,Model!M7))*Inputs!$C$6</f>
        <v>59154.148522160067</v>
      </c>
      <c r="L570">
        <f t="shared" ca="1" si="172"/>
        <v>0.65557251682215545</v>
      </c>
      <c r="M570">
        <f t="shared" ca="1" si="173"/>
        <v>3.5598864711418043E-2</v>
      </c>
      <c r="N570">
        <f t="shared" ca="1" si="174"/>
        <v>0</v>
      </c>
      <c r="O570" s="47">
        <f t="shared" ca="1" si="175"/>
        <v>0</v>
      </c>
      <c r="P570">
        <f ca="1">Inputs!B14+(Inputs!D14-Inputs!B14)*BETAINV(RAND(),Model!H8,Model!I8)</f>
        <v>0.46477796925879222</v>
      </c>
      <c r="Q570">
        <f ca="1">Inputs!E14+(Inputs!G14-Inputs!E14)*BETAINV(RAND(),Model!J8,Model!K8)</f>
        <v>0.67677335562880703</v>
      </c>
      <c r="R570">
        <f ca="1">(Inputs!H14+(Inputs!J14-Inputs!H14)*BETAINV(RAND(),Model!L8,Model!M8))*Inputs!$C$6</f>
        <v>414567.93911666592</v>
      </c>
      <c r="S570">
        <f t="shared" ca="1" si="176"/>
        <v>0.31454934587761535</v>
      </c>
      <c r="T570">
        <f t="shared" ca="1" si="177"/>
        <v>0.86491934102065127</v>
      </c>
      <c r="U570">
        <f t="shared" ca="1" si="178"/>
        <v>1</v>
      </c>
      <c r="V570" s="47">
        <f t="shared" ca="1" si="179"/>
        <v>414567.93911666592</v>
      </c>
      <c r="W570">
        <f ca="1">Inputs!B15+(Inputs!D15-Inputs!B15)*BETAINV(RAND(),Model!H9,Model!I9)</f>
        <v>1.6919081993893574</v>
      </c>
      <c r="X570">
        <f ca="1">Inputs!E15+(Inputs!G15-Inputs!E15)*BETAINV(RAND(),Model!J9,Model!K9)</f>
        <v>0.34907382562707212</v>
      </c>
      <c r="Y570">
        <f ca="1">(Inputs!H15+(Inputs!J15-Inputs!H15)*BETAINV(RAND(),Model!L9,Model!M9))*Inputs!$C$6</f>
        <v>17796.400005649204</v>
      </c>
      <c r="Z570">
        <f t="shared" ca="1" si="180"/>
        <v>0.59060086777065413</v>
      </c>
      <c r="AA570">
        <f t="shared" ca="1" si="181"/>
        <v>0.12309483717399716</v>
      </c>
      <c r="AB570">
        <f t="shared" ca="1" si="182"/>
        <v>0</v>
      </c>
      <c r="AC570" s="47">
        <f t="shared" ca="1" si="183"/>
        <v>0</v>
      </c>
      <c r="AD570">
        <f ca="1">Inputs!B16+(Inputs!D16-Inputs!B16)*BETAINV(RAND(),Model!H10,Model!I10)</f>
        <v>0.41490550918837554</v>
      </c>
      <c r="AE570">
        <f ca="1">Inputs!E16+(Inputs!G16-Inputs!E16)*BETAINV(RAND(),Model!J10,Model!K10)</f>
        <v>0.55794508917495689</v>
      </c>
      <c r="AF570">
        <f ca="1">(Inputs!H16+(Inputs!J16-Inputs!H16)*BETAINV(RAND(),Model!L10,Model!M10))*Inputs!$C$6</f>
        <v>123826.66618990785</v>
      </c>
      <c r="AG570">
        <f t="shared" ca="1" si="184"/>
        <v>0.23149449132328909</v>
      </c>
      <c r="AH570">
        <f t="shared" ca="1" si="185"/>
        <v>5.1509323276327512E-2</v>
      </c>
      <c r="AI570">
        <f t="shared" ca="1" si="186"/>
        <v>0</v>
      </c>
      <c r="AJ570" s="47">
        <f t="shared" ca="1" si="187"/>
        <v>0</v>
      </c>
      <c r="AK570">
        <f t="shared" ca="1" si="188"/>
        <v>448850.06492263044</v>
      </c>
    </row>
    <row r="571" spans="2:37" x14ac:dyDescent="0.2">
      <c r="B571">
        <f ca="1">Inputs!B12+(Inputs!D12-Inputs!B12)*BETAINV(RAND(),Model!H6,Model!I6)</f>
        <v>3.6697421780843467</v>
      </c>
      <c r="C571">
        <f ca="1">Inputs!E12+(Inputs!G12-Inputs!E12)*BETAINV(RAND(),Model!J6,Model!K6)</f>
        <v>0.38653525680637502</v>
      </c>
      <c r="D571">
        <f ca="1">(Inputs!H12+(Inputs!J12-Inputs!H12)*BETAINV(RAND(),Model!L6,Model!M6))*Inputs!$C$6</f>
        <v>23127.768170641699</v>
      </c>
      <c r="E571">
        <f t="shared" ca="1" si="168"/>
        <v>1.4184847352190189</v>
      </c>
      <c r="F571">
        <f t="shared" ca="1" si="169"/>
        <v>0.19841102581139536</v>
      </c>
      <c r="G571">
        <f t="shared" ca="1" si="170"/>
        <v>0</v>
      </c>
      <c r="H571" s="47">
        <f t="shared" ca="1" si="171"/>
        <v>0</v>
      </c>
      <c r="I571">
        <f ca="1">Inputs!B13+(Inputs!D13-Inputs!B13)*BETAINV(RAND(),Model!H7,Model!I7)</f>
        <v>2.0006113999972346</v>
      </c>
      <c r="J571">
        <f ca="1">Inputs!E13+(Inputs!G13-Inputs!E13)*BETAINV(RAND(),Model!J7,Model!K7)</f>
        <v>0.24269475589931977</v>
      </c>
      <c r="K571">
        <f ca="1">(Inputs!H13+(Inputs!J13-Inputs!H13)*BETAINV(RAND(),Model!L7,Model!M7))*Inputs!$C$6</f>
        <v>23677.084209978813</v>
      </c>
      <c r="L571">
        <f t="shared" ca="1" si="172"/>
        <v>0.48553789537172526</v>
      </c>
      <c r="M571">
        <f t="shared" ca="1" si="173"/>
        <v>0.50345275032193726</v>
      </c>
      <c r="N571">
        <f t="shared" ca="1" si="174"/>
        <v>0</v>
      </c>
      <c r="O571" s="47">
        <f t="shared" ca="1" si="175"/>
        <v>0</v>
      </c>
      <c r="P571">
        <f ca="1">Inputs!B14+(Inputs!D14-Inputs!B14)*BETAINV(RAND(),Model!H8,Model!I8)</f>
        <v>0.14671766452349866</v>
      </c>
      <c r="Q571">
        <f ca="1">Inputs!E14+(Inputs!G14-Inputs!E14)*BETAINV(RAND(),Model!J8,Model!K8)</f>
        <v>0.50683336932713619</v>
      </c>
      <c r="R571">
        <f ca="1">(Inputs!H14+(Inputs!J14-Inputs!H14)*BETAINV(RAND(),Model!L8,Model!M8))*Inputs!$C$6</f>
        <v>394679.75163109018</v>
      </c>
      <c r="S571">
        <f t="shared" ca="1" si="176"/>
        <v>7.4361408250253266E-2</v>
      </c>
      <c r="T571">
        <f t="shared" ca="1" si="177"/>
        <v>0.25707038539696381</v>
      </c>
      <c r="U571">
        <f t="shared" ca="1" si="178"/>
        <v>0</v>
      </c>
      <c r="V571" s="47">
        <f t="shared" ca="1" si="179"/>
        <v>0</v>
      </c>
      <c r="W571">
        <f ca="1">Inputs!B15+(Inputs!D15-Inputs!B15)*BETAINV(RAND(),Model!H9,Model!I9)</f>
        <v>0.53362224706507577</v>
      </c>
      <c r="X571">
        <f ca="1">Inputs!E15+(Inputs!G15-Inputs!E15)*BETAINV(RAND(),Model!J9,Model!K9)</f>
        <v>0.5784323968274786</v>
      </c>
      <c r="Y571">
        <f ca="1">(Inputs!H15+(Inputs!J15-Inputs!H15)*BETAINV(RAND(),Model!L9,Model!M9))*Inputs!$C$6</f>
        <v>15030.838587569155</v>
      </c>
      <c r="Z571">
        <f t="shared" ca="1" si="180"/>
        <v>0.30866439537031676</v>
      </c>
      <c r="AA571">
        <f t="shared" ca="1" si="181"/>
        <v>0.89204159839577823</v>
      </c>
      <c r="AB571">
        <f t="shared" ca="1" si="182"/>
        <v>1</v>
      </c>
      <c r="AC571" s="47">
        <f t="shared" ca="1" si="183"/>
        <v>15030.838587569155</v>
      </c>
      <c r="AD571">
        <f ca="1">Inputs!B16+(Inputs!D16-Inputs!B16)*BETAINV(RAND(),Model!H10,Model!I10)</f>
        <v>0.75995312956588723</v>
      </c>
      <c r="AE571">
        <f ca="1">Inputs!E16+(Inputs!G16-Inputs!E16)*BETAINV(RAND(),Model!J10,Model!K10)</f>
        <v>0.4755714989084639</v>
      </c>
      <c r="AF571">
        <f ca="1">(Inputs!H16+(Inputs!J16-Inputs!H16)*BETAINV(RAND(),Model!L10,Model!M10))*Inputs!$C$6</f>
        <v>137577.31606752353</v>
      </c>
      <c r="AG571">
        <f t="shared" ca="1" si="184"/>
        <v>0.36141204892782708</v>
      </c>
      <c r="AH571">
        <f t="shared" ca="1" si="185"/>
        <v>0.35480857582268599</v>
      </c>
      <c r="AI571">
        <f t="shared" ca="1" si="186"/>
        <v>0</v>
      </c>
      <c r="AJ571" s="47">
        <f t="shared" ca="1" si="187"/>
        <v>0</v>
      </c>
      <c r="AK571">
        <f t="shared" ca="1" si="188"/>
        <v>15030.838587569155</v>
      </c>
    </row>
    <row r="572" spans="2:37" x14ac:dyDescent="0.2">
      <c r="B572">
        <f ca="1">Inputs!B12+(Inputs!D12-Inputs!B12)*BETAINV(RAND(),Model!H6,Model!I6)</f>
        <v>4.845713283543521</v>
      </c>
      <c r="C572">
        <f ca="1">Inputs!E12+(Inputs!G12-Inputs!E12)*BETAINV(RAND(),Model!J6,Model!K6)</f>
        <v>0.35477552816277524</v>
      </c>
      <c r="D572">
        <f ca="1">(Inputs!H12+(Inputs!J12-Inputs!H12)*BETAINV(RAND(),Model!L6,Model!M6))*Inputs!$C$6</f>
        <v>18498.698202958753</v>
      </c>
      <c r="E572">
        <f t="shared" ca="1" si="168"/>
        <v>1.7191404894945286</v>
      </c>
      <c r="F572">
        <f t="shared" ca="1" si="169"/>
        <v>0.71677675005526142</v>
      </c>
      <c r="G572">
        <f t="shared" ca="1" si="170"/>
        <v>2</v>
      </c>
      <c r="H572" s="47">
        <f t="shared" ca="1" si="171"/>
        <v>36997.396405917505</v>
      </c>
      <c r="I572">
        <f ca="1">Inputs!B13+(Inputs!D13-Inputs!B13)*BETAINV(RAND(),Model!H7,Model!I7)</f>
        <v>1.5877709680457541</v>
      </c>
      <c r="J572">
        <f ca="1">Inputs!E13+(Inputs!G13-Inputs!E13)*BETAINV(RAND(),Model!J7,Model!K7)</f>
        <v>0.20810169603708009</v>
      </c>
      <c r="K572">
        <f ca="1">(Inputs!H13+(Inputs!J13-Inputs!H13)*BETAINV(RAND(),Model!L7,Model!M7))*Inputs!$C$6</f>
        <v>22274.013603547741</v>
      </c>
      <c r="L572">
        <f t="shared" ca="1" si="172"/>
        <v>0.33041783136875791</v>
      </c>
      <c r="M572">
        <f t="shared" ca="1" si="173"/>
        <v>0.23658160702839193</v>
      </c>
      <c r="N572">
        <f t="shared" ca="1" si="174"/>
        <v>0</v>
      </c>
      <c r="O572" s="47">
        <f t="shared" ca="1" si="175"/>
        <v>0</v>
      </c>
      <c r="P572">
        <f ca="1">Inputs!B14+(Inputs!D14-Inputs!B14)*BETAINV(RAND(),Model!H8,Model!I8)</f>
        <v>0.53716199458526248</v>
      </c>
      <c r="Q572">
        <f ca="1">Inputs!E14+(Inputs!G14-Inputs!E14)*BETAINV(RAND(),Model!J8,Model!K8)</f>
        <v>0.48939745656446643</v>
      </c>
      <c r="R572">
        <f ca="1">(Inputs!H14+(Inputs!J14-Inputs!H14)*BETAINV(RAND(),Model!L8,Model!M8))*Inputs!$C$6</f>
        <v>583159.7427704687</v>
      </c>
      <c r="S572">
        <f t="shared" ca="1" si="176"/>
        <v>0.26288571391312315</v>
      </c>
      <c r="T572">
        <f t="shared" ca="1" si="177"/>
        <v>0.45423170222304521</v>
      </c>
      <c r="U572">
        <f t="shared" ca="1" si="178"/>
        <v>0</v>
      </c>
      <c r="V572" s="47">
        <f t="shared" ca="1" si="179"/>
        <v>0</v>
      </c>
      <c r="W572">
        <f ca="1">Inputs!B15+(Inputs!D15-Inputs!B15)*BETAINV(RAND(),Model!H9,Model!I9)</f>
        <v>1.172957059106416</v>
      </c>
      <c r="X572">
        <f ca="1">Inputs!E15+(Inputs!G15-Inputs!E15)*BETAINV(RAND(),Model!J9,Model!K9)</f>
        <v>0.35965078716289778</v>
      </c>
      <c r="Y572">
        <f ca="1">(Inputs!H15+(Inputs!J15-Inputs!H15)*BETAINV(RAND(),Model!L9,Model!M9))*Inputs!$C$6</f>
        <v>31196.654987572838</v>
      </c>
      <c r="Z572">
        <f t="shared" ca="1" si="180"/>
        <v>0.42185492961590015</v>
      </c>
      <c r="AA572">
        <f t="shared" ca="1" si="181"/>
        <v>4.3727629142955915E-2</v>
      </c>
      <c r="AB572">
        <f t="shared" ca="1" si="182"/>
        <v>0</v>
      </c>
      <c r="AC572" s="47">
        <f t="shared" ca="1" si="183"/>
        <v>0</v>
      </c>
      <c r="AD572">
        <f ca="1">Inputs!B16+(Inputs!D16-Inputs!B16)*BETAINV(RAND(),Model!H10,Model!I10)</f>
        <v>1.2028350385941813</v>
      </c>
      <c r="AE572">
        <f ca="1">Inputs!E16+(Inputs!G16-Inputs!E16)*BETAINV(RAND(),Model!J10,Model!K10)</f>
        <v>0.50184126644378191</v>
      </c>
      <c r="AF572">
        <f ca="1">(Inputs!H16+(Inputs!J16-Inputs!H16)*BETAINV(RAND(),Model!L10,Model!M10))*Inputs!$C$6</f>
        <v>174954.97613318861</v>
      </c>
      <c r="AG572">
        <f t="shared" ca="1" si="184"/>
        <v>0.60363225909105922</v>
      </c>
      <c r="AH572">
        <f t="shared" ca="1" si="185"/>
        <v>0.61047851732602643</v>
      </c>
      <c r="AI572">
        <f t="shared" ca="1" si="186"/>
        <v>1</v>
      </c>
      <c r="AJ572" s="47">
        <f t="shared" ca="1" si="187"/>
        <v>174954.97613318861</v>
      </c>
      <c r="AK572">
        <f t="shared" ca="1" si="188"/>
        <v>211952.37253910612</v>
      </c>
    </row>
    <row r="573" spans="2:37" x14ac:dyDescent="0.2">
      <c r="B573">
        <f ca="1">Inputs!B12+(Inputs!D12-Inputs!B12)*BETAINV(RAND(),Model!H6,Model!I6)</f>
        <v>1.8955820654318185</v>
      </c>
      <c r="C573">
        <f ca="1">Inputs!E12+(Inputs!G12-Inputs!E12)*BETAINV(RAND(),Model!J6,Model!K6)</f>
        <v>0.33604569988920585</v>
      </c>
      <c r="D573">
        <f ca="1">(Inputs!H12+(Inputs!J12-Inputs!H12)*BETAINV(RAND(),Model!L6,Model!M6))*Inputs!$C$6</f>
        <v>34753.462834277583</v>
      </c>
      <c r="E573">
        <f t="shared" ca="1" si="168"/>
        <v>0.63700220187546186</v>
      </c>
      <c r="F573">
        <f t="shared" ca="1" si="169"/>
        <v>7.2083529595161955E-2</v>
      </c>
      <c r="G573">
        <f t="shared" ca="1" si="170"/>
        <v>0</v>
      </c>
      <c r="H573" s="47">
        <f t="shared" ca="1" si="171"/>
        <v>0</v>
      </c>
      <c r="I573">
        <f ca="1">Inputs!B13+(Inputs!D13-Inputs!B13)*BETAINV(RAND(),Model!H7,Model!I7)</f>
        <v>3.1661400556268555</v>
      </c>
      <c r="J573">
        <f ca="1">Inputs!E13+(Inputs!G13-Inputs!E13)*BETAINV(RAND(),Model!J7,Model!K7)</f>
        <v>0.36695549810389594</v>
      </c>
      <c r="K573">
        <f ca="1">(Inputs!H13+(Inputs!J13-Inputs!H13)*BETAINV(RAND(),Model!L7,Model!M7))*Inputs!$C$6</f>
        <v>23057.520803561118</v>
      </c>
      <c r="L573">
        <f t="shared" ca="1" si="172"/>
        <v>1.1618325011792496</v>
      </c>
      <c r="M573">
        <f t="shared" ca="1" si="173"/>
        <v>0.353135444965607</v>
      </c>
      <c r="N573">
        <f t="shared" ca="1" si="174"/>
        <v>1</v>
      </c>
      <c r="O573" s="47">
        <f t="shared" ca="1" si="175"/>
        <v>23057.520803561118</v>
      </c>
      <c r="P573">
        <f ca="1">Inputs!B14+(Inputs!D14-Inputs!B14)*BETAINV(RAND(),Model!H8,Model!I8)</f>
        <v>0.18885661477041582</v>
      </c>
      <c r="Q573">
        <f ca="1">Inputs!E14+(Inputs!G14-Inputs!E14)*BETAINV(RAND(),Model!J8,Model!K8)</f>
        <v>0.46120971981089431</v>
      </c>
      <c r="R573">
        <f ca="1">(Inputs!H14+(Inputs!J14-Inputs!H14)*BETAINV(RAND(),Model!L8,Model!M8))*Inputs!$C$6</f>
        <v>409874.48637394205</v>
      </c>
      <c r="S573">
        <f t="shared" ca="1" si="176"/>
        <v>8.7102506382697481E-2</v>
      </c>
      <c r="T573">
        <f t="shared" ca="1" si="177"/>
        <v>0.29427402000555125</v>
      </c>
      <c r="U573">
        <f t="shared" ca="1" si="178"/>
        <v>0</v>
      </c>
      <c r="V573" s="47">
        <f t="shared" ca="1" si="179"/>
        <v>0</v>
      </c>
      <c r="W573">
        <f ca="1">Inputs!B15+(Inputs!D15-Inputs!B15)*BETAINV(RAND(),Model!H9,Model!I9)</f>
        <v>1.0229237148973997</v>
      </c>
      <c r="X573">
        <f ca="1">Inputs!E15+(Inputs!G15-Inputs!E15)*BETAINV(RAND(),Model!J9,Model!K9)</f>
        <v>0.29730795210709055</v>
      </c>
      <c r="Y573">
        <f ca="1">(Inputs!H15+(Inputs!J15-Inputs!H15)*BETAINV(RAND(),Model!L9,Model!M9))*Inputs!$C$6</f>
        <v>23782.073455597565</v>
      </c>
      <c r="Z573">
        <f t="shared" ca="1" si="180"/>
        <v>0.30412335483792324</v>
      </c>
      <c r="AA573">
        <f t="shared" ca="1" si="181"/>
        <v>0.22574634720731779</v>
      </c>
      <c r="AB573">
        <f t="shared" ca="1" si="182"/>
        <v>0</v>
      </c>
      <c r="AC573" s="47">
        <f t="shared" ca="1" si="183"/>
        <v>0</v>
      </c>
      <c r="AD573">
        <f ca="1">Inputs!B16+(Inputs!D16-Inputs!B16)*BETAINV(RAND(),Model!H10,Model!I10)</f>
        <v>0.53582410157779714</v>
      </c>
      <c r="AE573">
        <f ca="1">Inputs!E16+(Inputs!G16-Inputs!E16)*BETAINV(RAND(),Model!J10,Model!K10)</f>
        <v>0.63696610899611317</v>
      </c>
      <c r="AF573">
        <f ca="1">(Inputs!H16+(Inputs!J16-Inputs!H16)*BETAINV(RAND(),Model!L10,Model!M10))*Inputs!$C$6</f>
        <v>40553.719092804859</v>
      </c>
      <c r="AG573">
        <f t="shared" ca="1" si="184"/>
        <v>0.34130179308834757</v>
      </c>
      <c r="AH573">
        <f t="shared" ca="1" si="185"/>
        <v>0.70485565095917624</v>
      </c>
      <c r="AI573">
        <f t="shared" ca="1" si="186"/>
        <v>0</v>
      </c>
      <c r="AJ573" s="47">
        <f t="shared" ca="1" si="187"/>
        <v>0</v>
      </c>
      <c r="AK573">
        <f t="shared" ca="1" si="188"/>
        <v>23057.520803561118</v>
      </c>
    </row>
    <row r="574" spans="2:37" x14ac:dyDescent="0.2">
      <c r="B574">
        <f ca="1">Inputs!B12+(Inputs!D12-Inputs!B12)*BETAINV(RAND(),Model!H6,Model!I6)</f>
        <v>2.2432966415125932</v>
      </c>
      <c r="C574">
        <f ca="1">Inputs!E12+(Inputs!G12-Inputs!E12)*BETAINV(RAND(),Model!J6,Model!K6)</f>
        <v>0.23062779908500738</v>
      </c>
      <c r="D574">
        <f ca="1">(Inputs!H12+(Inputs!J12-Inputs!H12)*BETAINV(RAND(),Model!L6,Model!M6))*Inputs!$C$6</f>
        <v>34677.942360151836</v>
      </c>
      <c r="E574">
        <f t="shared" ca="1" si="168"/>
        <v>0.51736656712683815</v>
      </c>
      <c r="F574">
        <f t="shared" ca="1" si="169"/>
        <v>1.960656048205367E-2</v>
      </c>
      <c r="G574">
        <f t="shared" ca="1" si="170"/>
        <v>0</v>
      </c>
      <c r="H574" s="47">
        <f t="shared" ca="1" si="171"/>
        <v>0</v>
      </c>
      <c r="I574">
        <f ca="1">Inputs!B13+(Inputs!D13-Inputs!B13)*BETAINV(RAND(),Model!H7,Model!I7)</f>
        <v>2.2460940948624026</v>
      </c>
      <c r="J574">
        <f ca="1">Inputs!E13+(Inputs!G13-Inputs!E13)*BETAINV(RAND(),Model!J7,Model!K7)</f>
        <v>0.37506980850394445</v>
      </c>
      <c r="K574">
        <f ca="1">(Inputs!H13+(Inputs!J13-Inputs!H13)*BETAINV(RAND(),Model!L7,Model!M7))*Inputs!$C$6</f>
        <v>12513.5297433059</v>
      </c>
      <c r="L574">
        <f t="shared" ca="1" si="172"/>
        <v>0.84244208204188176</v>
      </c>
      <c r="M574">
        <f t="shared" ca="1" si="173"/>
        <v>0.58385390598018483</v>
      </c>
      <c r="N574">
        <f t="shared" ca="1" si="174"/>
        <v>1</v>
      </c>
      <c r="O574" s="47">
        <f t="shared" ca="1" si="175"/>
        <v>12513.5297433059</v>
      </c>
      <c r="P574">
        <f ca="1">Inputs!B14+(Inputs!D14-Inputs!B14)*BETAINV(RAND(),Model!H8,Model!I8)</f>
        <v>0.23291626176083682</v>
      </c>
      <c r="Q574">
        <f ca="1">Inputs!E14+(Inputs!G14-Inputs!E14)*BETAINV(RAND(),Model!J8,Model!K8)</f>
        <v>0.71547111661689999</v>
      </c>
      <c r="R574">
        <f ca="1">(Inputs!H14+(Inputs!J14-Inputs!H14)*BETAINV(RAND(),Model!L8,Model!M8))*Inputs!$C$6</f>
        <v>255277.24590167112</v>
      </c>
      <c r="S574">
        <f t="shared" ca="1" si="176"/>
        <v>0.16664485788026009</v>
      </c>
      <c r="T574">
        <f t="shared" ca="1" si="177"/>
        <v>0.57724440586968151</v>
      </c>
      <c r="U574">
        <f t="shared" ca="1" si="178"/>
        <v>0</v>
      </c>
      <c r="V574" s="47">
        <f t="shared" ca="1" si="179"/>
        <v>0</v>
      </c>
      <c r="W574">
        <f ca="1">Inputs!B15+(Inputs!D15-Inputs!B15)*BETAINV(RAND(),Model!H9,Model!I9)</f>
        <v>0.54131563027908502</v>
      </c>
      <c r="X574">
        <f ca="1">Inputs!E15+(Inputs!G15-Inputs!E15)*BETAINV(RAND(),Model!J9,Model!K9)</f>
        <v>0.26887836470792409</v>
      </c>
      <c r="Y574">
        <f ca="1">(Inputs!H15+(Inputs!J15-Inputs!H15)*BETAINV(RAND(),Model!L9,Model!M9))*Inputs!$C$6</f>
        <v>19502.25444467858</v>
      </c>
      <c r="Z574">
        <f t="shared" ca="1" si="180"/>
        <v>0.14554806146027963</v>
      </c>
      <c r="AA574">
        <f t="shared" ca="1" si="181"/>
        <v>0.47186452093372466</v>
      </c>
      <c r="AB574">
        <f t="shared" ca="1" si="182"/>
        <v>0</v>
      </c>
      <c r="AC574" s="47">
        <f t="shared" ca="1" si="183"/>
        <v>0</v>
      </c>
      <c r="AD574">
        <f ca="1">Inputs!B16+(Inputs!D16-Inputs!B16)*BETAINV(RAND(),Model!H10,Model!I10)</f>
        <v>0.47651481380885563</v>
      </c>
      <c r="AE574">
        <f ca="1">Inputs!E16+(Inputs!G16-Inputs!E16)*BETAINV(RAND(),Model!J10,Model!K10)</f>
        <v>0.67889223121540376</v>
      </c>
      <c r="AF574">
        <f ca="1">(Inputs!H16+(Inputs!J16-Inputs!H16)*BETAINV(RAND(),Model!L10,Model!M10))*Inputs!$C$6</f>
        <v>72060.935519927836</v>
      </c>
      <c r="AG574">
        <f t="shared" ca="1" si="184"/>
        <v>0.32350220515388667</v>
      </c>
      <c r="AH574">
        <f t="shared" ca="1" si="185"/>
        <v>0.27181151424380001</v>
      </c>
      <c r="AI574">
        <f t="shared" ca="1" si="186"/>
        <v>0</v>
      </c>
      <c r="AJ574" s="47">
        <f t="shared" ca="1" si="187"/>
        <v>0</v>
      </c>
      <c r="AK574">
        <f t="shared" ca="1" si="188"/>
        <v>12513.5297433059</v>
      </c>
    </row>
    <row r="575" spans="2:37" x14ac:dyDescent="0.2">
      <c r="B575">
        <f ca="1">Inputs!B12+(Inputs!D12-Inputs!B12)*BETAINV(RAND(),Model!H6,Model!I6)</f>
        <v>3.9379841146478314</v>
      </c>
      <c r="C575">
        <f ca="1">Inputs!E12+(Inputs!G12-Inputs!E12)*BETAINV(RAND(),Model!J6,Model!K6)</f>
        <v>0.42472197407974854</v>
      </c>
      <c r="D575">
        <f ca="1">(Inputs!H12+(Inputs!J12-Inputs!H12)*BETAINV(RAND(),Model!L6,Model!M6))*Inputs!$C$6</f>
        <v>37785.527092327102</v>
      </c>
      <c r="E575">
        <f t="shared" ca="1" si="168"/>
        <v>1.6725483870679179</v>
      </c>
      <c r="F575">
        <f t="shared" ca="1" si="169"/>
        <v>0.89320076208024224</v>
      </c>
      <c r="G575">
        <f t="shared" ca="1" si="170"/>
        <v>3</v>
      </c>
      <c r="H575" s="47">
        <f t="shared" ca="1" si="171"/>
        <v>113356.58127698131</v>
      </c>
      <c r="I575">
        <f ca="1">Inputs!B13+(Inputs!D13-Inputs!B13)*BETAINV(RAND(),Model!H7,Model!I7)</f>
        <v>1.2813136693493572</v>
      </c>
      <c r="J575">
        <f ca="1">Inputs!E13+(Inputs!G13-Inputs!E13)*BETAINV(RAND(),Model!J7,Model!K7)</f>
        <v>0.24307052096257875</v>
      </c>
      <c r="K575">
        <f ca="1">(Inputs!H13+(Inputs!J13-Inputs!H13)*BETAINV(RAND(),Model!L7,Model!M7))*Inputs!$C$6</f>
        <v>48266.362046903123</v>
      </c>
      <c r="L575">
        <f t="shared" ca="1" si="172"/>
        <v>0.31144958112522164</v>
      </c>
      <c r="M575">
        <f t="shared" ca="1" si="173"/>
        <v>0.41236743958954225</v>
      </c>
      <c r="N575">
        <f t="shared" ca="1" si="174"/>
        <v>0</v>
      </c>
      <c r="O575" s="47">
        <f t="shared" ca="1" si="175"/>
        <v>0</v>
      </c>
      <c r="P575">
        <f ca="1">Inputs!B14+(Inputs!D14-Inputs!B14)*BETAINV(RAND(),Model!H8,Model!I8)</f>
        <v>0.30338034446546047</v>
      </c>
      <c r="Q575">
        <f ca="1">Inputs!E14+(Inputs!G14-Inputs!E14)*BETAINV(RAND(),Model!J8,Model!K8)</f>
        <v>0.52578666950223696</v>
      </c>
      <c r="R575">
        <f ca="1">(Inputs!H14+(Inputs!J14-Inputs!H14)*BETAINV(RAND(),Model!L8,Model!M8))*Inputs!$C$6</f>
        <v>464896.03190491104</v>
      </c>
      <c r="S575">
        <f t="shared" ca="1" si="176"/>
        <v>0.15951334090893587</v>
      </c>
      <c r="T575">
        <f t="shared" ca="1" si="177"/>
        <v>0.13146612533772417</v>
      </c>
      <c r="U575">
        <f t="shared" ca="1" si="178"/>
        <v>0</v>
      </c>
      <c r="V575" s="47">
        <f t="shared" ca="1" si="179"/>
        <v>0</v>
      </c>
      <c r="W575">
        <f ca="1">Inputs!B15+(Inputs!D15-Inputs!B15)*BETAINV(RAND(),Model!H9,Model!I9)</f>
        <v>1.0696379395455</v>
      </c>
      <c r="X575">
        <f ca="1">Inputs!E15+(Inputs!G15-Inputs!E15)*BETAINV(RAND(),Model!J9,Model!K9)</f>
        <v>0.43795733802346459</v>
      </c>
      <c r="Y575">
        <f ca="1">(Inputs!H15+(Inputs!J15-Inputs!H15)*BETAINV(RAND(),Model!L9,Model!M9))*Inputs!$C$6</f>
        <v>19616.219236977227</v>
      </c>
      <c r="Z575">
        <f t="shared" ca="1" si="180"/>
        <v>0.46845578465225074</v>
      </c>
      <c r="AA575">
        <f t="shared" ca="1" si="181"/>
        <v>0.89401481782445191</v>
      </c>
      <c r="AB575">
        <f t="shared" ca="1" si="182"/>
        <v>1</v>
      </c>
      <c r="AC575" s="47">
        <f t="shared" ca="1" si="183"/>
        <v>19616.219236977227</v>
      </c>
      <c r="AD575">
        <f ca="1">Inputs!B16+(Inputs!D16-Inputs!B16)*BETAINV(RAND(),Model!H10,Model!I10)</f>
        <v>0.71732398038699752</v>
      </c>
      <c r="AE575">
        <f ca="1">Inputs!E16+(Inputs!G16-Inputs!E16)*BETAINV(RAND(),Model!J10,Model!K10)</f>
        <v>0.68341864652173578</v>
      </c>
      <c r="AF575">
        <f ca="1">(Inputs!H16+(Inputs!J16-Inputs!H16)*BETAINV(RAND(),Model!L10,Model!M10))*Inputs!$C$6</f>
        <v>108433.56175186492</v>
      </c>
      <c r="AG575">
        <f t="shared" ca="1" si="184"/>
        <v>0.49023258379366597</v>
      </c>
      <c r="AH575">
        <f t="shared" ca="1" si="185"/>
        <v>0.89294829142341414</v>
      </c>
      <c r="AI575">
        <f t="shared" ca="1" si="186"/>
        <v>1</v>
      </c>
      <c r="AJ575" s="47">
        <f t="shared" ca="1" si="187"/>
        <v>108433.56175186492</v>
      </c>
      <c r="AK575">
        <f t="shared" ca="1" si="188"/>
        <v>241406.36226582347</v>
      </c>
    </row>
    <row r="576" spans="2:37" x14ac:dyDescent="0.2">
      <c r="B576">
        <f ca="1">Inputs!B12+(Inputs!D12-Inputs!B12)*BETAINV(RAND(),Model!H6,Model!I6)</f>
        <v>3.964317537246056</v>
      </c>
      <c r="C576">
        <f ca="1">Inputs!E12+(Inputs!G12-Inputs!E12)*BETAINV(RAND(),Model!J6,Model!K6)</f>
        <v>0.33664678544935422</v>
      </c>
      <c r="D576">
        <f ca="1">(Inputs!H12+(Inputs!J12-Inputs!H12)*BETAINV(RAND(),Model!L6,Model!M6))*Inputs!$C$6</f>
        <v>33248.345367318812</v>
      </c>
      <c r="E576">
        <f t="shared" ca="1" si="168"/>
        <v>1.3345747554143854</v>
      </c>
      <c r="F576">
        <f t="shared" ca="1" si="169"/>
        <v>0.90829958278503875</v>
      </c>
      <c r="G576">
        <f t="shared" ca="1" si="170"/>
        <v>3</v>
      </c>
      <c r="H576" s="47">
        <f t="shared" ca="1" si="171"/>
        <v>99745.036101956444</v>
      </c>
      <c r="I576">
        <f ca="1">Inputs!B13+(Inputs!D13-Inputs!B13)*BETAINV(RAND(),Model!H7,Model!I7)</f>
        <v>2.373384325872971</v>
      </c>
      <c r="J576">
        <f ca="1">Inputs!E13+(Inputs!G13-Inputs!E13)*BETAINV(RAND(),Model!J7,Model!K7)</f>
        <v>0.25759284901415147</v>
      </c>
      <c r="K576">
        <f ca="1">(Inputs!H13+(Inputs!J13-Inputs!H13)*BETAINV(RAND(),Model!L7,Model!M7))*Inputs!$C$6</f>
        <v>29207.19032825849</v>
      </c>
      <c r="L576">
        <f t="shared" ca="1" si="172"/>
        <v>0.61136683030714989</v>
      </c>
      <c r="M576">
        <f t="shared" ca="1" si="173"/>
        <v>0.63187566320559962</v>
      </c>
      <c r="N576">
        <f t="shared" ca="1" si="174"/>
        <v>1</v>
      </c>
      <c r="O576" s="47">
        <f t="shared" ca="1" si="175"/>
        <v>29207.19032825849</v>
      </c>
      <c r="P576">
        <f ca="1">Inputs!B14+(Inputs!D14-Inputs!B14)*BETAINV(RAND(),Model!H8,Model!I8)</f>
        <v>0.20849754456730998</v>
      </c>
      <c r="Q576">
        <f ca="1">Inputs!E14+(Inputs!G14-Inputs!E14)*BETAINV(RAND(),Model!J8,Model!K8)</f>
        <v>0.61540954593983743</v>
      </c>
      <c r="R576">
        <f ca="1">(Inputs!H14+(Inputs!J14-Inputs!H14)*BETAINV(RAND(),Model!L8,Model!M8))*Inputs!$C$6</f>
        <v>252244.7082064506</v>
      </c>
      <c r="S576">
        <f t="shared" ca="1" si="176"/>
        <v>0.12831137923173924</v>
      </c>
      <c r="T576">
        <f t="shared" ca="1" si="177"/>
        <v>0.12178694668982626</v>
      </c>
      <c r="U576">
        <f t="shared" ca="1" si="178"/>
        <v>0</v>
      </c>
      <c r="V576" s="47">
        <f t="shared" ca="1" si="179"/>
        <v>0</v>
      </c>
      <c r="W576">
        <f ca="1">Inputs!B15+(Inputs!D15-Inputs!B15)*BETAINV(RAND(),Model!H9,Model!I9)</f>
        <v>1.2410726725644419</v>
      </c>
      <c r="X576">
        <f ca="1">Inputs!E15+(Inputs!G15-Inputs!E15)*BETAINV(RAND(),Model!J9,Model!K9)</f>
        <v>0.56848317754070321</v>
      </c>
      <c r="Y576">
        <f ca="1">(Inputs!H15+(Inputs!J15-Inputs!H15)*BETAINV(RAND(),Model!L9,Model!M9))*Inputs!$C$6</f>
        <v>21714.097644841837</v>
      </c>
      <c r="Z576">
        <f t="shared" ca="1" si="180"/>
        <v>0.70552893645836667</v>
      </c>
      <c r="AA576">
        <f t="shared" ca="1" si="181"/>
        <v>0.51854823084110324</v>
      </c>
      <c r="AB576">
        <f t="shared" ca="1" si="182"/>
        <v>1</v>
      </c>
      <c r="AC576" s="47">
        <f t="shared" ca="1" si="183"/>
        <v>21714.097644841837</v>
      </c>
      <c r="AD576">
        <f ca="1">Inputs!B16+(Inputs!D16-Inputs!B16)*BETAINV(RAND(),Model!H10,Model!I10)</f>
        <v>1.223088913276372</v>
      </c>
      <c r="AE576">
        <f ca="1">Inputs!E16+(Inputs!G16-Inputs!E16)*BETAINV(RAND(),Model!J10,Model!K10)</f>
        <v>0.65072390468303631</v>
      </c>
      <c r="AF576">
        <f ca="1">(Inputs!H16+(Inputs!J16-Inputs!H16)*BETAINV(RAND(),Model!L10,Model!M10))*Inputs!$C$6</f>
        <v>93486.006338027786</v>
      </c>
      <c r="AG576">
        <f t="shared" ca="1" si="184"/>
        <v>0.79589319342173237</v>
      </c>
      <c r="AH576">
        <f t="shared" ca="1" si="185"/>
        <v>9.4829849326325211E-2</v>
      </c>
      <c r="AI576">
        <f t="shared" ca="1" si="186"/>
        <v>0</v>
      </c>
      <c r="AJ576" s="47">
        <f t="shared" ca="1" si="187"/>
        <v>0</v>
      </c>
      <c r="AK576">
        <f t="shared" ca="1" si="188"/>
        <v>150666.32407505676</v>
      </c>
    </row>
    <row r="577" spans="2:37" x14ac:dyDescent="0.2">
      <c r="B577">
        <f ca="1">Inputs!B12+(Inputs!D12-Inputs!B12)*BETAINV(RAND(),Model!H6,Model!I6)</f>
        <v>1.9815211420190308</v>
      </c>
      <c r="C577">
        <f ca="1">Inputs!E12+(Inputs!G12-Inputs!E12)*BETAINV(RAND(),Model!J6,Model!K6)</f>
        <v>0.25091111559827189</v>
      </c>
      <c r="D577">
        <f ca="1">(Inputs!H12+(Inputs!J12-Inputs!H12)*BETAINV(RAND(),Model!L6,Model!M6))*Inputs!$C$6</f>
        <v>34175.313702570682</v>
      </c>
      <c r="E577">
        <f t="shared" ca="1" si="168"/>
        <v>0.49718568032555677</v>
      </c>
      <c r="F577">
        <f t="shared" ca="1" si="169"/>
        <v>0.50403492622054791</v>
      </c>
      <c r="G577">
        <f t="shared" ca="1" si="170"/>
        <v>0</v>
      </c>
      <c r="H577" s="47">
        <f t="shared" ca="1" si="171"/>
        <v>0</v>
      </c>
      <c r="I577">
        <f ca="1">Inputs!B13+(Inputs!D13-Inputs!B13)*BETAINV(RAND(),Model!H7,Model!I7)</f>
        <v>2.4578796545424191</v>
      </c>
      <c r="J577">
        <f ca="1">Inputs!E13+(Inputs!G13-Inputs!E13)*BETAINV(RAND(),Model!J7,Model!K7)</f>
        <v>0.2752852192242472</v>
      </c>
      <c r="K577">
        <f ca="1">(Inputs!H13+(Inputs!J13-Inputs!H13)*BETAINV(RAND(),Model!L7,Model!M7))*Inputs!$C$6</f>
        <v>77967.822047255002</v>
      </c>
      <c r="L577">
        <f t="shared" ca="1" si="172"/>
        <v>0.6766179395275268</v>
      </c>
      <c r="M577">
        <f t="shared" ca="1" si="173"/>
        <v>0.46151635117527834</v>
      </c>
      <c r="N577">
        <f t="shared" ca="1" si="174"/>
        <v>0</v>
      </c>
      <c r="O577" s="47">
        <f t="shared" ca="1" si="175"/>
        <v>0</v>
      </c>
      <c r="P577">
        <f ca="1">Inputs!B14+(Inputs!D14-Inputs!B14)*BETAINV(RAND(),Model!H8,Model!I8)</f>
        <v>0.46095159284725284</v>
      </c>
      <c r="Q577">
        <f ca="1">Inputs!E14+(Inputs!G14-Inputs!E14)*BETAINV(RAND(),Model!J8,Model!K8)</f>
        <v>0.62473323096374211</v>
      </c>
      <c r="R577">
        <f ca="1">(Inputs!H14+(Inputs!J14-Inputs!H14)*BETAINV(RAND(),Model!L8,Model!M8))*Inputs!$C$6</f>
        <v>511468.49680761085</v>
      </c>
      <c r="S577">
        <f t="shared" ca="1" si="176"/>
        <v>0.28797177791734763</v>
      </c>
      <c r="T577">
        <f t="shared" ca="1" si="177"/>
        <v>0.86416560318461355</v>
      </c>
      <c r="U577">
        <f t="shared" ca="1" si="178"/>
        <v>1</v>
      </c>
      <c r="V577" s="47">
        <f t="shared" ca="1" si="179"/>
        <v>511468.49680761085</v>
      </c>
      <c r="W577">
        <f ca="1">Inputs!B15+(Inputs!D15-Inputs!B15)*BETAINV(RAND(),Model!H9,Model!I9)</f>
        <v>1.0187710498809228</v>
      </c>
      <c r="X577">
        <f ca="1">Inputs!E15+(Inputs!G15-Inputs!E15)*BETAINV(RAND(),Model!J9,Model!K9)</f>
        <v>0.42299527166894346</v>
      </c>
      <c r="Y577">
        <f ca="1">(Inputs!H15+(Inputs!J15-Inputs!H15)*BETAINV(RAND(),Model!L9,Model!M9))*Inputs!$C$6</f>
        <v>24940.705009018886</v>
      </c>
      <c r="Z577">
        <f t="shared" ca="1" si="180"/>
        <v>0.43093533701283571</v>
      </c>
      <c r="AA577">
        <f t="shared" ca="1" si="181"/>
        <v>2.308316844271685E-4</v>
      </c>
      <c r="AB577">
        <f t="shared" ca="1" si="182"/>
        <v>0</v>
      </c>
      <c r="AC577" s="47">
        <f t="shared" ca="1" si="183"/>
        <v>0</v>
      </c>
      <c r="AD577">
        <f ca="1">Inputs!B16+(Inputs!D16-Inputs!B16)*BETAINV(RAND(),Model!H10,Model!I10)</f>
        <v>0.81902322397797134</v>
      </c>
      <c r="AE577">
        <f ca="1">Inputs!E16+(Inputs!G16-Inputs!E16)*BETAINV(RAND(),Model!J10,Model!K10)</f>
        <v>0.57258053424250621</v>
      </c>
      <c r="AF577">
        <f ca="1">(Inputs!H16+(Inputs!J16-Inputs!H16)*BETAINV(RAND(),Model!L10,Model!M10))*Inputs!$C$6</f>
        <v>49124.603894616761</v>
      </c>
      <c r="AG577">
        <f t="shared" ca="1" si="184"/>
        <v>0.46895675514232665</v>
      </c>
      <c r="AH577">
        <f t="shared" ca="1" si="185"/>
        <v>0.67771662420713052</v>
      </c>
      <c r="AI577">
        <f t="shared" ca="1" si="186"/>
        <v>1</v>
      </c>
      <c r="AJ577" s="47">
        <f t="shared" ca="1" si="187"/>
        <v>49124.603894616761</v>
      </c>
      <c r="AK577">
        <f t="shared" ca="1" si="188"/>
        <v>560593.10070222756</v>
      </c>
    </row>
    <row r="578" spans="2:37" x14ac:dyDescent="0.2">
      <c r="B578">
        <f ca="1">Inputs!B12+(Inputs!D12-Inputs!B12)*BETAINV(RAND(),Model!H6,Model!I6)</f>
        <v>4.6306356609248578</v>
      </c>
      <c r="C578">
        <f ca="1">Inputs!E12+(Inputs!G12-Inputs!E12)*BETAINV(RAND(),Model!J6,Model!K6)</f>
        <v>0.22058763835800554</v>
      </c>
      <c r="D578">
        <f ca="1">(Inputs!H12+(Inputs!J12-Inputs!H12)*BETAINV(RAND(),Model!L6,Model!M6))*Inputs!$C$6</f>
        <v>38311.398571929232</v>
      </c>
      <c r="E578">
        <f t="shared" ca="1" si="168"/>
        <v>1.0214609845397764</v>
      </c>
      <c r="F578">
        <f t="shared" ca="1" si="169"/>
        <v>0.13607837455175076</v>
      </c>
      <c r="G578">
        <f t="shared" ca="1" si="170"/>
        <v>0</v>
      </c>
      <c r="H578" s="47">
        <f t="shared" ca="1" si="171"/>
        <v>0</v>
      </c>
      <c r="I578">
        <f ca="1">Inputs!B13+(Inputs!D13-Inputs!B13)*BETAINV(RAND(),Model!H7,Model!I7)</f>
        <v>2.0006921224224876</v>
      </c>
      <c r="J578">
        <f ca="1">Inputs!E13+(Inputs!G13-Inputs!E13)*BETAINV(RAND(),Model!J7,Model!K7)</f>
        <v>0.35230280544936654</v>
      </c>
      <c r="K578">
        <f ca="1">(Inputs!H13+(Inputs!J13-Inputs!H13)*BETAINV(RAND(),Model!L7,Model!M7))*Inputs!$C$6</f>
        <v>56649.295159423884</v>
      </c>
      <c r="L578">
        <f t="shared" ca="1" si="172"/>
        <v>0.70484944756988988</v>
      </c>
      <c r="M578">
        <f t="shared" ca="1" si="173"/>
        <v>0.75541783913605953</v>
      </c>
      <c r="N578">
        <f t="shared" ca="1" si="174"/>
        <v>1</v>
      </c>
      <c r="O578" s="47">
        <f t="shared" ca="1" si="175"/>
        <v>56649.295159423884</v>
      </c>
      <c r="P578">
        <f ca="1">Inputs!B14+(Inputs!D14-Inputs!B14)*BETAINV(RAND(),Model!H8,Model!I8)</f>
        <v>0.25592238271794737</v>
      </c>
      <c r="Q578">
        <f ca="1">Inputs!E14+(Inputs!G14-Inputs!E14)*BETAINV(RAND(),Model!J8,Model!K8)</f>
        <v>0.55236780919159401</v>
      </c>
      <c r="R578">
        <f ca="1">(Inputs!H14+(Inputs!J14-Inputs!H14)*BETAINV(RAND(),Model!L8,Model!M8))*Inputs!$C$6</f>
        <v>160144.44400162806</v>
      </c>
      <c r="S578">
        <f t="shared" ca="1" si="176"/>
        <v>0.14136328586500524</v>
      </c>
      <c r="T578">
        <f t="shared" ca="1" si="177"/>
        <v>0.20967462852211505</v>
      </c>
      <c r="U578">
        <f t="shared" ca="1" si="178"/>
        <v>0</v>
      </c>
      <c r="V578" s="47">
        <f t="shared" ca="1" si="179"/>
        <v>0</v>
      </c>
      <c r="W578">
        <f ca="1">Inputs!B15+(Inputs!D15-Inputs!B15)*BETAINV(RAND(),Model!H9,Model!I9)</f>
        <v>1.070726689987024</v>
      </c>
      <c r="X578">
        <f ca="1">Inputs!E15+(Inputs!G15-Inputs!E15)*BETAINV(RAND(),Model!J9,Model!K9)</f>
        <v>0.54433405532527512</v>
      </c>
      <c r="Y578">
        <f ca="1">(Inputs!H15+(Inputs!J15-Inputs!H15)*BETAINV(RAND(),Model!L9,Model!M9))*Inputs!$C$6</f>
        <v>46813.698101343623</v>
      </c>
      <c r="Z578">
        <f t="shared" ca="1" si="180"/>
        <v>0.58283300130564542</v>
      </c>
      <c r="AA578">
        <f t="shared" ca="1" si="181"/>
        <v>0.7783579874563834</v>
      </c>
      <c r="AB578">
        <f t="shared" ca="1" si="182"/>
        <v>1</v>
      </c>
      <c r="AC578" s="47">
        <f t="shared" ca="1" si="183"/>
        <v>46813.698101343623</v>
      </c>
      <c r="AD578">
        <f ca="1">Inputs!B16+(Inputs!D16-Inputs!B16)*BETAINV(RAND(),Model!H10,Model!I10)</f>
        <v>0.61128205286531623</v>
      </c>
      <c r="AE578">
        <f ca="1">Inputs!E16+(Inputs!G16-Inputs!E16)*BETAINV(RAND(),Model!J10,Model!K10)</f>
        <v>0.7119253617980501</v>
      </c>
      <c r="AF578">
        <f ca="1">(Inputs!H16+(Inputs!J16-Inputs!H16)*BETAINV(RAND(),Model!L10,Model!M10))*Inputs!$C$6</f>
        <v>44946.620651181045</v>
      </c>
      <c r="AG578">
        <f t="shared" ca="1" si="184"/>
        <v>0.43518719664679506</v>
      </c>
      <c r="AH578">
        <f t="shared" ca="1" si="185"/>
        <v>0.4708449962387381</v>
      </c>
      <c r="AI578">
        <f t="shared" ca="1" si="186"/>
        <v>0</v>
      </c>
      <c r="AJ578" s="47">
        <f t="shared" ca="1" si="187"/>
        <v>0</v>
      </c>
      <c r="AK578">
        <f t="shared" ca="1" si="188"/>
        <v>103462.99326076751</v>
      </c>
    </row>
    <row r="579" spans="2:37" x14ac:dyDescent="0.2">
      <c r="B579">
        <f ca="1">Inputs!B12+(Inputs!D12-Inputs!B12)*BETAINV(RAND(),Model!H6,Model!I6)</f>
        <v>2.2692064758117243</v>
      </c>
      <c r="C579">
        <f ca="1">Inputs!E12+(Inputs!G12-Inputs!E12)*BETAINV(RAND(),Model!J6,Model!K6)</f>
        <v>0.367677777252152</v>
      </c>
      <c r="D579">
        <f ca="1">(Inputs!H12+(Inputs!J12-Inputs!H12)*BETAINV(RAND(),Model!L6,Model!M6))*Inputs!$C$6</f>
        <v>31472.104182348208</v>
      </c>
      <c r="E579">
        <f t="shared" ca="1" si="168"/>
        <v>0.83433679315264397</v>
      </c>
      <c r="F579">
        <f t="shared" ca="1" si="169"/>
        <v>0.33268166085265394</v>
      </c>
      <c r="G579">
        <f t="shared" ca="1" si="170"/>
        <v>0</v>
      </c>
      <c r="H579" s="47">
        <f t="shared" ca="1" si="171"/>
        <v>0</v>
      </c>
      <c r="I579">
        <f ca="1">Inputs!B13+(Inputs!D13-Inputs!B13)*BETAINV(RAND(),Model!H7,Model!I7)</f>
        <v>2.1578763365270559</v>
      </c>
      <c r="J579">
        <f ca="1">Inputs!E13+(Inputs!G13-Inputs!E13)*BETAINV(RAND(),Model!J7,Model!K7)</f>
        <v>0.3057010663474698</v>
      </c>
      <c r="K579">
        <f ca="1">(Inputs!H13+(Inputs!J13-Inputs!H13)*BETAINV(RAND(),Model!L7,Model!M7))*Inputs!$C$6</f>
        <v>68685.123002481676</v>
      </c>
      <c r="L579">
        <f t="shared" ca="1" si="172"/>
        <v>0.6596650971222926</v>
      </c>
      <c r="M579">
        <f t="shared" ca="1" si="173"/>
        <v>0.92759811499944445</v>
      </c>
      <c r="N579">
        <f t="shared" ca="1" si="174"/>
        <v>2</v>
      </c>
      <c r="O579" s="47">
        <f t="shared" ca="1" si="175"/>
        <v>137370.24600496335</v>
      </c>
      <c r="P579">
        <f ca="1">Inputs!B14+(Inputs!D14-Inputs!B14)*BETAINV(RAND(),Model!H8,Model!I8)</f>
        <v>0.43724073777598815</v>
      </c>
      <c r="Q579">
        <f ca="1">Inputs!E14+(Inputs!G14-Inputs!E14)*BETAINV(RAND(),Model!J8,Model!K8)</f>
        <v>0.81101204554687034</v>
      </c>
      <c r="R579">
        <f ca="1">(Inputs!H14+(Inputs!J14-Inputs!H14)*BETAINV(RAND(),Model!L8,Model!M8))*Inputs!$C$6</f>
        <v>326029.22898788058</v>
      </c>
      <c r="S579">
        <f t="shared" ca="1" si="176"/>
        <v>0.3546075051401269</v>
      </c>
      <c r="T579">
        <f t="shared" ca="1" si="177"/>
        <v>0.13965073591496691</v>
      </c>
      <c r="U579">
        <f t="shared" ca="1" si="178"/>
        <v>0</v>
      </c>
      <c r="V579" s="47">
        <f t="shared" ca="1" si="179"/>
        <v>0</v>
      </c>
      <c r="W579">
        <f ca="1">Inputs!B15+(Inputs!D15-Inputs!B15)*BETAINV(RAND(),Model!H9,Model!I9)</f>
        <v>0.81696597908626267</v>
      </c>
      <c r="X579">
        <f ca="1">Inputs!E15+(Inputs!G15-Inputs!E15)*BETAINV(RAND(),Model!J9,Model!K9)</f>
        <v>0.34533392023851806</v>
      </c>
      <c r="Y579">
        <f ca="1">(Inputs!H15+(Inputs!J15-Inputs!H15)*BETAINV(RAND(),Model!L9,Model!M9))*Inputs!$C$6</f>
        <v>8570.0355639746613</v>
      </c>
      <c r="Z579">
        <f t="shared" ca="1" si="180"/>
        <v>0.28212606425935827</v>
      </c>
      <c r="AA579">
        <f t="shared" ca="1" si="181"/>
        <v>0.48769578313833062</v>
      </c>
      <c r="AB579">
        <f t="shared" ca="1" si="182"/>
        <v>0</v>
      </c>
      <c r="AC579" s="47">
        <f t="shared" ca="1" si="183"/>
        <v>0</v>
      </c>
      <c r="AD579">
        <f ca="1">Inputs!B16+(Inputs!D16-Inputs!B16)*BETAINV(RAND(),Model!H10,Model!I10)</f>
        <v>1.347695579949445</v>
      </c>
      <c r="AE579">
        <f ca="1">Inputs!E16+(Inputs!G16-Inputs!E16)*BETAINV(RAND(),Model!J10,Model!K10)</f>
        <v>0.6864077886474762</v>
      </c>
      <c r="AF579">
        <f ca="1">(Inputs!H16+(Inputs!J16-Inputs!H16)*BETAINV(RAND(),Model!L10,Model!M10))*Inputs!$C$6</f>
        <v>92524.035830239663</v>
      </c>
      <c r="AG579">
        <f t="shared" ca="1" si="184"/>
        <v>0.92506874280307649</v>
      </c>
      <c r="AH579">
        <f t="shared" ca="1" si="185"/>
        <v>0.76602351531615542</v>
      </c>
      <c r="AI579">
        <f t="shared" ca="1" si="186"/>
        <v>2</v>
      </c>
      <c r="AJ579" s="47">
        <f t="shared" ca="1" si="187"/>
        <v>185048.07166047933</v>
      </c>
      <c r="AK579">
        <f t="shared" ca="1" si="188"/>
        <v>322418.31766544271</v>
      </c>
    </row>
    <row r="580" spans="2:37" x14ac:dyDescent="0.2">
      <c r="B580">
        <f ca="1">Inputs!B12+(Inputs!D12-Inputs!B12)*BETAINV(RAND(),Model!H6,Model!I6)</f>
        <v>3.3077725623557126</v>
      </c>
      <c r="C580">
        <f ca="1">Inputs!E12+(Inputs!G12-Inputs!E12)*BETAINV(RAND(),Model!J6,Model!K6)</f>
        <v>0.25911975758200878</v>
      </c>
      <c r="D580">
        <f ca="1">(Inputs!H12+(Inputs!J12-Inputs!H12)*BETAINV(RAND(),Model!L6,Model!M6))*Inputs!$C$6</f>
        <v>14552.93844099914</v>
      </c>
      <c r="E580">
        <f t="shared" ca="1" si="168"/>
        <v>0.85710922449403226</v>
      </c>
      <c r="F580">
        <f t="shared" ca="1" si="169"/>
        <v>0.1914840804412643</v>
      </c>
      <c r="G580">
        <f t="shared" ca="1" si="170"/>
        <v>0</v>
      </c>
      <c r="H580" s="47">
        <f t="shared" ca="1" si="171"/>
        <v>0</v>
      </c>
      <c r="I580">
        <f ca="1">Inputs!B13+(Inputs!D13-Inputs!B13)*BETAINV(RAND(),Model!H7,Model!I7)</f>
        <v>2.73904973643715</v>
      </c>
      <c r="J580">
        <f ca="1">Inputs!E13+(Inputs!G13-Inputs!E13)*BETAINV(RAND(),Model!J7,Model!K7)</f>
        <v>0.20196034014958539</v>
      </c>
      <c r="K580">
        <f ca="1">(Inputs!H13+(Inputs!J13-Inputs!H13)*BETAINV(RAND(),Model!L7,Model!M7))*Inputs!$C$6</f>
        <v>43093.880710190264</v>
      </c>
      <c r="L580">
        <f t="shared" ca="1" si="172"/>
        <v>0.55317941645747903</v>
      </c>
      <c r="M580">
        <f t="shared" ca="1" si="173"/>
        <v>0.82142683730998378</v>
      </c>
      <c r="N580">
        <f t="shared" ca="1" si="174"/>
        <v>1</v>
      </c>
      <c r="O580" s="47">
        <f t="shared" ca="1" si="175"/>
        <v>43093.880710190264</v>
      </c>
      <c r="P580">
        <f ca="1">Inputs!B14+(Inputs!D14-Inputs!B14)*BETAINV(RAND(),Model!H8,Model!I8)</f>
        <v>0.48864961156045839</v>
      </c>
      <c r="Q580">
        <f ca="1">Inputs!E14+(Inputs!G14-Inputs!E14)*BETAINV(RAND(),Model!J8,Model!K8)</f>
        <v>0.73597092787148255</v>
      </c>
      <c r="R580">
        <f ca="1">(Inputs!H14+(Inputs!J14-Inputs!H14)*BETAINV(RAND(),Model!L8,Model!M8))*Inputs!$C$6</f>
        <v>453795.56881101034</v>
      </c>
      <c r="S580">
        <f t="shared" ca="1" si="176"/>
        <v>0.35963190802419009</v>
      </c>
      <c r="T580">
        <f t="shared" ca="1" si="177"/>
        <v>0.39847086755682903</v>
      </c>
      <c r="U580">
        <f t="shared" ca="1" si="178"/>
        <v>0</v>
      </c>
      <c r="V580" s="47">
        <f t="shared" ca="1" si="179"/>
        <v>0</v>
      </c>
      <c r="W580">
        <f ca="1">Inputs!B15+(Inputs!D15-Inputs!B15)*BETAINV(RAND(),Model!H9,Model!I9)</f>
        <v>1.0506547491928331</v>
      </c>
      <c r="X580">
        <f ca="1">Inputs!E15+(Inputs!G15-Inputs!E15)*BETAINV(RAND(),Model!J9,Model!K9)</f>
        <v>0.56356436209304128</v>
      </c>
      <c r="Y580">
        <f ca="1">(Inputs!H15+(Inputs!J15-Inputs!H15)*BETAINV(RAND(),Model!L9,Model!M9))*Inputs!$C$6</f>
        <v>48087.348020642952</v>
      </c>
      <c r="Z580">
        <f t="shared" ca="1" si="180"/>
        <v>0.59211157350888322</v>
      </c>
      <c r="AA580">
        <f t="shared" ca="1" si="181"/>
        <v>0.49414133217119804</v>
      </c>
      <c r="AB580">
        <f t="shared" ca="1" si="182"/>
        <v>0</v>
      </c>
      <c r="AC580" s="47">
        <f t="shared" ca="1" si="183"/>
        <v>0</v>
      </c>
      <c r="AD580">
        <f ca="1">Inputs!B16+(Inputs!D16-Inputs!B16)*BETAINV(RAND(),Model!H10,Model!I10)</f>
        <v>0.75804298608495424</v>
      </c>
      <c r="AE580">
        <f ca="1">Inputs!E16+(Inputs!G16-Inputs!E16)*BETAINV(RAND(),Model!J10,Model!K10)</f>
        <v>0.71536967719775491</v>
      </c>
      <c r="AF580">
        <f ca="1">(Inputs!H16+(Inputs!J16-Inputs!H16)*BETAINV(RAND(),Model!L10,Model!M10))*Inputs!$C$6</f>
        <v>191880.37382608972</v>
      </c>
      <c r="AG580">
        <f t="shared" ca="1" si="184"/>
        <v>0.5422809662576159</v>
      </c>
      <c r="AH580">
        <f t="shared" ca="1" si="185"/>
        <v>7.7637827908759061E-2</v>
      </c>
      <c r="AI580">
        <f t="shared" ca="1" si="186"/>
        <v>0</v>
      </c>
      <c r="AJ580" s="47">
        <f t="shared" ca="1" si="187"/>
        <v>0</v>
      </c>
      <c r="AK580">
        <f t="shared" ca="1" si="188"/>
        <v>43093.880710190264</v>
      </c>
    </row>
    <row r="581" spans="2:37" x14ac:dyDescent="0.2">
      <c r="B581">
        <f ca="1">Inputs!B12+(Inputs!D12-Inputs!B12)*BETAINV(RAND(),Model!H6,Model!I6)</f>
        <v>3.355164151668935</v>
      </c>
      <c r="C581">
        <f ca="1">Inputs!E12+(Inputs!G12-Inputs!E12)*BETAINV(RAND(),Model!J6,Model!K6)</f>
        <v>0.16832790838376405</v>
      </c>
      <c r="D581">
        <f ca="1">(Inputs!H12+(Inputs!J12-Inputs!H12)*BETAINV(RAND(),Model!L6,Model!M6))*Inputs!$C$6</f>
        <v>24668.76527684696</v>
      </c>
      <c r="E581">
        <f t="shared" ca="1" si="168"/>
        <v>0.56476776393461792</v>
      </c>
      <c r="F581">
        <f t="shared" ca="1" si="169"/>
        <v>0.43737895386618397</v>
      </c>
      <c r="G581">
        <f t="shared" ca="1" si="170"/>
        <v>0</v>
      </c>
      <c r="H581" s="47">
        <f t="shared" ca="1" si="171"/>
        <v>0</v>
      </c>
      <c r="I581">
        <f ca="1">Inputs!B13+(Inputs!D13-Inputs!B13)*BETAINV(RAND(),Model!H7,Model!I7)</f>
        <v>1.3924682302425739</v>
      </c>
      <c r="J581">
        <f ca="1">Inputs!E13+(Inputs!G13-Inputs!E13)*BETAINV(RAND(),Model!J7,Model!K7)</f>
        <v>0.23825131887993475</v>
      </c>
      <c r="K581">
        <f ca="1">(Inputs!H13+(Inputs!J13-Inputs!H13)*BETAINV(RAND(),Model!L7,Model!M7))*Inputs!$C$6</f>
        <v>27160.468593995822</v>
      </c>
      <c r="L581">
        <f t="shared" ca="1" si="172"/>
        <v>0.33175739235370189</v>
      </c>
      <c r="M581">
        <f t="shared" ca="1" si="173"/>
        <v>0.68632607423271053</v>
      </c>
      <c r="N581">
        <f t="shared" ca="1" si="174"/>
        <v>0</v>
      </c>
      <c r="O581" s="47">
        <f t="shared" ca="1" si="175"/>
        <v>0</v>
      </c>
      <c r="P581">
        <f ca="1">Inputs!B14+(Inputs!D14-Inputs!B14)*BETAINV(RAND(),Model!H8,Model!I8)</f>
        <v>0.34098329176687336</v>
      </c>
      <c r="Q581">
        <f ca="1">Inputs!E14+(Inputs!G14-Inputs!E14)*BETAINV(RAND(),Model!J8,Model!K8)</f>
        <v>0.75394019456769557</v>
      </c>
      <c r="R581">
        <f ca="1">(Inputs!H14+(Inputs!J14-Inputs!H14)*BETAINV(RAND(),Model!L8,Model!M8))*Inputs!$C$6</f>
        <v>204263.67303513672</v>
      </c>
      <c r="S581">
        <f t="shared" ca="1" si="176"/>
        <v>0.25708100933904982</v>
      </c>
      <c r="T581">
        <f t="shared" ca="1" si="177"/>
        <v>0.10025480618506966</v>
      </c>
      <c r="U581">
        <f t="shared" ca="1" si="178"/>
        <v>0</v>
      </c>
      <c r="V581" s="47">
        <f t="shared" ca="1" si="179"/>
        <v>0</v>
      </c>
      <c r="W581">
        <f ca="1">Inputs!B15+(Inputs!D15-Inputs!B15)*BETAINV(RAND(),Model!H9,Model!I9)</f>
        <v>0.92278750462767123</v>
      </c>
      <c r="X581">
        <f ca="1">Inputs!E15+(Inputs!G15-Inputs!E15)*BETAINV(RAND(),Model!J9,Model!K9)</f>
        <v>0.26202778634751556</v>
      </c>
      <c r="Y581">
        <f ca="1">(Inputs!H15+(Inputs!J15-Inputs!H15)*BETAINV(RAND(),Model!L9,Model!M9))*Inputs!$C$6</f>
        <v>29164.344183861722</v>
      </c>
      <c r="Z581">
        <f t="shared" ca="1" si="180"/>
        <v>0.24179596710673645</v>
      </c>
      <c r="AA581">
        <f t="shared" ca="1" si="181"/>
        <v>0.11343220575681601</v>
      </c>
      <c r="AB581">
        <f t="shared" ca="1" si="182"/>
        <v>0</v>
      </c>
      <c r="AC581" s="47">
        <f t="shared" ca="1" si="183"/>
        <v>0</v>
      </c>
      <c r="AD581">
        <f ca="1">Inputs!B16+(Inputs!D16-Inputs!B16)*BETAINV(RAND(),Model!H10,Model!I10)</f>
        <v>0.53004654428846121</v>
      </c>
      <c r="AE581">
        <f ca="1">Inputs!E16+(Inputs!G16-Inputs!E16)*BETAINV(RAND(),Model!J10,Model!K10)</f>
        <v>0.58778693468509879</v>
      </c>
      <c r="AF581">
        <f ca="1">(Inputs!H16+(Inputs!J16-Inputs!H16)*BETAINV(RAND(),Model!L10,Model!M10))*Inputs!$C$6</f>
        <v>150837.33702928474</v>
      </c>
      <c r="AG581">
        <f t="shared" ca="1" si="184"/>
        <v>0.31155443350774409</v>
      </c>
      <c r="AH581">
        <f t="shared" ca="1" si="185"/>
        <v>0.72342131879610361</v>
      </c>
      <c r="AI581">
        <f t="shared" ca="1" si="186"/>
        <v>0</v>
      </c>
      <c r="AJ581" s="47">
        <f t="shared" ca="1" si="187"/>
        <v>0</v>
      </c>
      <c r="AK581">
        <f t="shared" ca="1" si="188"/>
        <v>0</v>
      </c>
    </row>
    <row r="582" spans="2:37" x14ac:dyDescent="0.2">
      <c r="B582">
        <f ca="1">Inputs!B12+(Inputs!D12-Inputs!B12)*BETAINV(RAND(),Model!H6,Model!I6)</f>
        <v>4.4964829463818772</v>
      </c>
      <c r="C582">
        <f ca="1">Inputs!E12+(Inputs!G12-Inputs!E12)*BETAINV(RAND(),Model!J6,Model!K6)</f>
        <v>0.39465144160933308</v>
      </c>
      <c r="D582">
        <f ca="1">(Inputs!H12+(Inputs!J12-Inputs!H12)*BETAINV(RAND(),Model!L6,Model!M6))*Inputs!$C$6</f>
        <v>8748.8526187779553</v>
      </c>
      <c r="E582">
        <f t="shared" ca="1" si="168"/>
        <v>1.7745434769613893</v>
      </c>
      <c r="F582">
        <f t="shared" ca="1" si="169"/>
        <v>4.0664127647200066E-2</v>
      </c>
      <c r="G582">
        <f t="shared" ca="1" si="170"/>
        <v>0</v>
      </c>
      <c r="H582" s="47">
        <f t="shared" ca="1" si="171"/>
        <v>0</v>
      </c>
      <c r="I582">
        <f ca="1">Inputs!B13+(Inputs!D13-Inputs!B13)*BETAINV(RAND(),Model!H7,Model!I7)</f>
        <v>2.161419578176293</v>
      </c>
      <c r="J582">
        <f ca="1">Inputs!E13+(Inputs!G13-Inputs!E13)*BETAINV(RAND(),Model!J7,Model!K7)</f>
        <v>0.39286852724486521</v>
      </c>
      <c r="K582">
        <f ca="1">(Inputs!H13+(Inputs!J13-Inputs!H13)*BETAINV(RAND(),Model!L7,Model!M7))*Inputs!$C$6</f>
        <v>15092.11548154537</v>
      </c>
      <c r="L582">
        <f t="shared" ca="1" si="172"/>
        <v>0.84915372643633802</v>
      </c>
      <c r="M582">
        <f t="shared" ca="1" si="173"/>
        <v>0.99983156235679171</v>
      </c>
      <c r="N582">
        <f t="shared" ca="1" si="174"/>
        <v>4</v>
      </c>
      <c r="O582" s="47">
        <f t="shared" ca="1" si="175"/>
        <v>60368.461926181481</v>
      </c>
      <c r="P582">
        <f ca="1">Inputs!B14+(Inputs!D14-Inputs!B14)*BETAINV(RAND(),Model!H8,Model!I8)</f>
        <v>0.42871967134563504</v>
      </c>
      <c r="Q582">
        <f ca="1">Inputs!E14+(Inputs!G14-Inputs!E14)*BETAINV(RAND(),Model!J8,Model!K8)</f>
        <v>0.60596901384531487</v>
      </c>
      <c r="R582">
        <f ca="1">(Inputs!H14+(Inputs!J14-Inputs!H14)*BETAINV(RAND(),Model!L8,Model!M8))*Inputs!$C$6</f>
        <v>303347.89125532348</v>
      </c>
      <c r="S582">
        <f t="shared" ca="1" si="176"/>
        <v>0.25979083646140194</v>
      </c>
      <c r="T582">
        <f t="shared" ca="1" si="177"/>
        <v>0.67721065548688131</v>
      </c>
      <c r="U582">
        <f t="shared" ca="1" si="178"/>
        <v>0</v>
      </c>
      <c r="V582" s="47">
        <f t="shared" ca="1" si="179"/>
        <v>0</v>
      </c>
      <c r="W582">
        <f ca="1">Inputs!B15+(Inputs!D15-Inputs!B15)*BETAINV(RAND(),Model!H9,Model!I9)</f>
        <v>2.0619764995090293</v>
      </c>
      <c r="X582">
        <f ca="1">Inputs!E15+(Inputs!G15-Inputs!E15)*BETAINV(RAND(),Model!J9,Model!K9)</f>
        <v>0.47979182739239279</v>
      </c>
      <c r="Y582">
        <f ca="1">(Inputs!H15+(Inputs!J15-Inputs!H15)*BETAINV(RAND(),Model!L9,Model!M9))*Inputs!$C$6</f>
        <v>17798.059719841163</v>
      </c>
      <c r="Z582">
        <f t="shared" ca="1" si="180"/>
        <v>0.98931947273960652</v>
      </c>
      <c r="AA582">
        <f t="shared" ca="1" si="181"/>
        <v>0.453908667762013</v>
      </c>
      <c r="AB582">
        <f t="shared" ca="1" si="182"/>
        <v>1</v>
      </c>
      <c r="AC582" s="47">
        <f t="shared" ca="1" si="183"/>
        <v>17798.059719841163</v>
      </c>
      <c r="AD582">
        <f ca="1">Inputs!B16+(Inputs!D16-Inputs!B16)*BETAINV(RAND(),Model!H10,Model!I10)</f>
        <v>1.0125002079323306</v>
      </c>
      <c r="AE582">
        <f ca="1">Inputs!E16+(Inputs!G16-Inputs!E16)*BETAINV(RAND(),Model!J10,Model!K10)</f>
        <v>0.62893156283076812</v>
      </c>
      <c r="AF582">
        <f ca="1">(Inputs!H16+(Inputs!J16-Inputs!H16)*BETAINV(RAND(),Model!L10,Model!M10))*Inputs!$C$6</f>
        <v>75386.15750445523</v>
      </c>
      <c r="AG582">
        <f t="shared" ca="1" si="184"/>
        <v>0.63679333814135841</v>
      </c>
      <c r="AH582">
        <f t="shared" ca="1" si="185"/>
        <v>0.98096315995968486</v>
      </c>
      <c r="AI582">
        <f t="shared" ca="1" si="186"/>
        <v>3</v>
      </c>
      <c r="AJ582" s="47">
        <f t="shared" ca="1" si="187"/>
        <v>226158.47251336568</v>
      </c>
      <c r="AK582">
        <f t="shared" ca="1" si="188"/>
        <v>304324.99415938836</v>
      </c>
    </row>
    <row r="583" spans="2:37" x14ac:dyDescent="0.2">
      <c r="B583">
        <f ca="1">Inputs!B12+(Inputs!D12-Inputs!B12)*BETAINV(RAND(),Model!H6,Model!I6)</f>
        <v>5.9572936179766716</v>
      </c>
      <c r="C583">
        <f ca="1">Inputs!E12+(Inputs!G12-Inputs!E12)*BETAINV(RAND(),Model!J6,Model!K6)</f>
        <v>0.29366743677250545</v>
      </c>
      <c r="D583">
        <f ca="1">(Inputs!H12+(Inputs!J12-Inputs!H12)*BETAINV(RAND(),Model!L6,Model!M6))*Inputs!$C$6</f>
        <v>36985.997563083736</v>
      </c>
      <c r="E583">
        <f t="shared" ca="1" si="168"/>
        <v>1.7494631468924144</v>
      </c>
      <c r="F583">
        <f t="shared" ca="1" si="169"/>
        <v>0.35970392855991551</v>
      </c>
      <c r="G583">
        <f t="shared" ca="1" si="170"/>
        <v>1</v>
      </c>
      <c r="H583" s="47">
        <f t="shared" ca="1" si="171"/>
        <v>36985.997563083736</v>
      </c>
      <c r="I583">
        <f ca="1">Inputs!B13+(Inputs!D13-Inputs!B13)*BETAINV(RAND(),Model!H7,Model!I7)</f>
        <v>2.7361525326504417</v>
      </c>
      <c r="J583">
        <f ca="1">Inputs!E13+(Inputs!G13-Inputs!E13)*BETAINV(RAND(),Model!J7,Model!K7)</f>
        <v>0.31412992330124806</v>
      </c>
      <c r="K583">
        <f ca="1">(Inputs!H13+(Inputs!J13-Inputs!H13)*BETAINV(RAND(),Model!L7,Model!M7))*Inputs!$C$6</f>
        <v>15015.820274058235</v>
      </c>
      <c r="L583">
        <f t="shared" ca="1" si="172"/>
        <v>0.85950738522199888</v>
      </c>
      <c r="M583">
        <f t="shared" ca="1" si="173"/>
        <v>0.37335402555713293</v>
      </c>
      <c r="N583">
        <f t="shared" ca="1" si="174"/>
        <v>0</v>
      </c>
      <c r="O583" s="47">
        <f t="shared" ca="1" si="175"/>
        <v>0</v>
      </c>
      <c r="P583">
        <f ca="1">Inputs!B14+(Inputs!D14-Inputs!B14)*BETAINV(RAND(),Model!H8,Model!I8)</f>
        <v>0.21909161929625176</v>
      </c>
      <c r="Q583">
        <f ca="1">Inputs!E14+(Inputs!G14-Inputs!E14)*BETAINV(RAND(),Model!J8,Model!K8)</f>
        <v>0.73024411097142106</v>
      </c>
      <c r="R583">
        <f ca="1">(Inputs!H14+(Inputs!J14-Inputs!H14)*BETAINV(RAND(),Model!L8,Model!M8))*Inputs!$C$6</f>
        <v>367537.37455878395</v>
      </c>
      <c r="S583">
        <f t="shared" ca="1" si="176"/>
        <v>0.15999036475428041</v>
      </c>
      <c r="T583">
        <f t="shared" ca="1" si="177"/>
        <v>0.75116996658328172</v>
      </c>
      <c r="U583">
        <f t="shared" ca="1" si="178"/>
        <v>0</v>
      </c>
      <c r="V583" s="47">
        <f t="shared" ca="1" si="179"/>
        <v>0</v>
      </c>
      <c r="W583">
        <f ca="1">Inputs!B15+(Inputs!D15-Inputs!B15)*BETAINV(RAND(),Model!H9,Model!I9)</f>
        <v>1.1064635308432851</v>
      </c>
      <c r="X583">
        <f ca="1">Inputs!E15+(Inputs!G15-Inputs!E15)*BETAINV(RAND(),Model!J9,Model!K9)</f>
        <v>0.42490026846675111</v>
      </c>
      <c r="Y583">
        <f ca="1">(Inputs!H15+(Inputs!J15-Inputs!H15)*BETAINV(RAND(),Model!L9,Model!M9))*Inputs!$C$6</f>
        <v>8954.0830608588421</v>
      </c>
      <c r="Z583">
        <f t="shared" ca="1" si="180"/>
        <v>0.47013665130398119</v>
      </c>
      <c r="AA583">
        <f t="shared" ca="1" si="181"/>
        <v>0.53392102583217671</v>
      </c>
      <c r="AB583">
        <f t="shared" ca="1" si="182"/>
        <v>0</v>
      </c>
      <c r="AC583" s="47">
        <f t="shared" ca="1" si="183"/>
        <v>0</v>
      </c>
      <c r="AD583">
        <f ca="1">Inputs!B16+(Inputs!D16-Inputs!B16)*BETAINV(RAND(),Model!H10,Model!I10)</f>
        <v>0.37727592926841935</v>
      </c>
      <c r="AE583">
        <f ca="1">Inputs!E16+(Inputs!G16-Inputs!E16)*BETAINV(RAND(),Model!J10,Model!K10)</f>
        <v>0.67090334041357647</v>
      </c>
      <c r="AF583">
        <f ca="1">(Inputs!H16+(Inputs!J16-Inputs!H16)*BETAINV(RAND(),Model!L10,Model!M10))*Inputs!$C$6</f>
        <v>74211.898648508446</v>
      </c>
      <c r="AG583">
        <f t="shared" ca="1" si="184"/>
        <v>0.25311568120381872</v>
      </c>
      <c r="AH583">
        <f t="shared" ca="1" si="185"/>
        <v>0.53991277571545848</v>
      </c>
      <c r="AI583">
        <f t="shared" ca="1" si="186"/>
        <v>0</v>
      </c>
      <c r="AJ583" s="47">
        <f t="shared" ca="1" si="187"/>
        <v>0</v>
      </c>
      <c r="AK583">
        <f t="shared" ca="1" si="188"/>
        <v>36985.997563083736</v>
      </c>
    </row>
    <row r="584" spans="2:37" x14ac:dyDescent="0.2">
      <c r="B584">
        <f ca="1">Inputs!B12+(Inputs!D12-Inputs!B12)*BETAINV(RAND(),Model!H6,Model!I6)</f>
        <v>4.4772713290937602</v>
      </c>
      <c r="C584">
        <f ca="1">Inputs!E12+(Inputs!G12-Inputs!E12)*BETAINV(RAND(),Model!J6,Model!K6)</f>
        <v>0.46264315204896311</v>
      </c>
      <c r="D584">
        <f ca="1">(Inputs!H12+(Inputs!J12-Inputs!H12)*BETAINV(RAND(),Model!L6,Model!M6))*Inputs!$C$6</f>
        <v>32910.876792701485</v>
      </c>
      <c r="E584">
        <f t="shared" ca="1" si="168"/>
        <v>2.0713789202703876</v>
      </c>
      <c r="F584">
        <f t="shared" ca="1" si="169"/>
        <v>0.4497447222564791</v>
      </c>
      <c r="G584">
        <f t="shared" ca="1" si="170"/>
        <v>2</v>
      </c>
      <c r="H584" s="47">
        <f t="shared" ca="1" si="171"/>
        <v>65821.75358540297</v>
      </c>
      <c r="I584">
        <f ca="1">Inputs!B13+(Inputs!D13-Inputs!B13)*BETAINV(RAND(),Model!H7,Model!I7)</f>
        <v>2.8214783284343961</v>
      </c>
      <c r="J584">
        <f ca="1">Inputs!E13+(Inputs!G13-Inputs!E13)*BETAINV(RAND(),Model!J7,Model!K7)</f>
        <v>0.24878100885442217</v>
      </c>
      <c r="K584">
        <f ca="1">(Inputs!H13+(Inputs!J13-Inputs!H13)*BETAINV(RAND(),Model!L7,Model!M7))*Inputs!$C$6</f>
        <v>60491.907626946544</v>
      </c>
      <c r="L584">
        <f t="shared" ca="1" si="172"/>
        <v>0.70193022500879776</v>
      </c>
      <c r="M584">
        <f t="shared" ca="1" si="173"/>
        <v>0.32798905988460181</v>
      </c>
      <c r="N584">
        <f t="shared" ca="1" si="174"/>
        <v>0</v>
      </c>
      <c r="O584" s="47">
        <f t="shared" ca="1" si="175"/>
        <v>0</v>
      </c>
      <c r="P584">
        <f ca="1">Inputs!B14+(Inputs!D14-Inputs!B14)*BETAINV(RAND(),Model!H8,Model!I8)</f>
        <v>0.27041758642227576</v>
      </c>
      <c r="Q584">
        <f ca="1">Inputs!E14+(Inputs!G14-Inputs!E14)*BETAINV(RAND(),Model!J8,Model!K8)</f>
        <v>0.51212573106171888</v>
      </c>
      <c r="R584">
        <f ca="1">(Inputs!H14+(Inputs!J14-Inputs!H14)*BETAINV(RAND(),Model!L8,Model!M8))*Inputs!$C$6</f>
        <v>447766.73911801475</v>
      </c>
      <c r="S584">
        <f t="shared" ca="1" si="176"/>
        <v>0.13848780413845352</v>
      </c>
      <c r="T584">
        <f t="shared" ca="1" si="177"/>
        <v>0.41294818744976869</v>
      </c>
      <c r="U584">
        <f t="shared" ca="1" si="178"/>
        <v>0</v>
      </c>
      <c r="V584" s="47">
        <f t="shared" ca="1" si="179"/>
        <v>0</v>
      </c>
      <c r="W584">
        <f ca="1">Inputs!B15+(Inputs!D15-Inputs!B15)*BETAINV(RAND(),Model!H9,Model!I9)</f>
        <v>1.7948402282610578</v>
      </c>
      <c r="X584">
        <f ca="1">Inputs!E15+(Inputs!G15-Inputs!E15)*BETAINV(RAND(),Model!J9,Model!K9)</f>
        <v>0.38967317116189326</v>
      </c>
      <c r="Y584">
        <f ca="1">(Inputs!H15+(Inputs!J15-Inputs!H15)*BETAINV(RAND(),Model!L9,Model!M9))*Inputs!$C$6</f>
        <v>33732.793871971342</v>
      </c>
      <c r="Z584">
        <f t="shared" ca="1" si="180"/>
        <v>0.69940108347542274</v>
      </c>
      <c r="AA584">
        <f t="shared" ca="1" si="181"/>
        <v>0.13287566398355877</v>
      </c>
      <c r="AB584">
        <f t="shared" ca="1" si="182"/>
        <v>0</v>
      </c>
      <c r="AC584" s="47">
        <f t="shared" ca="1" si="183"/>
        <v>0</v>
      </c>
      <c r="AD584">
        <f ca="1">Inputs!B16+(Inputs!D16-Inputs!B16)*BETAINV(RAND(),Model!H10,Model!I10)</f>
        <v>0.93156409330208523</v>
      </c>
      <c r="AE584">
        <f ca="1">Inputs!E16+(Inputs!G16-Inputs!E16)*BETAINV(RAND(),Model!J10,Model!K10)</f>
        <v>0.73000470412536234</v>
      </c>
      <c r="AF584">
        <f ca="1">(Inputs!H16+(Inputs!J16-Inputs!H16)*BETAINV(RAND(),Model!L10,Model!M10))*Inputs!$C$6</f>
        <v>82372.478587602891</v>
      </c>
      <c r="AG584">
        <f t="shared" ca="1" si="184"/>
        <v>0.68004617030480019</v>
      </c>
      <c r="AH584">
        <f t="shared" ca="1" si="185"/>
        <v>0.92069463278734165</v>
      </c>
      <c r="AI584">
        <f t="shared" ca="1" si="186"/>
        <v>2</v>
      </c>
      <c r="AJ584" s="47">
        <f t="shared" ca="1" si="187"/>
        <v>164744.95717520578</v>
      </c>
      <c r="AK584">
        <f t="shared" ca="1" si="188"/>
        <v>230566.71076060875</v>
      </c>
    </row>
    <row r="585" spans="2:37" x14ac:dyDescent="0.2">
      <c r="B585">
        <f ca="1">Inputs!B12+(Inputs!D12-Inputs!B12)*BETAINV(RAND(),Model!H6,Model!I6)</f>
        <v>4.3334976919874482</v>
      </c>
      <c r="C585">
        <f ca="1">Inputs!E12+(Inputs!G12-Inputs!E12)*BETAINV(RAND(),Model!J6,Model!K6)</f>
        <v>0.31892332682546903</v>
      </c>
      <c r="D585">
        <f ca="1">(Inputs!H12+(Inputs!J12-Inputs!H12)*BETAINV(RAND(),Model!L6,Model!M6))*Inputs!$C$6</f>
        <v>50791.741558993454</v>
      </c>
      <c r="E585">
        <f t="shared" ca="1" si="168"/>
        <v>1.3820535007191286</v>
      </c>
      <c r="F585">
        <f t="shared" ca="1" si="169"/>
        <v>7.5032479104879868E-2</v>
      </c>
      <c r="G585">
        <f t="shared" ca="1" si="170"/>
        <v>0</v>
      </c>
      <c r="H585" s="47">
        <f t="shared" ca="1" si="171"/>
        <v>0</v>
      </c>
      <c r="I585">
        <f ca="1">Inputs!B13+(Inputs!D13-Inputs!B13)*BETAINV(RAND(),Model!H7,Model!I7)</f>
        <v>2.4066910426565991</v>
      </c>
      <c r="J585">
        <f ca="1">Inputs!E13+(Inputs!G13-Inputs!E13)*BETAINV(RAND(),Model!J7,Model!K7)</f>
        <v>0.18181971746429013</v>
      </c>
      <c r="K585">
        <f ca="1">(Inputs!H13+(Inputs!J13-Inputs!H13)*BETAINV(RAND(),Model!L7,Model!M7))*Inputs!$C$6</f>
        <v>36139.259462683665</v>
      </c>
      <c r="L585">
        <f t="shared" ca="1" si="172"/>
        <v>0.43758388539966064</v>
      </c>
      <c r="M585">
        <f t="shared" ca="1" si="173"/>
        <v>0.10899081333193805</v>
      </c>
      <c r="N585">
        <f t="shared" ca="1" si="174"/>
        <v>0</v>
      </c>
      <c r="O585" s="47">
        <f t="shared" ca="1" si="175"/>
        <v>0</v>
      </c>
      <c r="P585">
        <f ca="1">Inputs!B14+(Inputs!D14-Inputs!B14)*BETAINV(RAND(),Model!H8,Model!I8)</f>
        <v>0.14380431110610481</v>
      </c>
      <c r="Q585">
        <f ca="1">Inputs!E14+(Inputs!G14-Inputs!E14)*BETAINV(RAND(),Model!J8,Model!K8)</f>
        <v>0.66078420019971085</v>
      </c>
      <c r="R585">
        <f ca="1">(Inputs!H14+(Inputs!J14-Inputs!H14)*BETAINV(RAND(),Model!L8,Model!M8))*Inputs!$C$6</f>
        <v>362812.81098779786</v>
      </c>
      <c r="S585">
        <f t="shared" ca="1" si="176"/>
        <v>9.5023616699517865E-2</v>
      </c>
      <c r="T585">
        <f t="shared" ca="1" si="177"/>
        <v>6.2500331086989824E-3</v>
      </c>
      <c r="U585">
        <f t="shared" ca="1" si="178"/>
        <v>0</v>
      </c>
      <c r="V585" s="47">
        <f t="shared" ca="1" si="179"/>
        <v>0</v>
      </c>
      <c r="W585">
        <f ca="1">Inputs!B15+(Inputs!D15-Inputs!B15)*BETAINV(RAND(),Model!H9,Model!I9)</f>
        <v>0.3488850565801348</v>
      </c>
      <c r="X585">
        <f ca="1">Inputs!E15+(Inputs!G15-Inputs!E15)*BETAINV(RAND(),Model!J9,Model!K9)</f>
        <v>0.4267805495451954</v>
      </c>
      <c r="Y585">
        <f ca="1">(Inputs!H15+(Inputs!J15-Inputs!H15)*BETAINV(RAND(),Model!L9,Model!M9))*Inputs!$C$6</f>
        <v>18521.109798934387</v>
      </c>
      <c r="Z585">
        <f t="shared" ca="1" si="180"/>
        <v>0.14889735617537653</v>
      </c>
      <c r="AA585">
        <f t="shared" ca="1" si="181"/>
        <v>0.46337582170624225</v>
      </c>
      <c r="AB585">
        <f t="shared" ca="1" si="182"/>
        <v>0</v>
      </c>
      <c r="AC585" s="47">
        <f t="shared" ca="1" si="183"/>
        <v>0</v>
      </c>
      <c r="AD585">
        <f ca="1">Inputs!B16+(Inputs!D16-Inputs!B16)*BETAINV(RAND(),Model!H10,Model!I10)</f>
        <v>0.54296916582465937</v>
      </c>
      <c r="AE585">
        <f ca="1">Inputs!E16+(Inputs!G16-Inputs!E16)*BETAINV(RAND(),Model!J10,Model!K10)</f>
        <v>0.63779783506026178</v>
      </c>
      <c r="AF585">
        <f ca="1">(Inputs!H16+(Inputs!J16-Inputs!H16)*BETAINV(RAND(),Model!L10,Model!M10))*Inputs!$C$6</f>
        <v>93571.344108574034</v>
      </c>
      <c r="AG585">
        <f t="shared" ca="1" si="184"/>
        <v>0.34630455846744401</v>
      </c>
      <c r="AH585">
        <f t="shared" ca="1" si="185"/>
        <v>0.61979059564298433</v>
      </c>
      <c r="AI585">
        <f t="shared" ca="1" si="186"/>
        <v>0</v>
      </c>
      <c r="AJ585" s="47">
        <f t="shared" ca="1" si="187"/>
        <v>0</v>
      </c>
      <c r="AK585">
        <f t="shared" ca="1" si="188"/>
        <v>0</v>
      </c>
    </row>
    <row r="586" spans="2:37" x14ac:dyDescent="0.2">
      <c r="B586">
        <f ca="1">Inputs!B12+(Inputs!D12-Inputs!B12)*BETAINV(RAND(),Model!H6,Model!I6)</f>
        <v>3.4186873436388434</v>
      </c>
      <c r="C586">
        <f ca="1">Inputs!E12+(Inputs!G12-Inputs!E12)*BETAINV(RAND(),Model!J6,Model!K6)</f>
        <v>0.50516296392354099</v>
      </c>
      <c r="D586">
        <f ca="1">(Inputs!H12+(Inputs!J12-Inputs!H12)*BETAINV(RAND(),Model!L6,Model!M6))*Inputs!$C$6</f>
        <v>42270.490260097642</v>
      </c>
      <c r="E586">
        <f t="shared" ca="1" si="168"/>
        <v>1.7269942312404951</v>
      </c>
      <c r="F586">
        <f t="shared" ca="1" si="169"/>
        <v>8.7185374921239456E-2</v>
      </c>
      <c r="G586">
        <f t="shared" ca="1" si="170"/>
        <v>0</v>
      </c>
      <c r="H586" s="47">
        <f t="shared" ca="1" si="171"/>
        <v>0</v>
      </c>
      <c r="I586">
        <f ca="1">Inputs!B13+(Inputs!D13-Inputs!B13)*BETAINV(RAND(),Model!H7,Model!I7)</f>
        <v>1.401157840277671</v>
      </c>
      <c r="J586">
        <f ca="1">Inputs!E13+(Inputs!G13-Inputs!E13)*BETAINV(RAND(),Model!J7,Model!K7)</f>
        <v>0.34419487322177622</v>
      </c>
      <c r="K586">
        <f ca="1">(Inputs!H13+(Inputs!J13-Inputs!H13)*BETAINV(RAND(),Model!L7,Model!M7))*Inputs!$C$6</f>
        <v>13447.216534185573</v>
      </c>
      <c r="L586">
        <f t="shared" ca="1" si="172"/>
        <v>0.48227134519807074</v>
      </c>
      <c r="M586">
        <f t="shared" ca="1" si="173"/>
        <v>0.48783599429037561</v>
      </c>
      <c r="N586">
        <f t="shared" ca="1" si="174"/>
        <v>0</v>
      </c>
      <c r="O586" s="47">
        <f t="shared" ca="1" si="175"/>
        <v>0</v>
      </c>
      <c r="P586">
        <f ca="1">Inputs!B14+(Inputs!D14-Inputs!B14)*BETAINV(RAND(),Model!H8,Model!I8)</f>
        <v>0.27187719196170457</v>
      </c>
      <c r="Q586">
        <f ca="1">Inputs!E14+(Inputs!G14-Inputs!E14)*BETAINV(RAND(),Model!J8,Model!K8)</f>
        <v>0.58217651020136196</v>
      </c>
      <c r="R586">
        <f ca="1">(Inputs!H14+(Inputs!J14-Inputs!H14)*BETAINV(RAND(),Model!L8,Model!M8))*Inputs!$C$6</f>
        <v>318256.89832178713</v>
      </c>
      <c r="S586">
        <f t="shared" ca="1" si="176"/>
        <v>0.15828051481961095</v>
      </c>
      <c r="T586">
        <f t="shared" ca="1" si="177"/>
        <v>0.91561654377296808</v>
      </c>
      <c r="U586">
        <f t="shared" ca="1" si="178"/>
        <v>1</v>
      </c>
      <c r="V586" s="47">
        <f t="shared" ca="1" si="179"/>
        <v>318256.89832178713</v>
      </c>
      <c r="W586">
        <f ca="1">Inputs!B15+(Inputs!D15-Inputs!B15)*BETAINV(RAND(),Model!H9,Model!I9)</f>
        <v>0.43027176854382998</v>
      </c>
      <c r="X586">
        <f ca="1">Inputs!E15+(Inputs!G15-Inputs!E15)*BETAINV(RAND(),Model!J9,Model!K9)</f>
        <v>0.52839568764618194</v>
      </c>
      <c r="Y586">
        <f ca="1">(Inputs!H15+(Inputs!J15-Inputs!H15)*BETAINV(RAND(),Model!L9,Model!M9))*Inputs!$C$6</f>
        <v>61388.901635000511</v>
      </c>
      <c r="Z586">
        <f t="shared" ca="1" si="180"/>
        <v>0.22735374701445588</v>
      </c>
      <c r="AA586">
        <f t="shared" ca="1" si="181"/>
        <v>0.3145451675867077</v>
      </c>
      <c r="AB586">
        <f t="shared" ca="1" si="182"/>
        <v>0</v>
      </c>
      <c r="AC586" s="47">
        <f t="shared" ca="1" si="183"/>
        <v>0</v>
      </c>
      <c r="AD586">
        <f ca="1">Inputs!B16+(Inputs!D16-Inputs!B16)*BETAINV(RAND(),Model!H10,Model!I10)</f>
        <v>0.62220495823487065</v>
      </c>
      <c r="AE586">
        <f ca="1">Inputs!E16+(Inputs!G16-Inputs!E16)*BETAINV(RAND(),Model!J10,Model!K10)</f>
        <v>0.61114903133469878</v>
      </c>
      <c r="AF586">
        <f ca="1">(Inputs!H16+(Inputs!J16-Inputs!H16)*BETAINV(RAND(),Model!L10,Model!M10))*Inputs!$C$6</f>
        <v>83708.882956861868</v>
      </c>
      <c r="AG586">
        <f t="shared" ca="1" si="184"/>
        <v>0.3802599575168879</v>
      </c>
      <c r="AH586">
        <f t="shared" ca="1" si="185"/>
        <v>0.47855625775609467</v>
      </c>
      <c r="AI586">
        <f t="shared" ca="1" si="186"/>
        <v>0</v>
      </c>
      <c r="AJ586" s="47">
        <f t="shared" ca="1" si="187"/>
        <v>0</v>
      </c>
      <c r="AK586">
        <f t="shared" ca="1" si="188"/>
        <v>318256.89832178713</v>
      </c>
    </row>
    <row r="587" spans="2:37" x14ac:dyDescent="0.2">
      <c r="B587">
        <f ca="1">Inputs!B12+(Inputs!D12-Inputs!B12)*BETAINV(RAND(),Model!H6,Model!I6)</f>
        <v>3.1080271020920902</v>
      </c>
      <c r="C587">
        <f ca="1">Inputs!E12+(Inputs!G12-Inputs!E12)*BETAINV(RAND(),Model!J6,Model!K6)</f>
        <v>0.34654471243712426</v>
      </c>
      <c r="D587">
        <f ca="1">(Inputs!H12+(Inputs!J12-Inputs!H12)*BETAINV(RAND(),Model!L6,Model!M6))*Inputs!$C$6</f>
        <v>13108.492103205439</v>
      </c>
      <c r="E587">
        <f t="shared" ca="1" si="168"/>
        <v>1.0770703583412919</v>
      </c>
      <c r="F587">
        <f t="shared" ca="1" si="169"/>
        <v>1.7960779240595026E-2</v>
      </c>
      <c r="G587">
        <f t="shared" ca="1" si="170"/>
        <v>0</v>
      </c>
      <c r="H587" s="47">
        <f t="shared" ca="1" si="171"/>
        <v>0</v>
      </c>
      <c r="I587">
        <f ca="1">Inputs!B13+(Inputs!D13-Inputs!B13)*BETAINV(RAND(),Model!H7,Model!I7)</f>
        <v>1.8460498904527616</v>
      </c>
      <c r="J587">
        <f ca="1">Inputs!E13+(Inputs!G13-Inputs!E13)*BETAINV(RAND(),Model!J7,Model!K7)</f>
        <v>0.18810688162667133</v>
      </c>
      <c r="K587">
        <f ca="1">(Inputs!H13+(Inputs!J13-Inputs!H13)*BETAINV(RAND(),Model!L7,Model!M7))*Inputs!$C$6</f>
        <v>30086.139648790093</v>
      </c>
      <c r="L587">
        <f t="shared" ca="1" si="172"/>
        <v>0.34725468822032718</v>
      </c>
      <c r="M587">
        <f t="shared" ca="1" si="173"/>
        <v>0.26939297892630343</v>
      </c>
      <c r="N587">
        <f t="shared" ca="1" si="174"/>
        <v>0</v>
      </c>
      <c r="O587" s="47">
        <f t="shared" ca="1" si="175"/>
        <v>0</v>
      </c>
      <c r="P587">
        <f ca="1">Inputs!B14+(Inputs!D14-Inputs!B14)*BETAINV(RAND(),Model!H8,Model!I8)</f>
        <v>0.48921071650071346</v>
      </c>
      <c r="Q587">
        <f ca="1">Inputs!E14+(Inputs!G14-Inputs!E14)*BETAINV(RAND(),Model!J8,Model!K8)</f>
        <v>0.54881908701107607</v>
      </c>
      <c r="R587">
        <f ca="1">(Inputs!H14+(Inputs!J14-Inputs!H14)*BETAINV(RAND(),Model!L8,Model!M8))*Inputs!$C$6</f>
        <v>255678.02264326316</v>
      </c>
      <c r="S587">
        <f t="shared" ca="1" si="176"/>
        <v>0.26848817878595593</v>
      </c>
      <c r="T587">
        <f t="shared" ca="1" si="177"/>
        <v>0.65333018946550225</v>
      </c>
      <c r="U587">
        <f t="shared" ca="1" si="178"/>
        <v>0</v>
      </c>
      <c r="V587" s="47">
        <f t="shared" ca="1" si="179"/>
        <v>0</v>
      </c>
      <c r="W587">
        <f ca="1">Inputs!B15+(Inputs!D15-Inputs!B15)*BETAINV(RAND(),Model!H9,Model!I9)</f>
        <v>0.63433873120787054</v>
      </c>
      <c r="X587">
        <f ca="1">Inputs!E15+(Inputs!G15-Inputs!E15)*BETAINV(RAND(),Model!J9,Model!K9)</f>
        <v>0.41956536848174086</v>
      </c>
      <c r="Y587">
        <f ca="1">(Inputs!H15+(Inputs!J15-Inputs!H15)*BETAINV(RAND(),Model!L9,Model!M9))*Inputs!$C$6</f>
        <v>23305.60310883433</v>
      </c>
      <c r="Z587">
        <f t="shared" ca="1" si="180"/>
        <v>0.2661465635014702</v>
      </c>
      <c r="AA587">
        <f t="shared" ca="1" si="181"/>
        <v>0.67267350076194277</v>
      </c>
      <c r="AB587">
        <f t="shared" ca="1" si="182"/>
        <v>0</v>
      </c>
      <c r="AC587" s="47">
        <f t="shared" ca="1" si="183"/>
        <v>0</v>
      </c>
      <c r="AD587">
        <f ca="1">Inputs!B16+(Inputs!D16-Inputs!B16)*BETAINV(RAND(),Model!H10,Model!I10)</f>
        <v>0.80578841695067172</v>
      </c>
      <c r="AE587">
        <f ca="1">Inputs!E16+(Inputs!G16-Inputs!E16)*BETAINV(RAND(),Model!J10,Model!K10)</f>
        <v>0.64726298240992464</v>
      </c>
      <c r="AF587">
        <f ca="1">(Inputs!H16+(Inputs!J16-Inputs!H16)*BETAINV(RAND(),Model!L10,Model!M10))*Inputs!$C$6</f>
        <v>59238.554116400999</v>
      </c>
      <c r="AG587">
        <f t="shared" ca="1" si="184"/>
        <v>0.5215570139468636</v>
      </c>
      <c r="AH587">
        <f t="shared" ca="1" si="185"/>
        <v>0.59599173673597727</v>
      </c>
      <c r="AI587">
        <f t="shared" ca="1" si="186"/>
        <v>1</v>
      </c>
      <c r="AJ587" s="47">
        <f t="shared" ca="1" si="187"/>
        <v>59238.554116400999</v>
      </c>
      <c r="AK587">
        <f t="shared" ca="1" si="188"/>
        <v>59238.554116400999</v>
      </c>
    </row>
    <row r="588" spans="2:37" x14ac:dyDescent="0.2">
      <c r="B588">
        <f ca="1">Inputs!B12+(Inputs!D12-Inputs!B12)*BETAINV(RAND(),Model!H6,Model!I6)</f>
        <v>4.1098322354593897</v>
      </c>
      <c r="C588">
        <f ca="1">Inputs!E12+(Inputs!G12-Inputs!E12)*BETAINV(RAND(),Model!J6,Model!K6)</f>
        <v>0.37629309367758368</v>
      </c>
      <c r="D588">
        <f ca="1">(Inputs!H12+(Inputs!J12-Inputs!H12)*BETAINV(RAND(),Model!L6,Model!M6))*Inputs!$C$6</f>
        <v>23321.719567548345</v>
      </c>
      <c r="E588">
        <f t="shared" ref="E588:E651" ca="1" si="189">B588*C588</f>
        <v>1.5465014863768733</v>
      </c>
      <c r="F588">
        <f t="shared" ref="F588:F651" ca="1" si="190">RAND()</f>
        <v>0.55126435251715511</v>
      </c>
      <c r="G588">
        <f t="shared" ref="G588:G651" ca="1" si="191">IF(F588&lt;EXP(-E588),0,IF(F588&lt;EXP(-E588)*(1+E588),1,IF(F588&lt;EXP(-E588)*(1+E588+E588^2/2),2,IF(F588&lt;EXP(-E588)*(1+E588+E588^2/2+E588^3/6),3,4))))</f>
        <v>2</v>
      </c>
      <c r="H588" s="47">
        <f t="shared" ref="H588:H651" ca="1" si="192">G588*D588</f>
        <v>46643.439135096691</v>
      </c>
      <c r="I588">
        <f ca="1">Inputs!B13+(Inputs!D13-Inputs!B13)*BETAINV(RAND(),Model!H7,Model!I7)</f>
        <v>1.9515959133040337</v>
      </c>
      <c r="J588">
        <f ca="1">Inputs!E13+(Inputs!G13-Inputs!E13)*BETAINV(RAND(),Model!J7,Model!K7)</f>
        <v>0.3119080928598329</v>
      </c>
      <c r="K588">
        <f ca="1">(Inputs!H13+(Inputs!J13-Inputs!H13)*BETAINV(RAND(),Model!L7,Model!M7))*Inputs!$C$6</f>
        <v>35937.371447650956</v>
      </c>
      <c r="L588">
        <f t="shared" ref="L588:L651" ca="1" si="193">I588*J588</f>
        <v>0.60871855935170494</v>
      </c>
      <c r="M588">
        <f t="shared" ref="M588:M651" ca="1" si="194">RAND()</f>
        <v>0.5267191872542053</v>
      </c>
      <c r="N588">
        <f t="shared" ref="N588:N651" ca="1" si="195">IF(M588&lt;EXP(-L588),0,IF(M588&lt;EXP(-L588)*(1+L588),1,IF(M588&lt;EXP(-L588)*(1+L588+L588^2/2),2,IF(M588&lt;EXP(-L588)*(1+L588+L588^2/2+L588^3/6),3,4))))</f>
        <v>0</v>
      </c>
      <c r="O588" s="47">
        <f t="shared" ref="O588:O651" ca="1" si="196">N588*K588</f>
        <v>0</v>
      </c>
      <c r="P588">
        <f ca="1">Inputs!B14+(Inputs!D14-Inputs!B14)*BETAINV(RAND(),Model!H8,Model!I8)</f>
        <v>0.30758730578567584</v>
      </c>
      <c r="Q588">
        <f ca="1">Inputs!E14+(Inputs!G14-Inputs!E14)*BETAINV(RAND(),Model!J8,Model!K8)</f>
        <v>0.54344583937251978</v>
      </c>
      <c r="R588">
        <f ca="1">(Inputs!H14+(Inputs!J14-Inputs!H14)*BETAINV(RAND(),Model!L8,Model!M8))*Inputs!$C$6</f>
        <v>340334.74659222609</v>
      </c>
      <c r="S588">
        <f t="shared" ref="S588:S651" ca="1" si="197">P588*Q588</f>
        <v>0.16715704157302852</v>
      </c>
      <c r="T588">
        <f t="shared" ref="T588:T651" ca="1" si="198">RAND()</f>
        <v>0.71899553000981586</v>
      </c>
      <c r="U588">
        <f t="shared" ref="U588:U651" ca="1" si="199">IF(T588&lt;EXP(-S588),0,IF(T588&lt;EXP(-S588)*(1+S588),1,IF(T588&lt;EXP(-S588)*(1+S588+S588^2/2),2,IF(T588&lt;EXP(-S588)*(1+S588+S588^2/2+S588^3/6),3,4))))</f>
        <v>0</v>
      </c>
      <c r="V588" s="47">
        <f t="shared" ref="V588:V651" ca="1" si="200">U588*R588</f>
        <v>0</v>
      </c>
      <c r="W588">
        <f ca="1">Inputs!B15+(Inputs!D15-Inputs!B15)*BETAINV(RAND(),Model!H9,Model!I9)</f>
        <v>1.5649534107294851</v>
      </c>
      <c r="X588">
        <f ca="1">Inputs!E15+(Inputs!G15-Inputs!E15)*BETAINV(RAND(),Model!J9,Model!K9)</f>
        <v>0.39812137450941587</v>
      </c>
      <c r="Y588">
        <f ca="1">(Inputs!H15+(Inputs!J15-Inputs!H15)*BETAINV(RAND(),Model!L9,Model!M9))*Inputs!$C$6</f>
        <v>24181.833071675046</v>
      </c>
      <c r="Z588">
        <f t="shared" ref="Z588:Z651" ca="1" si="201">W588*X588</f>
        <v>0.62304140292282106</v>
      </c>
      <c r="AA588">
        <f t="shared" ref="AA588:AA651" ca="1" si="202">RAND()</f>
        <v>0.31615231251398412</v>
      </c>
      <c r="AB588">
        <f t="shared" ref="AB588:AB651" ca="1" si="203">IF(AA588&lt;EXP(-Z588),0,IF(AA588&lt;EXP(-Z588)*(1+Z588),1,IF(AA588&lt;EXP(-Z588)*(1+Z588+Z588^2/2),2,IF(AA588&lt;EXP(-Z588)*(1+Z588+Z588^2/2+Z588^3/6),3,4))))</f>
        <v>0</v>
      </c>
      <c r="AC588" s="47">
        <f t="shared" ref="AC588:AC651" ca="1" si="204">AB588*Y588</f>
        <v>0</v>
      </c>
      <c r="AD588">
        <f ca="1">Inputs!B16+(Inputs!D16-Inputs!B16)*BETAINV(RAND(),Model!H10,Model!I10)</f>
        <v>0.71555903332257165</v>
      </c>
      <c r="AE588">
        <f ca="1">Inputs!E16+(Inputs!G16-Inputs!E16)*BETAINV(RAND(),Model!J10,Model!K10)</f>
        <v>0.51249507398298899</v>
      </c>
      <c r="AF588">
        <f ca="1">(Inputs!H16+(Inputs!J16-Inputs!H16)*BETAINV(RAND(),Model!L10,Model!M10))*Inputs!$C$6</f>
        <v>79257.74989752988</v>
      </c>
      <c r="AG588">
        <f t="shared" ref="AG588:AG651" ca="1" si="205">AD588*AE588</f>
        <v>0.36672047972184746</v>
      </c>
      <c r="AH588">
        <f t="shared" ref="AH588:AH651" ca="1" si="206">RAND()</f>
        <v>0.99570999917790504</v>
      </c>
      <c r="AI588">
        <f t="shared" ref="AI588:AI651" ca="1" si="207">IF(AH588&lt;EXP(-AG588),0,IF(AH588&lt;EXP(-AG588)*(1+AG588),1,IF(AH588&lt;EXP(-AG588)*(1+AG588+AG588^2/2),2,IF(AH588&lt;EXP(-AG588)*(1+AG588+AG588^2/2+AG588^3/6),3,4))))</f>
        <v>3</v>
      </c>
      <c r="AJ588" s="47">
        <f t="shared" ref="AJ588:AJ651" ca="1" si="208">AI588*AF588</f>
        <v>237773.24969258963</v>
      </c>
      <c r="AK588">
        <f t="shared" ref="AK588:AK651" ca="1" si="209">H588+O588+V588+AC588+AJ588</f>
        <v>284416.6888276863</v>
      </c>
    </row>
    <row r="589" spans="2:37" x14ac:dyDescent="0.2">
      <c r="B589">
        <f ca="1">Inputs!B12+(Inputs!D12-Inputs!B12)*BETAINV(RAND(),Model!H6,Model!I6)</f>
        <v>6.8048144882412478</v>
      </c>
      <c r="C589">
        <f ca="1">Inputs!E12+(Inputs!G12-Inputs!E12)*BETAINV(RAND(),Model!J6,Model!K6)</f>
        <v>0.37245142369580075</v>
      </c>
      <c r="D589">
        <f ca="1">(Inputs!H12+(Inputs!J12-Inputs!H12)*BETAINV(RAND(),Model!L6,Model!M6))*Inputs!$C$6</f>
        <v>15304.928319923989</v>
      </c>
      <c r="E589">
        <f t="shared" ca="1" si="189"/>
        <v>2.5344628441312644</v>
      </c>
      <c r="F589">
        <f t="shared" ca="1" si="190"/>
        <v>0.79106653193326282</v>
      </c>
      <c r="G589">
        <f t="shared" ca="1" si="191"/>
        <v>4</v>
      </c>
      <c r="H589" s="47">
        <f t="shared" ca="1" si="192"/>
        <v>61219.713279695956</v>
      </c>
      <c r="I589">
        <f ca="1">Inputs!B13+(Inputs!D13-Inputs!B13)*BETAINV(RAND(),Model!H7,Model!I7)</f>
        <v>3.3612187549382835</v>
      </c>
      <c r="J589">
        <f ca="1">Inputs!E13+(Inputs!G13-Inputs!E13)*BETAINV(RAND(),Model!J7,Model!K7)</f>
        <v>0.17121391075639919</v>
      </c>
      <c r="K589">
        <f ca="1">(Inputs!H13+(Inputs!J13-Inputs!H13)*BETAINV(RAND(),Model!L7,Model!M7))*Inputs!$C$6</f>
        <v>26445.764719108553</v>
      </c>
      <c r="L589">
        <f t="shared" ca="1" si="193"/>
        <v>0.57548740794073849</v>
      </c>
      <c r="M589">
        <f t="shared" ca="1" si="194"/>
        <v>0.10702474800968176</v>
      </c>
      <c r="N589">
        <f t="shared" ca="1" si="195"/>
        <v>0</v>
      </c>
      <c r="O589" s="47">
        <f t="shared" ca="1" si="196"/>
        <v>0</v>
      </c>
      <c r="P589">
        <f ca="1">Inputs!B14+(Inputs!D14-Inputs!B14)*BETAINV(RAND(),Model!H8,Model!I8)</f>
        <v>0.25406452818400416</v>
      </c>
      <c r="Q589">
        <f ca="1">Inputs!E14+(Inputs!G14-Inputs!E14)*BETAINV(RAND(),Model!J8,Model!K8)</f>
        <v>0.72670079813777977</v>
      </c>
      <c r="R589">
        <f ca="1">(Inputs!H14+(Inputs!J14-Inputs!H14)*BETAINV(RAND(),Model!L8,Model!M8))*Inputs!$C$6</f>
        <v>272012.10790159594</v>
      </c>
      <c r="S589">
        <f t="shared" ca="1" si="197"/>
        <v>0.18462889540981425</v>
      </c>
      <c r="T589">
        <f t="shared" ca="1" si="198"/>
        <v>0.77632378159940718</v>
      </c>
      <c r="U589">
        <f t="shared" ca="1" si="199"/>
        <v>0</v>
      </c>
      <c r="V589" s="47">
        <f t="shared" ca="1" si="200"/>
        <v>0</v>
      </c>
      <c r="W589">
        <f ca="1">Inputs!B15+(Inputs!D15-Inputs!B15)*BETAINV(RAND(),Model!H9,Model!I9)</f>
        <v>0.82564732487018366</v>
      </c>
      <c r="X589">
        <f ca="1">Inputs!E15+(Inputs!G15-Inputs!E15)*BETAINV(RAND(),Model!J9,Model!K9)</f>
        <v>0.40459658167352208</v>
      </c>
      <c r="Y589">
        <f ca="1">(Inputs!H15+(Inputs!J15-Inputs!H15)*BETAINV(RAND(),Model!L9,Model!M9))*Inputs!$C$6</f>
        <v>41277.625026355556</v>
      </c>
      <c r="Z589">
        <f t="shared" ca="1" si="201"/>
        <v>0.33405408531036429</v>
      </c>
      <c r="AA589">
        <f t="shared" ca="1" si="202"/>
        <v>0.79881960438707067</v>
      </c>
      <c r="AB589">
        <f t="shared" ca="1" si="203"/>
        <v>1</v>
      </c>
      <c r="AC589" s="47">
        <f t="shared" ca="1" si="204"/>
        <v>41277.625026355556</v>
      </c>
      <c r="AD589">
        <f ca="1">Inputs!B16+(Inputs!D16-Inputs!B16)*BETAINV(RAND(),Model!H10,Model!I10)</f>
        <v>0.89459033255763432</v>
      </c>
      <c r="AE589">
        <f ca="1">Inputs!E16+(Inputs!G16-Inputs!E16)*BETAINV(RAND(),Model!J10,Model!K10)</f>
        <v>0.6406247262952468</v>
      </c>
      <c r="AF589">
        <f ca="1">(Inputs!H16+(Inputs!J16-Inputs!H16)*BETAINV(RAND(),Model!L10,Model!M10))*Inputs!$C$6</f>
        <v>94127.487577892651</v>
      </c>
      <c r="AG589">
        <f t="shared" ca="1" si="205"/>
        <v>0.57309668694110827</v>
      </c>
      <c r="AH589">
        <f t="shared" ca="1" si="206"/>
        <v>0.30440279003846904</v>
      </c>
      <c r="AI589">
        <f t="shared" ca="1" si="207"/>
        <v>0</v>
      </c>
      <c r="AJ589" s="47">
        <f t="shared" ca="1" si="208"/>
        <v>0</v>
      </c>
      <c r="AK589">
        <f t="shared" ca="1" si="209"/>
        <v>102497.3383060515</v>
      </c>
    </row>
    <row r="590" spans="2:37" x14ac:dyDescent="0.2">
      <c r="B590">
        <f ca="1">Inputs!B12+(Inputs!D12-Inputs!B12)*BETAINV(RAND(),Model!H6,Model!I6)</f>
        <v>1.8422934282043886</v>
      </c>
      <c r="C590">
        <f ca="1">Inputs!E12+(Inputs!G12-Inputs!E12)*BETAINV(RAND(),Model!J6,Model!K6)</f>
        <v>0.27407182561934285</v>
      </c>
      <c r="D590">
        <f ca="1">(Inputs!H12+(Inputs!J12-Inputs!H12)*BETAINV(RAND(),Model!L6,Model!M6))*Inputs!$C$6</f>
        <v>17197.368002017563</v>
      </c>
      <c r="E590">
        <f t="shared" ca="1" si="189"/>
        <v>0.50492072319449455</v>
      </c>
      <c r="F590">
        <f t="shared" ca="1" si="190"/>
        <v>0.15232513585857599</v>
      </c>
      <c r="G590">
        <f t="shared" ca="1" si="191"/>
        <v>0</v>
      </c>
      <c r="H590" s="47">
        <f t="shared" ca="1" si="192"/>
        <v>0</v>
      </c>
      <c r="I590">
        <f ca="1">Inputs!B13+(Inputs!D13-Inputs!B13)*BETAINV(RAND(),Model!H7,Model!I7)</f>
        <v>3.8161250364620893</v>
      </c>
      <c r="J590">
        <f ca="1">Inputs!E13+(Inputs!G13-Inputs!E13)*BETAINV(RAND(),Model!J7,Model!K7)</f>
        <v>0.15862290934955434</v>
      </c>
      <c r="K590">
        <f ca="1">(Inputs!H13+(Inputs!J13-Inputs!H13)*BETAINV(RAND(),Model!L7,Model!M7))*Inputs!$C$6</f>
        <v>50136.758961255517</v>
      </c>
      <c r="L590">
        <f t="shared" ca="1" si="193"/>
        <v>0.60532485572529071</v>
      </c>
      <c r="M590">
        <f t="shared" ca="1" si="194"/>
        <v>0.33229698225358584</v>
      </c>
      <c r="N590">
        <f t="shared" ca="1" si="195"/>
        <v>0</v>
      </c>
      <c r="O590" s="47">
        <f t="shared" ca="1" si="196"/>
        <v>0</v>
      </c>
      <c r="P590">
        <f ca="1">Inputs!B14+(Inputs!D14-Inputs!B14)*BETAINV(RAND(),Model!H8,Model!I8)</f>
        <v>0.61648208000134241</v>
      </c>
      <c r="Q590">
        <f ca="1">Inputs!E14+(Inputs!G14-Inputs!E14)*BETAINV(RAND(),Model!J8,Model!K8)</f>
        <v>0.63815112666065943</v>
      </c>
      <c r="R590">
        <f ca="1">(Inputs!H14+(Inputs!J14-Inputs!H14)*BETAINV(RAND(),Model!L8,Model!M8))*Inputs!$C$6</f>
        <v>390917.90355158906</v>
      </c>
      <c r="S590">
        <f t="shared" ca="1" si="197"/>
        <v>0.39340873391896342</v>
      </c>
      <c r="T590">
        <f t="shared" ca="1" si="198"/>
        <v>0.64689022234323401</v>
      </c>
      <c r="U590">
        <f t="shared" ca="1" si="199"/>
        <v>0</v>
      </c>
      <c r="V590" s="47">
        <f t="shared" ca="1" si="200"/>
        <v>0</v>
      </c>
      <c r="W590">
        <f ca="1">Inputs!B15+(Inputs!D15-Inputs!B15)*BETAINV(RAND(),Model!H9,Model!I9)</f>
        <v>1.7915300845608095</v>
      </c>
      <c r="X590">
        <f ca="1">Inputs!E15+(Inputs!G15-Inputs!E15)*BETAINV(RAND(),Model!J9,Model!K9)</f>
        <v>0.44029230815712306</v>
      </c>
      <c r="Y590">
        <f ca="1">(Inputs!H15+(Inputs!J15-Inputs!H15)*BETAINV(RAND(),Model!L9,Model!M9))*Inputs!$C$6</f>
        <v>11253.963600895031</v>
      </c>
      <c r="Z590">
        <f t="shared" ca="1" si="201"/>
        <v>0.78879691606420466</v>
      </c>
      <c r="AA590">
        <f t="shared" ca="1" si="202"/>
        <v>0.79854818090829227</v>
      </c>
      <c r="AB590">
        <f t="shared" ca="1" si="203"/>
        <v>1</v>
      </c>
      <c r="AC590" s="47">
        <f t="shared" ca="1" si="204"/>
        <v>11253.963600895031</v>
      </c>
      <c r="AD590">
        <f ca="1">Inputs!B16+(Inputs!D16-Inputs!B16)*BETAINV(RAND(),Model!H10,Model!I10)</f>
        <v>0.65358366403067203</v>
      </c>
      <c r="AE590">
        <f ca="1">Inputs!E16+(Inputs!G16-Inputs!E16)*BETAINV(RAND(),Model!J10,Model!K10)</f>
        <v>0.68536969853893381</v>
      </c>
      <c r="AF590">
        <f ca="1">(Inputs!H16+(Inputs!J16-Inputs!H16)*BETAINV(RAND(),Model!L10,Model!M10))*Inputs!$C$6</f>
        <v>61451.425506606451</v>
      </c>
      <c r="AG590">
        <f t="shared" ca="1" si="205"/>
        <v>0.44794643878667351</v>
      </c>
      <c r="AH590">
        <f t="shared" ca="1" si="206"/>
        <v>0.45789104303498884</v>
      </c>
      <c r="AI590">
        <f t="shared" ca="1" si="207"/>
        <v>0</v>
      </c>
      <c r="AJ590" s="47">
        <f t="shared" ca="1" si="208"/>
        <v>0</v>
      </c>
      <c r="AK590">
        <f t="shared" ca="1" si="209"/>
        <v>11253.963600895031</v>
      </c>
    </row>
    <row r="591" spans="2:37" x14ac:dyDescent="0.2">
      <c r="B591">
        <f ca="1">Inputs!B12+(Inputs!D12-Inputs!B12)*BETAINV(RAND(),Model!H6,Model!I6)</f>
        <v>5.0657375554087301</v>
      </c>
      <c r="C591">
        <f ca="1">Inputs!E12+(Inputs!G12-Inputs!E12)*BETAINV(RAND(),Model!J6,Model!K6)</f>
        <v>0.41241601145084827</v>
      </c>
      <c r="D591">
        <f ca="1">(Inputs!H12+(Inputs!J12-Inputs!H12)*BETAINV(RAND(),Model!L6,Model!M6))*Inputs!$C$6</f>
        <v>47082.537027004299</v>
      </c>
      <c r="E591">
        <f t="shared" ca="1" si="189"/>
        <v>2.0891912776584389</v>
      </c>
      <c r="F591">
        <f t="shared" ca="1" si="190"/>
        <v>0.16819958278301195</v>
      </c>
      <c r="G591">
        <f t="shared" ca="1" si="191"/>
        <v>1</v>
      </c>
      <c r="H591" s="47">
        <f t="shared" ca="1" si="192"/>
        <v>47082.537027004299</v>
      </c>
      <c r="I591">
        <f ca="1">Inputs!B13+(Inputs!D13-Inputs!B13)*BETAINV(RAND(),Model!H7,Model!I7)</f>
        <v>1.5467239751294632</v>
      </c>
      <c r="J591">
        <f ca="1">Inputs!E13+(Inputs!G13-Inputs!E13)*BETAINV(RAND(),Model!J7,Model!K7)</f>
        <v>0.34925966985977142</v>
      </c>
      <c r="K591">
        <f ca="1">(Inputs!H13+(Inputs!J13-Inputs!H13)*BETAINV(RAND(),Model!L7,Model!M7))*Inputs!$C$6</f>
        <v>27366.34633502358</v>
      </c>
      <c r="L591">
        <f t="shared" ca="1" si="193"/>
        <v>0.54020830491790961</v>
      </c>
      <c r="M591">
        <f t="shared" ca="1" si="194"/>
        <v>0.28298693235710703</v>
      </c>
      <c r="N591">
        <f t="shared" ca="1" si="195"/>
        <v>0</v>
      </c>
      <c r="O591" s="47">
        <f t="shared" ca="1" si="196"/>
        <v>0</v>
      </c>
      <c r="P591">
        <f ca="1">Inputs!B14+(Inputs!D14-Inputs!B14)*BETAINV(RAND(),Model!H8,Model!I8)</f>
        <v>0.12317978203252418</v>
      </c>
      <c r="Q591">
        <f ca="1">Inputs!E14+(Inputs!G14-Inputs!E14)*BETAINV(RAND(),Model!J8,Model!K8)</f>
        <v>0.73639181818186761</v>
      </c>
      <c r="R591">
        <f ca="1">(Inputs!H14+(Inputs!J14-Inputs!H14)*BETAINV(RAND(),Model!L8,Model!M8))*Inputs!$C$6</f>
        <v>538547.5154364676</v>
      </c>
      <c r="S591">
        <f t="shared" ca="1" si="197"/>
        <v>9.0708583654176625E-2</v>
      </c>
      <c r="T591">
        <f t="shared" ca="1" si="198"/>
        <v>0.5035220756011527</v>
      </c>
      <c r="U591">
        <f t="shared" ca="1" si="199"/>
        <v>0</v>
      </c>
      <c r="V591" s="47">
        <f t="shared" ca="1" si="200"/>
        <v>0</v>
      </c>
      <c r="W591">
        <f ca="1">Inputs!B15+(Inputs!D15-Inputs!B15)*BETAINV(RAND(),Model!H9,Model!I9)</f>
        <v>1.4144518767287135</v>
      </c>
      <c r="X591">
        <f ca="1">Inputs!E15+(Inputs!G15-Inputs!E15)*BETAINV(RAND(),Model!J9,Model!K9)</f>
        <v>0.40253611655416977</v>
      </c>
      <c r="Y591">
        <f ca="1">(Inputs!H15+(Inputs!J15-Inputs!H15)*BETAINV(RAND(),Model!L9,Model!M9))*Inputs!$C$6</f>
        <v>25775.926159342183</v>
      </c>
      <c r="Z591">
        <f t="shared" ca="1" si="201"/>
        <v>0.56936796551113356</v>
      </c>
      <c r="AA591">
        <f t="shared" ca="1" si="202"/>
        <v>0.11695185555430709</v>
      </c>
      <c r="AB591">
        <f t="shared" ca="1" si="203"/>
        <v>0</v>
      </c>
      <c r="AC591" s="47">
        <f t="shared" ca="1" si="204"/>
        <v>0</v>
      </c>
      <c r="AD591">
        <f ca="1">Inputs!B16+(Inputs!D16-Inputs!B16)*BETAINV(RAND(),Model!H10,Model!I10)</f>
        <v>1.0732475431720341</v>
      </c>
      <c r="AE591">
        <f ca="1">Inputs!E16+(Inputs!G16-Inputs!E16)*BETAINV(RAND(),Model!J10,Model!K10)</f>
        <v>0.4899484984998273</v>
      </c>
      <c r="AF591">
        <f ca="1">(Inputs!H16+(Inputs!J16-Inputs!H16)*BETAINV(RAND(),Model!L10,Model!M10))*Inputs!$C$6</f>
        <v>85729.022512940632</v>
      </c>
      <c r="AG591">
        <f t="shared" ca="1" si="205"/>
        <v>0.52583602229576665</v>
      </c>
      <c r="AH591">
        <f t="shared" ca="1" si="206"/>
        <v>0.33312626175828752</v>
      </c>
      <c r="AI591">
        <f t="shared" ca="1" si="207"/>
        <v>0</v>
      </c>
      <c r="AJ591" s="47">
        <f t="shared" ca="1" si="208"/>
        <v>0</v>
      </c>
      <c r="AK591">
        <f t="shared" ca="1" si="209"/>
        <v>47082.537027004299</v>
      </c>
    </row>
    <row r="592" spans="2:37" x14ac:dyDescent="0.2">
      <c r="B592">
        <f ca="1">Inputs!B12+(Inputs!D12-Inputs!B12)*BETAINV(RAND(),Model!H6,Model!I6)</f>
        <v>5.5063038960343915</v>
      </c>
      <c r="C592">
        <f ca="1">Inputs!E12+(Inputs!G12-Inputs!E12)*BETAINV(RAND(),Model!J6,Model!K6)</f>
        <v>0.38055468349821941</v>
      </c>
      <c r="D592">
        <f ca="1">(Inputs!H12+(Inputs!J12-Inputs!H12)*BETAINV(RAND(),Model!L6,Model!M6))*Inputs!$C$6</f>
        <v>14081.359115205518</v>
      </c>
      <c r="E592">
        <f t="shared" ca="1" si="189"/>
        <v>2.0954497364003801</v>
      </c>
      <c r="F592">
        <f t="shared" ca="1" si="190"/>
        <v>0.89422710526593252</v>
      </c>
      <c r="G592">
        <f t="shared" ca="1" si="191"/>
        <v>4</v>
      </c>
      <c r="H592" s="47">
        <f t="shared" ca="1" si="192"/>
        <v>56325.436460822071</v>
      </c>
      <c r="I592">
        <f ca="1">Inputs!B13+(Inputs!D13-Inputs!B13)*BETAINV(RAND(),Model!H7,Model!I7)</f>
        <v>1.0996764180942806</v>
      </c>
      <c r="J592">
        <f ca="1">Inputs!E13+(Inputs!G13-Inputs!E13)*BETAINV(RAND(),Model!J7,Model!K7)</f>
        <v>0.22314552721167172</v>
      </c>
      <c r="K592">
        <f ca="1">(Inputs!H13+(Inputs!J13-Inputs!H13)*BETAINV(RAND(),Model!L7,Model!M7))*Inputs!$C$6</f>
        <v>55199.565328539662</v>
      </c>
      <c r="L592">
        <f t="shared" ca="1" si="193"/>
        <v>0.24538787407789098</v>
      </c>
      <c r="M592">
        <f t="shared" ca="1" si="194"/>
        <v>0.77081589871535217</v>
      </c>
      <c r="N592">
        <f t="shared" ca="1" si="195"/>
        <v>0</v>
      </c>
      <c r="O592" s="47">
        <f t="shared" ca="1" si="196"/>
        <v>0</v>
      </c>
      <c r="P592">
        <f ca="1">Inputs!B14+(Inputs!D14-Inputs!B14)*BETAINV(RAND(),Model!H8,Model!I8)</f>
        <v>0.45042469959644349</v>
      </c>
      <c r="Q592">
        <f ca="1">Inputs!E14+(Inputs!G14-Inputs!E14)*BETAINV(RAND(),Model!J8,Model!K8)</f>
        <v>0.612165797701965</v>
      </c>
      <c r="R592">
        <f ca="1">(Inputs!H14+(Inputs!J14-Inputs!H14)*BETAINV(RAND(),Model!L8,Model!M8))*Inputs!$C$6</f>
        <v>356153.15348990267</v>
      </c>
      <c r="S592">
        <f t="shared" ca="1" si="197"/>
        <v>0.27573459553312479</v>
      </c>
      <c r="T592">
        <f t="shared" ca="1" si="198"/>
        <v>0.94361921679208172</v>
      </c>
      <c r="U592">
        <f t="shared" ca="1" si="199"/>
        <v>1</v>
      </c>
      <c r="V592" s="47">
        <f t="shared" ca="1" si="200"/>
        <v>356153.15348990267</v>
      </c>
      <c r="W592">
        <f ca="1">Inputs!B15+(Inputs!D15-Inputs!B15)*BETAINV(RAND(),Model!H9,Model!I9)</f>
        <v>1.2080284725765777</v>
      </c>
      <c r="X592">
        <f ca="1">Inputs!E15+(Inputs!G15-Inputs!E15)*BETAINV(RAND(),Model!J9,Model!K9)</f>
        <v>0.4791378911312576</v>
      </c>
      <c r="Y592">
        <f ca="1">(Inputs!H15+(Inputs!J15-Inputs!H15)*BETAINV(RAND(),Model!L9,Model!M9))*Inputs!$C$6</f>
        <v>20536.414206396068</v>
      </c>
      <c r="Z592">
        <f t="shared" ca="1" si="201"/>
        <v>0.57881221477685574</v>
      </c>
      <c r="AA592">
        <f t="shared" ca="1" si="202"/>
        <v>0.91495857384899903</v>
      </c>
      <c r="AB592">
        <f t="shared" ca="1" si="203"/>
        <v>2</v>
      </c>
      <c r="AC592" s="47">
        <f t="shared" ca="1" si="204"/>
        <v>41072.828412792136</v>
      </c>
      <c r="AD592">
        <f ca="1">Inputs!B16+(Inputs!D16-Inputs!B16)*BETAINV(RAND(),Model!H10,Model!I10)</f>
        <v>1.0244967091938288</v>
      </c>
      <c r="AE592">
        <f ca="1">Inputs!E16+(Inputs!G16-Inputs!E16)*BETAINV(RAND(),Model!J10,Model!K10)</f>
        <v>0.47047938525580896</v>
      </c>
      <c r="AF592">
        <f ca="1">(Inputs!H16+(Inputs!J16-Inputs!H16)*BETAINV(RAND(),Model!L10,Model!M10))*Inputs!$C$6</f>
        <v>81212.605165075729</v>
      </c>
      <c r="AG592">
        <f t="shared" ca="1" si="205"/>
        <v>0.48200458193811185</v>
      </c>
      <c r="AH592">
        <f t="shared" ca="1" si="206"/>
        <v>0.72930400981670285</v>
      </c>
      <c r="AI592">
        <f t="shared" ca="1" si="207"/>
        <v>1</v>
      </c>
      <c r="AJ592" s="47">
        <f t="shared" ca="1" si="208"/>
        <v>81212.605165075729</v>
      </c>
      <c r="AK592">
        <f t="shared" ca="1" si="209"/>
        <v>534764.02352859254</v>
      </c>
    </row>
    <row r="593" spans="2:37" x14ac:dyDescent="0.2">
      <c r="B593">
        <f ca="1">Inputs!B12+(Inputs!D12-Inputs!B12)*BETAINV(RAND(),Model!H6,Model!I6)</f>
        <v>3.7676879370884109</v>
      </c>
      <c r="C593">
        <f ca="1">Inputs!E12+(Inputs!G12-Inputs!E12)*BETAINV(RAND(),Model!J6,Model!K6)</f>
        <v>0.4173721986252874</v>
      </c>
      <c r="D593">
        <f ca="1">(Inputs!H12+(Inputs!J12-Inputs!H12)*BETAINV(RAND(),Model!L6,Model!M6))*Inputs!$C$6</f>
        <v>29525.367648770214</v>
      </c>
      <c r="E593">
        <f t="shared" ca="1" si="189"/>
        <v>1.5725281980365635</v>
      </c>
      <c r="F593">
        <f t="shared" ca="1" si="190"/>
        <v>0.61915143857084409</v>
      </c>
      <c r="G593">
        <f t="shared" ca="1" si="191"/>
        <v>2</v>
      </c>
      <c r="H593" s="47">
        <f t="shared" ca="1" si="192"/>
        <v>59050.735297540428</v>
      </c>
      <c r="I593">
        <f ca="1">Inputs!B13+(Inputs!D13-Inputs!B13)*BETAINV(RAND(),Model!H7,Model!I7)</f>
        <v>3.8068044740193354</v>
      </c>
      <c r="J593">
        <f ca="1">Inputs!E13+(Inputs!G13-Inputs!E13)*BETAINV(RAND(),Model!J7,Model!K7)</f>
        <v>0.21778785341388732</v>
      </c>
      <c r="K593">
        <f ca="1">(Inputs!H13+(Inputs!J13-Inputs!H13)*BETAINV(RAND(),Model!L7,Model!M7))*Inputs!$C$6</f>
        <v>53363.750273591264</v>
      </c>
      <c r="L593">
        <f t="shared" ca="1" si="193"/>
        <v>0.82907577476305339</v>
      </c>
      <c r="M593">
        <f t="shared" ca="1" si="194"/>
        <v>0.35349082479165994</v>
      </c>
      <c r="N593">
        <f t="shared" ca="1" si="195"/>
        <v>0</v>
      </c>
      <c r="O593" s="47">
        <f t="shared" ca="1" si="196"/>
        <v>0</v>
      </c>
      <c r="P593">
        <f ca="1">Inputs!B14+(Inputs!D14-Inputs!B14)*BETAINV(RAND(),Model!H8,Model!I8)</f>
        <v>0.19991755184195886</v>
      </c>
      <c r="Q593">
        <f ca="1">Inputs!E14+(Inputs!G14-Inputs!E14)*BETAINV(RAND(),Model!J8,Model!K8)</f>
        <v>0.65531219230827564</v>
      </c>
      <c r="R593">
        <f ca="1">(Inputs!H14+(Inputs!J14-Inputs!H14)*BETAINV(RAND(),Model!L8,Model!M8))*Inputs!$C$6</f>
        <v>302069.79509401938</v>
      </c>
      <c r="S593">
        <f t="shared" ca="1" si="197"/>
        <v>0.13100840917845741</v>
      </c>
      <c r="T593">
        <f t="shared" ca="1" si="198"/>
        <v>0.36291208044078604</v>
      </c>
      <c r="U593">
        <f t="shared" ca="1" si="199"/>
        <v>0</v>
      </c>
      <c r="V593" s="47">
        <f t="shared" ca="1" si="200"/>
        <v>0</v>
      </c>
      <c r="W593">
        <f ca="1">Inputs!B15+(Inputs!D15-Inputs!B15)*BETAINV(RAND(),Model!H9,Model!I9)</f>
        <v>0.7932233396429208</v>
      </c>
      <c r="X593">
        <f ca="1">Inputs!E15+(Inputs!G15-Inputs!E15)*BETAINV(RAND(),Model!J9,Model!K9)</f>
        <v>0.40211646126799111</v>
      </c>
      <c r="Y593">
        <f ca="1">(Inputs!H15+(Inputs!J15-Inputs!H15)*BETAINV(RAND(),Model!L9,Model!M9))*Inputs!$C$6</f>
        <v>28650.722070513191</v>
      </c>
      <c r="Z593">
        <f t="shared" ca="1" si="201"/>
        <v>0.31896816233238912</v>
      </c>
      <c r="AA593">
        <f t="shared" ca="1" si="202"/>
        <v>0.86246702543815001</v>
      </c>
      <c r="AB593">
        <f t="shared" ca="1" si="203"/>
        <v>1</v>
      </c>
      <c r="AC593" s="47">
        <f t="shared" ca="1" si="204"/>
        <v>28650.722070513191</v>
      </c>
      <c r="AD593">
        <f ca="1">Inputs!B16+(Inputs!D16-Inputs!B16)*BETAINV(RAND(),Model!H10,Model!I10)</f>
        <v>0.64187545494013143</v>
      </c>
      <c r="AE593">
        <f ca="1">Inputs!E16+(Inputs!G16-Inputs!E16)*BETAINV(RAND(),Model!J10,Model!K10)</f>
        <v>0.62807514204220205</v>
      </c>
      <c r="AF593">
        <f ca="1">(Inputs!H16+(Inputs!J16-Inputs!H16)*BETAINV(RAND(),Model!L10,Model!M10))*Inputs!$C$6</f>
        <v>68999.962950744579</v>
      </c>
      <c r="AG593">
        <f t="shared" ca="1" si="205"/>
        <v>0.40314601753492613</v>
      </c>
      <c r="AH593">
        <f t="shared" ca="1" si="206"/>
        <v>0.69755384591879366</v>
      </c>
      <c r="AI593">
        <f t="shared" ca="1" si="207"/>
        <v>1</v>
      </c>
      <c r="AJ593" s="47">
        <f t="shared" ca="1" si="208"/>
        <v>68999.962950744579</v>
      </c>
      <c r="AK593">
        <f t="shared" ca="1" si="209"/>
        <v>156701.42031879819</v>
      </c>
    </row>
    <row r="594" spans="2:37" x14ac:dyDescent="0.2">
      <c r="B594">
        <f ca="1">Inputs!B12+(Inputs!D12-Inputs!B12)*BETAINV(RAND(),Model!H6,Model!I6)</f>
        <v>4.5389477505740237</v>
      </c>
      <c r="C594">
        <f ca="1">Inputs!E12+(Inputs!G12-Inputs!E12)*BETAINV(RAND(),Model!J6,Model!K6)</f>
        <v>0.26300274328566758</v>
      </c>
      <c r="D594">
        <f ca="1">(Inputs!H12+(Inputs!J12-Inputs!H12)*BETAINV(RAND(),Model!L6,Model!M6))*Inputs!$C$6</f>
        <v>25716.711535225797</v>
      </c>
      <c r="E594">
        <f t="shared" ca="1" si="189"/>
        <v>1.1937557100312783</v>
      </c>
      <c r="F594">
        <f t="shared" ca="1" si="190"/>
        <v>0.85180270570606653</v>
      </c>
      <c r="G594">
        <f t="shared" ca="1" si="191"/>
        <v>2</v>
      </c>
      <c r="H594" s="47">
        <f t="shared" ca="1" si="192"/>
        <v>51433.423070451594</v>
      </c>
      <c r="I594">
        <f ca="1">Inputs!B13+(Inputs!D13-Inputs!B13)*BETAINV(RAND(),Model!H7,Model!I7)</f>
        <v>1.1290332085447985</v>
      </c>
      <c r="J594">
        <f ca="1">Inputs!E13+(Inputs!G13-Inputs!E13)*BETAINV(RAND(),Model!J7,Model!K7)</f>
        <v>0.24971706313065103</v>
      </c>
      <c r="K594">
        <f ca="1">(Inputs!H13+(Inputs!J13-Inputs!H13)*BETAINV(RAND(),Model!L7,Model!M7))*Inputs!$C$6</f>
        <v>16811.293356996917</v>
      </c>
      <c r="L594">
        <f t="shared" ca="1" si="193"/>
        <v>0.28193885701478294</v>
      </c>
      <c r="M594">
        <f t="shared" ca="1" si="194"/>
        <v>0.76484495638506622</v>
      </c>
      <c r="N594">
        <f t="shared" ca="1" si="195"/>
        <v>1</v>
      </c>
      <c r="O594" s="47">
        <f t="shared" ca="1" si="196"/>
        <v>16811.293356996917</v>
      </c>
      <c r="P594">
        <f ca="1">Inputs!B14+(Inputs!D14-Inputs!B14)*BETAINV(RAND(),Model!H8,Model!I8)</f>
        <v>0.20525814516527385</v>
      </c>
      <c r="Q594">
        <f ca="1">Inputs!E14+(Inputs!G14-Inputs!E14)*BETAINV(RAND(),Model!J8,Model!K8)</f>
        <v>0.62933511173800327</v>
      </c>
      <c r="R594">
        <f ca="1">(Inputs!H14+(Inputs!J14-Inputs!H14)*BETAINV(RAND(),Model!L8,Model!M8))*Inputs!$C$6</f>
        <v>474773.36752447137</v>
      </c>
      <c r="S594">
        <f t="shared" ca="1" si="197"/>
        <v>0.12917615772272292</v>
      </c>
      <c r="T594">
        <f t="shared" ca="1" si="198"/>
        <v>0.60477610787180092</v>
      </c>
      <c r="U594">
        <f t="shared" ca="1" si="199"/>
        <v>0</v>
      </c>
      <c r="V594" s="47">
        <f t="shared" ca="1" si="200"/>
        <v>0</v>
      </c>
      <c r="W594">
        <f ca="1">Inputs!B15+(Inputs!D15-Inputs!B15)*BETAINV(RAND(),Model!H9,Model!I9)</f>
        <v>1.2903010618973016</v>
      </c>
      <c r="X594">
        <f ca="1">Inputs!E15+(Inputs!G15-Inputs!E15)*BETAINV(RAND(),Model!J9,Model!K9)</f>
        <v>0.40474474849070485</v>
      </c>
      <c r="Y594">
        <f ca="1">(Inputs!H15+(Inputs!J15-Inputs!H15)*BETAINV(RAND(),Model!L9,Model!M9))*Inputs!$C$6</f>
        <v>34846.486230909315</v>
      </c>
      <c r="Z594">
        <f t="shared" ca="1" si="201"/>
        <v>0.52224257877491276</v>
      </c>
      <c r="AA594">
        <f t="shared" ca="1" si="202"/>
        <v>0.95092235942562819</v>
      </c>
      <c r="AB594">
        <f t="shared" ca="1" si="203"/>
        <v>2</v>
      </c>
      <c r="AC594" s="47">
        <f t="shared" ca="1" si="204"/>
        <v>69692.97246181863</v>
      </c>
      <c r="AD594">
        <f ca="1">Inputs!B16+(Inputs!D16-Inputs!B16)*BETAINV(RAND(),Model!H10,Model!I10)</f>
        <v>0.81109649400709483</v>
      </c>
      <c r="AE594">
        <f ca="1">Inputs!E16+(Inputs!G16-Inputs!E16)*BETAINV(RAND(),Model!J10,Model!K10)</f>
        <v>0.61653098549479113</v>
      </c>
      <c r="AF594">
        <f ca="1">(Inputs!H16+(Inputs!J16-Inputs!H16)*BETAINV(RAND(),Model!L10,Model!M10))*Inputs!$C$6</f>
        <v>87916.465362638672</v>
      </c>
      <c r="AG594">
        <f t="shared" ca="1" si="205"/>
        <v>0.50006612078156409</v>
      </c>
      <c r="AH594">
        <f t="shared" ca="1" si="206"/>
        <v>0.56993634132959614</v>
      </c>
      <c r="AI594">
        <f t="shared" ca="1" si="207"/>
        <v>0</v>
      </c>
      <c r="AJ594" s="47">
        <f t="shared" ca="1" si="208"/>
        <v>0</v>
      </c>
      <c r="AK594">
        <f t="shared" ca="1" si="209"/>
        <v>137937.68888926716</v>
      </c>
    </row>
    <row r="595" spans="2:37" x14ac:dyDescent="0.2">
      <c r="B595">
        <f ca="1">Inputs!B12+(Inputs!D12-Inputs!B12)*BETAINV(RAND(),Model!H6,Model!I6)</f>
        <v>5.7163493442329276</v>
      </c>
      <c r="C595">
        <f ca="1">Inputs!E12+(Inputs!G12-Inputs!E12)*BETAINV(RAND(),Model!J6,Model!K6)</f>
        <v>0.3468849070845631</v>
      </c>
      <c r="D595">
        <f ca="1">(Inputs!H12+(Inputs!J12-Inputs!H12)*BETAINV(RAND(),Model!L6,Model!M6))*Inputs!$C$6</f>
        <v>15662.455990237097</v>
      </c>
      <c r="E595">
        <f t="shared" ca="1" si="189"/>
        <v>1.9829153111371423</v>
      </c>
      <c r="F595">
        <f t="shared" ca="1" si="190"/>
        <v>0.78634906478003475</v>
      </c>
      <c r="G595">
        <f t="shared" ca="1" si="191"/>
        <v>3</v>
      </c>
      <c r="H595" s="47">
        <f t="shared" ca="1" si="192"/>
        <v>46987.36797071129</v>
      </c>
      <c r="I595">
        <f ca="1">Inputs!B13+(Inputs!D13-Inputs!B13)*BETAINV(RAND(),Model!H7,Model!I7)</f>
        <v>2.3404343203556199</v>
      </c>
      <c r="J595">
        <f ca="1">Inputs!E13+(Inputs!G13-Inputs!E13)*BETAINV(RAND(),Model!J7,Model!K7)</f>
        <v>0.21153271001538165</v>
      </c>
      <c r="K595">
        <f ca="1">(Inputs!H13+(Inputs!J13-Inputs!H13)*BETAINV(RAND(),Model!L7,Model!M7))*Inputs!$C$6</f>
        <v>49254.898996340678</v>
      </c>
      <c r="L595">
        <f t="shared" ca="1" si="193"/>
        <v>0.49507841439783218</v>
      </c>
      <c r="M595">
        <f t="shared" ca="1" si="194"/>
        <v>0.56730301283382589</v>
      </c>
      <c r="N595">
        <f t="shared" ca="1" si="195"/>
        <v>0</v>
      </c>
      <c r="O595" s="47">
        <f t="shared" ca="1" si="196"/>
        <v>0</v>
      </c>
      <c r="P595">
        <f ca="1">Inputs!B14+(Inputs!D14-Inputs!B14)*BETAINV(RAND(),Model!H8,Model!I8)</f>
        <v>0.34609080400492465</v>
      </c>
      <c r="Q595">
        <f ca="1">Inputs!E14+(Inputs!G14-Inputs!E14)*BETAINV(RAND(),Model!J8,Model!K8)</f>
        <v>0.78185763731412306</v>
      </c>
      <c r="R595">
        <f ca="1">(Inputs!H14+(Inputs!J14-Inputs!H14)*BETAINV(RAND(),Model!L8,Model!M8))*Inputs!$C$6</f>
        <v>482719.94505267416</v>
      </c>
      <c r="S595">
        <f t="shared" ca="1" si="197"/>
        <v>0.27059373831543559</v>
      </c>
      <c r="T595">
        <f t="shared" ca="1" si="198"/>
        <v>0.11684454060603655</v>
      </c>
      <c r="U595">
        <f t="shared" ca="1" si="199"/>
        <v>0</v>
      </c>
      <c r="V595" s="47">
        <f t="shared" ca="1" si="200"/>
        <v>0</v>
      </c>
      <c r="W595">
        <f ca="1">Inputs!B15+(Inputs!D15-Inputs!B15)*BETAINV(RAND(),Model!H9,Model!I9)</f>
        <v>2.6467203272068831</v>
      </c>
      <c r="X595">
        <f ca="1">Inputs!E15+(Inputs!G15-Inputs!E15)*BETAINV(RAND(),Model!J9,Model!K9)</f>
        <v>0.57631732826064153</v>
      </c>
      <c r="Y595">
        <f ca="1">(Inputs!H15+(Inputs!J15-Inputs!H15)*BETAINV(RAND(),Model!L9,Model!M9))*Inputs!$C$6</f>
        <v>47523.452318766431</v>
      </c>
      <c r="Z595">
        <f t="shared" ca="1" si="201"/>
        <v>1.5253507876290018</v>
      </c>
      <c r="AA595">
        <f t="shared" ca="1" si="202"/>
        <v>0.10567284165141033</v>
      </c>
      <c r="AB595">
        <f t="shared" ca="1" si="203"/>
        <v>0</v>
      </c>
      <c r="AC595" s="47">
        <f t="shared" ca="1" si="204"/>
        <v>0</v>
      </c>
      <c r="AD595">
        <f ca="1">Inputs!B16+(Inputs!D16-Inputs!B16)*BETAINV(RAND(),Model!H10,Model!I10)</f>
        <v>0.67816878033973449</v>
      </c>
      <c r="AE595">
        <f ca="1">Inputs!E16+(Inputs!G16-Inputs!E16)*BETAINV(RAND(),Model!J10,Model!K10)</f>
        <v>0.73773444597599536</v>
      </c>
      <c r="AF595">
        <f ca="1">(Inputs!H16+(Inputs!J16-Inputs!H16)*BETAINV(RAND(),Model!L10,Model!M10))*Inputs!$C$6</f>
        <v>87270.17455333659</v>
      </c>
      <c r="AG595">
        <f t="shared" ca="1" si="205"/>
        <v>0.50030846944215046</v>
      </c>
      <c r="AH595">
        <f t="shared" ca="1" si="206"/>
        <v>0.97084112947916235</v>
      </c>
      <c r="AI595">
        <f t="shared" ca="1" si="207"/>
        <v>2</v>
      </c>
      <c r="AJ595" s="47">
        <f t="shared" ca="1" si="208"/>
        <v>174540.34910667318</v>
      </c>
      <c r="AK595">
        <f t="shared" ca="1" si="209"/>
        <v>221527.71707738447</v>
      </c>
    </row>
    <row r="596" spans="2:37" x14ac:dyDescent="0.2">
      <c r="B596">
        <f ca="1">Inputs!B12+(Inputs!D12-Inputs!B12)*BETAINV(RAND(),Model!H6,Model!I6)</f>
        <v>3.0524047368258125</v>
      </c>
      <c r="C596">
        <f ca="1">Inputs!E12+(Inputs!G12-Inputs!E12)*BETAINV(RAND(),Model!J6,Model!K6)</f>
        <v>0.25505424620379669</v>
      </c>
      <c r="D596">
        <f ca="1">(Inputs!H12+(Inputs!J12-Inputs!H12)*BETAINV(RAND(),Model!L6,Model!M6))*Inputs!$C$6</f>
        <v>12211.833305814387</v>
      </c>
      <c r="E596">
        <f t="shared" ca="1" si="189"/>
        <v>0.77852878926000602</v>
      </c>
      <c r="F596">
        <f t="shared" ca="1" si="190"/>
        <v>0.61503616150022289</v>
      </c>
      <c r="G596">
        <f t="shared" ca="1" si="191"/>
        <v>1</v>
      </c>
      <c r="H596" s="47">
        <f t="shared" ca="1" si="192"/>
        <v>12211.833305814387</v>
      </c>
      <c r="I596">
        <f ca="1">Inputs!B13+(Inputs!D13-Inputs!B13)*BETAINV(RAND(),Model!H7,Model!I7)</f>
        <v>0.98892159069583552</v>
      </c>
      <c r="J596">
        <f ca="1">Inputs!E13+(Inputs!G13-Inputs!E13)*BETAINV(RAND(),Model!J7,Model!K7)</f>
        <v>0.30129884683561858</v>
      </c>
      <c r="K596">
        <f ca="1">(Inputs!H13+(Inputs!J13-Inputs!H13)*BETAINV(RAND(),Model!L7,Model!M7))*Inputs!$C$6</f>
        <v>39350.836324100281</v>
      </c>
      <c r="L596">
        <f t="shared" ca="1" si="193"/>
        <v>0.29796093488750086</v>
      </c>
      <c r="M596">
        <f t="shared" ca="1" si="194"/>
        <v>0.50466098634589984</v>
      </c>
      <c r="N596">
        <f t="shared" ca="1" si="195"/>
        <v>0</v>
      </c>
      <c r="O596" s="47">
        <f t="shared" ca="1" si="196"/>
        <v>0</v>
      </c>
      <c r="P596">
        <f ca="1">Inputs!B14+(Inputs!D14-Inputs!B14)*BETAINV(RAND(),Model!H8,Model!I8)</f>
        <v>0.26385468892759134</v>
      </c>
      <c r="Q596">
        <f ca="1">Inputs!E14+(Inputs!G14-Inputs!E14)*BETAINV(RAND(),Model!J8,Model!K8)</f>
        <v>0.58919516821222351</v>
      </c>
      <c r="R596">
        <f ca="1">(Inputs!H14+(Inputs!J14-Inputs!H14)*BETAINV(RAND(),Model!L8,Model!M8))*Inputs!$C$6</f>
        <v>407488.04610540345</v>
      </c>
      <c r="S596">
        <f t="shared" ca="1" si="197"/>
        <v>0.15546190782627609</v>
      </c>
      <c r="T596">
        <f t="shared" ca="1" si="198"/>
        <v>0.13482281208166114</v>
      </c>
      <c r="U596">
        <f t="shared" ca="1" si="199"/>
        <v>0</v>
      </c>
      <c r="V596" s="47">
        <f t="shared" ca="1" si="200"/>
        <v>0</v>
      </c>
      <c r="W596">
        <f ca="1">Inputs!B15+(Inputs!D15-Inputs!B15)*BETAINV(RAND(),Model!H9,Model!I9)</f>
        <v>0.48384011441023722</v>
      </c>
      <c r="X596">
        <f ca="1">Inputs!E15+(Inputs!G15-Inputs!E15)*BETAINV(RAND(),Model!J9,Model!K9)</f>
        <v>0.39522075648146049</v>
      </c>
      <c r="Y596">
        <f ca="1">(Inputs!H15+(Inputs!J15-Inputs!H15)*BETAINV(RAND(),Model!L9,Model!M9))*Inputs!$C$6</f>
        <v>41663.270416961517</v>
      </c>
      <c r="Z596">
        <f t="shared" ca="1" si="201"/>
        <v>0.19122365603329033</v>
      </c>
      <c r="AA596">
        <f t="shared" ca="1" si="202"/>
        <v>0.4273564188792337</v>
      </c>
      <c r="AB596">
        <f t="shared" ca="1" si="203"/>
        <v>0</v>
      </c>
      <c r="AC596" s="47">
        <f t="shared" ca="1" si="204"/>
        <v>0</v>
      </c>
      <c r="AD596">
        <f ca="1">Inputs!B16+(Inputs!D16-Inputs!B16)*BETAINV(RAND(),Model!H10,Model!I10)</f>
        <v>1.1600513183698244</v>
      </c>
      <c r="AE596">
        <f ca="1">Inputs!E16+(Inputs!G16-Inputs!E16)*BETAINV(RAND(),Model!J10,Model!K10)</f>
        <v>0.61298199566382805</v>
      </c>
      <c r="AF596">
        <f ca="1">(Inputs!H16+(Inputs!J16-Inputs!H16)*BETAINV(RAND(),Model!L10,Model!M10))*Inputs!$C$6</f>
        <v>106582.37606277555</v>
      </c>
      <c r="AG596">
        <f t="shared" ca="1" si="205"/>
        <v>0.71109057220678973</v>
      </c>
      <c r="AH596">
        <f t="shared" ca="1" si="206"/>
        <v>0.6424571978959166</v>
      </c>
      <c r="AI596">
        <f t="shared" ca="1" si="207"/>
        <v>1</v>
      </c>
      <c r="AJ596" s="47">
        <f t="shared" ca="1" si="208"/>
        <v>106582.37606277555</v>
      </c>
      <c r="AK596">
        <f t="shared" ca="1" si="209"/>
        <v>118794.20936858995</v>
      </c>
    </row>
    <row r="597" spans="2:37" x14ac:dyDescent="0.2">
      <c r="B597">
        <f ca="1">Inputs!B12+(Inputs!D12-Inputs!B12)*BETAINV(RAND(),Model!H6,Model!I6)</f>
        <v>4.9857480662113982</v>
      </c>
      <c r="C597">
        <f ca="1">Inputs!E12+(Inputs!G12-Inputs!E12)*BETAINV(RAND(),Model!J6,Model!K6)</f>
        <v>0.27323917241957862</v>
      </c>
      <c r="D597">
        <f ca="1">(Inputs!H12+(Inputs!J12-Inputs!H12)*BETAINV(RAND(),Model!L6,Model!M6))*Inputs!$C$6</f>
        <v>50664.751386969299</v>
      </c>
      <c r="E597">
        <f t="shared" ca="1" si="189"/>
        <v>1.3623016755041168</v>
      </c>
      <c r="F597">
        <f t="shared" ca="1" si="190"/>
        <v>0.21838925611373039</v>
      </c>
      <c r="G597">
        <f t="shared" ca="1" si="191"/>
        <v>0</v>
      </c>
      <c r="H597" s="47">
        <f t="shared" ca="1" si="192"/>
        <v>0</v>
      </c>
      <c r="I597">
        <f ca="1">Inputs!B13+(Inputs!D13-Inputs!B13)*BETAINV(RAND(),Model!H7,Model!I7)</f>
        <v>2.8839050167420934</v>
      </c>
      <c r="J597">
        <f ca="1">Inputs!E13+(Inputs!G13-Inputs!E13)*BETAINV(RAND(),Model!J7,Model!K7)</f>
        <v>0.25144579461567373</v>
      </c>
      <c r="K597">
        <f ca="1">(Inputs!H13+(Inputs!J13-Inputs!H13)*BETAINV(RAND(),Model!L7,Model!M7))*Inputs!$C$6</f>
        <v>50584.276841979801</v>
      </c>
      <c r="L597">
        <f t="shared" ca="1" si="193"/>
        <v>0.72514578853084355</v>
      </c>
      <c r="M597">
        <f t="shared" ca="1" si="194"/>
        <v>0.5013549574592876</v>
      </c>
      <c r="N597">
        <f t="shared" ca="1" si="195"/>
        <v>1</v>
      </c>
      <c r="O597" s="47">
        <f t="shared" ca="1" si="196"/>
        <v>50584.276841979801</v>
      </c>
      <c r="P597">
        <f ca="1">Inputs!B14+(Inputs!D14-Inputs!B14)*BETAINV(RAND(),Model!H8,Model!I8)</f>
        <v>0.16610529036727983</v>
      </c>
      <c r="Q597">
        <f ca="1">Inputs!E14+(Inputs!G14-Inputs!E14)*BETAINV(RAND(),Model!J8,Model!K8)</f>
        <v>0.53235258092227022</v>
      </c>
      <c r="R597">
        <f ca="1">(Inputs!H14+(Inputs!J14-Inputs!H14)*BETAINV(RAND(),Model!L8,Model!M8))*Inputs!$C$6</f>
        <v>260846.72115559562</v>
      </c>
      <c r="S597">
        <f t="shared" ca="1" si="197"/>
        <v>8.842658003186453E-2</v>
      </c>
      <c r="T597">
        <f t="shared" ca="1" si="198"/>
        <v>0.71377232479824848</v>
      </c>
      <c r="U597">
        <f t="shared" ca="1" si="199"/>
        <v>0</v>
      </c>
      <c r="V597" s="47">
        <f t="shared" ca="1" si="200"/>
        <v>0</v>
      </c>
      <c r="W597">
        <f ca="1">Inputs!B15+(Inputs!D15-Inputs!B15)*BETAINV(RAND(),Model!H9,Model!I9)</f>
        <v>1.3785187084004</v>
      </c>
      <c r="X597">
        <f ca="1">Inputs!E15+(Inputs!G15-Inputs!E15)*BETAINV(RAND(),Model!J9,Model!K9)</f>
        <v>0.32466735253432905</v>
      </c>
      <c r="Y597">
        <f ca="1">(Inputs!H15+(Inputs!J15-Inputs!H15)*BETAINV(RAND(),Model!L9,Model!M9))*Inputs!$C$6</f>
        <v>30009.44615669873</v>
      </c>
      <c r="Z597">
        <f t="shared" ca="1" si="201"/>
        <v>0.44756001947540064</v>
      </c>
      <c r="AA597">
        <f t="shared" ca="1" si="202"/>
        <v>0.65589216319999877</v>
      </c>
      <c r="AB597">
        <f t="shared" ca="1" si="203"/>
        <v>1</v>
      </c>
      <c r="AC597" s="47">
        <f t="shared" ca="1" si="204"/>
        <v>30009.44615669873</v>
      </c>
      <c r="AD597">
        <f ca="1">Inputs!B16+(Inputs!D16-Inputs!B16)*BETAINV(RAND(),Model!H10,Model!I10)</f>
        <v>0.51439211999238865</v>
      </c>
      <c r="AE597">
        <f ca="1">Inputs!E16+(Inputs!G16-Inputs!E16)*BETAINV(RAND(),Model!J10,Model!K10)</f>
        <v>0.76964586810240543</v>
      </c>
      <c r="AF597">
        <f ca="1">(Inputs!H16+(Inputs!J16-Inputs!H16)*BETAINV(RAND(),Model!L10,Model!M10))*Inputs!$C$6</f>
        <v>76306.463316491529</v>
      </c>
      <c r="AG597">
        <f t="shared" ca="1" si="205"/>
        <v>0.39589976973657864</v>
      </c>
      <c r="AH597">
        <f t="shared" ca="1" si="206"/>
        <v>0.53671023305113152</v>
      </c>
      <c r="AI597">
        <f t="shared" ca="1" si="207"/>
        <v>0</v>
      </c>
      <c r="AJ597" s="47">
        <f t="shared" ca="1" si="208"/>
        <v>0</v>
      </c>
      <c r="AK597">
        <f t="shared" ca="1" si="209"/>
        <v>80593.722998678539</v>
      </c>
    </row>
    <row r="598" spans="2:37" x14ac:dyDescent="0.2">
      <c r="B598">
        <f ca="1">Inputs!B12+(Inputs!D12-Inputs!B12)*BETAINV(RAND(),Model!H6,Model!I6)</f>
        <v>2.6715133004772875</v>
      </c>
      <c r="C598">
        <f ca="1">Inputs!E12+(Inputs!G12-Inputs!E12)*BETAINV(RAND(),Model!J6,Model!K6)</f>
        <v>0.31586652206879628</v>
      </c>
      <c r="D598">
        <f ca="1">(Inputs!H12+(Inputs!J12-Inputs!H12)*BETAINV(RAND(),Model!L6,Model!M6))*Inputs!$C$6</f>
        <v>22894.804074279462</v>
      </c>
      <c r="E598">
        <f t="shared" ca="1" si="189"/>
        <v>0.84384161488229192</v>
      </c>
      <c r="F598">
        <f t="shared" ca="1" si="190"/>
        <v>0.98757267469208843</v>
      </c>
      <c r="G598">
        <f t="shared" ca="1" si="191"/>
        <v>3</v>
      </c>
      <c r="H598" s="47">
        <f t="shared" ca="1" si="192"/>
        <v>68684.412222838379</v>
      </c>
      <c r="I598">
        <f ca="1">Inputs!B13+(Inputs!D13-Inputs!B13)*BETAINV(RAND(),Model!H7,Model!I7)</f>
        <v>2.5586130833324017</v>
      </c>
      <c r="J598">
        <f ca="1">Inputs!E13+(Inputs!G13-Inputs!E13)*BETAINV(RAND(),Model!J7,Model!K7)</f>
        <v>0.2267510449528613</v>
      </c>
      <c r="K598">
        <f ca="1">(Inputs!H13+(Inputs!J13-Inputs!H13)*BETAINV(RAND(),Model!L7,Model!M7))*Inputs!$C$6</f>
        <v>26234.746008700484</v>
      </c>
      <c r="L598">
        <f t="shared" ca="1" si="193"/>
        <v>0.58016819027568445</v>
      </c>
      <c r="M598">
        <f t="shared" ca="1" si="194"/>
        <v>0.39182835108977465</v>
      </c>
      <c r="N598">
        <f t="shared" ca="1" si="195"/>
        <v>0</v>
      </c>
      <c r="O598" s="47">
        <f t="shared" ca="1" si="196"/>
        <v>0</v>
      </c>
      <c r="P598">
        <f ca="1">Inputs!B14+(Inputs!D14-Inputs!B14)*BETAINV(RAND(),Model!H8,Model!I8)</f>
        <v>0.39172125682887671</v>
      </c>
      <c r="Q598">
        <f ca="1">Inputs!E14+(Inputs!G14-Inputs!E14)*BETAINV(RAND(),Model!J8,Model!K8)</f>
        <v>0.73707130217706873</v>
      </c>
      <c r="R598">
        <f ca="1">(Inputs!H14+(Inputs!J14-Inputs!H14)*BETAINV(RAND(),Model!L8,Model!M8))*Inputs!$C$6</f>
        <v>306267.52516757097</v>
      </c>
      <c r="S598">
        <f t="shared" ca="1" si="197"/>
        <v>0.28872649686129814</v>
      </c>
      <c r="T598">
        <f t="shared" ca="1" si="198"/>
        <v>0.86305797249467942</v>
      </c>
      <c r="U598">
        <f t="shared" ca="1" si="199"/>
        <v>1</v>
      </c>
      <c r="V598" s="47">
        <f t="shared" ca="1" si="200"/>
        <v>306267.52516757097</v>
      </c>
      <c r="W598">
        <f ca="1">Inputs!B15+(Inputs!D15-Inputs!B15)*BETAINV(RAND(),Model!H9,Model!I9)</f>
        <v>0.8311312466236418</v>
      </c>
      <c r="X598">
        <f ca="1">Inputs!E15+(Inputs!G15-Inputs!E15)*BETAINV(RAND(),Model!J9,Model!K9)</f>
        <v>0.32111159002273054</v>
      </c>
      <c r="Y598">
        <f ca="1">(Inputs!H15+(Inputs!J15-Inputs!H15)*BETAINV(RAND(),Model!L9,Model!M9))*Inputs!$C$6</f>
        <v>25957.364858740435</v>
      </c>
      <c r="Z598">
        <f t="shared" ca="1" si="201"/>
        <v>0.26688587612089182</v>
      </c>
      <c r="AA598">
        <f t="shared" ca="1" si="202"/>
        <v>0.35823838467064084</v>
      </c>
      <c r="AB598">
        <f t="shared" ca="1" si="203"/>
        <v>0</v>
      </c>
      <c r="AC598" s="47">
        <f t="shared" ca="1" si="204"/>
        <v>0</v>
      </c>
      <c r="AD598">
        <f ca="1">Inputs!B16+(Inputs!D16-Inputs!B16)*BETAINV(RAND(),Model!H10,Model!I10)</f>
        <v>0.78778690872316326</v>
      </c>
      <c r="AE598">
        <f ca="1">Inputs!E16+(Inputs!G16-Inputs!E16)*BETAINV(RAND(),Model!J10,Model!K10)</f>
        <v>0.56745922871962273</v>
      </c>
      <c r="AF598">
        <f ca="1">(Inputs!H16+(Inputs!J16-Inputs!H16)*BETAINV(RAND(),Model!L10,Model!M10))*Inputs!$C$6</f>
        <v>122868.6245826261</v>
      </c>
      <c r="AG598">
        <f t="shared" ca="1" si="205"/>
        <v>0.44703695161946205</v>
      </c>
      <c r="AH598">
        <f t="shared" ca="1" si="206"/>
        <v>0.95128525988441182</v>
      </c>
      <c r="AI598">
        <f t="shared" ca="1" si="207"/>
        <v>2</v>
      </c>
      <c r="AJ598" s="47">
        <f t="shared" ca="1" si="208"/>
        <v>245737.2491652522</v>
      </c>
      <c r="AK598">
        <f t="shared" ca="1" si="209"/>
        <v>620689.18655566149</v>
      </c>
    </row>
    <row r="599" spans="2:37" x14ac:dyDescent="0.2">
      <c r="B599">
        <f ca="1">Inputs!B12+(Inputs!D12-Inputs!B12)*BETAINV(RAND(),Model!H6,Model!I6)</f>
        <v>4.0783184529991301</v>
      </c>
      <c r="C599">
        <f ca="1">Inputs!E12+(Inputs!G12-Inputs!E12)*BETAINV(RAND(),Model!J6,Model!K6)</f>
        <v>0.20203909211742177</v>
      </c>
      <c r="D599">
        <f ca="1">(Inputs!H12+(Inputs!J12-Inputs!H12)*BETAINV(RAND(),Model!L6,Model!M6))*Inputs!$C$6</f>
        <v>32143.70108787046</v>
      </c>
      <c r="E599">
        <f t="shared" ca="1" si="189"/>
        <v>0.82397975760967235</v>
      </c>
      <c r="F599">
        <f t="shared" ca="1" si="190"/>
        <v>0.94001244728977418</v>
      </c>
      <c r="G599">
        <f t="shared" ca="1" si="191"/>
        <v>2</v>
      </c>
      <c r="H599" s="47">
        <f t="shared" ca="1" si="192"/>
        <v>64287.402175740921</v>
      </c>
      <c r="I599">
        <f ca="1">Inputs!B13+(Inputs!D13-Inputs!B13)*BETAINV(RAND(),Model!H7,Model!I7)</f>
        <v>2.4334691532312225</v>
      </c>
      <c r="J599">
        <f ca="1">Inputs!E13+(Inputs!G13-Inputs!E13)*BETAINV(RAND(),Model!J7,Model!K7)</f>
        <v>0.17929509761146278</v>
      </c>
      <c r="K599">
        <f ca="1">(Inputs!H13+(Inputs!J13-Inputs!H13)*BETAINV(RAND(),Model!L7,Model!M7))*Inputs!$C$6</f>
        <v>10500.578893690006</v>
      </c>
      <c r="L599">
        <f t="shared" ca="1" si="193"/>
        <v>0.43630908936307572</v>
      </c>
      <c r="M599">
        <f t="shared" ca="1" si="194"/>
        <v>2.3774098843887148E-2</v>
      </c>
      <c r="N599">
        <f t="shared" ca="1" si="195"/>
        <v>0</v>
      </c>
      <c r="O599" s="47">
        <f t="shared" ca="1" si="196"/>
        <v>0</v>
      </c>
      <c r="P599">
        <f ca="1">Inputs!B14+(Inputs!D14-Inputs!B14)*BETAINV(RAND(),Model!H8,Model!I8)</f>
        <v>0.31968981437496102</v>
      </c>
      <c r="Q599">
        <f ca="1">Inputs!E14+(Inputs!G14-Inputs!E14)*BETAINV(RAND(),Model!J8,Model!K8)</f>
        <v>0.52132800663588552</v>
      </c>
      <c r="R599">
        <f ca="1">(Inputs!H14+(Inputs!J14-Inputs!H14)*BETAINV(RAND(),Model!L8,Model!M8))*Inputs!$C$6</f>
        <v>160286.08270398411</v>
      </c>
      <c r="S599">
        <f t="shared" ca="1" si="197"/>
        <v>0.16666325366989468</v>
      </c>
      <c r="T599">
        <f t="shared" ca="1" si="198"/>
        <v>0.98445577152883523</v>
      </c>
      <c r="U599">
        <f t="shared" ca="1" si="199"/>
        <v>1</v>
      </c>
      <c r="V599" s="47">
        <f t="shared" ca="1" si="200"/>
        <v>160286.08270398411</v>
      </c>
      <c r="W599">
        <f ca="1">Inputs!B15+(Inputs!D15-Inputs!B15)*BETAINV(RAND(),Model!H9,Model!I9)</f>
        <v>2.1971725126448205</v>
      </c>
      <c r="X599">
        <f ca="1">Inputs!E15+(Inputs!G15-Inputs!E15)*BETAINV(RAND(),Model!J9,Model!K9)</f>
        <v>0.56616292256126788</v>
      </c>
      <c r="Y599">
        <f ca="1">(Inputs!H15+(Inputs!J15-Inputs!H15)*BETAINV(RAND(),Model!L9,Model!M9))*Inputs!$C$6</f>
        <v>34586.402577334535</v>
      </c>
      <c r="Z599">
        <f t="shared" ca="1" si="201"/>
        <v>1.2439576111302759</v>
      </c>
      <c r="AA599">
        <f t="shared" ca="1" si="202"/>
        <v>0.15288867005777462</v>
      </c>
      <c r="AB599">
        <f t="shared" ca="1" si="203"/>
        <v>0</v>
      </c>
      <c r="AC599" s="47">
        <f t="shared" ca="1" si="204"/>
        <v>0</v>
      </c>
      <c r="AD599">
        <f ca="1">Inputs!B16+(Inputs!D16-Inputs!B16)*BETAINV(RAND(),Model!H10,Model!I10)</f>
        <v>0.31259102394842647</v>
      </c>
      <c r="AE599">
        <f ca="1">Inputs!E16+(Inputs!G16-Inputs!E16)*BETAINV(RAND(),Model!J10,Model!K10)</f>
        <v>0.57904852962842923</v>
      </c>
      <c r="AF599">
        <f ca="1">(Inputs!H16+(Inputs!J16-Inputs!H16)*BETAINV(RAND(),Model!L10,Model!M10))*Inputs!$C$6</f>
        <v>109291.1289349986</v>
      </c>
      <c r="AG599">
        <f t="shared" ca="1" si="205"/>
        <v>0.18100537279238146</v>
      </c>
      <c r="AH599">
        <f t="shared" ca="1" si="206"/>
        <v>0.78917750831597222</v>
      </c>
      <c r="AI599">
        <f t="shared" ca="1" si="207"/>
        <v>0</v>
      </c>
      <c r="AJ599" s="47">
        <f t="shared" ca="1" si="208"/>
        <v>0</v>
      </c>
      <c r="AK599">
        <f t="shared" ca="1" si="209"/>
        <v>224573.48487972503</v>
      </c>
    </row>
    <row r="600" spans="2:37" x14ac:dyDescent="0.2">
      <c r="B600">
        <f ca="1">Inputs!B12+(Inputs!D12-Inputs!B12)*BETAINV(RAND(),Model!H6,Model!I6)</f>
        <v>5.0484777802013046</v>
      </c>
      <c r="C600">
        <f ca="1">Inputs!E12+(Inputs!G12-Inputs!E12)*BETAINV(RAND(),Model!J6,Model!K6)</f>
        <v>0.27697102628615733</v>
      </c>
      <c r="D600">
        <f ca="1">(Inputs!H12+(Inputs!J12-Inputs!H12)*BETAINV(RAND(),Model!L6,Model!M6))*Inputs!$C$6</f>
        <v>30084.736905053793</v>
      </c>
      <c r="E600">
        <f t="shared" ca="1" si="189"/>
        <v>1.3982820719652167</v>
      </c>
      <c r="F600">
        <f t="shared" ca="1" si="190"/>
        <v>0.8951725102735042</v>
      </c>
      <c r="G600">
        <f t="shared" ca="1" si="191"/>
        <v>3</v>
      </c>
      <c r="H600" s="47">
        <f t="shared" ca="1" si="192"/>
        <v>90254.210715161375</v>
      </c>
      <c r="I600">
        <f ca="1">Inputs!B13+(Inputs!D13-Inputs!B13)*BETAINV(RAND(),Model!H7,Model!I7)</f>
        <v>1.9347860506057339</v>
      </c>
      <c r="J600">
        <f ca="1">Inputs!E13+(Inputs!G13-Inputs!E13)*BETAINV(RAND(),Model!J7,Model!K7)</f>
        <v>0.29182512498054958</v>
      </c>
      <c r="K600">
        <f ca="1">(Inputs!H13+(Inputs!J13-Inputs!H13)*BETAINV(RAND(),Model!L7,Model!M7))*Inputs!$C$6</f>
        <v>39153.592187915565</v>
      </c>
      <c r="L600">
        <f t="shared" ca="1" si="193"/>
        <v>0.56461918102864228</v>
      </c>
      <c r="M600">
        <f t="shared" ca="1" si="194"/>
        <v>0.95330511117109074</v>
      </c>
      <c r="N600">
        <f t="shared" ca="1" si="195"/>
        <v>2</v>
      </c>
      <c r="O600" s="47">
        <f t="shared" ca="1" si="196"/>
        <v>78307.18437583113</v>
      </c>
      <c r="P600">
        <f ca="1">Inputs!B14+(Inputs!D14-Inputs!B14)*BETAINV(RAND(),Model!H8,Model!I8)</f>
        <v>0.1788622140156238</v>
      </c>
      <c r="Q600">
        <f ca="1">Inputs!E14+(Inputs!G14-Inputs!E14)*BETAINV(RAND(),Model!J8,Model!K8)</f>
        <v>0.64638253804440982</v>
      </c>
      <c r="R600">
        <f ca="1">(Inputs!H14+(Inputs!J14-Inputs!H14)*BETAINV(RAND(),Model!L8,Model!M8))*Inputs!$C$6</f>
        <v>301190.36304870481</v>
      </c>
      <c r="S600">
        <f t="shared" ca="1" si="197"/>
        <v>0.11561341185566132</v>
      </c>
      <c r="T600">
        <f t="shared" ca="1" si="198"/>
        <v>0.15971644770524696</v>
      </c>
      <c r="U600">
        <f t="shared" ca="1" si="199"/>
        <v>0</v>
      </c>
      <c r="V600" s="47">
        <f t="shared" ca="1" si="200"/>
        <v>0</v>
      </c>
      <c r="W600">
        <f ca="1">Inputs!B15+(Inputs!D15-Inputs!B15)*BETAINV(RAND(),Model!H9,Model!I9)</f>
        <v>0.9025807049875767</v>
      </c>
      <c r="X600">
        <f ca="1">Inputs!E15+(Inputs!G15-Inputs!E15)*BETAINV(RAND(),Model!J9,Model!K9)</f>
        <v>0.35782964140467538</v>
      </c>
      <c r="Y600">
        <f ca="1">(Inputs!H15+(Inputs!J15-Inputs!H15)*BETAINV(RAND(),Model!L9,Model!M9))*Inputs!$C$6</f>
        <v>34254.713103444599</v>
      </c>
      <c r="Z600">
        <f t="shared" ca="1" si="201"/>
        <v>0.32297013000448366</v>
      </c>
      <c r="AA600">
        <f t="shared" ca="1" si="202"/>
        <v>0.92081532253396303</v>
      </c>
      <c r="AB600">
        <f t="shared" ca="1" si="203"/>
        <v>1</v>
      </c>
      <c r="AC600" s="47">
        <f t="shared" ca="1" si="204"/>
        <v>34254.713103444599</v>
      </c>
      <c r="AD600">
        <f ca="1">Inputs!B16+(Inputs!D16-Inputs!B16)*BETAINV(RAND(),Model!H10,Model!I10)</f>
        <v>0.88749261322415118</v>
      </c>
      <c r="AE600">
        <f ca="1">Inputs!E16+(Inputs!G16-Inputs!E16)*BETAINV(RAND(),Model!J10,Model!K10)</f>
        <v>0.72571335102733692</v>
      </c>
      <c r="AF600">
        <f ca="1">(Inputs!H16+(Inputs!J16-Inputs!H16)*BETAINV(RAND(),Model!L10,Model!M10))*Inputs!$C$6</f>
        <v>56517.105831621207</v>
      </c>
      <c r="AG600">
        <f t="shared" ca="1" si="205"/>
        <v>0.64406523835490703</v>
      </c>
      <c r="AH600">
        <f t="shared" ca="1" si="206"/>
        <v>0.93826300573599353</v>
      </c>
      <c r="AI600">
        <f t="shared" ca="1" si="207"/>
        <v>2</v>
      </c>
      <c r="AJ600" s="47">
        <f t="shared" ca="1" si="208"/>
        <v>113034.21166324241</v>
      </c>
      <c r="AK600">
        <f t="shared" ca="1" si="209"/>
        <v>315850.31985767954</v>
      </c>
    </row>
    <row r="601" spans="2:37" x14ac:dyDescent="0.2">
      <c r="B601">
        <f ca="1">Inputs!B12+(Inputs!D12-Inputs!B12)*BETAINV(RAND(),Model!H6,Model!I6)</f>
        <v>5.4574028640237184</v>
      </c>
      <c r="C601">
        <f ca="1">Inputs!E12+(Inputs!G12-Inputs!E12)*BETAINV(RAND(),Model!J6,Model!K6)</f>
        <v>0.27872466021662134</v>
      </c>
      <c r="D601">
        <f ca="1">(Inputs!H12+(Inputs!J12-Inputs!H12)*BETAINV(RAND(),Model!L6,Model!M6))*Inputs!$C$6</f>
        <v>26743.036918673522</v>
      </c>
      <c r="E601">
        <f t="shared" ca="1" si="189"/>
        <v>1.5211127589402271</v>
      </c>
      <c r="F601">
        <f t="shared" ca="1" si="190"/>
        <v>7.7150079528955695E-2</v>
      </c>
      <c r="G601">
        <f t="shared" ca="1" si="191"/>
        <v>0</v>
      </c>
      <c r="H601" s="47">
        <f t="shared" ca="1" si="192"/>
        <v>0</v>
      </c>
      <c r="I601">
        <f ca="1">Inputs!B13+(Inputs!D13-Inputs!B13)*BETAINV(RAND(),Model!H7,Model!I7)</f>
        <v>3.219545165408221</v>
      </c>
      <c r="J601">
        <f ca="1">Inputs!E13+(Inputs!G13-Inputs!E13)*BETAINV(RAND(),Model!J7,Model!K7)</f>
        <v>0.32849113498646548</v>
      </c>
      <c r="K601">
        <f ca="1">(Inputs!H13+(Inputs!J13-Inputs!H13)*BETAINV(RAND(),Model!L7,Model!M7))*Inputs!$C$6</f>
        <v>40495.634755670064</v>
      </c>
      <c r="L601">
        <f t="shared" ca="1" si="193"/>
        <v>1.0575920455251342</v>
      </c>
      <c r="M601">
        <f t="shared" ca="1" si="194"/>
        <v>0.34714575853442087</v>
      </c>
      <c r="N601">
        <f t="shared" ca="1" si="195"/>
        <v>0</v>
      </c>
      <c r="O601" s="47">
        <f t="shared" ca="1" si="196"/>
        <v>0</v>
      </c>
      <c r="P601">
        <f ca="1">Inputs!B14+(Inputs!D14-Inputs!B14)*BETAINV(RAND(),Model!H8,Model!I8)</f>
        <v>0.52317338537592417</v>
      </c>
      <c r="Q601">
        <f ca="1">Inputs!E14+(Inputs!G14-Inputs!E14)*BETAINV(RAND(),Model!J8,Model!K8)</f>
        <v>0.56159898695039789</v>
      </c>
      <c r="R601">
        <f ca="1">(Inputs!H14+(Inputs!J14-Inputs!H14)*BETAINV(RAND(),Model!L8,Model!M8))*Inputs!$C$6</f>
        <v>471789.81786974974</v>
      </c>
      <c r="S601">
        <f t="shared" ca="1" si="197"/>
        <v>0.29381364322652914</v>
      </c>
      <c r="T601">
        <f t="shared" ca="1" si="198"/>
        <v>0.3943686779029878</v>
      </c>
      <c r="U601">
        <f t="shared" ca="1" si="199"/>
        <v>0</v>
      </c>
      <c r="V601" s="47">
        <f t="shared" ca="1" si="200"/>
        <v>0</v>
      </c>
      <c r="W601">
        <f ca="1">Inputs!B15+(Inputs!D15-Inputs!B15)*BETAINV(RAND(),Model!H9,Model!I9)</f>
        <v>0.4618318901359757</v>
      </c>
      <c r="X601">
        <f ca="1">Inputs!E15+(Inputs!G15-Inputs!E15)*BETAINV(RAND(),Model!J9,Model!K9)</f>
        <v>0.33033382563663538</v>
      </c>
      <c r="Y601">
        <f ca="1">(Inputs!H15+(Inputs!J15-Inputs!H15)*BETAINV(RAND(),Model!L9,Model!M9))*Inputs!$C$6</f>
        <v>18643.950181716817</v>
      </c>
      <c r="Z601">
        <f t="shared" ca="1" si="201"/>
        <v>0.15255869506961514</v>
      </c>
      <c r="AA601">
        <f t="shared" ca="1" si="202"/>
        <v>0.26911656233444825</v>
      </c>
      <c r="AB601">
        <f t="shared" ca="1" si="203"/>
        <v>0</v>
      </c>
      <c r="AC601" s="47">
        <f t="shared" ca="1" si="204"/>
        <v>0</v>
      </c>
      <c r="AD601">
        <f ca="1">Inputs!B16+(Inputs!D16-Inputs!B16)*BETAINV(RAND(),Model!H10,Model!I10)</f>
        <v>0.65296710781570755</v>
      </c>
      <c r="AE601">
        <f ca="1">Inputs!E16+(Inputs!G16-Inputs!E16)*BETAINV(RAND(),Model!J10,Model!K10)</f>
        <v>0.55046728178129167</v>
      </c>
      <c r="AF601">
        <f ca="1">(Inputs!H16+(Inputs!J16-Inputs!H16)*BETAINV(RAND(),Model!L10,Model!M10))*Inputs!$C$6</f>
        <v>132529.89828046405</v>
      </c>
      <c r="AG601">
        <f t="shared" ca="1" si="205"/>
        <v>0.35943702893190416</v>
      </c>
      <c r="AH601">
        <f t="shared" ca="1" si="206"/>
        <v>0.98481867075685725</v>
      </c>
      <c r="AI601">
        <f t="shared" ca="1" si="207"/>
        <v>2</v>
      </c>
      <c r="AJ601" s="47">
        <f t="shared" ca="1" si="208"/>
        <v>265059.79656092811</v>
      </c>
      <c r="AK601">
        <f t="shared" ca="1" si="209"/>
        <v>265059.79656092811</v>
      </c>
    </row>
    <row r="602" spans="2:37" x14ac:dyDescent="0.2">
      <c r="B602">
        <f ca="1">Inputs!B12+(Inputs!D12-Inputs!B12)*BETAINV(RAND(),Model!H6,Model!I6)</f>
        <v>5.5518077679237434</v>
      </c>
      <c r="C602">
        <f ca="1">Inputs!E12+(Inputs!G12-Inputs!E12)*BETAINV(RAND(),Model!J6,Model!K6)</f>
        <v>0.43902712822552403</v>
      </c>
      <c r="D602">
        <f ca="1">(Inputs!H12+(Inputs!J12-Inputs!H12)*BETAINV(RAND(),Model!L6,Model!M6))*Inputs!$C$6</f>
        <v>39886.682231742954</v>
      </c>
      <c r="E602">
        <f t="shared" ca="1" si="189"/>
        <v>2.4373942208117176</v>
      </c>
      <c r="F602">
        <f t="shared" ca="1" si="190"/>
        <v>0.61439028028574494</v>
      </c>
      <c r="G602">
        <f t="shared" ca="1" si="191"/>
        <v>3</v>
      </c>
      <c r="H602" s="47">
        <f t="shared" ca="1" si="192"/>
        <v>119660.04669522887</v>
      </c>
      <c r="I602">
        <f ca="1">Inputs!B13+(Inputs!D13-Inputs!B13)*BETAINV(RAND(),Model!H7,Model!I7)</f>
        <v>2.3312076208645331</v>
      </c>
      <c r="J602">
        <f ca="1">Inputs!E13+(Inputs!G13-Inputs!E13)*BETAINV(RAND(),Model!J7,Model!K7)</f>
        <v>0.22219555266900709</v>
      </c>
      <c r="K602">
        <f ca="1">(Inputs!H13+(Inputs!J13-Inputs!H13)*BETAINV(RAND(),Model!L7,Model!M7))*Inputs!$C$6</f>
        <v>41259.720249001657</v>
      </c>
      <c r="L602">
        <f t="shared" ca="1" si="193"/>
        <v>0.51798396570419614</v>
      </c>
      <c r="M602">
        <f t="shared" ca="1" si="194"/>
        <v>0.83232047759635275</v>
      </c>
      <c r="N602">
        <f t="shared" ca="1" si="195"/>
        <v>1</v>
      </c>
      <c r="O602" s="47">
        <f t="shared" ca="1" si="196"/>
        <v>41259.720249001657</v>
      </c>
      <c r="P602">
        <f ca="1">Inputs!B14+(Inputs!D14-Inputs!B14)*BETAINV(RAND(),Model!H8,Model!I8)</f>
        <v>0.50301768666061197</v>
      </c>
      <c r="Q602">
        <f ca="1">Inputs!E14+(Inputs!G14-Inputs!E14)*BETAINV(RAND(),Model!J8,Model!K8)</f>
        <v>0.59062755399732825</v>
      </c>
      <c r="R602">
        <f ca="1">(Inputs!H14+(Inputs!J14-Inputs!H14)*BETAINV(RAND(),Model!L8,Model!M8))*Inputs!$C$6</f>
        <v>542865.77051271964</v>
      </c>
      <c r="S602">
        <f t="shared" ca="1" si="197"/>
        <v>0.29709610588975172</v>
      </c>
      <c r="T602">
        <f t="shared" ca="1" si="198"/>
        <v>0.37782523823192771</v>
      </c>
      <c r="U602">
        <f t="shared" ca="1" si="199"/>
        <v>0</v>
      </c>
      <c r="V602" s="47">
        <f t="shared" ca="1" si="200"/>
        <v>0</v>
      </c>
      <c r="W602">
        <f ca="1">Inputs!B15+(Inputs!D15-Inputs!B15)*BETAINV(RAND(),Model!H9,Model!I9)</f>
        <v>0.93306336114222344</v>
      </c>
      <c r="X602">
        <f ca="1">Inputs!E15+(Inputs!G15-Inputs!E15)*BETAINV(RAND(),Model!J9,Model!K9)</f>
        <v>0.32703706016552803</v>
      </c>
      <c r="Y602">
        <f ca="1">(Inputs!H15+(Inputs!J15-Inputs!H15)*BETAINV(RAND(),Model!L9,Model!M9))*Inputs!$C$6</f>
        <v>48216.454472642057</v>
      </c>
      <c r="Z602">
        <f t="shared" ca="1" si="201"/>
        <v>0.30514629857611913</v>
      </c>
      <c r="AA602">
        <f t="shared" ca="1" si="202"/>
        <v>7.2316616777941212E-2</v>
      </c>
      <c r="AB602">
        <f t="shared" ca="1" si="203"/>
        <v>0</v>
      </c>
      <c r="AC602" s="47">
        <f t="shared" ca="1" si="204"/>
        <v>0</v>
      </c>
      <c r="AD602">
        <f ca="1">Inputs!B16+(Inputs!D16-Inputs!B16)*BETAINV(RAND(),Model!H10,Model!I10)</f>
        <v>0.3479056440298865</v>
      </c>
      <c r="AE602">
        <f ca="1">Inputs!E16+(Inputs!G16-Inputs!E16)*BETAINV(RAND(),Model!J10,Model!K10)</f>
        <v>0.47914163049171488</v>
      </c>
      <c r="AF602">
        <f ca="1">(Inputs!H16+(Inputs!J16-Inputs!H16)*BETAINV(RAND(),Model!L10,Model!M10))*Inputs!$C$6</f>
        <v>74303.698542080878</v>
      </c>
      <c r="AG602">
        <f t="shared" ca="1" si="205"/>
        <v>0.16669607753774995</v>
      </c>
      <c r="AH602">
        <f t="shared" ca="1" si="206"/>
        <v>0.58359492649297307</v>
      </c>
      <c r="AI602">
        <f t="shared" ca="1" si="207"/>
        <v>0</v>
      </c>
      <c r="AJ602" s="47">
        <f t="shared" ca="1" si="208"/>
        <v>0</v>
      </c>
      <c r="AK602">
        <f t="shared" ca="1" si="209"/>
        <v>160919.76694423053</v>
      </c>
    </row>
    <row r="603" spans="2:37" x14ac:dyDescent="0.2">
      <c r="B603">
        <f ca="1">Inputs!B12+(Inputs!D12-Inputs!B12)*BETAINV(RAND(),Model!H6,Model!I6)</f>
        <v>3.008167677934368</v>
      </c>
      <c r="C603">
        <f ca="1">Inputs!E12+(Inputs!G12-Inputs!E12)*BETAINV(RAND(),Model!J6,Model!K6)</f>
        <v>0.23251859596556357</v>
      </c>
      <c r="D603">
        <f ca="1">(Inputs!H12+(Inputs!J12-Inputs!H12)*BETAINV(RAND(),Model!L6,Model!M6))*Inputs!$C$6</f>
        <v>29327.610204235003</v>
      </c>
      <c r="E603">
        <f t="shared" ca="1" si="189"/>
        <v>0.69945492490228889</v>
      </c>
      <c r="F603">
        <f t="shared" ca="1" si="190"/>
        <v>0.99632528284064503</v>
      </c>
      <c r="G603">
        <f t="shared" ca="1" si="191"/>
        <v>4</v>
      </c>
      <c r="H603" s="47">
        <f t="shared" ca="1" si="192"/>
        <v>117310.44081694001</v>
      </c>
      <c r="I603">
        <f ca="1">Inputs!B13+(Inputs!D13-Inputs!B13)*BETAINV(RAND(),Model!H7,Model!I7)</f>
        <v>2.5530216429980408</v>
      </c>
      <c r="J603">
        <f ca="1">Inputs!E13+(Inputs!G13-Inputs!E13)*BETAINV(RAND(),Model!J7,Model!K7)</f>
        <v>0.19937603601703177</v>
      </c>
      <c r="K603">
        <f ca="1">(Inputs!H13+(Inputs!J13-Inputs!H13)*BETAINV(RAND(),Model!L7,Model!M7))*Inputs!$C$6</f>
        <v>42704.995504116581</v>
      </c>
      <c r="L603">
        <f t="shared" ca="1" si="193"/>
        <v>0.50901133504663898</v>
      </c>
      <c r="M603">
        <f t="shared" ca="1" si="194"/>
        <v>0.58871347633450277</v>
      </c>
      <c r="N603">
        <f t="shared" ca="1" si="195"/>
        <v>0</v>
      </c>
      <c r="O603" s="47">
        <f t="shared" ca="1" si="196"/>
        <v>0</v>
      </c>
      <c r="P603">
        <f ca="1">Inputs!B14+(Inputs!D14-Inputs!B14)*BETAINV(RAND(),Model!H8,Model!I8)</f>
        <v>0.27143608045733303</v>
      </c>
      <c r="Q603">
        <f ca="1">Inputs!E14+(Inputs!G14-Inputs!E14)*BETAINV(RAND(),Model!J8,Model!K8)</f>
        <v>0.57071609090857733</v>
      </c>
      <c r="R603">
        <f ca="1">(Inputs!H14+(Inputs!J14-Inputs!H14)*BETAINV(RAND(),Model!L8,Model!M8))*Inputs!$C$6</f>
        <v>319155.95868403412</v>
      </c>
      <c r="S603">
        <f t="shared" ca="1" si="197"/>
        <v>0.15491293877015519</v>
      </c>
      <c r="T603">
        <f t="shared" ca="1" si="198"/>
        <v>0.4582132602852782</v>
      </c>
      <c r="U603">
        <f t="shared" ca="1" si="199"/>
        <v>0</v>
      </c>
      <c r="V603" s="47">
        <f t="shared" ca="1" si="200"/>
        <v>0</v>
      </c>
      <c r="W603">
        <f ca="1">Inputs!B15+(Inputs!D15-Inputs!B15)*BETAINV(RAND(),Model!H9,Model!I9)</f>
        <v>1.8474968680810133</v>
      </c>
      <c r="X603">
        <f ca="1">Inputs!E15+(Inputs!G15-Inputs!E15)*BETAINV(RAND(),Model!J9,Model!K9)</f>
        <v>0.51790231901996098</v>
      </c>
      <c r="Y603">
        <f ca="1">(Inputs!H15+(Inputs!J15-Inputs!H15)*BETAINV(RAND(),Model!L9,Model!M9))*Inputs!$C$6</f>
        <v>12319.579335133991</v>
      </c>
      <c r="Z603">
        <f t="shared" ca="1" si="201"/>
        <v>0.9568229123612717</v>
      </c>
      <c r="AA603">
        <f t="shared" ca="1" si="202"/>
        <v>0.86274477473803479</v>
      </c>
      <c r="AB603">
        <f t="shared" ca="1" si="203"/>
        <v>2</v>
      </c>
      <c r="AC603" s="47">
        <f t="shared" ca="1" si="204"/>
        <v>24639.158670267982</v>
      </c>
      <c r="AD603">
        <f ca="1">Inputs!B16+(Inputs!D16-Inputs!B16)*BETAINV(RAND(),Model!H10,Model!I10)</f>
        <v>1.0106655489351537</v>
      </c>
      <c r="AE603">
        <f ca="1">Inputs!E16+(Inputs!G16-Inputs!E16)*BETAINV(RAND(),Model!J10,Model!K10)</f>
        <v>0.7116173541959121</v>
      </c>
      <c r="AF603">
        <f ca="1">(Inputs!H16+(Inputs!J16-Inputs!H16)*BETAINV(RAND(),Model!L10,Model!M10))*Inputs!$C$6</f>
        <v>119320.32639892538</v>
      </c>
      <c r="AG603">
        <f t="shared" ca="1" si="205"/>
        <v>0.71920714391019325</v>
      </c>
      <c r="AH603">
        <f t="shared" ca="1" si="206"/>
        <v>0.34956603462926394</v>
      </c>
      <c r="AI603">
        <f t="shared" ca="1" si="207"/>
        <v>0</v>
      </c>
      <c r="AJ603" s="47">
        <f t="shared" ca="1" si="208"/>
        <v>0</v>
      </c>
      <c r="AK603">
        <f t="shared" ca="1" si="209"/>
        <v>141949.599487208</v>
      </c>
    </row>
    <row r="604" spans="2:37" x14ac:dyDescent="0.2">
      <c r="B604">
        <f ca="1">Inputs!B12+(Inputs!D12-Inputs!B12)*BETAINV(RAND(),Model!H6,Model!I6)</f>
        <v>2.9387609678504614</v>
      </c>
      <c r="C604">
        <f ca="1">Inputs!E12+(Inputs!G12-Inputs!E12)*BETAINV(RAND(),Model!J6,Model!K6)</f>
        <v>0.39833424906987513</v>
      </c>
      <c r="D604">
        <f ca="1">(Inputs!H12+(Inputs!J12-Inputs!H12)*BETAINV(RAND(),Model!L6,Model!M6))*Inputs!$C$6</f>
        <v>13834.198815832329</v>
      </c>
      <c r="E604">
        <f t="shared" ca="1" si="189"/>
        <v>1.1706091433245729</v>
      </c>
      <c r="F604">
        <f t="shared" ca="1" si="190"/>
        <v>0.55035724777963269</v>
      </c>
      <c r="G604">
        <f t="shared" ca="1" si="191"/>
        <v>1</v>
      </c>
      <c r="H604" s="47">
        <f t="shared" ca="1" si="192"/>
        <v>13834.198815832329</v>
      </c>
      <c r="I604">
        <f ca="1">Inputs!B13+(Inputs!D13-Inputs!B13)*BETAINV(RAND(),Model!H7,Model!I7)</f>
        <v>2.2271006668130764</v>
      </c>
      <c r="J604">
        <f ca="1">Inputs!E13+(Inputs!G13-Inputs!E13)*BETAINV(RAND(),Model!J7,Model!K7)</f>
        <v>0.14376023819199021</v>
      </c>
      <c r="K604">
        <f ca="1">(Inputs!H13+(Inputs!J13-Inputs!H13)*BETAINV(RAND(),Model!L7,Model!M7))*Inputs!$C$6</f>
        <v>62807.824753578396</v>
      </c>
      <c r="L604">
        <f t="shared" ca="1" si="193"/>
        <v>0.32016852233858811</v>
      </c>
      <c r="M604">
        <f t="shared" ca="1" si="194"/>
        <v>0.36697620230995209</v>
      </c>
      <c r="N604">
        <f t="shared" ca="1" si="195"/>
        <v>0</v>
      </c>
      <c r="O604" s="47">
        <f t="shared" ca="1" si="196"/>
        <v>0</v>
      </c>
      <c r="P604">
        <f ca="1">Inputs!B14+(Inputs!D14-Inputs!B14)*BETAINV(RAND(),Model!H8,Model!I8)</f>
        <v>0.24797007277512054</v>
      </c>
      <c r="Q604">
        <f ca="1">Inputs!E14+(Inputs!G14-Inputs!E14)*BETAINV(RAND(),Model!J8,Model!K8)</f>
        <v>0.54683661866067557</v>
      </c>
      <c r="R604">
        <f ca="1">(Inputs!H14+(Inputs!J14-Inputs!H14)*BETAINV(RAND(),Model!L8,Model!M8))*Inputs!$C$6</f>
        <v>414339.00026772887</v>
      </c>
      <c r="S604">
        <f t="shared" ca="1" si="197"/>
        <v>0.13559911612538855</v>
      </c>
      <c r="T604">
        <f t="shared" ca="1" si="198"/>
        <v>0.51774611922531277</v>
      </c>
      <c r="U604">
        <f t="shared" ca="1" si="199"/>
        <v>0</v>
      </c>
      <c r="V604" s="47">
        <f t="shared" ca="1" si="200"/>
        <v>0</v>
      </c>
      <c r="W604">
        <f ca="1">Inputs!B15+(Inputs!D15-Inputs!B15)*BETAINV(RAND(),Model!H9,Model!I9)</f>
        <v>1.2234193431804918</v>
      </c>
      <c r="X604">
        <f ca="1">Inputs!E15+(Inputs!G15-Inputs!E15)*BETAINV(RAND(),Model!J9,Model!K9)</f>
        <v>0.37735103999764547</v>
      </c>
      <c r="Y604">
        <f ca="1">(Inputs!H15+(Inputs!J15-Inputs!H15)*BETAINV(RAND(),Model!L9,Model!M9))*Inputs!$C$6</f>
        <v>49016.845620535969</v>
      </c>
      <c r="Z604">
        <f t="shared" ca="1" si="201"/>
        <v>0.46165856150239493</v>
      </c>
      <c r="AA604">
        <f t="shared" ca="1" si="202"/>
        <v>1.9770978253399907E-2</v>
      </c>
      <c r="AB604">
        <f t="shared" ca="1" si="203"/>
        <v>0</v>
      </c>
      <c r="AC604" s="47">
        <f t="shared" ca="1" si="204"/>
        <v>0</v>
      </c>
      <c r="AD604">
        <f ca="1">Inputs!B16+(Inputs!D16-Inputs!B16)*BETAINV(RAND(),Model!H10,Model!I10)</f>
        <v>0.71423900458166356</v>
      </c>
      <c r="AE604">
        <f ca="1">Inputs!E16+(Inputs!G16-Inputs!E16)*BETAINV(RAND(),Model!J10,Model!K10)</f>
        <v>0.64567922013444101</v>
      </c>
      <c r="AF604">
        <f ca="1">(Inputs!H16+(Inputs!J16-Inputs!H16)*BETAINV(RAND(),Model!L10,Model!M10))*Inputs!$C$6</f>
        <v>69143.581297576355</v>
      </c>
      <c r="AG604">
        <f t="shared" ca="1" si="205"/>
        <v>0.46116928346788799</v>
      </c>
      <c r="AH604">
        <f t="shared" ca="1" si="206"/>
        <v>0.14598796149762627</v>
      </c>
      <c r="AI604">
        <f t="shared" ca="1" si="207"/>
        <v>0</v>
      </c>
      <c r="AJ604" s="47">
        <f t="shared" ca="1" si="208"/>
        <v>0</v>
      </c>
      <c r="AK604">
        <f t="shared" ca="1" si="209"/>
        <v>13834.198815832329</v>
      </c>
    </row>
    <row r="605" spans="2:37" x14ac:dyDescent="0.2">
      <c r="B605">
        <f ca="1">Inputs!B12+(Inputs!D12-Inputs!B12)*BETAINV(RAND(),Model!H6,Model!I6)</f>
        <v>3.9676044575718925</v>
      </c>
      <c r="C605">
        <f ca="1">Inputs!E12+(Inputs!G12-Inputs!E12)*BETAINV(RAND(),Model!J6,Model!K6)</f>
        <v>0.32103814576557382</v>
      </c>
      <c r="D605">
        <f ca="1">(Inputs!H12+(Inputs!J12-Inputs!H12)*BETAINV(RAND(),Model!L6,Model!M6))*Inputs!$C$6</f>
        <v>32680.449213308959</v>
      </c>
      <c r="E605">
        <f t="shared" ca="1" si="189"/>
        <v>1.2737523781901057</v>
      </c>
      <c r="F605">
        <f t="shared" ca="1" si="190"/>
        <v>0.56550329636176544</v>
      </c>
      <c r="G605">
        <f t="shared" ca="1" si="191"/>
        <v>1</v>
      </c>
      <c r="H605" s="47">
        <f t="shared" ca="1" si="192"/>
        <v>32680.449213308959</v>
      </c>
      <c r="I605">
        <f ca="1">Inputs!B13+(Inputs!D13-Inputs!B13)*BETAINV(RAND(),Model!H7,Model!I7)</f>
        <v>3.4045337270437699</v>
      </c>
      <c r="J605">
        <f ca="1">Inputs!E13+(Inputs!G13-Inputs!E13)*BETAINV(RAND(),Model!J7,Model!K7)</f>
        <v>0.28971537394249236</v>
      </c>
      <c r="K605">
        <f ca="1">(Inputs!H13+(Inputs!J13-Inputs!H13)*BETAINV(RAND(),Model!L7,Model!M7))*Inputs!$C$6</f>
        <v>44464.198005732433</v>
      </c>
      <c r="L605">
        <f t="shared" ca="1" si="193"/>
        <v>0.98634576183031297</v>
      </c>
      <c r="M605">
        <f t="shared" ca="1" si="194"/>
        <v>0.95343880888398125</v>
      </c>
      <c r="N605">
        <f t="shared" ca="1" si="195"/>
        <v>3</v>
      </c>
      <c r="O605" s="47">
        <f t="shared" ca="1" si="196"/>
        <v>133392.59401719729</v>
      </c>
      <c r="P605">
        <f ca="1">Inputs!B14+(Inputs!D14-Inputs!B14)*BETAINV(RAND(),Model!H8,Model!I8)</f>
        <v>0.30330299895113777</v>
      </c>
      <c r="Q605">
        <f ca="1">Inputs!E14+(Inputs!G14-Inputs!E14)*BETAINV(RAND(),Model!J8,Model!K8)</f>
        <v>0.53863103051589545</v>
      </c>
      <c r="R605">
        <f ca="1">(Inputs!H14+(Inputs!J14-Inputs!H14)*BETAINV(RAND(),Model!L8,Model!M8))*Inputs!$C$6</f>
        <v>241341.13872280146</v>
      </c>
      <c r="S605">
        <f t="shared" ca="1" si="197"/>
        <v>0.1633684068836129</v>
      </c>
      <c r="T605">
        <f t="shared" ca="1" si="198"/>
        <v>0.77575333490366682</v>
      </c>
      <c r="U605">
        <f t="shared" ca="1" si="199"/>
        <v>0</v>
      </c>
      <c r="V605" s="47">
        <f t="shared" ca="1" si="200"/>
        <v>0</v>
      </c>
      <c r="W605">
        <f ca="1">Inputs!B15+(Inputs!D15-Inputs!B15)*BETAINV(RAND(),Model!H9,Model!I9)</f>
        <v>2.3080829800671712</v>
      </c>
      <c r="X605">
        <f ca="1">Inputs!E15+(Inputs!G15-Inputs!E15)*BETAINV(RAND(),Model!J9,Model!K9)</f>
        <v>0.47559392282822704</v>
      </c>
      <c r="Y605">
        <f ca="1">(Inputs!H15+(Inputs!J15-Inputs!H15)*BETAINV(RAND(),Model!L9,Model!M9))*Inputs!$C$6</f>
        <v>48316.566549316929</v>
      </c>
      <c r="Z605">
        <f t="shared" ca="1" si="201"/>
        <v>1.0977102387032105</v>
      </c>
      <c r="AA605">
        <f t="shared" ca="1" si="202"/>
        <v>0.53483320711957905</v>
      </c>
      <c r="AB605">
        <f t="shared" ca="1" si="203"/>
        <v>1</v>
      </c>
      <c r="AC605" s="47">
        <f t="shared" ca="1" si="204"/>
        <v>48316.566549316929</v>
      </c>
      <c r="AD605">
        <f ca="1">Inputs!B16+(Inputs!D16-Inputs!B16)*BETAINV(RAND(),Model!H10,Model!I10)</f>
        <v>1.1093526373044977</v>
      </c>
      <c r="AE605">
        <f ca="1">Inputs!E16+(Inputs!G16-Inputs!E16)*BETAINV(RAND(),Model!J10,Model!K10)</f>
        <v>0.68867910425343171</v>
      </c>
      <c r="AF605">
        <f ca="1">(Inputs!H16+(Inputs!J16-Inputs!H16)*BETAINV(RAND(),Model!L10,Model!M10))*Inputs!$C$6</f>
        <v>117875.76070183687</v>
      </c>
      <c r="AG605">
        <f t="shared" ca="1" si="205"/>
        <v>0.76398798056004358</v>
      </c>
      <c r="AH605">
        <f t="shared" ca="1" si="206"/>
        <v>4.3353903130845639E-2</v>
      </c>
      <c r="AI605">
        <f t="shared" ca="1" si="207"/>
        <v>0</v>
      </c>
      <c r="AJ605" s="47">
        <f t="shared" ca="1" si="208"/>
        <v>0</v>
      </c>
      <c r="AK605">
        <f t="shared" ca="1" si="209"/>
        <v>214389.60977982316</v>
      </c>
    </row>
    <row r="606" spans="2:37" x14ac:dyDescent="0.2">
      <c r="B606">
        <f ca="1">Inputs!B12+(Inputs!D12-Inputs!B12)*BETAINV(RAND(),Model!H6,Model!I6)</f>
        <v>3.6294230499592262</v>
      </c>
      <c r="C606">
        <f ca="1">Inputs!E12+(Inputs!G12-Inputs!E12)*BETAINV(RAND(),Model!J6,Model!K6)</f>
        <v>0.22020317587936461</v>
      </c>
      <c r="D606">
        <f ca="1">(Inputs!H12+(Inputs!J12-Inputs!H12)*BETAINV(RAND(),Model!L6,Model!M6))*Inputs!$C$6</f>
        <v>30694.513215383064</v>
      </c>
      <c r="E606">
        <f t="shared" ca="1" si="189"/>
        <v>0.79921048221079138</v>
      </c>
      <c r="F606">
        <f t="shared" ca="1" si="190"/>
        <v>0.19222195890926264</v>
      </c>
      <c r="G606">
        <f t="shared" ca="1" si="191"/>
        <v>0</v>
      </c>
      <c r="H606" s="47">
        <f t="shared" ca="1" si="192"/>
        <v>0</v>
      </c>
      <c r="I606">
        <f ca="1">Inputs!B13+(Inputs!D13-Inputs!B13)*BETAINV(RAND(),Model!H7,Model!I7)</f>
        <v>1.6050608905057833</v>
      </c>
      <c r="J606">
        <f ca="1">Inputs!E13+(Inputs!G13-Inputs!E13)*BETAINV(RAND(),Model!J7,Model!K7)</f>
        <v>0.21347257011722087</v>
      </c>
      <c r="K606">
        <f ca="1">(Inputs!H13+(Inputs!J13-Inputs!H13)*BETAINV(RAND(),Model!L7,Model!M7))*Inputs!$C$6</f>
        <v>76425.581371292166</v>
      </c>
      <c r="L606">
        <f t="shared" ca="1" si="193"/>
        <v>0.34263647349090481</v>
      </c>
      <c r="M606">
        <f t="shared" ca="1" si="194"/>
        <v>0.62830453469327086</v>
      </c>
      <c r="N606">
        <f t="shared" ca="1" si="195"/>
        <v>0</v>
      </c>
      <c r="O606" s="47">
        <f t="shared" ca="1" si="196"/>
        <v>0</v>
      </c>
      <c r="P606">
        <f ca="1">Inputs!B14+(Inputs!D14-Inputs!B14)*BETAINV(RAND(),Model!H8,Model!I8)</f>
        <v>0.39371723439542949</v>
      </c>
      <c r="Q606">
        <f ca="1">Inputs!E14+(Inputs!G14-Inputs!E14)*BETAINV(RAND(),Model!J8,Model!K8)</f>
        <v>0.38290956442482171</v>
      </c>
      <c r="R606">
        <f ca="1">(Inputs!H14+(Inputs!J14-Inputs!H14)*BETAINV(RAND(),Model!L8,Model!M8))*Inputs!$C$6</f>
        <v>386990.78909397835</v>
      </c>
      <c r="S606">
        <f t="shared" ca="1" si="197"/>
        <v>0.15075809472889934</v>
      </c>
      <c r="T606">
        <f t="shared" ca="1" si="198"/>
        <v>0.43362689953616218</v>
      </c>
      <c r="U606">
        <f t="shared" ca="1" si="199"/>
        <v>0</v>
      </c>
      <c r="V606" s="47">
        <f t="shared" ca="1" si="200"/>
        <v>0</v>
      </c>
      <c r="W606">
        <f ca="1">Inputs!B15+(Inputs!D15-Inputs!B15)*BETAINV(RAND(),Model!H9,Model!I9)</f>
        <v>1.073604090500107</v>
      </c>
      <c r="X606">
        <f ca="1">Inputs!E15+(Inputs!G15-Inputs!E15)*BETAINV(RAND(),Model!J9,Model!K9)</f>
        <v>0.37215264410052051</v>
      </c>
      <c r="Y606">
        <f ca="1">(Inputs!H15+(Inputs!J15-Inputs!H15)*BETAINV(RAND(),Model!L9,Model!M9))*Inputs!$C$6</f>
        <v>26997.212946932272</v>
      </c>
      <c r="Z606">
        <f t="shared" ca="1" si="201"/>
        <v>0.39954460099674932</v>
      </c>
      <c r="AA606">
        <f t="shared" ca="1" si="202"/>
        <v>0.13027044292568013</v>
      </c>
      <c r="AB606">
        <f t="shared" ca="1" si="203"/>
        <v>0</v>
      </c>
      <c r="AC606" s="47">
        <f t="shared" ca="1" si="204"/>
        <v>0</v>
      </c>
      <c r="AD606">
        <f ca="1">Inputs!B16+(Inputs!D16-Inputs!B16)*BETAINV(RAND(),Model!H10,Model!I10)</f>
        <v>1.1513144673590969</v>
      </c>
      <c r="AE606">
        <f ca="1">Inputs!E16+(Inputs!G16-Inputs!E16)*BETAINV(RAND(),Model!J10,Model!K10)</f>
        <v>0.68324180073165208</v>
      </c>
      <c r="AF606">
        <f ca="1">(Inputs!H16+(Inputs!J16-Inputs!H16)*BETAINV(RAND(),Model!L10,Model!M10))*Inputs!$C$6</f>
        <v>66938.774262274674</v>
      </c>
      <c r="AG606">
        <f t="shared" ca="1" si="205"/>
        <v>0.7866261698868322</v>
      </c>
      <c r="AH606">
        <f t="shared" ca="1" si="206"/>
        <v>3.5827738256017927E-3</v>
      </c>
      <c r="AI606">
        <f t="shared" ca="1" si="207"/>
        <v>0</v>
      </c>
      <c r="AJ606" s="47">
        <f t="shared" ca="1" si="208"/>
        <v>0</v>
      </c>
      <c r="AK606">
        <f t="shared" ca="1" si="209"/>
        <v>0</v>
      </c>
    </row>
    <row r="607" spans="2:37" x14ac:dyDescent="0.2">
      <c r="B607">
        <f ca="1">Inputs!B12+(Inputs!D12-Inputs!B12)*BETAINV(RAND(),Model!H6,Model!I6)</f>
        <v>1.4261881385556179</v>
      </c>
      <c r="C607">
        <f ca="1">Inputs!E12+(Inputs!G12-Inputs!E12)*BETAINV(RAND(),Model!J6,Model!K6)</f>
        <v>0.37914886087229827</v>
      </c>
      <c r="D607">
        <f ca="1">(Inputs!H12+(Inputs!J12-Inputs!H12)*BETAINV(RAND(),Model!L6,Model!M6))*Inputs!$C$6</f>
        <v>48461.457706073612</v>
      </c>
      <c r="E607">
        <f t="shared" ca="1" si="189"/>
        <v>0.54073760812294602</v>
      </c>
      <c r="F607">
        <f t="shared" ca="1" si="190"/>
        <v>0.6029395444975979</v>
      </c>
      <c r="G607">
        <f t="shared" ca="1" si="191"/>
        <v>1</v>
      </c>
      <c r="H607" s="47">
        <f t="shared" ca="1" si="192"/>
        <v>48461.457706073612</v>
      </c>
      <c r="I607">
        <f ca="1">Inputs!B13+(Inputs!D13-Inputs!B13)*BETAINV(RAND(),Model!H7,Model!I7)</f>
        <v>2.1932622343448633</v>
      </c>
      <c r="J607">
        <f ca="1">Inputs!E13+(Inputs!G13-Inputs!E13)*BETAINV(RAND(),Model!J7,Model!K7)</f>
        <v>0.22136461311003508</v>
      </c>
      <c r="K607">
        <f ca="1">(Inputs!H13+(Inputs!J13-Inputs!H13)*BETAINV(RAND(),Model!L7,Model!M7))*Inputs!$C$6</f>
        <v>19806.314863406464</v>
      </c>
      <c r="L607">
        <f t="shared" ca="1" si="193"/>
        <v>0.48551064595460175</v>
      </c>
      <c r="M607">
        <f t="shared" ca="1" si="194"/>
        <v>3.7804281928719652E-2</v>
      </c>
      <c r="N607">
        <f t="shared" ca="1" si="195"/>
        <v>0</v>
      </c>
      <c r="O607" s="47">
        <f t="shared" ca="1" si="196"/>
        <v>0</v>
      </c>
      <c r="P607">
        <f ca="1">Inputs!B14+(Inputs!D14-Inputs!B14)*BETAINV(RAND(),Model!H8,Model!I8)</f>
        <v>0.14872016949474215</v>
      </c>
      <c r="Q607">
        <f ca="1">Inputs!E14+(Inputs!G14-Inputs!E14)*BETAINV(RAND(),Model!J8,Model!K8)</f>
        <v>0.45338823325361532</v>
      </c>
      <c r="R607">
        <f ca="1">(Inputs!H14+(Inputs!J14-Inputs!H14)*BETAINV(RAND(),Model!L8,Model!M8))*Inputs!$C$6</f>
        <v>450802.9886313852</v>
      </c>
      <c r="S607">
        <f t="shared" ca="1" si="197"/>
        <v>6.7427974896399359E-2</v>
      </c>
      <c r="T607">
        <f t="shared" ca="1" si="198"/>
        <v>0.44595556332264119</v>
      </c>
      <c r="U607">
        <f t="shared" ca="1" si="199"/>
        <v>0</v>
      </c>
      <c r="V607" s="47">
        <f t="shared" ca="1" si="200"/>
        <v>0</v>
      </c>
      <c r="W607">
        <f ca="1">Inputs!B15+(Inputs!D15-Inputs!B15)*BETAINV(RAND(),Model!H9,Model!I9)</f>
        <v>1.3163519193361544</v>
      </c>
      <c r="X607">
        <f ca="1">Inputs!E15+(Inputs!G15-Inputs!E15)*BETAINV(RAND(),Model!J9,Model!K9)</f>
        <v>0.52050767333047232</v>
      </c>
      <c r="Y607">
        <f ca="1">(Inputs!H15+(Inputs!J15-Inputs!H15)*BETAINV(RAND(),Model!L9,Model!M9))*Inputs!$C$6</f>
        <v>34501.294688834809</v>
      </c>
      <c r="Z607">
        <f t="shared" ca="1" si="201"/>
        <v>0.6851712748177633</v>
      </c>
      <c r="AA607">
        <f t="shared" ca="1" si="202"/>
        <v>0.7764757814187615</v>
      </c>
      <c r="AB607">
        <f t="shared" ca="1" si="203"/>
        <v>1</v>
      </c>
      <c r="AC607" s="47">
        <f t="shared" ca="1" si="204"/>
        <v>34501.294688834809</v>
      </c>
      <c r="AD607">
        <f ca="1">Inputs!B16+(Inputs!D16-Inputs!B16)*BETAINV(RAND(),Model!H10,Model!I10)</f>
        <v>0.76376097444193713</v>
      </c>
      <c r="AE607">
        <f ca="1">Inputs!E16+(Inputs!G16-Inputs!E16)*BETAINV(RAND(),Model!J10,Model!K10)</f>
        <v>0.63212249656217445</v>
      </c>
      <c r="AF607">
        <f ca="1">(Inputs!H16+(Inputs!J16-Inputs!H16)*BETAINV(RAND(),Model!L10,Model!M10))*Inputs!$C$6</f>
        <v>46237.106252403239</v>
      </c>
      <c r="AG607">
        <f t="shared" ca="1" si="205"/>
        <v>0.48279049394099643</v>
      </c>
      <c r="AH607">
        <f t="shared" ca="1" si="206"/>
        <v>0.24892419933686782</v>
      </c>
      <c r="AI607">
        <f t="shared" ca="1" si="207"/>
        <v>0</v>
      </c>
      <c r="AJ607" s="47">
        <f t="shared" ca="1" si="208"/>
        <v>0</v>
      </c>
      <c r="AK607">
        <f t="shared" ca="1" si="209"/>
        <v>82962.752394908428</v>
      </c>
    </row>
    <row r="608" spans="2:37" x14ac:dyDescent="0.2">
      <c r="B608">
        <f ca="1">Inputs!B12+(Inputs!D12-Inputs!B12)*BETAINV(RAND(),Model!H6,Model!I6)</f>
        <v>4.4268123332344924</v>
      </c>
      <c r="C608">
        <f ca="1">Inputs!E12+(Inputs!G12-Inputs!E12)*BETAINV(RAND(),Model!J6,Model!K6)</f>
        <v>0.21199959109284172</v>
      </c>
      <c r="D608">
        <f ca="1">(Inputs!H12+(Inputs!J12-Inputs!H12)*BETAINV(RAND(),Model!L6,Model!M6))*Inputs!$C$6</f>
        <v>34014.521481663032</v>
      </c>
      <c r="E608">
        <f t="shared" ca="1" si="189"/>
        <v>0.93848240449046094</v>
      </c>
      <c r="F608">
        <f t="shared" ca="1" si="190"/>
        <v>0.16799698420675124</v>
      </c>
      <c r="G608">
        <f t="shared" ca="1" si="191"/>
        <v>0</v>
      </c>
      <c r="H608" s="47">
        <f t="shared" ca="1" si="192"/>
        <v>0</v>
      </c>
      <c r="I608">
        <f ca="1">Inputs!B13+(Inputs!D13-Inputs!B13)*BETAINV(RAND(),Model!H7,Model!I7)</f>
        <v>2.5470641760239534</v>
      </c>
      <c r="J608">
        <f ca="1">Inputs!E13+(Inputs!G13-Inputs!E13)*BETAINV(RAND(),Model!J7,Model!K7)</f>
        <v>0.42156556762135067</v>
      </c>
      <c r="K608">
        <f ca="1">(Inputs!H13+(Inputs!J13-Inputs!H13)*BETAINV(RAND(),Model!L7,Model!M7))*Inputs!$C$6</f>
        <v>29488.564408022048</v>
      </c>
      <c r="L608">
        <f t="shared" ca="1" si="193"/>
        <v>1.0737545551335457</v>
      </c>
      <c r="M608">
        <f t="shared" ca="1" si="194"/>
        <v>0.40161393187027838</v>
      </c>
      <c r="N608">
        <f t="shared" ca="1" si="195"/>
        <v>1</v>
      </c>
      <c r="O608" s="47">
        <f t="shared" ca="1" si="196"/>
        <v>29488.564408022048</v>
      </c>
      <c r="P608">
        <f ca="1">Inputs!B14+(Inputs!D14-Inputs!B14)*BETAINV(RAND(),Model!H8,Model!I8)</f>
        <v>0.57700235697423585</v>
      </c>
      <c r="Q608">
        <f ca="1">Inputs!E14+(Inputs!G14-Inputs!E14)*BETAINV(RAND(),Model!J8,Model!K8)</f>
        <v>0.62154733252232097</v>
      </c>
      <c r="R608">
        <f ca="1">(Inputs!H14+(Inputs!J14-Inputs!H14)*BETAINV(RAND(),Model!L8,Model!M8))*Inputs!$C$6</f>
        <v>246062.03642317082</v>
      </c>
      <c r="S608">
        <f t="shared" ca="1" si="197"/>
        <v>0.35863427583642832</v>
      </c>
      <c r="T608">
        <f t="shared" ca="1" si="198"/>
        <v>0.36388744793418037</v>
      </c>
      <c r="U608">
        <f t="shared" ca="1" si="199"/>
        <v>0</v>
      </c>
      <c r="V608" s="47">
        <f t="shared" ca="1" si="200"/>
        <v>0</v>
      </c>
      <c r="W608">
        <f ca="1">Inputs!B15+(Inputs!D15-Inputs!B15)*BETAINV(RAND(),Model!H9,Model!I9)</f>
        <v>0.9874777349677617</v>
      </c>
      <c r="X608">
        <f ca="1">Inputs!E15+(Inputs!G15-Inputs!E15)*BETAINV(RAND(),Model!J9,Model!K9)</f>
        <v>0.35220226361703671</v>
      </c>
      <c r="Y608">
        <f ca="1">(Inputs!H15+(Inputs!J15-Inputs!H15)*BETAINV(RAND(),Model!L9,Model!M9))*Inputs!$C$6</f>
        <v>17951.330237923787</v>
      </c>
      <c r="Z608">
        <f t="shared" ca="1" si="201"/>
        <v>0.34779189352706991</v>
      </c>
      <c r="AA608">
        <f t="shared" ca="1" si="202"/>
        <v>0.18495247188103381</v>
      </c>
      <c r="AB608">
        <f t="shared" ca="1" si="203"/>
        <v>0</v>
      </c>
      <c r="AC608" s="47">
        <f t="shared" ca="1" si="204"/>
        <v>0</v>
      </c>
      <c r="AD608">
        <f ca="1">Inputs!B16+(Inputs!D16-Inputs!B16)*BETAINV(RAND(),Model!H10,Model!I10)</f>
        <v>1.0038975174275031</v>
      </c>
      <c r="AE608">
        <f ca="1">Inputs!E16+(Inputs!G16-Inputs!E16)*BETAINV(RAND(),Model!J10,Model!K10)</f>
        <v>0.66358742164369722</v>
      </c>
      <c r="AF608">
        <f ca="1">(Inputs!H16+(Inputs!J16-Inputs!H16)*BETAINV(RAND(),Model!L10,Model!M10))*Inputs!$C$6</f>
        <v>41638.669674331235</v>
      </c>
      <c r="AG608">
        <f t="shared" ca="1" si="205"/>
        <v>0.66617376518422533</v>
      </c>
      <c r="AH608">
        <f t="shared" ca="1" si="206"/>
        <v>0.30239495338236544</v>
      </c>
      <c r="AI608">
        <f t="shared" ca="1" si="207"/>
        <v>0</v>
      </c>
      <c r="AJ608" s="47">
        <f t="shared" ca="1" si="208"/>
        <v>0</v>
      </c>
      <c r="AK608">
        <f t="shared" ca="1" si="209"/>
        <v>29488.564408022048</v>
      </c>
    </row>
    <row r="609" spans="2:37" x14ac:dyDescent="0.2">
      <c r="B609">
        <f ca="1">Inputs!B12+(Inputs!D12-Inputs!B12)*BETAINV(RAND(),Model!H6,Model!I6)</f>
        <v>3.4208133841018</v>
      </c>
      <c r="C609">
        <f ca="1">Inputs!E12+(Inputs!G12-Inputs!E12)*BETAINV(RAND(),Model!J6,Model!K6)</f>
        <v>0.34009227440644407</v>
      </c>
      <c r="D609">
        <f ca="1">(Inputs!H12+(Inputs!J12-Inputs!H12)*BETAINV(RAND(),Model!L6,Model!M6))*Inputs!$C$6</f>
        <v>24208.245432037602</v>
      </c>
      <c r="E609">
        <f t="shared" ca="1" si="189"/>
        <v>1.163392204119186</v>
      </c>
      <c r="F609">
        <f t="shared" ca="1" si="190"/>
        <v>0.73326140385851191</v>
      </c>
      <c r="G609">
        <f t="shared" ca="1" si="191"/>
        <v>2</v>
      </c>
      <c r="H609" s="47">
        <f t="shared" ca="1" si="192"/>
        <v>48416.490864075204</v>
      </c>
      <c r="I609">
        <f ca="1">Inputs!B13+(Inputs!D13-Inputs!B13)*BETAINV(RAND(),Model!H7,Model!I7)</f>
        <v>1.2991787942060211</v>
      </c>
      <c r="J609">
        <f ca="1">Inputs!E13+(Inputs!G13-Inputs!E13)*BETAINV(RAND(),Model!J7,Model!K7)</f>
        <v>0.21050696529471466</v>
      </c>
      <c r="K609">
        <f ca="1">(Inputs!H13+(Inputs!J13-Inputs!H13)*BETAINV(RAND(),Model!L7,Model!M7))*Inputs!$C$6</f>
        <v>48970.964955029733</v>
      </c>
      <c r="L609">
        <f t="shared" ca="1" si="193"/>
        <v>0.27348618534355612</v>
      </c>
      <c r="M609">
        <f t="shared" ca="1" si="194"/>
        <v>0.10070765049399666</v>
      </c>
      <c r="N609">
        <f t="shared" ca="1" si="195"/>
        <v>0</v>
      </c>
      <c r="O609" s="47">
        <f t="shared" ca="1" si="196"/>
        <v>0</v>
      </c>
      <c r="P609">
        <f ca="1">Inputs!B14+(Inputs!D14-Inputs!B14)*BETAINV(RAND(),Model!H8,Model!I8)</f>
        <v>0.34257191795995262</v>
      </c>
      <c r="Q609">
        <f ca="1">Inputs!E14+(Inputs!G14-Inputs!E14)*BETAINV(RAND(),Model!J8,Model!K8)</f>
        <v>0.50663564943723682</v>
      </c>
      <c r="R609">
        <f ca="1">(Inputs!H14+(Inputs!J14-Inputs!H14)*BETAINV(RAND(),Model!L8,Model!M8))*Inputs!$C$6</f>
        <v>467907.78710495605</v>
      </c>
      <c r="S609">
        <f t="shared" ca="1" si="197"/>
        <v>0.17355914613460041</v>
      </c>
      <c r="T609">
        <f t="shared" ca="1" si="198"/>
        <v>0.83142868378239787</v>
      </c>
      <c r="U609">
        <f t="shared" ca="1" si="199"/>
        <v>0</v>
      </c>
      <c r="V609" s="47">
        <f t="shared" ca="1" si="200"/>
        <v>0</v>
      </c>
      <c r="W609">
        <f ca="1">Inputs!B15+(Inputs!D15-Inputs!B15)*BETAINV(RAND(),Model!H9,Model!I9)</f>
        <v>1.0414525520028386</v>
      </c>
      <c r="X609">
        <f ca="1">Inputs!E15+(Inputs!G15-Inputs!E15)*BETAINV(RAND(),Model!J9,Model!K9)</f>
        <v>0.40513964459360757</v>
      </c>
      <c r="Y609">
        <f ca="1">(Inputs!H15+(Inputs!J15-Inputs!H15)*BETAINV(RAND(),Model!L9,Model!M9))*Inputs!$C$6</f>
        <v>26537.333448947928</v>
      </c>
      <c r="Z609">
        <f t="shared" ca="1" si="201"/>
        <v>0.42193371677953562</v>
      </c>
      <c r="AA609">
        <f t="shared" ca="1" si="202"/>
        <v>0.71269294801649097</v>
      </c>
      <c r="AB609">
        <f t="shared" ca="1" si="203"/>
        <v>1</v>
      </c>
      <c r="AC609" s="47">
        <f t="shared" ca="1" si="204"/>
        <v>26537.333448947928</v>
      </c>
      <c r="AD609">
        <f ca="1">Inputs!B16+(Inputs!D16-Inputs!B16)*BETAINV(RAND(),Model!H10,Model!I10)</f>
        <v>0.47607235496169414</v>
      </c>
      <c r="AE609">
        <f ca="1">Inputs!E16+(Inputs!G16-Inputs!E16)*BETAINV(RAND(),Model!J10,Model!K10)</f>
        <v>0.59270716233347942</v>
      </c>
      <c r="AF609">
        <f ca="1">(Inputs!H16+(Inputs!J16-Inputs!H16)*BETAINV(RAND(),Model!L10,Model!M10))*Inputs!$C$6</f>
        <v>56976.913419931399</v>
      </c>
      <c r="AG609">
        <f t="shared" ca="1" si="205"/>
        <v>0.2821714945747627</v>
      </c>
      <c r="AH609">
        <f t="shared" ca="1" si="206"/>
        <v>0.20472151282543616</v>
      </c>
      <c r="AI609">
        <f t="shared" ca="1" si="207"/>
        <v>0</v>
      </c>
      <c r="AJ609" s="47">
        <f t="shared" ca="1" si="208"/>
        <v>0</v>
      </c>
      <c r="AK609">
        <f t="shared" ca="1" si="209"/>
        <v>74953.824313023128</v>
      </c>
    </row>
    <row r="610" spans="2:37" x14ac:dyDescent="0.2">
      <c r="B610">
        <f ca="1">Inputs!B12+(Inputs!D12-Inputs!B12)*BETAINV(RAND(),Model!H6,Model!I6)</f>
        <v>4.2477259896218511</v>
      </c>
      <c r="C610">
        <f ca="1">Inputs!E12+(Inputs!G12-Inputs!E12)*BETAINV(RAND(),Model!J6,Model!K6)</f>
        <v>0.46916207083564931</v>
      </c>
      <c r="D610">
        <f ca="1">(Inputs!H12+(Inputs!J12-Inputs!H12)*BETAINV(RAND(),Model!L6,Model!M6))*Inputs!$C$6</f>
        <v>29412.545983892254</v>
      </c>
      <c r="E610">
        <f t="shared" ca="1" si="189"/>
        <v>1.9928719216333954</v>
      </c>
      <c r="F610">
        <f t="shared" ca="1" si="190"/>
        <v>0.86214246362364277</v>
      </c>
      <c r="G610">
        <f t="shared" ca="1" si="191"/>
        <v>4</v>
      </c>
      <c r="H610" s="47">
        <f t="shared" ca="1" si="192"/>
        <v>117650.18393556902</v>
      </c>
      <c r="I610">
        <f ca="1">Inputs!B13+(Inputs!D13-Inputs!B13)*BETAINV(RAND(),Model!H7,Model!I7)</f>
        <v>2.0620695911907498</v>
      </c>
      <c r="J610">
        <f ca="1">Inputs!E13+(Inputs!G13-Inputs!E13)*BETAINV(RAND(),Model!J7,Model!K7)</f>
        <v>0.13919205752677172</v>
      </c>
      <c r="K610">
        <f ca="1">(Inputs!H13+(Inputs!J13-Inputs!H13)*BETAINV(RAND(),Model!L7,Model!M7))*Inputs!$C$6</f>
        <v>45756.771104081519</v>
      </c>
      <c r="L610">
        <f t="shared" ca="1" si="193"/>
        <v>0.28702370916122949</v>
      </c>
      <c r="M610">
        <f t="shared" ca="1" si="194"/>
        <v>0.1820036034274134</v>
      </c>
      <c r="N610">
        <f t="shared" ca="1" si="195"/>
        <v>0</v>
      </c>
      <c r="O610" s="47">
        <f t="shared" ca="1" si="196"/>
        <v>0</v>
      </c>
      <c r="P610">
        <f ca="1">Inputs!B14+(Inputs!D14-Inputs!B14)*BETAINV(RAND(),Model!H8,Model!I8)</f>
        <v>0.14238613111470977</v>
      </c>
      <c r="Q610">
        <f ca="1">Inputs!E14+(Inputs!G14-Inputs!E14)*BETAINV(RAND(),Model!J8,Model!K8)</f>
        <v>0.63777225833590701</v>
      </c>
      <c r="R610">
        <f ca="1">(Inputs!H14+(Inputs!J14-Inputs!H14)*BETAINV(RAND(),Model!L8,Model!M8))*Inputs!$C$6</f>
        <v>396158.53081540012</v>
      </c>
      <c r="S610">
        <f t="shared" ca="1" si="197"/>
        <v>9.0809924396741001E-2</v>
      </c>
      <c r="T610">
        <f t="shared" ca="1" si="198"/>
        <v>0.86442585348800971</v>
      </c>
      <c r="U610">
        <f t="shared" ca="1" si="199"/>
        <v>0</v>
      </c>
      <c r="V610" s="47">
        <f t="shared" ca="1" si="200"/>
        <v>0</v>
      </c>
      <c r="W610">
        <f ca="1">Inputs!B15+(Inputs!D15-Inputs!B15)*BETAINV(RAND(),Model!H9,Model!I9)</f>
        <v>1.1598954440291822</v>
      </c>
      <c r="X610">
        <f ca="1">Inputs!E15+(Inputs!G15-Inputs!E15)*BETAINV(RAND(),Model!J9,Model!K9)</f>
        <v>0.3937921100741647</v>
      </c>
      <c r="Y610">
        <f ca="1">(Inputs!H15+(Inputs!J15-Inputs!H15)*BETAINV(RAND(),Model!L9,Model!M9))*Inputs!$C$6</f>
        <v>40603.282448491882</v>
      </c>
      <c r="Z610">
        <f t="shared" ca="1" si="201"/>
        <v>0.45675767436966186</v>
      </c>
      <c r="AA610">
        <f t="shared" ca="1" si="202"/>
        <v>0.10837262180257168</v>
      </c>
      <c r="AB610">
        <f t="shared" ca="1" si="203"/>
        <v>0</v>
      </c>
      <c r="AC610" s="47">
        <f t="shared" ca="1" si="204"/>
        <v>0</v>
      </c>
      <c r="AD610">
        <f ca="1">Inputs!B16+(Inputs!D16-Inputs!B16)*BETAINV(RAND(),Model!H10,Model!I10)</f>
        <v>0.30838961476124321</v>
      </c>
      <c r="AE610">
        <f ca="1">Inputs!E16+(Inputs!G16-Inputs!E16)*BETAINV(RAND(),Model!J10,Model!K10)</f>
        <v>0.61259752072828411</v>
      </c>
      <c r="AF610">
        <f ca="1">(Inputs!H16+(Inputs!J16-Inputs!H16)*BETAINV(RAND(),Model!L10,Model!M10))*Inputs!$C$6</f>
        <v>69449.285462274667</v>
      </c>
      <c r="AG610">
        <f t="shared" ca="1" si="205"/>
        <v>0.18891871342108824</v>
      </c>
      <c r="AH610">
        <f t="shared" ca="1" si="206"/>
        <v>0.72237136527582113</v>
      </c>
      <c r="AI610">
        <f t="shared" ca="1" si="207"/>
        <v>0</v>
      </c>
      <c r="AJ610" s="47">
        <f t="shared" ca="1" si="208"/>
        <v>0</v>
      </c>
      <c r="AK610">
        <f t="shared" ca="1" si="209"/>
        <v>117650.18393556902</v>
      </c>
    </row>
    <row r="611" spans="2:37" x14ac:dyDescent="0.2">
      <c r="B611">
        <f ca="1">Inputs!B12+(Inputs!D12-Inputs!B12)*BETAINV(RAND(),Model!H6,Model!I6)</f>
        <v>4.9274982486448025</v>
      </c>
      <c r="C611">
        <f ca="1">Inputs!E12+(Inputs!G12-Inputs!E12)*BETAINV(RAND(),Model!J6,Model!K6)</f>
        <v>0.38217594288483947</v>
      </c>
      <c r="D611">
        <f ca="1">(Inputs!H12+(Inputs!J12-Inputs!H12)*BETAINV(RAND(),Model!L6,Model!M6))*Inputs!$C$6</f>
        <v>10482.294109202592</v>
      </c>
      <c r="E611">
        <f t="shared" ca="1" si="189"/>
        <v>1.8831712892392225</v>
      </c>
      <c r="F611">
        <f t="shared" ca="1" si="190"/>
        <v>0.5060789854663178</v>
      </c>
      <c r="G611">
        <f t="shared" ca="1" si="191"/>
        <v>2</v>
      </c>
      <c r="H611" s="47">
        <f t="shared" ca="1" si="192"/>
        <v>20964.588218405184</v>
      </c>
      <c r="I611">
        <f ca="1">Inputs!B13+(Inputs!D13-Inputs!B13)*BETAINV(RAND(),Model!H7,Model!I7)</f>
        <v>0.97724384974231471</v>
      </c>
      <c r="J611">
        <f ca="1">Inputs!E13+(Inputs!G13-Inputs!E13)*BETAINV(RAND(),Model!J7,Model!K7)</f>
        <v>0.34511712148908169</v>
      </c>
      <c r="K611">
        <f ca="1">(Inputs!H13+(Inputs!J13-Inputs!H13)*BETAINV(RAND(),Model!L7,Model!M7))*Inputs!$C$6</f>
        <v>41532.438651226228</v>
      </c>
      <c r="L611">
        <f t="shared" ca="1" si="193"/>
        <v>0.33726358441597631</v>
      </c>
      <c r="M611">
        <f t="shared" ca="1" si="194"/>
        <v>0.23557716483309732</v>
      </c>
      <c r="N611">
        <f t="shared" ca="1" si="195"/>
        <v>0</v>
      </c>
      <c r="O611" s="47">
        <f t="shared" ca="1" si="196"/>
        <v>0</v>
      </c>
      <c r="P611">
        <f ca="1">Inputs!B14+(Inputs!D14-Inputs!B14)*BETAINV(RAND(),Model!H8,Model!I8)</f>
        <v>0.43864316655439339</v>
      </c>
      <c r="Q611">
        <f ca="1">Inputs!E14+(Inputs!G14-Inputs!E14)*BETAINV(RAND(),Model!J8,Model!K8)</f>
        <v>0.56745082847928763</v>
      </c>
      <c r="R611">
        <f ca="1">(Inputs!H14+(Inputs!J14-Inputs!H14)*BETAINV(RAND(),Model!L8,Model!M8))*Inputs!$C$6</f>
        <v>183639.26507436126</v>
      </c>
      <c r="S611">
        <f t="shared" ca="1" si="197"/>
        <v>0.24890842826806869</v>
      </c>
      <c r="T611">
        <f t="shared" ca="1" si="198"/>
        <v>0.54281882053500319</v>
      </c>
      <c r="U611">
        <f t="shared" ca="1" si="199"/>
        <v>0</v>
      </c>
      <c r="V611" s="47">
        <f t="shared" ca="1" si="200"/>
        <v>0</v>
      </c>
      <c r="W611">
        <f ca="1">Inputs!B15+(Inputs!D15-Inputs!B15)*BETAINV(RAND(),Model!H9,Model!I9)</f>
        <v>1.9267168674979747</v>
      </c>
      <c r="X611">
        <f ca="1">Inputs!E15+(Inputs!G15-Inputs!E15)*BETAINV(RAND(),Model!J9,Model!K9)</f>
        <v>0.3923631572417533</v>
      </c>
      <c r="Y611">
        <f ca="1">(Inputs!H15+(Inputs!J15-Inputs!H15)*BETAINV(RAND(),Model!L9,Model!M9))*Inputs!$C$6</f>
        <v>43742.804255112183</v>
      </c>
      <c r="Z611">
        <f t="shared" ca="1" si="201"/>
        <v>0.75597271324244619</v>
      </c>
      <c r="AA611">
        <f t="shared" ca="1" si="202"/>
        <v>0.42076893854494435</v>
      </c>
      <c r="AB611">
        <f t="shared" ca="1" si="203"/>
        <v>0</v>
      </c>
      <c r="AC611" s="47">
        <f t="shared" ca="1" si="204"/>
        <v>0</v>
      </c>
      <c r="AD611">
        <f ca="1">Inputs!B16+(Inputs!D16-Inputs!B16)*BETAINV(RAND(),Model!H10,Model!I10)</f>
        <v>0.49435707744661272</v>
      </c>
      <c r="AE611">
        <f ca="1">Inputs!E16+(Inputs!G16-Inputs!E16)*BETAINV(RAND(),Model!J10,Model!K10)</f>
        <v>0.77064083018555096</v>
      </c>
      <c r="AF611">
        <f ca="1">(Inputs!H16+(Inputs!J16-Inputs!H16)*BETAINV(RAND(),Model!L10,Model!M10))*Inputs!$C$6</f>
        <v>151885.46936148196</v>
      </c>
      <c r="AG611">
        <f t="shared" ca="1" si="205"/>
        <v>0.38097174857156035</v>
      </c>
      <c r="AH611">
        <f t="shared" ca="1" si="206"/>
        <v>2.6146612314700723E-2</v>
      </c>
      <c r="AI611">
        <f t="shared" ca="1" si="207"/>
        <v>0</v>
      </c>
      <c r="AJ611" s="47">
        <f t="shared" ca="1" si="208"/>
        <v>0</v>
      </c>
      <c r="AK611">
        <f t="shared" ca="1" si="209"/>
        <v>20964.588218405184</v>
      </c>
    </row>
    <row r="612" spans="2:37" x14ac:dyDescent="0.2">
      <c r="B612">
        <f ca="1">Inputs!B12+(Inputs!D12-Inputs!B12)*BETAINV(RAND(),Model!H6,Model!I6)</f>
        <v>2.2296513367330961</v>
      </c>
      <c r="C612">
        <f ca="1">Inputs!E12+(Inputs!G12-Inputs!E12)*BETAINV(RAND(),Model!J6,Model!K6)</f>
        <v>0.26519519160308891</v>
      </c>
      <c r="D612">
        <f ca="1">(Inputs!H12+(Inputs!J12-Inputs!H12)*BETAINV(RAND(),Model!L6,Model!M6))*Inputs!$C$6</f>
        <v>40382.581314362425</v>
      </c>
      <c r="E612">
        <f t="shared" ca="1" si="189"/>
        <v>0.59129281345301676</v>
      </c>
      <c r="F612">
        <f t="shared" ca="1" si="190"/>
        <v>0.39874345512495735</v>
      </c>
      <c r="G612">
        <f t="shared" ca="1" si="191"/>
        <v>0</v>
      </c>
      <c r="H612" s="47">
        <f t="shared" ca="1" si="192"/>
        <v>0</v>
      </c>
      <c r="I612">
        <f ca="1">Inputs!B13+(Inputs!D13-Inputs!B13)*BETAINV(RAND(),Model!H7,Model!I7)</f>
        <v>1.3548400128103966</v>
      </c>
      <c r="J612">
        <f ca="1">Inputs!E13+(Inputs!G13-Inputs!E13)*BETAINV(RAND(),Model!J7,Model!K7)</f>
        <v>0.33338828850438978</v>
      </c>
      <c r="K612">
        <f ca="1">(Inputs!H13+(Inputs!J13-Inputs!H13)*BETAINV(RAND(),Model!L7,Model!M7))*Inputs!$C$6</f>
        <v>69775.100704985118</v>
      </c>
      <c r="L612">
        <f t="shared" ca="1" si="193"/>
        <v>0.45168779306812362</v>
      </c>
      <c r="M612">
        <f t="shared" ca="1" si="194"/>
        <v>1.2727102174593052E-2</v>
      </c>
      <c r="N612">
        <f t="shared" ca="1" si="195"/>
        <v>0</v>
      </c>
      <c r="O612" s="47">
        <f t="shared" ca="1" si="196"/>
        <v>0</v>
      </c>
      <c r="P612">
        <f ca="1">Inputs!B14+(Inputs!D14-Inputs!B14)*BETAINV(RAND(),Model!H8,Model!I8)</f>
        <v>0.40729728340195537</v>
      </c>
      <c r="Q612">
        <f ca="1">Inputs!E14+(Inputs!G14-Inputs!E14)*BETAINV(RAND(),Model!J8,Model!K8)</f>
        <v>0.53866639430430885</v>
      </c>
      <c r="R612">
        <f ca="1">(Inputs!H14+(Inputs!J14-Inputs!H14)*BETAINV(RAND(),Model!L8,Model!M8))*Inputs!$C$6</f>
        <v>307494.71839523368</v>
      </c>
      <c r="S612">
        <f t="shared" ca="1" si="197"/>
        <v>0.21939735906007152</v>
      </c>
      <c r="T612">
        <f t="shared" ca="1" si="198"/>
        <v>0.93355686383154246</v>
      </c>
      <c r="U612">
        <f t="shared" ca="1" si="199"/>
        <v>1</v>
      </c>
      <c r="V612" s="47">
        <f t="shared" ca="1" si="200"/>
        <v>307494.71839523368</v>
      </c>
      <c r="W612">
        <f ca="1">Inputs!B15+(Inputs!D15-Inputs!B15)*BETAINV(RAND(),Model!H9,Model!I9)</f>
        <v>2.1404921871203402</v>
      </c>
      <c r="X612">
        <f ca="1">Inputs!E15+(Inputs!G15-Inputs!E15)*BETAINV(RAND(),Model!J9,Model!K9)</f>
        <v>0.26715104685856578</v>
      </c>
      <c r="Y612">
        <f ca="1">(Inputs!H15+(Inputs!J15-Inputs!H15)*BETAINV(RAND(),Model!L9,Model!M9))*Inputs!$C$6</f>
        <v>21154.883336311323</v>
      </c>
      <c r="Z612">
        <f t="shared" ca="1" si="201"/>
        <v>0.57183472858177997</v>
      </c>
      <c r="AA612">
        <f t="shared" ca="1" si="202"/>
        <v>0.62281479043562538</v>
      </c>
      <c r="AB612">
        <f t="shared" ca="1" si="203"/>
        <v>1</v>
      </c>
      <c r="AC612" s="47">
        <f t="shared" ca="1" si="204"/>
        <v>21154.883336311323</v>
      </c>
      <c r="AD612">
        <f ca="1">Inputs!B16+(Inputs!D16-Inputs!B16)*BETAINV(RAND(),Model!H10,Model!I10)</f>
        <v>0.54144100437475284</v>
      </c>
      <c r="AE612">
        <f ca="1">Inputs!E16+(Inputs!G16-Inputs!E16)*BETAINV(RAND(),Model!J10,Model!K10)</f>
        <v>0.54190024900982736</v>
      </c>
      <c r="AF612">
        <f ca="1">(Inputs!H16+(Inputs!J16-Inputs!H16)*BETAINV(RAND(),Model!L10,Model!M10))*Inputs!$C$6</f>
        <v>154265.74769694803</v>
      </c>
      <c r="AG612">
        <f t="shared" ca="1" si="205"/>
        <v>0.2934070150948096</v>
      </c>
      <c r="AH612">
        <f t="shared" ca="1" si="206"/>
        <v>0.44622104754006131</v>
      </c>
      <c r="AI612">
        <f t="shared" ca="1" si="207"/>
        <v>0</v>
      </c>
      <c r="AJ612" s="47">
        <f t="shared" ca="1" si="208"/>
        <v>0</v>
      </c>
      <c r="AK612">
        <f t="shared" ca="1" si="209"/>
        <v>328649.601731545</v>
      </c>
    </row>
    <row r="613" spans="2:37" x14ac:dyDescent="0.2">
      <c r="B613">
        <f ca="1">Inputs!B12+(Inputs!D12-Inputs!B12)*BETAINV(RAND(),Model!H6,Model!I6)</f>
        <v>2.3927223987200001</v>
      </c>
      <c r="C613">
        <f ca="1">Inputs!E12+(Inputs!G12-Inputs!E12)*BETAINV(RAND(),Model!J6,Model!K6)</f>
        <v>0.37611987554045229</v>
      </c>
      <c r="D613">
        <f ca="1">(Inputs!H12+(Inputs!J12-Inputs!H12)*BETAINV(RAND(),Model!L6,Model!M6))*Inputs!$C$6</f>
        <v>21512.221367333401</v>
      </c>
      <c r="E613">
        <f t="shared" ca="1" si="189"/>
        <v>0.89995045080941893</v>
      </c>
      <c r="F613">
        <f t="shared" ca="1" si="190"/>
        <v>0.22832184873766193</v>
      </c>
      <c r="G613">
        <f t="shared" ca="1" si="191"/>
        <v>0</v>
      </c>
      <c r="H613" s="47">
        <f t="shared" ca="1" si="192"/>
        <v>0</v>
      </c>
      <c r="I613">
        <f ca="1">Inputs!B13+(Inputs!D13-Inputs!B13)*BETAINV(RAND(),Model!H7,Model!I7)</f>
        <v>0.98424035366460361</v>
      </c>
      <c r="J613">
        <f ca="1">Inputs!E13+(Inputs!G13-Inputs!E13)*BETAINV(RAND(),Model!J7,Model!K7)</f>
        <v>0.30471895048677655</v>
      </c>
      <c r="K613">
        <f ca="1">(Inputs!H13+(Inputs!J13-Inputs!H13)*BETAINV(RAND(),Model!L7,Model!M7))*Inputs!$C$6</f>
        <v>17522.92692232658</v>
      </c>
      <c r="L613">
        <f t="shared" ca="1" si="193"/>
        <v>0.29991668759541179</v>
      </c>
      <c r="M613">
        <f t="shared" ca="1" si="194"/>
        <v>0.56552425406481699</v>
      </c>
      <c r="N613">
        <f t="shared" ca="1" si="195"/>
        <v>0</v>
      </c>
      <c r="O613" s="47">
        <f t="shared" ca="1" si="196"/>
        <v>0</v>
      </c>
      <c r="P613">
        <f ca="1">Inputs!B14+(Inputs!D14-Inputs!B14)*BETAINV(RAND(),Model!H8,Model!I8)</f>
        <v>0.11659531826975938</v>
      </c>
      <c r="Q613">
        <f ca="1">Inputs!E14+(Inputs!G14-Inputs!E14)*BETAINV(RAND(),Model!J8,Model!K8)</f>
        <v>0.6583185384437561</v>
      </c>
      <c r="R613">
        <f ca="1">(Inputs!H14+(Inputs!J14-Inputs!H14)*BETAINV(RAND(),Model!L8,Model!M8))*Inputs!$C$6</f>
        <v>329070.41892275598</v>
      </c>
      <c r="S613">
        <f t="shared" ca="1" si="197"/>
        <v>7.6756859512732575E-2</v>
      </c>
      <c r="T613">
        <f t="shared" ca="1" si="198"/>
        <v>0.40549636847913118</v>
      </c>
      <c r="U613">
        <f t="shared" ca="1" si="199"/>
        <v>0</v>
      </c>
      <c r="V613" s="47">
        <f t="shared" ca="1" si="200"/>
        <v>0</v>
      </c>
      <c r="W613">
        <f ca="1">Inputs!B15+(Inputs!D15-Inputs!B15)*BETAINV(RAND(),Model!H9,Model!I9)</f>
        <v>2.0969052180224232</v>
      </c>
      <c r="X613">
        <f ca="1">Inputs!E15+(Inputs!G15-Inputs!E15)*BETAINV(RAND(),Model!J9,Model!K9)</f>
        <v>0.37040547548450531</v>
      </c>
      <c r="Y613">
        <f ca="1">(Inputs!H15+(Inputs!J15-Inputs!H15)*BETAINV(RAND(),Model!L9,Model!M9))*Inputs!$C$6</f>
        <v>54469.845805961435</v>
      </c>
      <c r="Z613">
        <f t="shared" ca="1" si="201"/>
        <v>0.77670517432753594</v>
      </c>
      <c r="AA613">
        <f t="shared" ca="1" si="202"/>
        <v>0.14405783544855588</v>
      </c>
      <c r="AB613">
        <f t="shared" ca="1" si="203"/>
        <v>0</v>
      </c>
      <c r="AC613" s="47">
        <f t="shared" ca="1" si="204"/>
        <v>0</v>
      </c>
      <c r="AD613">
        <f ca="1">Inputs!B16+(Inputs!D16-Inputs!B16)*BETAINV(RAND(),Model!H10,Model!I10)</f>
        <v>0.75821132649652023</v>
      </c>
      <c r="AE613">
        <f ca="1">Inputs!E16+(Inputs!G16-Inputs!E16)*BETAINV(RAND(),Model!J10,Model!K10)</f>
        <v>0.46194907227908766</v>
      </c>
      <c r="AF613">
        <f ca="1">(Inputs!H16+(Inputs!J16-Inputs!H16)*BETAINV(RAND(),Model!L10,Model!M10))*Inputs!$C$6</f>
        <v>70659.480922879142</v>
      </c>
      <c r="AG613">
        <f t="shared" ca="1" si="205"/>
        <v>0.35025501886656396</v>
      </c>
      <c r="AH613">
        <f t="shared" ca="1" si="206"/>
        <v>0.15202409994618593</v>
      </c>
      <c r="AI613">
        <f t="shared" ca="1" si="207"/>
        <v>0</v>
      </c>
      <c r="AJ613" s="47">
        <f t="shared" ca="1" si="208"/>
        <v>0</v>
      </c>
      <c r="AK613">
        <f t="shared" ca="1" si="209"/>
        <v>0</v>
      </c>
    </row>
    <row r="614" spans="2:37" x14ac:dyDescent="0.2">
      <c r="B614">
        <f ca="1">Inputs!B12+(Inputs!D12-Inputs!B12)*BETAINV(RAND(),Model!H6,Model!I6)</f>
        <v>4.6423250605694459</v>
      </c>
      <c r="C614">
        <f ca="1">Inputs!E12+(Inputs!G12-Inputs!E12)*BETAINV(RAND(),Model!J6,Model!K6)</f>
        <v>0.26033610127134305</v>
      </c>
      <c r="D614">
        <f ca="1">(Inputs!H12+(Inputs!J12-Inputs!H12)*BETAINV(RAND(),Model!L6,Model!M6))*Inputs!$C$6</f>
        <v>21419.446509019261</v>
      </c>
      <c r="E614">
        <f t="shared" ca="1" si="189"/>
        <v>1.2085648071029009</v>
      </c>
      <c r="F614">
        <f t="shared" ca="1" si="190"/>
        <v>0.43416579575898684</v>
      </c>
      <c r="G614">
        <f t="shared" ca="1" si="191"/>
        <v>1</v>
      </c>
      <c r="H614" s="47">
        <f t="shared" ca="1" si="192"/>
        <v>21419.446509019261</v>
      </c>
      <c r="I614">
        <f ca="1">Inputs!B13+(Inputs!D13-Inputs!B13)*BETAINV(RAND(),Model!H7,Model!I7)</f>
        <v>1.3693866078358039</v>
      </c>
      <c r="J614">
        <f ca="1">Inputs!E13+(Inputs!G13-Inputs!E13)*BETAINV(RAND(),Model!J7,Model!K7)</f>
        <v>0.32051199954338794</v>
      </c>
      <c r="K614">
        <f ca="1">(Inputs!H13+(Inputs!J13-Inputs!H13)*BETAINV(RAND(),Model!L7,Model!M7))*Inputs!$C$6</f>
        <v>30333.569101755536</v>
      </c>
      <c r="L614">
        <f t="shared" ca="1" si="193"/>
        <v>0.43890483982539075</v>
      </c>
      <c r="M614">
        <f t="shared" ca="1" si="194"/>
        <v>0.18244434018413147</v>
      </c>
      <c r="N614">
        <f t="shared" ca="1" si="195"/>
        <v>0</v>
      </c>
      <c r="O614" s="47">
        <f t="shared" ca="1" si="196"/>
        <v>0</v>
      </c>
      <c r="P614">
        <f ca="1">Inputs!B14+(Inputs!D14-Inputs!B14)*BETAINV(RAND(),Model!H8,Model!I8)</f>
        <v>0.36990770497986092</v>
      </c>
      <c r="Q614">
        <f ca="1">Inputs!E14+(Inputs!G14-Inputs!E14)*BETAINV(RAND(),Model!J8,Model!K8)</f>
        <v>0.60550931263827379</v>
      </c>
      <c r="R614">
        <f ca="1">(Inputs!H14+(Inputs!J14-Inputs!H14)*BETAINV(RAND(),Model!L8,Model!M8))*Inputs!$C$6</f>
        <v>504346.88169795985</v>
      </c>
      <c r="S614">
        <f t="shared" ca="1" si="197"/>
        <v>0.22398256018195695</v>
      </c>
      <c r="T614">
        <f t="shared" ca="1" si="198"/>
        <v>0.17944927507694719</v>
      </c>
      <c r="U614">
        <f t="shared" ca="1" si="199"/>
        <v>0</v>
      </c>
      <c r="V614" s="47">
        <f t="shared" ca="1" si="200"/>
        <v>0</v>
      </c>
      <c r="W614">
        <f ca="1">Inputs!B15+(Inputs!D15-Inputs!B15)*BETAINV(RAND(),Model!H9,Model!I9)</f>
        <v>0.79720756629467537</v>
      </c>
      <c r="X614">
        <f ca="1">Inputs!E15+(Inputs!G15-Inputs!E15)*BETAINV(RAND(),Model!J9,Model!K9)</f>
        <v>0.65135460826620561</v>
      </c>
      <c r="Y614">
        <f ca="1">(Inputs!H15+(Inputs!J15-Inputs!H15)*BETAINV(RAND(),Model!L9,Model!M9))*Inputs!$C$6</f>
        <v>41504.005853476185</v>
      </c>
      <c r="Z614">
        <f t="shared" ca="1" si="201"/>
        <v>0.51926482205072344</v>
      </c>
      <c r="AA614">
        <f t="shared" ca="1" si="202"/>
        <v>0.75824988845247865</v>
      </c>
      <c r="AB614">
        <f t="shared" ca="1" si="203"/>
        <v>1</v>
      </c>
      <c r="AC614" s="47">
        <f t="shared" ca="1" si="204"/>
        <v>41504.005853476185</v>
      </c>
      <c r="AD614">
        <f ca="1">Inputs!B16+(Inputs!D16-Inputs!B16)*BETAINV(RAND(),Model!H10,Model!I10)</f>
        <v>0.4717658733751311</v>
      </c>
      <c r="AE614">
        <f ca="1">Inputs!E16+(Inputs!G16-Inputs!E16)*BETAINV(RAND(),Model!J10,Model!K10)</f>
        <v>0.46615586007583865</v>
      </c>
      <c r="AF614">
        <f ca="1">(Inputs!H16+(Inputs!J16-Inputs!H16)*BETAINV(RAND(),Model!L10,Model!M10))*Inputs!$C$6</f>
        <v>90393.83803353885</v>
      </c>
      <c r="AG614">
        <f t="shared" ca="1" si="205"/>
        <v>0.21991642645761342</v>
      </c>
      <c r="AH614">
        <f t="shared" ca="1" si="206"/>
        <v>0.99036075727023654</v>
      </c>
      <c r="AI614">
        <f t="shared" ca="1" si="207"/>
        <v>2</v>
      </c>
      <c r="AJ614" s="47">
        <f t="shared" ca="1" si="208"/>
        <v>180787.6760670777</v>
      </c>
      <c r="AK614">
        <f t="shared" ca="1" si="209"/>
        <v>243711.12842957315</v>
      </c>
    </row>
    <row r="615" spans="2:37" x14ac:dyDescent="0.2">
      <c r="B615">
        <f ca="1">Inputs!B12+(Inputs!D12-Inputs!B12)*BETAINV(RAND(),Model!H6,Model!I6)</f>
        <v>1.2798974327394599</v>
      </c>
      <c r="C615">
        <f ca="1">Inputs!E12+(Inputs!G12-Inputs!E12)*BETAINV(RAND(),Model!J6,Model!K6)</f>
        <v>0.21830147045233367</v>
      </c>
      <c r="D615">
        <f ca="1">(Inputs!H12+(Inputs!J12-Inputs!H12)*BETAINV(RAND(),Model!L6,Model!M6))*Inputs!$C$6</f>
        <v>21609.973664591245</v>
      </c>
      <c r="E615">
        <f t="shared" ca="1" si="189"/>
        <v>0.2794034915951909</v>
      </c>
      <c r="F615">
        <f t="shared" ca="1" si="190"/>
        <v>8.0500390261641352E-2</v>
      </c>
      <c r="G615">
        <f t="shared" ca="1" si="191"/>
        <v>0</v>
      </c>
      <c r="H615" s="47">
        <f t="shared" ca="1" si="192"/>
        <v>0</v>
      </c>
      <c r="I615">
        <f ca="1">Inputs!B13+(Inputs!D13-Inputs!B13)*BETAINV(RAND(),Model!H7,Model!I7)</f>
        <v>4.2697381204031837</v>
      </c>
      <c r="J615">
        <f ca="1">Inputs!E13+(Inputs!G13-Inputs!E13)*BETAINV(RAND(),Model!J7,Model!K7)</f>
        <v>0.24255087918580809</v>
      </c>
      <c r="K615">
        <f ca="1">(Inputs!H13+(Inputs!J13-Inputs!H13)*BETAINV(RAND(),Model!L7,Model!M7))*Inputs!$C$6</f>
        <v>31735.410531503356</v>
      </c>
      <c r="L615">
        <f t="shared" ca="1" si="193"/>
        <v>1.035628734996952</v>
      </c>
      <c r="M615">
        <f t="shared" ca="1" si="194"/>
        <v>0.8052698103261966</v>
      </c>
      <c r="N615">
        <f t="shared" ca="1" si="195"/>
        <v>2</v>
      </c>
      <c r="O615" s="47">
        <f t="shared" ca="1" si="196"/>
        <v>63470.821063006711</v>
      </c>
      <c r="P615">
        <f ca="1">Inputs!B14+(Inputs!D14-Inputs!B14)*BETAINV(RAND(),Model!H8,Model!I8)</f>
        <v>0.15604129452469245</v>
      </c>
      <c r="Q615">
        <f ca="1">Inputs!E14+(Inputs!G14-Inputs!E14)*BETAINV(RAND(),Model!J8,Model!K8)</f>
        <v>0.52716652777473216</v>
      </c>
      <c r="R615">
        <f ca="1">(Inputs!H14+(Inputs!J14-Inputs!H14)*BETAINV(RAND(),Model!L8,Model!M8))*Inputs!$C$6</f>
        <v>255873.54581260312</v>
      </c>
      <c r="S615">
        <f t="shared" ca="1" si="197"/>
        <v>8.2259747424056451E-2</v>
      </c>
      <c r="T615">
        <f t="shared" ca="1" si="198"/>
        <v>0.39300207814064125</v>
      </c>
      <c r="U615">
        <f t="shared" ca="1" si="199"/>
        <v>0</v>
      </c>
      <c r="V615" s="47">
        <f t="shared" ca="1" si="200"/>
        <v>0</v>
      </c>
      <c r="W615">
        <f ca="1">Inputs!B15+(Inputs!D15-Inputs!B15)*BETAINV(RAND(),Model!H9,Model!I9)</f>
        <v>1.0035568849276153</v>
      </c>
      <c r="X615">
        <f ca="1">Inputs!E15+(Inputs!G15-Inputs!E15)*BETAINV(RAND(),Model!J9,Model!K9)</f>
        <v>0.47906060635882119</v>
      </c>
      <c r="Y615">
        <f ca="1">(Inputs!H15+(Inputs!J15-Inputs!H15)*BETAINV(RAND(),Model!L9,Model!M9))*Inputs!$C$6</f>
        <v>30917.892677474047</v>
      </c>
      <c r="Z615">
        <f t="shared" ca="1" si="201"/>
        <v>0.48076456980899313</v>
      </c>
      <c r="AA615">
        <f t="shared" ca="1" si="202"/>
        <v>0.10337682462965114</v>
      </c>
      <c r="AB615">
        <f t="shared" ca="1" si="203"/>
        <v>0</v>
      </c>
      <c r="AC615" s="47">
        <f t="shared" ca="1" si="204"/>
        <v>0</v>
      </c>
      <c r="AD615">
        <f ca="1">Inputs!B16+(Inputs!D16-Inputs!B16)*BETAINV(RAND(),Model!H10,Model!I10)</f>
        <v>0.7202295748636125</v>
      </c>
      <c r="AE615">
        <f ca="1">Inputs!E16+(Inputs!G16-Inputs!E16)*BETAINV(RAND(),Model!J10,Model!K10)</f>
        <v>0.63935109304196547</v>
      </c>
      <c r="AF615">
        <f ca="1">(Inputs!H16+(Inputs!J16-Inputs!H16)*BETAINV(RAND(),Model!L10,Model!M10))*Inputs!$C$6</f>
        <v>67376.971189024931</v>
      </c>
      <c r="AG615">
        <f t="shared" ca="1" si="205"/>
        <v>0.46047956593020073</v>
      </c>
      <c r="AH615">
        <f t="shared" ca="1" si="206"/>
        <v>8.0129470790341384E-2</v>
      </c>
      <c r="AI615">
        <f t="shared" ca="1" si="207"/>
        <v>0</v>
      </c>
      <c r="AJ615" s="47">
        <f t="shared" ca="1" si="208"/>
        <v>0</v>
      </c>
      <c r="AK615">
        <f t="shared" ca="1" si="209"/>
        <v>63470.821063006711</v>
      </c>
    </row>
    <row r="616" spans="2:37" x14ac:dyDescent="0.2">
      <c r="B616">
        <f ca="1">Inputs!B12+(Inputs!D12-Inputs!B12)*BETAINV(RAND(),Model!H6,Model!I6)</f>
        <v>5.4492443098414221</v>
      </c>
      <c r="C616">
        <f ca="1">Inputs!E12+(Inputs!G12-Inputs!E12)*BETAINV(RAND(),Model!J6,Model!K6)</f>
        <v>0.24662416423849956</v>
      </c>
      <c r="D616">
        <f ca="1">(Inputs!H12+(Inputs!J12-Inputs!H12)*BETAINV(RAND(),Model!L6,Model!M6))*Inputs!$C$6</f>
        <v>9335.7992269836959</v>
      </c>
      <c r="E616">
        <f t="shared" ca="1" si="189"/>
        <v>1.3439153236460402</v>
      </c>
      <c r="F616">
        <f t="shared" ca="1" si="190"/>
        <v>0.1715731412486089</v>
      </c>
      <c r="G616">
        <f t="shared" ca="1" si="191"/>
        <v>0</v>
      </c>
      <c r="H616" s="47">
        <f t="shared" ca="1" si="192"/>
        <v>0</v>
      </c>
      <c r="I616">
        <f ca="1">Inputs!B13+(Inputs!D13-Inputs!B13)*BETAINV(RAND(),Model!H7,Model!I7)</f>
        <v>2.1599018686617217</v>
      </c>
      <c r="J616">
        <f ca="1">Inputs!E13+(Inputs!G13-Inputs!E13)*BETAINV(RAND(),Model!J7,Model!K7)</f>
        <v>0.34159605199422072</v>
      </c>
      <c r="K616">
        <f ca="1">(Inputs!H13+(Inputs!J13-Inputs!H13)*BETAINV(RAND(),Model!L7,Model!M7))*Inputs!$C$6</f>
        <v>11702.811767244037</v>
      </c>
      <c r="L616">
        <f t="shared" ca="1" si="193"/>
        <v>0.73781395102978398</v>
      </c>
      <c r="M616">
        <f t="shared" ca="1" si="194"/>
        <v>0.93221088117662854</v>
      </c>
      <c r="N616">
        <f t="shared" ca="1" si="195"/>
        <v>2</v>
      </c>
      <c r="O616" s="47">
        <f t="shared" ca="1" si="196"/>
        <v>23405.623534488073</v>
      </c>
      <c r="P616">
        <f ca="1">Inputs!B14+(Inputs!D14-Inputs!B14)*BETAINV(RAND(),Model!H8,Model!I8)</f>
        <v>0.12904596044535943</v>
      </c>
      <c r="Q616">
        <f ca="1">Inputs!E14+(Inputs!G14-Inputs!E14)*BETAINV(RAND(),Model!J8,Model!K8)</f>
        <v>0.5995412043223014</v>
      </c>
      <c r="R616">
        <f ca="1">(Inputs!H14+(Inputs!J14-Inputs!H14)*BETAINV(RAND(),Model!L8,Model!M8))*Inputs!$C$6</f>
        <v>432071.1160203818</v>
      </c>
      <c r="S616">
        <f t="shared" ca="1" si="197"/>
        <v>7.7368370538338865E-2</v>
      </c>
      <c r="T616">
        <f t="shared" ca="1" si="198"/>
        <v>0.63565614585910646</v>
      </c>
      <c r="U616">
        <f t="shared" ca="1" si="199"/>
        <v>0</v>
      </c>
      <c r="V616" s="47">
        <f t="shared" ca="1" si="200"/>
        <v>0</v>
      </c>
      <c r="W616">
        <f ca="1">Inputs!B15+(Inputs!D15-Inputs!B15)*BETAINV(RAND(),Model!H9,Model!I9)</f>
        <v>1.5278423787296795</v>
      </c>
      <c r="X616">
        <f ca="1">Inputs!E15+(Inputs!G15-Inputs!E15)*BETAINV(RAND(),Model!J9,Model!K9)</f>
        <v>0.48515761646361466</v>
      </c>
      <c r="Y616">
        <f ca="1">(Inputs!H15+(Inputs!J15-Inputs!H15)*BETAINV(RAND(),Model!L9,Model!M9))*Inputs!$C$6</f>
        <v>37391.870308852143</v>
      </c>
      <c r="Z616">
        <f t="shared" ca="1" si="201"/>
        <v>0.74124436679659056</v>
      </c>
      <c r="AA616">
        <f t="shared" ca="1" si="202"/>
        <v>0.18115933632316272</v>
      </c>
      <c r="AB616">
        <f t="shared" ca="1" si="203"/>
        <v>0</v>
      </c>
      <c r="AC616" s="47">
        <f t="shared" ca="1" si="204"/>
        <v>0</v>
      </c>
      <c r="AD616">
        <f ca="1">Inputs!B16+(Inputs!D16-Inputs!B16)*BETAINV(RAND(),Model!H10,Model!I10)</f>
        <v>0.27458468506199196</v>
      </c>
      <c r="AE616">
        <f ca="1">Inputs!E16+(Inputs!G16-Inputs!E16)*BETAINV(RAND(),Model!J10,Model!K10)</f>
        <v>0.57214444033123879</v>
      </c>
      <c r="AF616">
        <f ca="1">(Inputs!H16+(Inputs!J16-Inputs!H16)*BETAINV(RAND(),Model!L10,Model!M10))*Inputs!$C$6</f>
        <v>113276.84581469321</v>
      </c>
      <c r="AG616">
        <f t="shared" ca="1" si="205"/>
        <v>0.15710210095832286</v>
      </c>
      <c r="AH616">
        <f t="shared" ca="1" si="206"/>
        <v>0.65959913102608436</v>
      </c>
      <c r="AI616">
        <f t="shared" ca="1" si="207"/>
        <v>0</v>
      </c>
      <c r="AJ616" s="47">
        <f t="shared" ca="1" si="208"/>
        <v>0</v>
      </c>
      <c r="AK616">
        <f t="shared" ca="1" si="209"/>
        <v>23405.623534488073</v>
      </c>
    </row>
    <row r="617" spans="2:37" x14ac:dyDescent="0.2">
      <c r="B617">
        <f ca="1">Inputs!B12+(Inputs!D12-Inputs!B12)*BETAINV(RAND(),Model!H6,Model!I6)</f>
        <v>2.5288878174448879</v>
      </c>
      <c r="C617">
        <f ca="1">Inputs!E12+(Inputs!G12-Inputs!E12)*BETAINV(RAND(),Model!J6,Model!K6)</f>
        <v>0.29798412402663671</v>
      </c>
      <c r="D617">
        <f ca="1">(Inputs!H12+(Inputs!J12-Inputs!H12)*BETAINV(RAND(),Model!L6,Model!M6))*Inputs!$C$6</f>
        <v>23955.92227275058</v>
      </c>
      <c r="E617">
        <f t="shared" ca="1" si="189"/>
        <v>0.75356842104294808</v>
      </c>
      <c r="F617">
        <f t="shared" ca="1" si="190"/>
        <v>0.28251424063019936</v>
      </c>
      <c r="G617">
        <f t="shared" ca="1" si="191"/>
        <v>0</v>
      </c>
      <c r="H617" s="47">
        <f t="shared" ca="1" si="192"/>
        <v>0</v>
      </c>
      <c r="I617">
        <f ca="1">Inputs!B13+(Inputs!D13-Inputs!B13)*BETAINV(RAND(),Model!H7,Model!I7)</f>
        <v>1.5417731897896694</v>
      </c>
      <c r="J617">
        <f ca="1">Inputs!E13+(Inputs!G13-Inputs!E13)*BETAINV(RAND(),Model!J7,Model!K7)</f>
        <v>0.35214947719795131</v>
      </c>
      <c r="K617">
        <f ca="1">(Inputs!H13+(Inputs!J13-Inputs!H13)*BETAINV(RAND(),Model!L7,Model!M7))*Inputs!$C$6</f>
        <v>35832.41151864484</v>
      </c>
      <c r="L617">
        <f t="shared" ca="1" si="193"/>
        <v>0.5429346227422498</v>
      </c>
      <c r="M617">
        <f t="shared" ca="1" si="194"/>
        <v>0.98973982398014926</v>
      </c>
      <c r="N617">
        <f t="shared" ca="1" si="195"/>
        <v>3</v>
      </c>
      <c r="O617" s="47">
        <f t="shared" ca="1" si="196"/>
        <v>107497.23455593453</v>
      </c>
      <c r="P617">
        <f ca="1">Inputs!B14+(Inputs!D14-Inputs!B14)*BETAINV(RAND(),Model!H8,Model!I8)</f>
        <v>0.44809956305311194</v>
      </c>
      <c r="Q617">
        <f ca="1">Inputs!E14+(Inputs!G14-Inputs!E14)*BETAINV(RAND(),Model!J8,Model!K8)</f>
        <v>0.61514949192875368</v>
      </c>
      <c r="R617">
        <f ca="1">(Inputs!H14+(Inputs!J14-Inputs!H14)*BETAINV(RAND(),Model!L8,Model!M8))*Inputs!$C$6</f>
        <v>206521.09435800422</v>
      </c>
      <c r="S617">
        <f t="shared" ca="1" si="197"/>
        <v>0.27564821854561833</v>
      </c>
      <c r="T617">
        <f t="shared" ca="1" si="198"/>
        <v>0.99156345471545204</v>
      </c>
      <c r="U617">
        <f t="shared" ca="1" si="199"/>
        <v>2</v>
      </c>
      <c r="V617" s="47">
        <f t="shared" ca="1" si="200"/>
        <v>413042.18871600844</v>
      </c>
      <c r="W617">
        <f ca="1">Inputs!B15+(Inputs!D15-Inputs!B15)*BETAINV(RAND(),Model!H9,Model!I9)</f>
        <v>1.0047329116578947</v>
      </c>
      <c r="X617">
        <f ca="1">Inputs!E15+(Inputs!G15-Inputs!E15)*BETAINV(RAND(),Model!J9,Model!K9)</f>
        <v>0.27786702975398464</v>
      </c>
      <c r="Y617">
        <f ca="1">(Inputs!H15+(Inputs!J15-Inputs!H15)*BETAINV(RAND(),Model!L9,Model!M9))*Inputs!$C$6</f>
        <v>26817.748941393889</v>
      </c>
      <c r="Z617">
        <f t="shared" ca="1" si="201"/>
        <v>0.27918214985845186</v>
      </c>
      <c r="AA617">
        <f t="shared" ca="1" si="202"/>
        <v>0.12413411777523986</v>
      </c>
      <c r="AB617">
        <f t="shared" ca="1" si="203"/>
        <v>0</v>
      </c>
      <c r="AC617" s="47">
        <f t="shared" ca="1" si="204"/>
        <v>0</v>
      </c>
      <c r="AD617">
        <f ca="1">Inputs!B16+(Inputs!D16-Inputs!B16)*BETAINV(RAND(),Model!H10,Model!I10)</f>
        <v>0.37017120133527515</v>
      </c>
      <c r="AE617">
        <f ca="1">Inputs!E16+(Inputs!G16-Inputs!E16)*BETAINV(RAND(),Model!J10,Model!K10)</f>
        <v>0.46920187130715119</v>
      </c>
      <c r="AF617">
        <f ca="1">(Inputs!H16+(Inputs!J16-Inputs!H16)*BETAINV(RAND(),Model!L10,Model!M10))*Inputs!$C$6</f>
        <v>40243.535975194689</v>
      </c>
      <c r="AG617">
        <f t="shared" ca="1" si="205"/>
        <v>0.17368502037052733</v>
      </c>
      <c r="AH617">
        <f t="shared" ca="1" si="206"/>
        <v>0.14271496355024826</v>
      </c>
      <c r="AI617">
        <f t="shared" ca="1" si="207"/>
        <v>0</v>
      </c>
      <c r="AJ617" s="47">
        <f t="shared" ca="1" si="208"/>
        <v>0</v>
      </c>
      <c r="AK617">
        <f t="shared" ca="1" si="209"/>
        <v>520539.423271943</v>
      </c>
    </row>
    <row r="618" spans="2:37" x14ac:dyDescent="0.2">
      <c r="B618">
        <f ca="1">Inputs!B12+(Inputs!D12-Inputs!B12)*BETAINV(RAND(),Model!H6,Model!I6)</f>
        <v>2.3710201355061393</v>
      </c>
      <c r="C618">
        <f ca="1">Inputs!E12+(Inputs!G12-Inputs!E12)*BETAINV(RAND(),Model!J6,Model!K6)</f>
        <v>0.25516297874727079</v>
      </c>
      <c r="D618">
        <f ca="1">(Inputs!H12+(Inputs!J12-Inputs!H12)*BETAINV(RAND(),Model!L6,Model!M6))*Inputs!$C$6</f>
        <v>23156.394016616418</v>
      </c>
      <c r="E618">
        <f t="shared" ca="1" si="189"/>
        <v>0.60499656044550409</v>
      </c>
      <c r="F618">
        <f t="shared" ca="1" si="190"/>
        <v>0.43337006092223773</v>
      </c>
      <c r="G618">
        <f t="shared" ca="1" si="191"/>
        <v>0</v>
      </c>
      <c r="H618" s="47">
        <f t="shared" ca="1" si="192"/>
        <v>0</v>
      </c>
      <c r="I618">
        <f ca="1">Inputs!B13+(Inputs!D13-Inputs!B13)*BETAINV(RAND(),Model!H7,Model!I7)</f>
        <v>3.4854305572486575</v>
      </c>
      <c r="J618">
        <f ca="1">Inputs!E13+(Inputs!G13-Inputs!E13)*BETAINV(RAND(),Model!J7,Model!K7)</f>
        <v>0.22382636313772075</v>
      </c>
      <c r="K618">
        <f ca="1">(Inputs!H13+(Inputs!J13-Inputs!H13)*BETAINV(RAND(),Model!L7,Model!M7))*Inputs!$C$6</f>
        <v>56669.103337301138</v>
      </c>
      <c r="L618">
        <f t="shared" ca="1" si="193"/>
        <v>0.78013124559804636</v>
      </c>
      <c r="M618">
        <f t="shared" ca="1" si="194"/>
        <v>0.93012719926422194</v>
      </c>
      <c r="N618">
        <f t="shared" ca="1" si="195"/>
        <v>2</v>
      </c>
      <c r="O618" s="47">
        <f t="shared" ca="1" si="196"/>
        <v>113338.20667460228</v>
      </c>
      <c r="P618">
        <f ca="1">Inputs!B14+(Inputs!D14-Inputs!B14)*BETAINV(RAND(),Model!H8,Model!I8)</f>
        <v>0.44852473412815674</v>
      </c>
      <c r="Q618">
        <f ca="1">Inputs!E14+(Inputs!G14-Inputs!E14)*BETAINV(RAND(),Model!J8,Model!K8)</f>
        <v>0.56992958119559889</v>
      </c>
      <c r="R618">
        <f ca="1">(Inputs!H14+(Inputs!J14-Inputs!H14)*BETAINV(RAND(),Model!L8,Model!M8))*Inputs!$C$6</f>
        <v>201611.21820445367</v>
      </c>
      <c r="S618">
        <f t="shared" ca="1" si="197"/>
        <v>0.25562751387752769</v>
      </c>
      <c r="T618">
        <f t="shared" ca="1" si="198"/>
        <v>0.27043791111570648</v>
      </c>
      <c r="U618">
        <f t="shared" ca="1" si="199"/>
        <v>0</v>
      </c>
      <c r="V618" s="47">
        <f t="shared" ca="1" si="200"/>
        <v>0</v>
      </c>
      <c r="W618">
        <f ca="1">Inputs!B15+(Inputs!D15-Inputs!B15)*BETAINV(RAND(),Model!H9,Model!I9)</f>
        <v>1.1380254409573294</v>
      </c>
      <c r="X618">
        <f ca="1">Inputs!E15+(Inputs!G15-Inputs!E15)*BETAINV(RAND(),Model!J9,Model!K9)</f>
        <v>0.33528281383964881</v>
      </c>
      <c r="Y618">
        <f ca="1">(Inputs!H15+(Inputs!J15-Inputs!H15)*BETAINV(RAND(),Model!L9,Model!M9))*Inputs!$C$6</f>
        <v>21299.22540604182</v>
      </c>
      <c r="Z618">
        <f t="shared" ca="1" si="201"/>
        <v>0.38156037206528054</v>
      </c>
      <c r="AA618">
        <f t="shared" ca="1" si="202"/>
        <v>0.1293292202700983</v>
      </c>
      <c r="AB618">
        <f t="shared" ca="1" si="203"/>
        <v>0</v>
      </c>
      <c r="AC618" s="47">
        <f t="shared" ca="1" si="204"/>
        <v>0</v>
      </c>
      <c r="AD618">
        <f ca="1">Inputs!B16+(Inputs!D16-Inputs!B16)*BETAINV(RAND(),Model!H10,Model!I10)</f>
        <v>0.85434733408788754</v>
      </c>
      <c r="AE618">
        <f ca="1">Inputs!E16+(Inputs!G16-Inputs!E16)*BETAINV(RAND(),Model!J10,Model!K10)</f>
        <v>0.60253064452605931</v>
      </c>
      <c r="AF618">
        <f ca="1">(Inputs!H16+(Inputs!J16-Inputs!H16)*BETAINV(RAND(),Model!L10,Model!M10))*Inputs!$C$6</f>
        <v>40306.870969846677</v>
      </c>
      <c r="AG618">
        <f t="shared" ca="1" si="205"/>
        <v>0.51477044985709541</v>
      </c>
      <c r="AH618">
        <f t="shared" ca="1" si="206"/>
        <v>0.36500371078595073</v>
      </c>
      <c r="AI618">
        <f t="shared" ca="1" si="207"/>
        <v>0</v>
      </c>
      <c r="AJ618" s="47">
        <f t="shared" ca="1" si="208"/>
        <v>0</v>
      </c>
      <c r="AK618">
        <f t="shared" ca="1" si="209"/>
        <v>113338.20667460228</v>
      </c>
    </row>
    <row r="619" spans="2:37" x14ac:dyDescent="0.2">
      <c r="B619">
        <f ca="1">Inputs!B12+(Inputs!D12-Inputs!B12)*BETAINV(RAND(),Model!H6,Model!I6)</f>
        <v>4.6266893223321226</v>
      </c>
      <c r="C619">
        <f ca="1">Inputs!E12+(Inputs!G12-Inputs!E12)*BETAINV(RAND(),Model!J6,Model!K6)</f>
        <v>0.40664474798529759</v>
      </c>
      <c r="D619">
        <f ca="1">(Inputs!H12+(Inputs!J12-Inputs!H12)*BETAINV(RAND(),Model!L6,Model!M6))*Inputs!$C$6</f>
        <v>49953.798833524335</v>
      </c>
      <c r="E619">
        <f t="shared" ca="1" si="189"/>
        <v>1.8814189134860133</v>
      </c>
      <c r="F619">
        <f t="shared" ca="1" si="190"/>
        <v>0.18435109869474375</v>
      </c>
      <c r="G619">
        <f t="shared" ca="1" si="191"/>
        <v>1</v>
      </c>
      <c r="H619" s="47">
        <f t="shared" ca="1" si="192"/>
        <v>49953.798833524335</v>
      </c>
      <c r="I619">
        <f ca="1">Inputs!B13+(Inputs!D13-Inputs!B13)*BETAINV(RAND(),Model!H7,Model!I7)</f>
        <v>2.2825253576871747</v>
      </c>
      <c r="J619">
        <f ca="1">Inputs!E13+(Inputs!G13-Inputs!E13)*BETAINV(RAND(),Model!J7,Model!K7)</f>
        <v>0.36490778180562633</v>
      </c>
      <c r="K619">
        <f ca="1">(Inputs!H13+(Inputs!J13-Inputs!H13)*BETAINV(RAND(),Model!L7,Model!M7))*Inputs!$C$6</f>
        <v>64438.484275851537</v>
      </c>
      <c r="L619">
        <f t="shared" ca="1" si="193"/>
        <v>0.83291126518872072</v>
      </c>
      <c r="M619">
        <f t="shared" ca="1" si="194"/>
        <v>0.64962385140778378</v>
      </c>
      <c r="N619">
        <f t="shared" ca="1" si="195"/>
        <v>1</v>
      </c>
      <c r="O619" s="47">
        <f t="shared" ca="1" si="196"/>
        <v>64438.484275851537</v>
      </c>
      <c r="P619">
        <f ca="1">Inputs!B14+(Inputs!D14-Inputs!B14)*BETAINV(RAND(),Model!H8,Model!I8)</f>
        <v>0.2878512416570842</v>
      </c>
      <c r="Q619">
        <f ca="1">Inputs!E14+(Inputs!G14-Inputs!E14)*BETAINV(RAND(),Model!J8,Model!K8)</f>
        <v>0.4312469896666265</v>
      </c>
      <c r="R619">
        <f ca="1">(Inputs!H14+(Inputs!J14-Inputs!H14)*BETAINV(RAND(),Model!L8,Model!M8))*Inputs!$C$6</f>
        <v>431972.86389735597</v>
      </c>
      <c r="S619">
        <f t="shared" ca="1" si="197"/>
        <v>0.1241349814364182</v>
      </c>
      <c r="T619">
        <f t="shared" ca="1" si="198"/>
        <v>9.6627404496435587E-2</v>
      </c>
      <c r="U619">
        <f t="shared" ca="1" si="199"/>
        <v>0</v>
      </c>
      <c r="V619" s="47">
        <f t="shared" ca="1" si="200"/>
        <v>0</v>
      </c>
      <c r="W619">
        <f ca="1">Inputs!B15+(Inputs!D15-Inputs!B15)*BETAINV(RAND(),Model!H9,Model!I9)</f>
        <v>1.139826807585534</v>
      </c>
      <c r="X619">
        <f ca="1">Inputs!E15+(Inputs!G15-Inputs!E15)*BETAINV(RAND(),Model!J9,Model!K9)</f>
        <v>0.54435699904992263</v>
      </c>
      <c r="Y619">
        <f ca="1">(Inputs!H15+(Inputs!J15-Inputs!H15)*BETAINV(RAND(),Model!L9,Model!M9))*Inputs!$C$6</f>
        <v>51399.33811667894</v>
      </c>
      <c r="Z619">
        <f t="shared" ca="1" si="201"/>
        <v>0.62047270041391489</v>
      </c>
      <c r="AA619">
        <f t="shared" ca="1" si="202"/>
        <v>0.20806347235711109</v>
      </c>
      <c r="AB619">
        <f t="shared" ca="1" si="203"/>
        <v>0</v>
      </c>
      <c r="AC619" s="47">
        <f t="shared" ca="1" si="204"/>
        <v>0</v>
      </c>
      <c r="AD619">
        <f ca="1">Inputs!B16+(Inputs!D16-Inputs!B16)*BETAINV(RAND(),Model!H10,Model!I10)</f>
        <v>0.32100264777850146</v>
      </c>
      <c r="AE619">
        <f ca="1">Inputs!E16+(Inputs!G16-Inputs!E16)*BETAINV(RAND(),Model!J10,Model!K10)</f>
        <v>0.65288207337446824</v>
      </c>
      <c r="AF619">
        <f ca="1">(Inputs!H16+(Inputs!J16-Inputs!H16)*BETAINV(RAND(),Model!L10,Model!M10))*Inputs!$C$6</f>
        <v>82499.209023863892</v>
      </c>
      <c r="AG619">
        <f t="shared" ca="1" si="205"/>
        <v>0.20957687424032218</v>
      </c>
      <c r="AH619">
        <f t="shared" ca="1" si="206"/>
        <v>0.50256550444447967</v>
      </c>
      <c r="AI619">
        <f t="shared" ca="1" si="207"/>
        <v>0</v>
      </c>
      <c r="AJ619" s="47">
        <f t="shared" ca="1" si="208"/>
        <v>0</v>
      </c>
      <c r="AK619">
        <f t="shared" ca="1" si="209"/>
        <v>114392.28310937587</v>
      </c>
    </row>
    <row r="620" spans="2:37" x14ac:dyDescent="0.2">
      <c r="B620">
        <f ca="1">Inputs!B12+(Inputs!D12-Inputs!B12)*BETAINV(RAND(),Model!H6,Model!I6)</f>
        <v>5.6473981423703217</v>
      </c>
      <c r="C620">
        <f ca="1">Inputs!E12+(Inputs!G12-Inputs!E12)*BETAINV(RAND(),Model!J6,Model!K6)</f>
        <v>0.30083028323367378</v>
      </c>
      <c r="D620">
        <f ca="1">(Inputs!H12+(Inputs!J12-Inputs!H12)*BETAINV(RAND(),Model!L6,Model!M6))*Inputs!$C$6</f>
        <v>27256.348258963459</v>
      </c>
      <c r="E620">
        <f t="shared" ca="1" si="189"/>
        <v>1.698908382702587</v>
      </c>
      <c r="F620">
        <f t="shared" ca="1" si="190"/>
        <v>0.14462532125703831</v>
      </c>
      <c r="G620">
        <f t="shared" ca="1" si="191"/>
        <v>0</v>
      </c>
      <c r="H620" s="47">
        <f t="shared" ca="1" si="192"/>
        <v>0</v>
      </c>
      <c r="I620">
        <f ca="1">Inputs!B13+(Inputs!D13-Inputs!B13)*BETAINV(RAND(),Model!H7,Model!I7)</f>
        <v>1.8052153196949061</v>
      </c>
      <c r="J620">
        <f ca="1">Inputs!E13+(Inputs!G13-Inputs!E13)*BETAINV(RAND(),Model!J7,Model!K7)</f>
        <v>0.21335941932522962</v>
      </c>
      <c r="K620">
        <f ca="1">(Inputs!H13+(Inputs!J13-Inputs!H13)*BETAINV(RAND(),Model!L7,Model!M7))*Inputs!$C$6</f>
        <v>28954.745986571244</v>
      </c>
      <c r="L620">
        <f t="shared" ca="1" si="193"/>
        <v>0.38515969236711389</v>
      </c>
      <c r="M620">
        <f t="shared" ca="1" si="194"/>
        <v>0.95103475467427878</v>
      </c>
      <c r="N620">
        <f t="shared" ca="1" si="195"/>
        <v>2</v>
      </c>
      <c r="O620" s="47">
        <f t="shared" ca="1" si="196"/>
        <v>57909.491973142489</v>
      </c>
      <c r="P620">
        <f ca="1">Inputs!B14+(Inputs!D14-Inputs!B14)*BETAINV(RAND(),Model!H8,Model!I8)</f>
        <v>0.40573667600434737</v>
      </c>
      <c r="Q620">
        <f ca="1">Inputs!E14+(Inputs!G14-Inputs!E14)*BETAINV(RAND(),Model!J8,Model!K8)</f>
        <v>0.67000148045445085</v>
      </c>
      <c r="R620">
        <f ca="1">(Inputs!H14+(Inputs!J14-Inputs!H14)*BETAINV(RAND(),Model!L8,Model!M8))*Inputs!$C$6</f>
        <v>403452.76495220064</v>
      </c>
      <c r="S620">
        <f t="shared" ca="1" si="197"/>
        <v>0.27184417359758062</v>
      </c>
      <c r="T620">
        <f t="shared" ca="1" si="198"/>
        <v>0.34649226002857969</v>
      </c>
      <c r="U620">
        <f t="shared" ca="1" si="199"/>
        <v>0</v>
      </c>
      <c r="V620" s="47">
        <f t="shared" ca="1" si="200"/>
        <v>0</v>
      </c>
      <c r="W620">
        <f ca="1">Inputs!B15+(Inputs!D15-Inputs!B15)*BETAINV(RAND(),Model!H9,Model!I9)</f>
        <v>0.79124438547373988</v>
      </c>
      <c r="X620">
        <f ca="1">Inputs!E15+(Inputs!G15-Inputs!E15)*BETAINV(RAND(),Model!J9,Model!K9)</f>
        <v>0.40038025819845341</v>
      </c>
      <c r="Y620">
        <f ca="1">(Inputs!H15+(Inputs!J15-Inputs!H15)*BETAINV(RAND(),Model!L9,Model!M9))*Inputs!$C$6</f>
        <v>36831.122146428199</v>
      </c>
      <c r="Z620">
        <f t="shared" ca="1" si="201"/>
        <v>0.31679863135405256</v>
      </c>
      <c r="AA620">
        <f t="shared" ca="1" si="202"/>
        <v>0.42631040719154167</v>
      </c>
      <c r="AB620">
        <f t="shared" ca="1" si="203"/>
        <v>0</v>
      </c>
      <c r="AC620" s="47">
        <f t="shared" ca="1" si="204"/>
        <v>0</v>
      </c>
      <c r="AD620">
        <f ca="1">Inputs!B16+(Inputs!D16-Inputs!B16)*BETAINV(RAND(),Model!H10,Model!I10)</f>
        <v>0.70058679067959373</v>
      </c>
      <c r="AE620">
        <f ca="1">Inputs!E16+(Inputs!G16-Inputs!E16)*BETAINV(RAND(),Model!J10,Model!K10)</f>
        <v>0.74366253760292311</v>
      </c>
      <c r="AF620">
        <f ca="1">(Inputs!H16+(Inputs!J16-Inputs!H16)*BETAINV(RAND(),Model!L10,Model!M10))*Inputs!$C$6</f>
        <v>108542.15519265422</v>
      </c>
      <c r="AG620">
        <f t="shared" ca="1" si="205"/>
        <v>0.52100015056787463</v>
      </c>
      <c r="AH620">
        <f t="shared" ca="1" si="206"/>
        <v>0.55244517013768546</v>
      </c>
      <c r="AI620">
        <f t="shared" ca="1" si="207"/>
        <v>0</v>
      </c>
      <c r="AJ620" s="47">
        <f t="shared" ca="1" si="208"/>
        <v>0</v>
      </c>
      <c r="AK620">
        <f t="shared" ca="1" si="209"/>
        <v>57909.491973142489</v>
      </c>
    </row>
    <row r="621" spans="2:37" x14ac:dyDescent="0.2">
      <c r="B621">
        <f ca="1">Inputs!B12+(Inputs!D12-Inputs!B12)*BETAINV(RAND(),Model!H6,Model!I6)</f>
        <v>4.7021542552271045</v>
      </c>
      <c r="C621">
        <f ca="1">Inputs!E12+(Inputs!G12-Inputs!E12)*BETAINV(RAND(),Model!J6,Model!K6)</f>
        <v>0.45748916358675518</v>
      </c>
      <c r="D621">
        <f ca="1">(Inputs!H12+(Inputs!J12-Inputs!H12)*BETAINV(RAND(),Model!L6,Model!M6))*Inputs!$C$6</f>
        <v>41682.119940319164</v>
      </c>
      <c r="E621">
        <f t="shared" ca="1" si="189"/>
        <v>2.1511846172797497</v>
      </c>
      <c r="F621">
        <f t="shared" ca="1" si="190"/>
        <v>0.4177814506824119</v>
      </c>
      <c r="G621">
        <f t="shared" ca="1" si="191"/>
        <v>2</v>
      </c>
      <c r="H621" s="47">
        <f t="shared" ca="1" si="192"/>
        <v>83364.239880638328</v>
      </c>
      <c r="I621">
        <f ca="1">Inputs!B13+(Inputs!D13-Inputs!B13)*BETAINV(RAND(),Model!H7,Model!I7)</f>
        <v>1.9865061733275466</v>
      </c>
      <c r="J621">
        <f ca="1">Inputs!E13+(Inputs!G13-Inputs!E13)*BETAINV(RAND(),Model!J7,Model!K7)</f>
        <v>0.40762105683121519</v>
      </c>
      <c r="K621">
        <f ca="1">(Inputs!H13+(Inputs!J13-Inputs!H13)*BETAINV(RAND(),Model!L7,Model!M7))*Inputs!$C$6</f>
        <v>39578.017769909988</v>
      </c>
      <c r="L621">
        <f t="shared" ca="1" si="193"/>
        <v>0.80974174577350766</v>
      </c>
      <c r="M621">
        <f t="shared" ca="1" si="194"/>
        <v>0.64141813873102815</v>
      </c>
      <c r="N621">
        <f t="shared" ca="1" si="195"/>
        <v>1</v>
      </c>
      <c r="O621" s="47">
        <f t="shared" ca="1" si="196"/>
        <v>39578.017769909988</v>
      </c>
      <c r="P621">
        <f ca="1">Inputs!B14+(Inputs!D14-Inputs!B14)*BETAINV(RAND(),Model!H8,Model!I8)</f>
        <v>0.26066227853730606</v>
      </c>
      <c r="Q621">
        <f ca="1">Inputs!E14+(Inputs!G14-Inputs!E14)*BETAINV(RAND(),Model!J8,Model!K8)</f>
        <v>0.5911395097085772</v>
      </c>
      <c r="R621">
        <f ca="1">(Inputs!H14+(Inputs!J14-Inputs!H14)*BETAINV(RAND(),Model!L8,Model!M8))*Inputs!$C$6</f>
        <v>203950.41131713826</v>
      </c>
      <c r="S621">
        <f t="shared" ca="1" si="197"/>
        <v>0.15408777153406369</v>
      </c>
      <c r="T621">
        <f t="shared" ca="1" si="198"/>
        <v>0.9114998375289699</v>
      </c>
      <c r="U621">
        <f t="shared" ca="1" si="199"/>
        <v>1</v>
      </c>
      <c r="V621" s="47">
        <f t="shared" ca="1" si="200"/>
        <v>203950.41131713826</v>
      </c>
      <c r="W621">
        <f ca="1">Inputs!B15+(Inputs!D15-Inputs!B15)*BETAINV(RAND(),Model!H9,Model!I9)</f>
        <v>0.63319121674175061</v>
      </c>
      <c r="X621">
        <f ca="1">Inputs!E15+(Inputs!G15-Inputs!E15)*BETAINV(RAND(),Model!J9,Model!K9)</f>
        <v>0.46283978149865135</v>
      </c>
      <c r="Y621">
        <f ca="1">(Inputs!H15+(Inputs!J15-Inputs!H15)*BETAINV(RAND(),Model!L9,Model!M9))*Inputs!$C$6</f>
        <v>14735.239181283901</v>
      </c>
      <c r="Z621">
        <f t="shared" ca="1" si="201"/>
        <v>0.29306608440361703</v>
      </c>
      <c r="AA621">
        <f t="shared" ca="1" si="202"/>
        <v>0.4807632080637203</v>
      </c>
      <c r="AB621">
        <f t="shared" ca="1" si="203"/>
        <v>0</v>
      </c>
      <c r="AC621" s="47">
        <f t="shared" ca="1" si="204"/>
        <v>0</v>
      </c>
      <c r="AD621">
        <f ca="1">Inputs!B16+(Inputs!D16-Inputs!B16)*BETAINV(RAND(),Model!H10,Model!I10)</f>
        <v>0.78667407836870429</v>
      </c>
      <c r="AE621">
        <f ca="1">Inputs!E16+(Inputs!G16-Inputs!E16)*BETAINV(RAND(),Model!J10,Model!K10)</f>
        <v>0.61829501390611408</v>
      </c>
      <c r="AF621">
        <f ca="1">(Inputs!H16+(Inputs!J16-Inputs!H16)*BETAINV(RAND(),Model!L10,Model!M10))*Inputs!$C$6</f>
        <v>88317.6618996373</v>
      </c>
      <c r="AG621">
        <f t="shared" ca="1" si="205"/>
        <v>0.48639666022455752</v>
      </c>
      <c r="AH621">
        <f t="shared" ca="1" si="206"/>
        <v>1.6498510949964906E-3</v>
      </c>
      <c r="AI621">
        <f t="shared" ca="1" si="207"/>
        <v>0</v>
      </c>
      <c r="AJ621" s="47">
        <f t="shared" ca="1" si="208"/>
        <v>0</v>
      </c>
      <c r="AK621">
        <f t="shared" ca="1" si="209"/>
        <v>326892.66896768659</v>
      </c>
    </row>
    <row r="622" spans="2:37" x14ac:dyDescent="0.2">
      <c r="B622">
        <f ca="1">Inputs!B12+(Inputs!D12-Inputs!B12)*BETAINV(RAND(),Model!H6,Model!I6)</f>
        <v>5.974552527909573</v>
      </c>
      <c r="C622">
        <f ca="1">Inputs!E12+(Inputs!G12-Inputs!E12)*BETAINV(RAND(),Model!J6,Model!K6)</f>
        <v>0.38649833811924617</v>
      </c>
      <c r="D622">
        <f ca="1">(Inputs!H12+(Inputs!J12-Inputs!H12)*BETAINV(RAND(),Model!L6,Model!M6))*Inputs!$C$6</f>
        <v>42739.187964473218</v>
      </c>
      <c r="E622">
        <f t="shared" ca="1" si="189"/>
        <v>2.3091546230431912</v>
      </c>
      <c r="F622">
        <f t="shared" ca="1" si="190"/>
        <v>0.33107440811494504</v>
      </c>
      <c r="G622">
        <f t="shared" ca="1" si="191"/>
        <v>2</v>
      </c>
      <c r="H622" s="47">
        <f t="shared" ca="1" si="192"/>
        <v>85478.375928946436</v>
      </c>
      <c r="I622">
        <f ca="1">Inputs!B13+(Inputs!D13-Inputs!B13)*BETAINV(RAND(),Model!H7,Model!I7)</f>
        <v>1.140643207550176</v>
      </c>
      <c r="J622">
        <f ca="1">Inputs!E13+(Inputs!G13-Inputs!E13)*BETAINV(RAND(),Model!J7,Model!K7)</f>
        <v>0.41628928387998476</v>
      </c>
      <c r="K622">
        <f ca="1">(Inputs!H13+(Inputs!J13-Inputs!H13)*BETAINV(RAND(),Model!L7,Model!M7))*Inputs!$C$6</f>
        <v>63250.011149503604</v>
      </c>
      <c r="L622">
        <f t="shared" ca="1" si="193"/>
        <v>0.4748375440336316</v>
      </c>
      <c r="M622">
        <f t="shared" ca="1" si="194"/>
        <v>0.18205384172362704</v>
      </c>
      <c r="N622">
        <f t="shared" ca="1" si="195"/>
        <v>0</v>
      </c>
      <c r="O622" s="47">
        <f t="shared" ca="1" si="196"/>
        <v>0</v>
      </c>
      <c r="P622">
        <f ca="1">Inputs!B14+(Inputs!D14-Inputs!B14)*BETAINV(RAND(),Model!H8,Model!I8)</f>
        <v>0.27516904414713927</v>
      </c>
      <c r="Q622">
        <f ca="1">Inputs!E14+(Inputs!G14-Inputs!E14)*BETAINV(RAND(),Model!J8,Model!K8)</f>
        <v>0.72057877824668626</v>
      </c>
      <c r="R622">
        <f ca="1">(Inputs!H14+(Inputs!J14-Inputs!H14)*BETAINV(RAND(),Model!L8,Model!M8))*Inputs!$C$6</f>
        <v>209510.01392988383</v>
      </c>
      <c r="S622">
        <f t="shared" ca="1" si="197"/>
        <v>0.1982809736428541</v>
      </c>
      <c r="T622">
        <f t="shared" ca="1" si="198"/>
        <v>0.72228029991117371</v>
      </c>
      <c r="U622">
        <f t="shared" ca="1" si="199"/>
        <v>0</v>
      </c>
      <c r="V622" s="47">
        <f t="shared" ca="1" si="200"/>
        <v>0</v>
      </c>
      <c r="W622">
        <f ca="1">Inputs!B15+(Inputs!D15-Inputs!B15)*BETAINV(RAND(),Model!H9,Model!I9)</f>
        <v>0.62946095030310001</v>
      </c>
      <c r="X622">
        <f ca="1">Inputs!E15+(Inputs!G15-Inputs!E15)*BETAINV(RAND(),Model!J9,Model!K9)</f>
        <v>0.36211622155345563</v>
      </c>
      <c r="Y622">
        <f ca="1">(Inputs!H15+(Inputs!J15-Inputs!H15)*BETAINV(RAND(),Model!L9,Model!M9))*Inputs!$C$6</f>
        <v>28653.774550564052</v>
      </c>
      <c r="Z622">
        <f t="shared" ca="1" si="201"/>
        <v>0.22793802093920609</v>
      </c>
      <c r="AA622">
        <f t="shared" ca="1" si="202"/>
        <v>0.54518221595770822</v>
      </c>
      <c r="AB622">
        <f t="shared" ca="1" si="203"/>
        <v>0</v>
      </c>
      <c r="AC622" s="47">
        <f t="shared" ca="1" si="204"/>
        <v>0</v>
      </c>
      <c r="AD622">
        <f ca="1">Inputs!B16+(Inputs!D16-Inputs!B16)*BETAINV(RAND(),Model!H10,Model!I10)</f>
        <v>0.68308339838603649</v>
      </c>
      <c r="AE622">
        <f ca="1">Inputs!E16+(Inputs!G16-Inputs!E16)*BETAINV(RAND(),Model!J10,Model!K10)</f>
        <v>0.50674820508063367</v>
      </c>
      <c r="AF622">
        <f ca="1">(Inputs!H16+(Inputs!J16-Inputs!H16)*BETAINV(RAND(),Model!L10,Model!M10))*Inputs!$C$6</f>
        <v>43169.740210025251</v>
      </c>
      <c r="AG622">
        <f t="shared" ca="1" si="205"/>
        <v>0.34615128605250339</v>
      </c>
      <c r="AH622">
        <f t="shared" ca="1" si="206"/>
        <v>0.46101224620160419</v>
      </c>
      <c r="AI622">
        <f t="shared" ca="1" si="207"/>
        <v>0</v>
      </c>
      <c r="AJ622" s="47">
        <f t="shared" ca="1" si="208"/>
        <v>0</v>
      </c>
      <c r="AK622">
        <f t="shared" ca="1" si="209"/>
        <v>85478.375928946436</v>
      </c>
    </row>
    <row r="623" spans="2:37" x14ac:dyDescent="0.2">
      <c r="B623">
        <f ca="1">Inputs!B12+(Inputs!D12-Inputs!B12)*BETAINV(RAND(),Model!H6,Model!I6)</f>
        <v>5.2091125634408257</v>
      </c>
      <c r="C623">
        <f ca="1">Inputs!E12+(Inputs!G12-Inputs!E12)*BETAINV(RAND(),Model!J6,Model!K6)</f>
        <v>0.38405126183338234</v>
      </c>
      <c r="D623">
        <f ca="1">(Inputs!H12+(Inputs!J12-Inputs!H12)*BETAINV(RAND(),Model!L6,Model!M6))*Inputs!$C$6</f>
        <v>16134.969097393883</v>
      </c>
      <c r="E623">
        <f t="shared" ca="1" si="189"/>
        <v>2.000566253021574</v>
      </c>
      <c r="F623">
        <f t="shared" ca="1" si="190"/>
        <v>0.34055911051675158</v>
      </c>
      <c r="G623">
        <f t="shared" ca="1" si="191"/>
        <v>1</v>
      </c>
      <c r="H623" s="47">
        <f t="shared" ca="1" si="192"/>
        <v>16134.969097393883</v>
      </c>
      <c r="I623">
        <f ca="1">Inputs!B13+(Inputs!D13-Inputs!B13)*BETAINV(RAND(),Model!H7,Model!I7)</f>
        <v>2.0747225007039041</v>
      </c>
      <c r="J623">
        <f ca="1">Inputs!E13+(Inputs!G13-Inputs!E13)*BETAINV(RAND(),Model!J7,Model!K7)</f>
        <v>0.40119119502747747</v>
      </c>
      <c r="K623">
        <f ca="1">(Inputs!H13+(Inputs!J13-Inputs!H13)*BETAINV(RAND(),Model!L7,Model!M7))*Inputs!$C$6</f>
        <v>57271.662909340746</v>
      </c>
      <c r="L623">
        <f t="shared" ca="1" si="193"/>
        <v>0.83236039940779571</v>
      </c>
      <c r="M623">
        <f t="shared" ca="1" si="194"/>
        <v>0.79245391286563871</v>
      </c>
      <c r="N623">
        <f t="shared" ca="1" si="195"/>
        <v>1</v>
      </c>
      <c r="O623" s="47">
        <f t="shared" ca="1" si="196"/>
        <v>57271.662909340746</v>
      </c>
      <c r="P623">
        <f ca="1">Inputs!B14+(Inputs!D14-Inputs!B14)*BETAINV(RAND(),Model!H8,Model!I8)</f>
        <v>0.29923866741692329</v>
      </c>
      <c r="Q623">
        <f ca="1">Inputs!E14+(Inputs!G14-Inputs!E14)*BETAINV(RAND(),Model!J8,Model!K8)</f>
        <v>0.44081387789153992</v>
      </c>
      <c r="R623">
        <f ca="1">(Inputs!H14+(Inputs!J14-Inputs!H14)*BETAINV(RAND(),Model!L8,Model!M8))*Inputs!$C$6</f>
        <v>494279.38456971711</v>
      </c>
      <c r="S623">
        <f t="shared" ca="1" si="197"/>
        <v>0.13190855739915075</v>
      </c>
      <c r="T623">
        <f t="shared" ca="1" si="198"/>
        <v>0.22062093713283992</v>
      </c>
      <c r="U623">
        <f t="shared" ca="1" si="199"/>
        <v>0</v>
      </c>
      <c r="V623" s="47">
        <f t="shared" ca="1" si="200"/>
        <v>0</v>
      </c>
      <c r="W623">
        <f ca="1">Inputs!B15+(Inputs!D15-Inputs!B15)*BETAINV(RAND(),Model!H9,Model!I9)</f>
        <v>1.2586160590008506</v>
      </c>
      <c r="X623">
        <f ca="1">Inputs!E15+(Inputs!G15-Inputs!E15)*BETAINV(RAND(),Model!J9,Model!K9)</f>
        <v>0.39344503549667381</v>
      </c>
      <c r="Y623">
        <f ca="1">(Inputs!H15+(Inputs!J15-Inputs!H15)*BETAINV(RAND(),Model!L9,Model!M9))*Inputs!$C$6</f>
        <v>39818.430627273097</v>
      </c>
      <c r="Z623">
        <f t="shared" ca="1" si="201"/>
        <v>0.49519624001027335</v>
      </c>
      <c r="AA623">
        <f t="shared" ca="1" si="202"/>
        <v>0.78724467578842083</v>
      </c>
      <c r="AB623">
        <f t="shared" ca="1" si="203"/>
        <v>1</v>
      </c>
      <c r="AC623" s="47">
        <f t="shared" ca="1" si="204"/>
        <v>39818.430627273097</v>
      </c>
      <c r="AD623">
        <f ca="1">Inputs!B16+(Inputs!D16-Inputs!B16)*BETAINV(RAND(),Model!H10,Model!I10)</f>
        <v>0.86341290289983585</v>
      </c>
      <c r="AE623">
        <f ca="1">Inputs!E16+(Inputs!G16-Inputs!E16)*BETAINV(RAND(),Model!J10,Model!K10)</f>
        <v>0.72462592795308478</v>
      </c>
      <c r="AF623">
        <f ca="1">(Inputs!H16+(Inputs!J16-Inputs!H16)*BETAINV(RAND(),Model!L10,Model!M10))*Inputs!$C$6</f>
        <v>63181.985693271505</v>
      </c>
      <c r="AG623">
        <f t="shared" ca="1" si="205"/>
        <v>0.62565137597046028</v>
      </c>
      <c r="AH623">
        <f t="shared" ca="1" si="206"/>
        <v>0.30760101073427604</v>
      </c>
      <c r="AI623">
        <f t="shared" ca="1" si="207"/>
        <v>0</v>
      </c>
      <c r="AJ623" s="47">
        <f t="shared" ca="1" si="208"/>
        <v>0</v>
      </c>
      <c r="AK623">
        <f t="shared" ca="1" si="209"/>
        <v>113225.06263400771</v>
      </c>
    </row>
    <row r="624" spans="2:37" x14ac:dyDescent="0.2">
      <c r="B624">
        <f ca="1">Inputs!B12+(Inputs!D12-Inputs!B12)*BETAINV(RAND(),Model!H6,Model!I6)</f>
        <v>2.6424492727192366</v>
      </c>
      <c r="C624">
        <f ca="1">Inputs!E12+(Inputs!G12-Inputs!E12)*BETAINV(RAND(),Model!J6,Model!K6)</f>
        <v>0.41489016661461475</v>
      </c>
      <c r="D624">
        <f ca="1">(Inputs!H12+(Inputs!J12-Inputs!H12)*BETAINV(RAND(),Model!L6,Model!M6))*Inputs!$C$6</f>
        <v>23016.641639224417</v>
      </c>
      <c r="E624">
        <f t="shared" ca="1" si="189"/>
        <v>1.0963262190291516</v>
      </c>
      <c r="F624">
        <f t="shared" ca="1" si="190"/>
        <v>0.89701762023704212</v>
      </c>
      <c r="G624">
        <f t="shared" ca="1" si="191"/>
        <v>2</v>
      </c>
      <c r="H624" s="47">
        <f t="shared" ca="1" si="192"/>
        <v>46033.283278448835</v>
      </c>
      <c r="I624">
        <f ca="1">Inputs!B13+(Inputs!D13-Inputs!B13)*BETAINV(RAND(),Model!H7,Model!I7)</f>
        <v>2.6130959077347722</v>
      </c>
      <c r="J624">
        <f ca="1">Inputs!E13+(Inputs!G13-Inputs!E13)*BETAINV(RAND(),Model!J7,Model!K7)</f>
        <v>0.20138715928431009</v>
      </c>
      <c r="K624">
        <f ca="1">(Inputs!H13+(Inputs!J13-Inputs!H13)*BETAINV(RAND(),Model!L7,Model!M7))*Inputs!$C$6</f>
        <v>40859.65977419087</v>
      </c>
      <c r="L624">
        <f t="shared" ca="1" si="193"/>
        <v>0.5262439617961614</v>
      </c>
      <c r="M624">
        <f t="shared" ca="1" si="194"/>
        <v>0.51925441645773174</v>
      </c>
      <c r="N624">
        <f t="shared" ca="1" si="195"/>
        <v>0</v>
      </c>
      <c r="O624" s="47">
        <f t="shared" ca="1" si="196"/>
        <v>0</v>
      </c>
      <c r="P624">
        <f ca="1">Inputs!B14+(Inputs!D14-Inputs!B14)*BETAINV(RAND(),Model!H8,Model!I8)</f>
        <v>0.37726944063180123</v>
      </c>
      <c r="Q624">
        <f ca="1">Inputs!E14+(Inputs!G14-Inputs!E14)*BETAINV(RAND(),Model!J8,Model!K8)</f>
        <v>0.55883325738747014</v>
      </c>
      <c r="R624">
        <f ca="1">(Inputs!H14+(Inputs!J14-Inputs!H14)*BETAINV(RAND(),Model!L8,Model!M8))*Inputs!$C$6</f>
        <v>214717.80819040519</v>
      </c>
      <c r="S624">
        <f t="shared" ca="1" si="197"/>
        <v>0.21083071042101825</v>
      </c>
      <c r="T624">
        <f t="shared" ca="1" si="198"/>
        <v>0.55074435127299726</v>
      </c>
      <c r="U624">
        <f t="shared" ca="1" si="199"/>
        <v>0</v>
      </c>
      <c r="V624" s="47">
        <f t="shared" ca="1" si="200"/>
        <v>0</v>
      </c>
      <c r="W624">
        <f ca="1">Inputs!B15+(Inputs!D15-Inputs!B15)*BETAINV(RAND(),Model!H9,Model!I9)</f>
        <v>0.99591656214650781</v>
      </c>
      <c r="X624">
        <f ca="1">Inputs!E15+(Inputs!G15-Inputs!E15)*BETAINV(RAND(),Model!J9,Model!K9)</f>
        <v>0.56162411364688469</v>
      </c>
      <c r="Y624">
        <f ca="1">(Inputs!H15+(Inputs!J15-Inputs!H15)*BETAINV(RAND(),Model!L9,Model!M9))*Inputs!$C$6</f>
        <v>66056.229525468996</v>
      </c>
      <c r="Z624">
        <f t="shared" ca="1" si="201"/>
        <v>0.55933075648178499</v>
      </c>
      <c r="AA624">
        <f t="shared" ca="1" si="202"/>
        <v>0.92972431337568751</v>
      </c>
      <c r="AB624">
        <f t="shared" ca="1" si="203"/>
        <v>2</v>
      </c>
      <c r="AC624" s="47">
        <f t="shared" ca="1" si="204"/>
        <v>132112.45905093799</v>
      </c>
      <c r="AD624">
        <f ca="1">Inputs!B16+(Inputs!D16-Inputs!B16)*BETAINV(RAND(),Model!H10,Model!I10)</f>
        <v>0.73984633640951269</v>
      </c>
      <c r="AE624">
        <f ca="1">Inputs!E16+(Inputs!G16-Inputs!E16)*BETAINV(RAND(),Model!J10,Model!K10)</f>
        <v>0.5989417117832051</v>
      </c>
      <c r="AF624">
        <f ca="1">(Inputs!H16+(Inputs!J16-Inputs!H16)*BETAINV(RAND(),Model!L10,Model!M10))*Inputs!$C$6</f>
        <v>80374.943408408697</v>
      </c>
      <c r="AG624">
        <f t="shared" ca="1" si="205"/>
        <v>0.44312483118564655</v>
      </c>
      <c r="AH624">
        <f t="shared" ca="1" si="206"/>
        <v>0.50764266504743416</v>
      </c>
      <c r="AI624">
        <f t="shared" ca="1" si="207"/>
        <v>0</v>
      </c>
      <c r="AJ624" s="47">
        <f t="shared" ca="1" si="208"/>
        <v>0</v>
      </c>
      <c r="AK624">
        <f t="shared" ca="1" si="209"/>
        <v>178145.74232938682</v>
      </c>
    </row>
    <row r="625" spans="2:37" x14ac:dyDescent="0.2">
      <c r="B625">
        <f ca="1">Inputs!B12+(Inputs!D12-Inputs!B12)*BETAINV(RAND(),Model!H6,Model!I6)</f>
        <v>2.6489108780650765</v>
      </c>
      <c r="C625">
        <f ca="1">Inputs!E12+(Inputs!G12-Inputs!E12)*BETAINV(RAND(),Model!J6,Model!K6)</f>
        <v>0.48089187511679243</v>
      </c>
      <c r="D625">
        <f ca="1">(Inputs!H12+(Inputs!J12-Inputs!H12)*BETAINV(RAND(),Model!L6,Model!M6))*Inputs!$C$6</f>
        <v>27849.918656085105</v>
      </c>
      <c r="E625">
        <f t="shared" ca="1" si="189"/>
        <v>1.2738397191699837</v>
      </c>
      <c r="F625">
        <f t="shared" ca="1" si="190"/>
        <v>0.35652352239668939</v>
      </c>
      <c r="G625">
        <f t="shared" ca="1" si="191"/>
        <v>1</v>
      </c>
      <c r="H625" s="47">
        <f t="shared" ca="1" si="192"/>
        <v>27849.918656085105</v>
      </c>
      <c r="I625">
        <f ca="1">Inputs!B13+(Inputs!D13-Inputs!B13)*BETAINV(RAND(),Model!H7,Model!I7)</f>
        <v>2.6149408895235298</v>
      </c>
      <c r="J625">
        <f ca="1">Inputs!E13+(Inputs!G13-Inputs!E13)*BETAINV(RAND(),Model!J7,Model!K7)</f>
        <v>0.29600143609746599</v>
      </c>
      <c r="K625">
        <f ca="1">(Inputs!H13+(Inputs!J13-Inputs!H13)*BETAINV(RAND(),Model!L7,Model!M7))*Inputs!$C$6</f>
        <v>37392.291996222899</v>
      </c>
      <c r="L625">
        <f t="shared" ca="1" si="193"/>
        <v>0.77402625860894991</v>
      </c>
      <c r="M625">
        <f t="shared" ca="1" si="194"/>
        <v>0.83281250164757636</v>
      </c>
      <c r="N625">
        <f t="shared" ca="1" si="195"/>
        <v>2</v>
      </c>
      <c r="O625" s="47">
        <f t="shared" ca="1" si="196"/>
        <v>74784.583992445798</v>
      </c>
      <c r="P625">
        <f ca="1">Inputs!B14+(Inputs!D14-Inputs!B14)*BETAINV(RAND(),Model!H8,Model!I8)</f>
        <v>0.25242852612341882</v>
      </c>
      <c r="Q625">
        <f ca="1">Inputs!E14+(Inputs!G14-Inputs!E14)*BETAINV(RAND(),Model!J8,Model!K8)</f>
        <v>0.55447393957689284</v>
      </c>
      <c r="R625">
        <f ca="1">(Inputs!H14+(Inputs!J14-Inputs!H14)*BETAINV(RAND(),Model!L8,Model!M8))*Inputs!$C$6</f>
        <v>373225.55212321761</v>
      </c>
      <c r="S625">
        <f t="shared" ca="1" si="197"/>
        <v>0.13996503934124063</v>
      </c>
      <c r="T625">
        <f t="shared" ca="1" si="198"/>
        <v>0.22204984253553839</v>
      </c>
      <c r="U625">
        <f t="shared" ca="1" si="199"/>
        <v>0</v>
      </c>
      <c r="V625" s="47">
        <f t="shared" ca="1" si="200"/>
        <v>0</v>
      </c>
      <c r="W625">
        <f ca="1">Inputs!B15+(Inputs!D15-Inputs!B15)*BETAINV(RAND(),Model!H9,Model!I9)</f>
        <v>2.3893670368983191</v>
      </c>
      <c r="X625">
        <f ca="1">Inputs!E15+(Inputs!G15-Inputs!E15)*BETAINV(RAND(),Model!J9,Model!K9)</f>
        <v>0.38394528586199611</v>
      </c>
      <c r="Y625">
        <f ca="1">(Inputs!H15+(Inputs!J15-Inputs!H15)*BETAINV(RAND(),Model!L9,Model!M9))*Inputs!$C$6</f>
        <v>23267.578241228679</v>
      </c>
      <c r="Z625">
        <f t="shared" ca="1" si="201"/>
        <v>0.91738621001115572</v>
      </c>
      <c r="AA625">
        <f t="shared" ca="1" si="202"/>
        <v>0.24917727957050295</v>
      </c>
      <c r="AB625">
        <f t="shared" ca="1" si="203"/>
        <v>0</v>
      </c>
      <c r="AC625" s="47">
        <f t="shared" ca="1" si="204"/>
        <v>0</v>
      </c>
      <c r="AD625">
        <f ca="1">Inputs!B16+(Inputs!D16-Inputs!B16)*BETAINV(RAND(),Model!H10,Model!I10)</f>
        <v>0.8346481964003527</v>
      </c>
      <c r="AE625">
        <f ca="1">Inputs!E16+(Inputs!G16-Inputs!E16)*BETAINV(RAND(),Model!J10,Model!K10)</f>
        <v>0.67717710410041754</v>
      </c>
      <c r="AF625">
        <f ca="1">(Inputs!H16+(Inputs!J16-Inputs!H16)*BETAINV(RAND(),Model!L10,Model!M10))*Inputs!$C$6</f>
        <v>141145.83750596264</v>
      </c>
      <c r="AG625">
        <f t="shared" ca="1" si="205"/>
        <v>0.56520464858102737</v>
      </c>
      <c r="AH625">
        <f t="shared" ca="1" si="206"/>
        <v>0.16715502677319449</v>
      </c>
      <c r="AI625">
        <f t="shared" ca="1" si="207"/>
        <v>0</v>
      </c>
      <c r="AJ625" s="47">
        <f t="shared" ca="1" si="208"/>
        <v>0</v>
      </c>
      <c r="AK625">
        <f t="shared" ca="1" si="209"/>
        <v>102634.50264853091</v>
      </c>
    </row>
    <row r="626" spans="2:37" x14ac:dyDescent="0.2">
      <c r="B626">
        <f ca="1">Inputs!B12+(Inputs!D12-Inputs!B12)*BETAINV(RAND(),Model!H6,Model!I6)</f>
        <v>2.8139883534236061</v>
      </c>
      <c r="C626">
        <f ca="1">Inputs!E12+(Inputs!G12-Inputs!E12)*BETAINV(RAND(),Model!J6,Model!K6)</f>
        <v>0.43846918894775089</v>
      </c>
      <c r="D626">
        <f ca="1">(Inputs!H12+(Inputs!J12-Inputs!H12)*BETAINV(RAND(),Model!L6,Model!M6))*Inputs!$C$6</f>
        <v>34861.908952558799</v>
      </c>
      <c r="E626">
        <f t="shared" ca="1" si="189"/>
        <v>1.2338471910340656</v>
      </c>
      <c r="F626">
        <f t="shared" ca="1" si="190"/>
        <v>0.54909877316476241</v>
      </c>
      <c r="G626">
        <f t="shared" ca="1" si="191"/>
        <v>1</v>
      </c>
      <c r="H626" s="47">
        <f t="shared" ca="1" si="192"/>
        <v>34861.908952558799</v>
      </c>
      <c r="I626">
        <f ca="1">Inputs!B13+(Inputs!D13-Inputs!B13)*BETAINV(RAND(),Model!H7,Model!I7)</f>
        <v>2.6337656796338158</v>
      </c>
      <c r="J626">
        <f ca="1">Inputs!E13+(Inputs!G13-Inputs!E13)*BETAINV(RAND(),Model!J7,Model!K7)</f>
        <v>0.34146153206273461</v>
      </c>
      <c r="K626">
        <f ca="1">(Inputs!H13+(Inputs!J13-Inputs!H13)*BETAINV(RAND(),Model!L7,Model!M7))*Inputs!$C$6</f>
        <v>53363.180900712359</v>
      </c>
      <c r="L626">
        <f t="shared" ca="1" si="193"/>
        <v>0.8993296640620122</v>
      </c>
      <c r="M626">
        <f t="shared" ca="1" si="194"/>
        <v>0.58031034117902358</v>
      </c>
      <c r="N626">
        <f t="shared" ca="1" si="195"/>
        <v>1</v>
      </c>
      <c r="O626" s="47">
        <f t="shared" ca="1" si="196"/>
        <v>53363.180900712359</v>
      </c>
      <c r="P626">
        <f ca="1">Inputs!B14+(Inputs!D14-Inputs!B14)*BETAINV(RAND(),Model!H8,Model!I8)</f>
        <v>0.30302997899637518</v>
      </c>
      <c r="Q626">
        <f ca="1">Inputs!E14+(Inputs!G14-Inputs!E14)*BETAINV(RAND(),Model!J8,Model!K8)</f>
        <v>0.52928265503748639</v>
      </c>
      <c r="R626">
        <f ca="1">(Inputs!H14+(Inputs!J14-Inputs!H14)*BETAINV(RAND(),Model!L8,Model!M8))*Inputs!$C$6</f>
        <v>419915.43923653173</v>
      </c>
      <c r="S626">
        <f t="shared" ca="1" si="197"/>
        <v>0.1603885118391552</v>
      </c>
      <c r="T626">
        <f t="shared" ca="1" si="198"/>
        <v>0.70977852771732219</v>
      </c>
      <c r="U626">
        <f t="shared" ca="1" si="199"/>
        <v>0</v>
      </c>
      <c r="V626" s="47">
        <f t="shared" ca="1" si="200"/>
        <v>0</v>
      </c>
      <c r="W626">
        <f ca="1">Inputs!B15+(Inputs!D15-Inputs!B15)*BETAINV(RAND(),Model!H9,Model!I9)</f>
        <v>1.5903207608039358</v>
      </c>
      <c r="X626">
        <f ca="1">Inputs!E15+(Inputs!G15-Inputs!E15)*BETAINV(RAND(),Model!J9,Model!K9)</f>
        <v>0.31988571409915534</v>
      </c>
      <c r="Y626">
        <f ca="1">(Inputs!H15+(Inputs!J15-Inputs!H15)*BETAINV(RAND(),Model!L9,Model!M9))*Inputs!$C$6</f>
        <v>35335.27303680918</v>
      </c>
      <c r="Z626">
        <f t="shared" ca="1" si="201"/>
        <v>0.50872089221647898</v>
      </c>
      <c r="AA626">
        <f t="shared" ca="1" si="202"/>
        <v>0.41540740981144098</v>
      </c>
      <c r="AB626">
        <f t="shared" ca="1" si="203"/>
        <v>0</v>
      </c>
      <c r="AC626" s="47">
        <f t="shared" ca="1" si="204"/>
        <v>0</v>
      </c>
      <c r="AD626">
        <f ca="1">Inputs!B16+(Inputs!D16-Inputs!B16)*BETAINV(RAND(),Model!H10,Model!I10)</f>
        <v>0.77455247027932717</v>
      </c>
      <c r="AE626">
        <f ca="1">Inputs!E16+(Inputs!G16-Inputs!E16)*BETAINV(RAND(),Model!J10,Model!K10)</f>
        <v>0.61108708761058383</v>
      </c>
      <c r="AF626">
        <f ca="1">(Inputs!H16+(Inputs!J16-Inputs!H16)*BETAINV(RAND(),Model!L10,Model!M10))*Inputs!$C$6</f>
        <v>120161.16803481631</v>
      </c>
      <c r="AG626">
        <f t="shared" ca="1" si="205"/>
        <v>0.47331901326457732</v>
      </c>
      <c r="AH626">
        <f t="shared" ca="1" si="206"/>
        <v>0.1970796883290834</v>
      </c>
      <c r="AI626">
        <f t="shared" ca="1" si="207"/>
        <v>0</v>
      </c>
      <c r="AJ626" s="47">
        <f t="shared" ca="1" si="208"/>
        <v>0</v>
      </c>
      <c r="AK626">
        <f t="shared" ca="1" si="209"/>
        <v>88225.089853271158</v>
      </c>
    </row>
    <row r="627" spans="2:37" x14ac:dyDescent="0.2">
      <c r="B627">
        <f ca="1">Inputs!B12+(Inputs!D12-Inputs!B12)*BETAINV(RAND(),Model!H6,Model!I6)</f>
        <v>4.4866075652915089</v>
      </c>
      <c r="C627">
        <f ca="1">Inputs!E12+(Inputs!G12-Inputs!E12)*BETAINV(RAND(),Model!J6,Model!K6)</f>
        <v>0.26660149997822308</v>
      </c>
      <c r="D627">
        <f ca="1">(Inputs!H12+(Inputs!J12-Inputs!H12)*BETAINV(RAND(),Model!L6,Model!M6))*Inputs!$C$6</f>
        <v>35274.520860336394</v>
      </c>
      <c r="E627">
        <f t="shared" ca="1" si="189"/>
        <v>1.1961363067203596</v>
      </c>
      <c r="F627">
        <f t="shared" ca="1" si="190"/>
        <v>0.48596657268632337</v>
      </c>
      <c r="G627">
        <f t="shared" ca="1" si="191"/>
        <v>1</v>
      </c>
      <c r="H627" s="47">
        <f t="shared" ca="1" si="192"/>
        <v>35274.520860336394</v>
      </c>
      <c r="I627">
        <f ca="1">Inputs!B13+(Inputs!D13-Inputs!B13)*BETAINV(RAND(),Model!H7,Model!I7)</f>
        <v>2.4793022822295696</v>
      </c>
      <c r="J627">
        <f ca="1">Inputs!E13+(Inputs!G13-Inputs!E13)*BETAINV(RAND(),Model!J7,Model!K7)</f>
        <v>0.45035433714192175</v>
      </c>
      <c r="K627">
        <f ca="1">(Inputs!H13+(Inputs!J13-Inputs!H13)*BETAINV(RAND(),Model!L7,Model!M7))*Inputs!$C$6</f>
        <v>51537.921969206494</v>
      </c>
      <c r="L627">
        <f t="shared" ca="1" si="193"/>
        <v>1.1165645358879517</v>
      </c>
      <c r="M627">
        <f t="shared" ca="1" si="194"/>
        <v>0.91301678700349242</v>
      </c>
      <c r="N627">
        <f t="shared" ca="1" si="195"/>
        <v>3</v>
      </c>
      <c r="O627" s="47">
        <f t="shared" ca="1" si="196"/>
        <v>154613.7659076195</v>
      </c>
      <c r="P627">
        <f ca="1">Inputs!B14+(Inputs!D14-Inputs!B14)*BETAINV(RAND(),Model!H8,Model!I8)</f>
        <v>0.34784095490211042</v>
      </c>
      <c r="Q627">
        <f ca="1">Inputs!E14+(Inputs!G14-Inputs!E14)*BETAINV(RAND(),Model!J8,Model!K8)</f>
        <v>0.64502418144443963</v>
      </c>
      <c r="R627">
        <f ca="1">(Inputs!H14+(Inputs!J14-Inputs!H14)*BETAINV(RAND(),Model!L8,Model!M8))*Inputs!$C$6</f>
        <v>404959.63947075745</v>
      </c>
      <c r="S627">
        <f t="shared" ca="1" si="197"/>
        <v>0.22436582720858603</v>
      </c>
      <c r="T627">
        <f t="shared" ca="1" si="198"/>
        <v>0.68542190187368301</v>
      </c>
      <c r="U627">
        <f t="shared" ca="1" si="199"/>
        <v>0</v>
      </c>
      <c r="V627" s="47">
        <f t="shared" ca="1" si="200"/>
        <v>0</v>
      </c>
      <c r="W627">
        <f ca="1">Inputs!B15+(Inputs!D15-Inputs!B15)*BETAINV(RAND(),Model!H9,Model!I9)</f>
        <v>2.1007322486938702</v>
      </c>
      <c r="X627">
        <f ca="1">Inputs!E15+(Inputs!G15-Inputs!E15)*BETAINV(RAND(),Model!J9,Model!K9)</f>
        <v>0.35514719870638123</v>
      </c>
      <c r="Y627">
        <f ca="1">(Inputs!H15+(Inputs!J15-Inputs!H15)*BETAINV(RAND(),Model!L9,Model!M9))*Inputs!$C$6</f>
        <v>29500.504702615905</v>
      </c>
      <c r="Z627">
        <f t="shared" ca="1" si="201"/>
        <v>0.74606917335578504</v>
      </c>
      <c r="AA627">
        <f t="shared" ca="1" si="202"/>
        <v>0.90290264924322328</v>
      </c>
      <c r="AB627">
        <f t="shared" ca="1" si="203"/>
        <v>2</v>
      </c>
      <c r="AC627" s="47">
        <f t="shared" ca="1" si="204"/>
        <v>59001.009405231809</v>
      </c>
      <c r="AD627">
        <f ca="1">Inputs!B16+(Inputs!D16-Inputs!B16)*BETAINV(RAND(),Model!H10,Model!I10)</f>
        <v>0.70446763994942141</v>
      </c>
      <c r="AE627">
        <f ca="1">Inputs!E16+(Inputs!G16-Inputs!E16)*BETAINV(RAND(),Model!J10,Model!K10)</f>
        <v>0.48907759345887741</v>
      </c>
      <c r="AF627">
        <f ca="1">(Inputs!H16+(Inputs!J16-Inputs!H16)*BETAINV(RAND(),Model!L10,Model!M10))*Inputs!$C$6</f>
        <v>130106.73224285906</v>
      </c>
      <c r="AG627">
        <f t="shared" ca="1" si="205"/>
        <v>0.34453933801611797</v>
      </c>
      <c r="AH627">
        <f t="shared" ca="1" si="206"/>
        <v>0.5692392807963077</v>
      </c>
      <c r="AI627">
        <f t="shared" ca="1" si="207"/>
        <v>0</v>
      </c>
      <c r="AJ627" s="47">
        <f t="shared" ca="1" si="208"/>
        <v>0</v>
      </c>
      <c r="AK627">
        <f t="shared" ca="1" si="209"/>
        <v>248889.2961731877</v>
      </c>
    </row>
    <row r="628" spans="2:37" x14ac:dyDescent="0.2">
      <c r="B628">
        <f ca="1">Inputs!B12+(Inputs!D12-Inputs!B12)*BETAINV(RAND(),Model!H6,Model!I6)</f>
        <v>4.0284713974207449</v>
      </c>
      <c r="C628">
        <f ca="1">Inputs!E12+(Inputs!G12-Inputs!E12)*BETAINV(RAND(),Model!J6,Model!K6)</f>
        <v>0.33311024646356724</v>
      </c>
      <c r="D628">
        <f ca="1">(Inputs!H12+(Inputs!J12-Inputs!H12)*BETAINV(RAND(),Model!L6,Model!M6))*Inputs!$C$6</f>
        <v>34335.082615114137</v>
      </c>
      <c r="E628">
        <f t="shared" ca="1" si="189"/>
        <v>1.3419251000662555</v>
      </c>
      <c r="F628">
        <f t="shared" ca="1" si="190"/>
        <v>0.68004896145305649</v>
      </c>
      <c r="G628">
        <f t="shared" ca="1" si="191"/>
        <v>2</v>
      </c>
      <c r="H628" s="47">
        <f t="shared" ca="1" si="192"/>
        <v>68670.165230228275</v>
      </c>
      <c r="I628">
        <f ca="1">Inputs!B13+(Inputs!D13-Inputs!B13)*BETAINV(RAND(),Model!H7,Model!I7)</f>
        <v>1.1774375916625082</v>
      </c>
      <c r="J628">
        <f ca="1">Inputs!E13+(Inputs!G13-Inputs!E13)*BETAINV(RAND(),Model!J7,Model!K7)</f>
        <v>0.23639727321846712</v>
      </c>
      <c r="K628">
        <f ca="1">(Inputs!H13+(Inputs!J13-Inputs!H13)*BETAINV(RAND(),Model!L7,Model!M7))*Inputs!$C$6</f>
        <v>34232.441973041306</v>
      </c>
      <c r="L628">
        <f t="shared" ca="1" si="193"/>
        <v>0.27834303605393584</v>
      </c>
      <c r="M628">
        <f t="shared" ca="1" si="194"/>
        <v>0.6386994922192335</v>
      </c>
      <c r="N628">
        <f t="shared" ca="1" si="195"/>
        <v>0</v>
      </c>
      <c r="O628" s="47">
        <f t="shared" ca="1" si="196"/>
        <v>0</v>
      </c>
      <c r="P628">
        <f ca="1">Inputs!B14+(Inputs!D14-Inputs!B14)*BETAINV(RAND(),Model!H8,Model!I8)</f>
        <v>0.43379553598696763</v>
      </c>
      <c r="Q628">
        <f ca="1">Inputs!E14+(Inputs!G14-Inputs!E14)*BETAINV(RAND(),Model!J8,Model!K8)</f>
        <v>0.46587394843943347</v>
      </c>
      <c r="R628">
        <f ca="1">(Inputs!H14+(Inputs!J14-Inputs!H14)*BETAINV(RAND(),Model!L8,Model!M8))*Inputs!$C$6</f>
        <v>300950.60664101387</v>
      </c>
      <c r="S628">
        <f t="shared" ca="1" si="197"/>
        <v>0.20209403916564897</v>
      </c>
      <c r="T628">
        <f t="shared" ca="1" si="198"/>
        <v>0.2708242613065136</v>
      </c>
      <c r="U628">
        <f t="shared" ca="1" si="199"/>
        <v>0</v>
      </c>
      <c r="V628" s="47">
        <f t="shared" ca="1" si="200"/>
        <v>0</v>
      </c>
      <c r="W628">
        <f ca="1">Inputs!B15+(Inputs!D15-Inputs!B15)*BETAINV(RAND(),Model!H9,Model!I9)</f>
        <v>0.58434568561897082</v>
      </c>
      <c r="X628">
        <f ca="1">Inputs!E15+(Inputs!G15-Inputs!E15)*BETAINV(RAND(),Model!J9,Model!K9)</f>
        <v>0.59932897967505583</v>
      </c>
      <c r="Y628">
        <f ca="1">(Inputs!H15+(Inputs!J15-Inputs!H15)*BETAINV(RAND(),Model!L9,Model!M9))*Inputs!$C$6</f>
        <v>24319.997987014907</v>
      </c>
      <c r="Z628">
        <f t="shared" ca="1" si="201"/>
        <v>0.35021530353953872</v>
      </c>
      <c r="AA628">
        <f t="shared" ca="1" si="202"/>
        <v>0.73360602018477361</v>
      </c>
      <c r="AB628">
        <f t="shared" ca="1" si="203"/>
        <v>1</v>
      </c>
      <c r="AC628" s="47">
        <f t="shared" ca="1" si="204"/>
        <v>24319.997987014907</v>
      </c>
      <c r="AD628">
        <f ca="1">Inputs!B16+(Inputs!D16-Inputs!B16)*BETAINV(RAND(),Model!H10,Model!I10)</f>
        <v>0.96441196549771391</v>
      </c>
      <c r="AE628">
        <f ca="1">Inputs!E16+(Inputs!G16-Inputs!E16)*BETAINV(RAND(),Model!J10,Model!K10)</f>
        <v>0.76488675388391847</v>
      </c>
      <c r="AF628">
        <f ca="1">(Inputs!H16+(Inputs!J16-Inputs!H16)*BETAINV(RAND(),Model!L10,Model!M10))*Inputs!$C$6</f>
        <v>43748.575667065525</v>
      </c>
      <c r="AG628">
        <f t="shared" ca="1" si="205"/>
        <v>0.73766593769635602</v>
      </c>
      <c r="AH628">
        <f t="shared" ca="1" si="206"/>
        <v>0.82474033532316238</v>
      </c>
      <c r="AI628">
        <f t="shared" ca="1" si="207"/>
        <v>1</v>
      </c>
      <c r="AJ628" s="47">
        <f t="shared" ca="1" si="208"/>
        <v>43748.575667065525</v>
      </c>
      <c r="AK628">
        <f t="shared" ca="1" si="209"/>
        <v>136738.73888430872</v>
      </c>
    </row>
    <row r="629" spans="2:37" x14ac:dyDescent="0.2">
      <c r="B629">
        <f ca="1">Inputs!B12+(Inputs!D12-Inputs!B12)*BETAINV(RAND(),Model!H6,Model!I6)</f>
        <v>3.925695613315435</v>
      </c>
      <c r="C629">
        <f ca="1">Inputs!E12+(Inputs!G12-Inputs!E12)*BETAINV(RAND(),Model!J6,Model!K6)</f>
        <v>0.22320298756753529</v>
      </c>
      <c r="D629">
        <f ca="1">(Inputs!H12+(Inputs!J12-Inputs!H12)*BETAINV(RAND(),Model!L6,Model!M6))*Inputs!$C$6</f>
        <v>13427.927394756125</v>
      </c>
      <c r="E629">
        <f t="shared" ca="1" si="189"/>
        <v>0.87622698917277286</v>
      </c>
      <c r="F629">
        <f t="shared" ca="1" si="190"/>
        <v>0.15621391711450694</v>
      </c>
      <c r="G629">
        <f t="shared" ca="1" si="191"/>
        <v>0</v>
      </c>
      <c r="H629" s="47">
        <f t="shared" ca="1" si="192"/>
        <v>0</v>
      </c>
      <c r="I629">
        <f ca="1">Inputs!B13+(Inputs!D13-Inputs!B13)*BETAINV(RAND(),Model!H7,Model!I7)</f>
        <v>1.8597720662002828</v>
      </c>
      <c r="J629">
        <f ca="1">Inputs!E13+(Inputs!G13-Inputs!E13)*BETAINV(RAND(),Model!J7,Model!K7)</f>
        <v>0.27811635609474894</v>
      </c>
      <c r="K629">
        <f ca="1">(Inputs!H13+(Inputs!J13-Inputs!H13)*BETAINV(RAND(),Model!L7,Model!M7))*Inputs!$C$6</f>
        <v>50771.989852639024</v>
      </c>
      <c r="L629">
        <f t="shared" ca="1" si="193"/>
        <v>0.51723303021842482</v>
      </c>
      <c r="M629">
        <f t="shared" ca="1" si="194"/>
        <v>0.54821473898655448</v>
      </c>
      <c r="N629">
        <f t="shared" ca="1" si="195"/>
        <v>0</v>
      </c>
      <c r="O629" s="47">
        <f t="shared" ca="1" si="196"/>
        <v>0</v>
      </c>
      <c r="P629">
        <f ca="1">Inputs!B14+(Inputs!D14-Inputs!B14)*BETAINV(RAND(),Model!H8,Model!I8)</f>
        <v>0.40597115574728837</v>
      </c>
      <c r="Q629">
        <f ca="1">Inputs!E14+(Inputs!G14-Inputs!E14)*BETAINV(RAND(),Model!J8,Model!K8)</f>
        <v>0.72571903282668182</v>
      </c>
      <c r="R629">
        <f ca="1">(Inputs!H14+(Inputs!J14-Inputs!H14)*BETAINV(RAND(),Model!L8,Model!M8))*Inputs!$C$6</f>
        <v>469963.57149863796</v>
      </c>
      <c r="S629">
        <f t="shared" ca="1" si="197"/>
        <v>0.29462099450445234</v>
      </c>
      <c r="T629">
        <f t="shared" ca="1" si="198"/>
        <v>0.4010087030198477</v>
      </c>
      <c r="U629">
        <f t="shared" ca="1" si="199"/>
        <v>0</v>
      </c>
      <c r="V629" s="47">
        <f t="shared" ca="1" si="200"/>
        <v>0</v>
      </c>
      <c r="W629">
        <f ca="1">Inputs!B15+(Inputs!D15-Inputs!B15)*BETAINV(RAND(),Model!H9,Model!I9)</f>
        <v>1.1041453319984336</v>
      </c>
      <c r="X629">
        <f ca="1">Inputs!E15+(Inputs!G15-Inputs!E15)*BETAINV(RAND(),Model!J9,Model!K9)</f>
        <v>0.37361893513654798</v>
      </c>
      <c r="Y629">
        <f ca="1">(Inputs!H15+(Inputs!J15-Inputs!H15)*BETAINV(RAND(),Model!L9,Model!M9))*Inputs!$C$6</f>
        <v>44882.515078056989</v>
      </c>
      <c r="Z629">
        <f t="shared" ca="1" si="201"/>
        <v>0.41252960317724496</v>
      </c>
      <c r="AA629">
        <f t="shared" ca="1" si="202"/>
        <v>0.27599083512633127</v>
      </c>
      <c r="AB629">
        <f t="shared" ca="1" si="203"/>
        <v>0</v>
      </c>
      <c r="AC629" s="47">
        <f t="shared" ca="1" si="204"/>
        <v>0</v>
      </c>
      <c r="AD629">
        <f ca="1">Inputs!B16+(Inputs!D16-Inputs!B16)*BETAINV(RAND(),Model!H10,Model!I10)</f>
        <v>1.0078618261204157</v>
      </c>
      <c r="AE629">
        <f ca="1">Inputs!E16+(Inputs!G16-Inputs!E16)*BETAINV(RAND(),Model!J10,Model!K10)</f>
        <v>0.6962458541704275</v>
      </c>
      <c r="AF629">
        <f ca="1">(Inputs!H16+(Inputs!J16-Inputs!H16)*BETAINV(RAND(),Model!L10,Model!M10))*Inputs!$C$6</f>
        <v>91469.064258348284</v>
      </c>
      <c r="AG629">
        <f t="shared" ca="1" si="205"/>
        <v>0.70171961801297578</v>
      </c>
      <c r="AH629">
        <f t="shared" ca="1" si="206"/>
        <v>0.27949410181980539</v>
      </c>
      <c r="AI629">
        <f t="shared" ca="1" si="207"/>
        <v>0</v>
      </c>
      <c r="AJ629" s="47">
        <f t="shared" ca="1" si="208"/>
        <v>0</v>
      </c>
      <c r="AK629">
        <f t="shared" ca="1" si="209"/>
        <v>0</v>
      </c>
    </row>
    <row r="630" spans="2:37" x14ac:dyDescent="0.2">
      <c r="B630">
        <f ca="1">Inputs!B12+(Inputs!D12-Inputs!B12)*BETAINV(RAND(),Model!H6,Model!I6)</f>
        <v>2.6576450372828599</v>
      </c>
      <c r="C630">
        <f ca="1">Inputs!E12+(Inputs!G12-Inputs!E12)*BETAINV(RAND(),Model!J6,Model!K6)</f>
        <v>0.32727882349087634</v>
      </c>
      <c r="D630">
        <f ca="1">(Inputs!H12+(Inputs!J12-Inputs!H12)*BETAINV(RAND(),Model!L6,Model!M6))*Inputs!$C$6</f>
        <v>38845.765487117889</v>
      </c>
      <c r="E630">
        <f t="shared" ca="1" si="189"/>
        <v>0.86979094105830057</v>
      </c>
      <c r="F630">
        <f t="shared" ca="1" si="190"/>
        <v>0.42185666417690937</v>
      </c>
      <c r="G630">
        <f t="shared" ca="1" si="191"/>
        <v>1</v>
      </c>
      <c r="H630" s="47">
        <f t="shared" ca="1" si="192"/>
        <v>38845.765487117889</v>
      </c>
      <c r="I630">
        <f ca="1">Inputs!B13+(Inputs!D13-Inputs!B13)*BETAINV(RAND(),Model!H7,Model!I7)</f>
        <v>3.4608989319787642</v>
      </c>
      <c r="J630">
        <f ca="1">Inputs!E13+(Inputs!G13-Inputs!E13)*BETAINV(RAND(),Model!J7,Model!K7)</f>
        <v>0.3351120893579399</v>
      </c>
      <c r="K630">
        <f ca="1">(Inputs!H13+(Inputs!J13-Inputs!H13)*BETAINV(RAND(),Model!L7,Model!M7))*Inputs!$C$6</f>
        <v>47722.854991582673</v>
      </c>
      <c r="L630">
        <f t="shared" ca="1" si="193"/>
        <v>1.1597890721520665</v>
      </c>
      <c r="M630">
        <f t="shared" ca="1" si="194"/>
        <v>0.4706141871028483</v>
      </c>
      <c r="N630">
        <f t="shared" ca="1" si="195"/>
        <v>1</v>
      </c>
      <c r="O630" s="47">
        <f t="shared" ca="1" si="196"/>
        <v>47722.854991582673</v>
      </c>
      <c r="P630">
        <f ca="1">Inputs!B14+(Inputs!D14-Inputs!B14)*BETAINV(RAND(),Model!H8,Model!I8)</f>
        <v>0.44828782379202448</v>
      </c>
      <c r="Q630">
        <f ca="1">Inputs!E14+(Inputs!G14-Inputs!E14)*BETAINV(RAND(),Model!J8,Model!K8)</f>
        <v>0.52833656805582574</v>
      </c>
      <c r="R630">
        <f ca="1">(Inputs!H14+(Inputs!J14-Inputs!H14)*BETAINV(RAND(),Model!L8,Model!M8))*Inputs!$C$6</f>
        <v>494957.26501772302</v>
      </c>
      <c r="S630">
        <f t="shared" ca="1" si="197"/>
        <v>0.23684685032349295</v>
      </c>
      <c r="T630">
        <f t="shared" ca="1" si="198"/>
        <v>0.37535160769982523</v>
      </c>
      <c r="U630">
        <f t="shared" ca="1" si="199"/>
        <v>0</v>
      </c>
      <c r="V630" s="47">
        <f t="shared" ca="1" si="200"/>
        <v>0</v>
      </c>
      <c r="W630">
        <f ca="1">Inputs!B15+(Inputs!D15-Inputs!B15)*BETAINV(RAND(),Model!H9,Model!I9)</f>
        <v>0.52080410670166555</v>
      </c>
      <c r="X630">
        <f ca="1">Inputs!E15+(Inputs!G15-Inputs!E15)*BETAINV(RAND(),Model!J9,Model!K9)</f>
        <v>0.36953785426452701</v>
      </c>
      <c r="Y630">
        <f ca="1">(Inputs!H15+(Inputs!J15-Inputs!H15)*BETAINV(RAND(),Model!L9,Model!M9))*Inputs!$C$6</f>
        <v>34340.898162407335</v>
      </c>
      <c r="Z630">
        <f t="shared" ca="1" si="201"/>
        <v>0.19245683208268727</v>
      </c>
      <c r="AA630">
        <f t="shared" ca="1" si="202"/>
        <v>0.3706419229575928</v>
      </c>
      <c r="AB630">
        <f t="shared" ca="1" si="203"/>
        <v>0</v>
      </c>
      <c r="AC630" s="47">
        <f t="shared" ca="1" si="204"/>
        <v>0</v>
      </c>
      <c r="AD630">
        <f ca="1">Inputs!B16+(Inputs!D16-Inputs!B16)*BETAINV(RAND(),Model!H10,Model!I10)</f>
        <v>0.32420084860579246</v>
      </c>
      <c r="AE630">
        <f ca="1">Inputs!E16+(Inputs!G16-Inputs!E16)*BETAINV(RAND(),Model!J10,Model!K10)</f>
        <v>0.64294652283019926</v>
      </c>
      <c r="AF630">
        <f ca="1">(Inputs!H16+(Inputs!J16-Inputs!H16)*BETAINV(RAND(),Model!L10,Model!M10))*Inputs!$C$6</f>
        <v>117682.02617266044</v>
      </c>
      <c r="AG630">
        <f t="shared" ca="1" si="205"/>
        <v>0.20844380830969411</v>
      </c>
      <c r="AH630">
        <f t="shared" ca="1" si="206"/>
        <v>0.56381806029008852</v>
      </c>
      <c r="AI630">
        <f t="shared" ca="1" si="207"/>
        <v>0</v>
      </c>
      <c r="AJ630" s="47">
        <f t="shared" ca="1" si="208"/>
        <v>0</v>
      </c>
      <c r="AK630">
        <f t="shared" ca="1" si="209"/>
        <v>86568.620478700555</v>
      </c>
    </row>
    <row r="631" spans="2:37" x14ac:dyDescent="0.2">
      <c r="B631">
        <f ca="1">Inputs!B12+(Inputs!D12-Inputs!B12)*BETAINV(RAND(),Model!H6,Model!I6)</f>
        <v>2.5119029056644373</v>
      </c>
      <c r="C631">
        <f ca="1">Inputs!E12+(Inputs!G12-Inputs!E12)*BETAINV(RAND(),Model!J6,Model!K6)</f>
        <v>0.38915311304181577</v>
      </c>
      <c r="D631">
        <f ca="1">(Inputs!H12+(Inputs!J12-Inputs!H12)*BETAINV(RAND(),Model!L6,Model!M6))*Inputs!$C$6</f>
        <v>12542.572270262919</v>
      </c>
      <c r="E631">
        <f t="shared" ca="1" si="189"/>
        <v>0.97751483539809825</v>
      </c>
      <c r="F631">
        <f t="shared" ca="1" si="190"/>
        <v>0.72590518168854845</v>
      </c>
      <c r="G631">
        <f t="shared" ca="1" si="191"/>
        <v>1</v>
      </c>
      <c r="H631" s="47">
        <f t="shared" ca="1" si="192"/>
        <v>12542.572270262919</v>
      </c>
      <c r="I631">
        <f ca="1">Inputs!B13+(Inputs!D13-Inputs!B13)*BETAINV(RAND(),Model!H7,Model!I7)</f>
        <v>2.0002736923129278</v>
      </c>
      <c r="J631">
        <f ca="1">Inputs!E13+(Inputs!G13-Inputs!E13)*BETAINV(RAND(),Model!J7,Model!K7)</f>
        <v>0.16342532354186051</v>
      </c>
      <c r="K631">
        <f ca="1">(Inputs!H13+(Inputs!J13-Inputs!H13)*BETAINV(RAND(),Model!L7,Model!M7))*Inputs!$C$6</f>
        <v>40542.950269794012</v>
      </c>
      <c r="L631">
        <f t="shared" ca="1" si="193"/>
        <v>0.32689537533851215</v>
      </c>
      <c r="M631">
        <f t="shared" ca="1" si="194"/>
        <v>0.53539253935540387</v>
      </c>
      <c r="N631">
        <f t="shared" ca="1" si="195"/>
        <v>0</v>
      </c>
      <c r="O631" s="47">
        <f t="shared" ca="1" si="196"/>
        <v>0</v>
      </c>
      <c r="P631">
        <f ca="1">Inputs!B14+(Inputs!D14-Inputs!B14)*BETAINV(RAND(),Model!H8,Model!I8)</f>
        <v>0.50688342336607339</v>
      </c>
      <c r="Q631">
        <f ca="1">Inputs!E14+(Inputs!G14-Inputs!E14)*BETAINV(RAND(),Model!J8,Model!K8)</f>
        <v>0.54958794034235381</v>
      </c>
      <c r="R631">
        <f ca="1">(Inputs!H14+(Inputs!J14-Inputs!H14)*BETAINV(RAND(),Model!L8,Model!M8))*Inputs!$C$6</f>
        <v>512810.48234612204</v>
      </c>
      <c r="S631">
        <f t="shared" ca="1" si="197"/>
        <v>0.27857701664144163</v>
      </c>
      <c r="T631">
        <f t="shared" ca="1" si="198"/>
        <v>0.10133680576594861</v>
      </c>
      <c r="U631">
        <f t="shared" ca="1" si="199"/>
        <v>0</v>
      </c>
      <c r="V631" s="47">
        <f t="shared" ca="1" si="200"/>
        <v>0</v>
      </c>
      <c r="W631">
        <f ca="1">Inputs!B15+(Inputs!D15-Inputs!B15)*BETAINV(RAND(),Model!H9,Model!I9)</f>
        <v>1.3559234931792976</v>
      </c>
      <c r="X631">
        <f ca="1">Inputs!E15+(Inputs!G15-Inputs!E15)*BETAINV(RAND(),Model!J9,Model!K9)</f>
        <v>0.38302202257837836</v>
      </c>
      <c r="Y631">
        <f ca="1">(Inputs!H15+(Inputs!J15-Inputs!H15)*BETAINV(RAND(),Model!L9,Model!M9))*Inputs!$C$6</f>
        <v>19540.636950840744</v>
      </c>
      <c r="Z631">
        <f t="shared" ca="1" si="201"/>
        <v>0.5193485588190746</v>
      </c>
      <c r="AA631">
        <f t="shared" ca="1" si="202"/>
        <v>0.90150437173851816</v>
      </c>
      <c r="AB631">
        <f t="shared" ca="1" si="203"/>
        <v>1</v>
      </c>
      <c r="AC631" s="47">
        <f t="shared" ca="1" si="204"/>
        <v>19540.636950840744</v>
      </c>
      <c r="AD631">
        <f ca="1">Inputs!B16+(Inputs!D16-Inputs!B16)*BETAINV(RAND(),Model!H10,Model!I10)</f>
        <v>0.92255719431910577</v>
      </c>
      <c r="AE631">
        <f ca="1">Inputs!E16+(Inputs!G16-Inputs!E16)*BETAINV(RAND(),Model!J10,Model!K10)</f>
        <v>0.68814689337448653</v>
      </c>
      <c r="AF631">
        <f ca="1">(Inputs!H16+(Inputs!J16-Inputs!H16)*BETAINV(RAND(),Model!L10,Model!M10))*Inputs!$C$6</f>
        <v>41893.966049961178</v>
      </c>
      <c r="AG631">
        <f t="shared" ca="1" si="205"/>
        <v>0.63485486723097517</v>
      </c>
      <c r="AH631">
        <f t="shared" ca="1" si="206"/>
        <v>0.49504735007635237</v>
      </c>
      <c r="AI631">
        <f t="shared" ca="1" si="207"/>
        <v>0</v>
      </c>
      <c r="AJ631" s="47">
        <f t="shared" ca="1" si="208"/>
        <v>0</v>
      </c>
      <c r="AK631">
        <f t="shared" ca="1" si="209"/>
        <v>32083.209221103665</v>
      </c>
    </row>
    <row r="632" spans="2:37" x14ac:dyDescent="0.2">
      <c r="B632">
        <f ca="1">Inputs!B12+(Inputs!D12-Inputs!B12)*BETAINV(RAND(),Model!H6,Model!I6)</f>
        <v>2.9570662119411955</v>
      </c>
      <c r="C632">
        <f ca="1">Inputs!E12+(Inputs!G12-Inputs!E12)*BETAINV(RAND(),Model!J6,Model!K6)</f>
        <v>0.33159316914958648</v>
      </c>
      <c r="D632">
        <f ca="1">(Inputs!H12+(Inputs!J12-Inputs!H12)*BETAINV(RAND(),Model!L6,Model!M6))*Inputs!$C$6</f>
        <v>39713.708257532046</v>
      </c>
      <c r="E632">
        <f t="shared" ca="1" si="189"/>
        <v>0.98054295660274371</v>
      </c>
      <c r="F632">
        <f t="shared" ca="1" si="190"/>
        <v>0.28893755117295283</v>
      </c>
      <c r="G632">
        <f t="shared" ca="1" si="191"/>
        <v>0</v>
      </c>
      <c r="H632" s="47">
        <f t="shared" ca="1" si="192"/>
        <v>0</v>
      </c>
      <c r="I632">
        <f ca="1">Inputs!B13+(Inputs!D13-Inputs!B13)*BETAINV(RAND(),Model!H7,Model!I7)</f>
        <v>2.7160372960027552</v>
      </c>
      <c r="J632">
        <f ca="1">Inputs!E13+(Inputs!G13-Inputs!E13)*BETAINV(RAND(),Model!J7,Model!K7)</f>
        <v>0.19497531861341949</v>
      </c>
      <c r="K632">
        <f ca="1">(Inputs!H13+(Inputs!J13-Inputs!H13)*BETAINV(RAND(),Model!L7,Model!M7))*Inputs!$C$6</f>
        <v>35471.31063791093</v>
      </c>
      <c r="L632">
        <f t="shared" ca="1" si="193"/>
        <v>0.52956023715406753</v>
      </c>
      <c r="M632">
        <f t="shared" ca="1" si="194"/>
        <v>7.9557063878241463E-2</v>
      </c>
      <c r="N632">
        <f t="shared" ca="1" si="195"/>
        <v>0</v>
      </c>
      <c r="O632" s="47">
        <f t="shared" ca="1" si="196"/>
        <v>0</v>
      </c>
      <c r="P632">
        <f ca="1">Inputs!B14+(Inputs!D14-Inputs!B14)*BETAINV(RAND(),Model!H8,Model!I8)</f>
        <v>0.38592982579835133</v>
      </c>
      <c r="Q632">
        <f ca="1">Inputs!E14+(Inputs!G14-Inputs!E14)*BETAINV(RAND(),Model!J8,Model!K8)</f>
        <v>0.41979103198834611</v>
      </c>
      <c r="R632">
        <f ca="1">(Inputs!H14+(Inputs!J14-Inputs!H14)*BETAINV(RAND(),Model!L8,Model!M8))*Inputs!$C$6</f>
        <v>364584.64693121641</v>
      </c>
      <c r="S632">
        <f t="shared" ca="1" si="197"/>
        <v>0.16200987984697254</v>
      </c>
      <c r="T632">
        <f t="shared" ca="1" si="198"/>
        <v>0.74046961681957901</v>
      </c>
      <c r="U632">
        <f t="shared" ca="1" si="199"/>
        <v>0</v>
      </c>
      <c r="V632" s="47">
        <f t="shared" ca="1" si="200"/>
        <v>0</v>
      </c>
      <c r="W632">
        <f ca="1">Inputs!B15+(Inputs!D15-Inputs!B15)*BETAINV(RAND(),Model!H9,Model!I9)</f>
        <v>1.2036185934014854</v>
      </c>
      <c r="X632">
        <f ca="1">Inputs!E15+(Inputs!G15-Inputs!E15)*BETAINV(RAND(),Model!J9,Model!K9)</f>
        <v>0.57644394758929085</v>
      </c>
      <c r="Y632">
        <f ca="1">(Inputs!H15+(Inputs!J15-Inputs!H15)*BETAINV(RAND(),Model!L9,Model!M9))*Inputs!$C$6</f>
        <v>12601.150633464322</v>
      </c>
      <c r="Z632">
        <f t="shared" ca="1" si="201"/>
        <v>0.69381865337222182</v>
      </c>
      <c r="AA632">
        <f t="shared" ca="1" si="202"/>
        <v>0.653960582632654</v>
      </c>
      <c r="AB632">
        <f t="shared" ca="1" si="203"/>
        <v>1</v>
      </c>
      <c r="AC632" s="47">
        <f t="shared" ca="1" si="204"/>
        <v>12601.150633464322</v>
      </c>
      <c r="AD632">
        <f ca="1">Inputs!B16+(Inputs!D16-Inputs!B16)*BETAINV(RAND(),Model!H10,Model!I10)</f>
        <v>0.97716298057160067</v>
      </c>
      <c r="AE632">
        <f ca="1">Inputs!E16+(Inputs!G16-Inputs!E16)*BETAINV(RAND(),Model!J10,Model!K10)</f>
        <v>0.63316082150030684</v>
      </c>
      <c r="AF632">
        <f ca="1">(Inputs!H16+(Inputs!J16-Inputs!H16)*BETAINV(RAND(),Model!L10,Model!M10))*Inputs!$C$6</f>
        <v>86405.128357348993</v>
      </c>
      <c r="AG632">
        <f t="shared" ca="1" si="205"/>
        <v>0.61870131551840302</v>
      </c>
      <c r="AH632">
        <f t="shared" ca="1" si="206"/>
        <v>0.62793336317812887</v>
      </c>
      <c r="AI632">
        <f t="shared" ca="1" si="207"/>
        <v>1</v>
      </c>
      <c r="AJ632" s="47">
        <f t="shared" ca="1" si="208"/>
        <v>86405.128357348993</v>
      </c>
      <c r="AK632">
        <f t="shared" ca="1" si="209"/>
        <v>99006.278990813313</v>
      </c>
    </row>
    <row r="633" spans="2:37" x14ac:dyDescent="0.2">
      <c r="B633">
        <f ca="1">Inputs!B12+(Inputs!D12-Inputs!B12)*BETAINV(RAND(),Model!H6,Model!I6)</f>
        <v>5.2953517617393953</v>
      </c>
      <c r="C633">
        <f ca="1">Inputs!E12+(Inputs!G12-Inputs!E12)*BETAINV(RAND(),Model!J6,Model!K6)</f>
        <v>0.40574349420120859</v>
      </c>
      <c r="D633">
        <f ca="1">(Inputs!H12+(Inputs!J12-Inputs!H12)*BETAINV(RAND(),Model!L6,Model!M6))*Inputs!$C$6</f>
        <v>18957.907677572319</v>
      </c>
      <c r="E633">
        <f t="shared" ca="1" si="189"/>
        <v>2.148554526832668</v>
      </c>
      <c r="F633">
        <f t="shared" ca="1" si="190"/>
        <v>0.98535250386463091</v>
      </c>
      <c r="G633">
        <f t="shared" ca="1" si="191"/>
        <v>4</v>
      </c>
      <c r="H633" s="47">
        <f t="shared" ca="1" si="192"/>
        <v>75831.630710289275</v>
      </c>
      <c r="I633">
        <f ca="1">Inputs!B13+(Inputs!D13-Inputs!B13)*BETAINV(RAND(),Model!H7,Model!I7)</f>
        <v>3.1108074472988485</v>
      </c>
      <c r="J633">
        <f ca="1">Inputs!E13+(Inputs!G13-Inputs!E13)*BETAINV(RAND(),Model!J7,Model!K7)</f>
        <v>0.39746669647852795</v>
      </c>
      <c r="K633">
        <f ca="1">(Inputs!H13+(Inputs!J13-Inputs!H13)*BETAINV(RAND(),Model!L7,Model!M7))*Inputs!$C$6</f>
        <v>25243.260747477991</v>
      </c>
      <c r="L633">
        <f t="shared" ca="1" si="193"/>
        <v>1.2364423594586758</v>
      </c>
      <c r="M633">
        <f t="shared" ca="1" si="194"/>
        <v>0.88865007356553483</v>
      </c>
      <c r="N633">
        <f t="shared" ca="1" si="195"/>
        <v>3</v>
      </c>
      <c r="O633" s="47">
        <f t="shared" ca="1" si="196"/>
        <v>75729.782242433968</v>
      </c>
      <c r="P633">
        <f ca="1">Inputs!B14+(Inputs!D14-Inputs!B14)*BETAINV(RAND(),Model!H8,Model!I8)</f>
        <v>0.28514321048140057</v>
      </c>
      <c r="Q633">
        <f ca="1">Inputs!E14+(Inputs!G14-Inputs!E14)*BETAINV(RAND(),Model!J8,Model!K8)</f>
        <v>0.60756494844424669</v>
      </c>
      <c r="R633">
        <f ca="1">(Inputs!H14+(Inputs!J14-Inputs!H14)*BETAINV(RAND(),Model!L8,Model!M8))*Inputs!$C$6</f>
        <v>262583.39051043318</v>
      </c>
      <c r="S633">
        <f t="shared" ca="1" si="197"/>
        <v>0.17324301997535912</v>
      </c>
      <c r="T633">
        <f t="shared" ca="1" si="198"/>
        <v>0.9880042068409508</v>
      </c>
      <c r="U633">
        <f t="shared" ca="1" si="199"/>
        <v>2</v>
      </c>
      <c r="V633" s="47">
        <f t="shared" ca="1" si="200"/>
        <v>525166.78102086636</v>
      </c>
      <c r="W633">
        <f ca="1">Inputs!B15+(Inputs!D15-Inputs!B15)*BETAINV(RAND(),Model!H9,Model!I9)</f>
        <v>1.4259311650911997</v>
      </c>
      <c r="X633">
        <f ca="1">Inputs!E15+(Inputs!G15-Inputs!E15)*BETAINV(RAND(),Model!J9,Model!K9)</f>
        <v>0.51792998459093642</v>
      </c>
      <c r="Y633">
        <f ca="1">(Inputs!H15+(Inputs!J15-Inputs!H15)*BETAINV(RAND(),Model!L9,Model!M9))*Inputs!$C$6</f>
        <v>51381.565129285184</v>
      </c>
      <c r="Z633">
        <f t="shared" ca="1" si="201"/>
        <v>0.73853250636342105</v>
      </c>
      <c r="AA633">
        <f t="shared" ca="1" si="202"/>
        <v>0.67262724697153387</v>
      </c>
      <c r="AB633">
        <f t="shared" ca="1" si="203"/>
        <v>1</v>
      </c>
      <c r="AC633" s="47">
        <f t="shared" ca="1" si="204"/>
        <v>51381.565129285184</v>
      </c>
      <c r="AD633">
        <f ca="1">Inputs!B16+(Inputs!D16-Inputs!B16)*BETAINV(RAND(),Model!H10,Model!I10)</f>
        <v>0.75117921913315566</v>
      </c>
      <c r="AE633">
        <f ca="1">Inputs!E16+(Inputs!G16-Inputs!E16)*BETAINV(RAND(),Model!J10,Model!K10)</f>
        <v>0.64186694433519731</v>
      </c>
      <c r="AF633">
        <f ca="1">(Inputs!H16+(Inputs!J16-Inputs!H16)*BETAINV(RAND(),Model!L10,Model!M10))*Inputs!$C$6</f>
        <v>75561.261081815159</v>
      </c>
      <c r="AG633">
        <f t="shared" ca="1" si="205"/>
        <v>0.48215711003309819</v>
      </c>
      <c r="AH633">
        <f t="shared" ca="1" si="206"/>
        <v>0.50332450979082577</v>
      </c>
      <c r="AI633">
        <f t="shared" ca="1" si="207"/>
        <v>0</v>
      </c>
      <c r="AJ633" s="47">
        <f t="shared" ca="1" si="208"/>
        <v>0</v>
      </c>
      <c r="AK633">
        <f t="shared" ca="1" si="209"/>
        <v>728109.75910287478</v>
      </c>
    </row>
    <row r="634" spans="2:37" x14ac:dyDescent="0.2">
      <c r="B634">
        <f ca="1">Inputs!B12+(Inputs!D12-Inputs!B12)*BETAINV(RAND(),Model!H6,Model!I6)</f>
        <v>1.9205705507450692</v>
      </c>
      <c r="C634">
        <f ca="1">Inputs!E12+(Inputs!G12-Inputs!E12)*BETAINV(RAND(),Model!J6,Model!K6)</f>
        <v>0.24791510874477801</v>
      </c>
      <c r="D634">
        <f ca="1">(Inputs!H12+(Inputs!J12-Inputs!H12)*BETAINV(RAND(),Model!L6,Model!M6))*Inputs!$C$6</f>
        <v>20105.384481916673</v>
      </c>
      <c r="E634">
        <f t="shared" ca="1" si="189"/>
        <v>0.47613845693998202</v>
      </c>
      <c r="F634">
        <f t="shared" ca="1" si="190"/>
        <v>0.85245758766339552</v>
      </c>
      <c r="G634">
        <f t="shared" ca="1" si="191"/>
        <v>1</v>
      </c>
      <c r="H634" s="47">
        <f t="shared" ca="1" si="192"/>
        <v>20105.384481916673</v>
      </c>
      <c r="I634">
        <f ca="1">Inputs!B13+(Inputs!D13-Inputs!B13)*BETAINV(RAND(),Model!H7,Model!I7)</f>
        <v>2.3042429558435931</v>
      </c>
      <c r="J634">
        <f ca="1">Inputs!E13+(Inputs!G13-Inputs!E13)*BETAINV(RAND(),Model!J7,Model!K7)</f>
        <v>0.1915889301221185</v>
      </c>
      <c r="K634">
        <f ca="1">(Inputs!H13+(Inputs!J13-Inputs!H13)*BETAINV(RAND(),Model!L7,Model!M7))*Inputs!$C$6</f>
        <v>10294.343231452143</v>
      </c>
      <c r="L634">
        <f t="shared" ca="1" si="193"/>
        <v>0.44146744265150195</v>
      </c>
      <c r="M634">
        <f t="shared" ca="1" si="194"/>
        <v>5.5399513569380998E-2</v>
      </c>
      <c r="N634">
        <f t="shared" ca="1" si="195"/>
        <v>0</v>
      </c>
      <c r="O634" s="47">
        <f t="shared" ca="1" si="196"/>
        <v>0</v>
      </c>
      <c r="P634">
        <f ca="1">Inputs!B14+(Inputs!D14-Inputs!B14)*BETAINV(RAND(),Model!H8,Model!I8)</f>
        <v>0.25698601169517282</v>
      </c>
      <c r="Q634">
        <f ca="1">Inputs!E14+(Inputs!G14-Inputs!E14)*BETAINV(RAND(),Model!J8,Model!K8)</f>
        <v>0.42208017309553791</v>
      </c>
      <c r="R634">
        <f ca="1">(Inputs!H14+(Inputs!J14-Inputs!H14)*BETAINV(RAND(),Model!L8,Model!M8))*Inputs!$C$6</f>
        <v>419888.85073098127</v>
      </c>
      <c r="S634">
        <f t="shared" ca="1" si="197"/>
        <v>0.10846870029943048</v>
      </c>
      <c r="T634">
        <f t="shared" ca="1" si="198"/>
        <v>0.99656710210900767</v>
      </c>
      <c r="U634">
        <f t="shared" ca="1" si="199"/>
        <v>2</v>
      </c>
      <c r="V634" s="47">
        <f t="shared" ca="1" si="200"/>
        <v>839777.70146196254</v>
      </c>
      <c r="W634">
        <f ca="1">Inputs!B15+(Inputs!D15-Inputs!B15)*BETAINV(RAND(),Model!H9,Model!I9)</f>
        <v>1.7690541547553769</v>
      </c>
      <c r="X634">
        <f ca="1">Inputs!E15+(Inputs!G15-Inputs!E15)*BETAINV(RAND(),Model!J9,Model!K9)</f>
        <v>0.49269121436048174</v>
      </c>
      <c r="Y634">
        <f ca="1">(Inputs!H15+(Inputs!J15-Inputs!H15)*BETAINV(RAND(),Model!L9,Model!M9))*Inputs!$C$6</f>
        <v>36719.277752913178</v>
      </c>
      <c r="Z634">
        <f t="shared" ca="1" si="201"/>
        <v>0.87159743977588222</v>
      </c>
      <c r="AA634">
        <f t="shared" ca="1" si="202"/>
        <v>4.453883386536206E-2</v>
      </c>
      <c r="AB634">
        <f t="shared" ca="1" si="203"/>
        <v>0</v>
      </c>
      <c r="AC634" s="47">
        <f t="shared" ca="1" si="204"/>
        <v>0</v>
      </c>
      <c r="AD634">
        <f ca="1">Inputs!B16+(Inputs!D16-Inputs!B16)*BETAINV(RAND(),Model!H10,Model!I10)</f>
        <v>1.0234432090850398</v>
      </c>
      <c r="AE634">
        <f ca="1">Inputs!E16+(Inputs!G16-Inputs!E16)*BETAINV(RAND(),Model!J10,Model!K10)</f>
        <v>0.53231872943228575</v>
      </c>
      <c r="AF634">
        <f ca="1">(Inputs!H16+(Inputs!J16-Inputs!H16)*BETAINV(RAND(),Model!L10,Model!M10))*Inputs!$C$6</f>
        <v>110384.63442409319</v>
      </c>
      <c r="AG634">
        <f t="shared" ca="1" si="205"/>
        <v>0.54479798870624963</v>
      </c>
      <c r="AH634">
        <f t="shared" ca="1" si="206"/>
        <v>0.15515044047851623</v>
      </c>
      <c r="AI634">
        <f t="shared" ca="1" si="207"/>
        <v>0</v>
      </c>
      <c r="AJ634" s="47">
        <f t="shared" ca="1" si="208"/>
        <v>0</v>
      </c>
      <c r="AK634">
        <f t="shared" ca="1" si="209"/>
        <v>859883.08594387921</v>
      </c>
    </row>
    <row r="635" spans="2:37" x14ac:dyDescent="0.2">
      <c r="B635">
        <f ca="1">Inputs!B12+(Inputs!D12-Inputs!B12)*BETAINV(RAND(),Model!H6,Model!I6)</f>
        <v>4.6390962402215816</v>
      </c>
      <c r="C635">
        <f ca="1">Inputs!E12+(Inputs!G12-Inputs!E12)*BETAINV(RAND(),Model!J6,Model!K6)</f>
        <v>0.30951303338553332</v>
      </c>
      <c r="D635">
        <f ca="1">(Inputs!H12+(Inputs!J12-Inputs!H12)*BETAINV(RAND(),Model!L6,Model!M6))*Inputs!$C$6</f>
        <v>17089.299972638011</v>
      </c>
      <c r="E635">
        <f t="shared" ca="1" si="189"/>
        <v>1.4358607494784046</v>
      </c>
      <c r="F635">
        <f t="shared" ca="1" si="190"/>
        <v>4.6826617150417471E-2</v>
      </c>
      <c r="G635">
        <f t="shared" ca="1" si="191"/>
        <v>0</v>
      </c>
      <c r="H635" s="47">
        <f t="shared" ca="1" si="192"/>
        <v>0</v>
      </c>
      <c r="I635">
        <f ca="1">Inputs!B13+(Inputs!D13-Inputs!B13)*BETAINV(RAND(),Model!H7,Model!I7)</f>
        <v>2.316618792201302</v>
      </c>
      <c r="J635">
        <f ca="1">Inputs!E13+(Inputs!G13-Inputs!E13)*BETAINV(RAND(),Model!J7,Model!K7)</f>
        <v>0.2528656943221404</v>
      </c>
      <c r="K635">
        <f ca="1">(Inputs!H13+(Inputs!J13-Inputs!H13)*BETAINV(RAND(),Model!L7,Model!M7))*Inputs!$C$6</f>
        <v>79502.477361147787</v>
      </c>
      <c r="L635">
        <f t="shared" ca="1" si="193"/>
        <v>0.58579341936970053</v>
      </c>
      <c r="M635">
        <f t="shared" ca="1" si="194"/>
        <v>0.60108939611088918</v>
      </c>
      <c r="N635">
        <f t="shared" ca="1" si="195"/>
        <v>1</v>
      </c>
      <c r="O635" s="47">
        <f t="shared" ca="1" si="196"/>
        <v>79502.477361147787</v>
      </c>
      <c r="P635">
        <f ca="1">Inputs!B14+(Inputs!D14-Inputs!B14)*BETAINV(RAND(),Model!H8,Model!I8)</f>
        <v>0.11912786609974169</v>
      </c>
      <c r="Q635">
        <f ca="1">Inputs!E14+(Inputs!G14-Inputs!E14)*BETAINV(RAND(),Model!J8,Model!K8)</f>
        <v>0.5636784348255035</v>
      </c>
      <c r="R635">
        <f ca="1">(Inputs!H14+(Inputs!J14-Inputs!H14)*BETAINV(RAND(),Model!L8,Model!M8))*Inputs!$C$6</f>
        <v>307613.91315971146</v>
      </c>
      <c r="S635">
        <f t="shared" ca="1" si="197"/>
        <v>6.7149809107204556E-2</v>
      </c>
      <c r="T635">
        <f t="shared" ca="1" si="198"/>
        <v>0.24770933712985754</v>
      </c>
      <c r="U635">
        <f t="shared" ca="1" si="199"/>
        <v>0</v>
      </c>
      <c r="V635" s="47">
        <f t="shared" ca="1" si="200"/>
        <v>0</v>
      </c>
      <c r="W635">
        <f ca="1">Inputs!B15+(Inputs!D15-Inputs!B15)*BETAINV(RAND(),Model!H9,Model!I9)</f>
        <v>1.5412344905743851</v>
      </c>
      <c r="X635">
        <f ca="1">Inputs!E15+(Inputs!G15-Inputs!E15)*BETAINV(RAND(),Model!J9,Model!K9)</f>
        <v>0.43568686990776861</v>
      </c>
      <c r="Y635">
        <f ca="1">(Inputs!H15+(Inputs!J15-Inputs!H15)*BETAINV(RAND(),Model!L9,Model!M9))*Inputs!$C$6</f>
        <v>34415.011945576465</v>
      </c>
      <c r="Z635">
        <f t="shared" ca="1" si="201"/>
        <v>0.67149563099224818</v>
      </c>
      <c r="AA635">
        <f t="shared" ca="1" si="202"/>
        <v>0.49696495260373386</v>
      </c>
      <c r="AB635">
        <f t="shared" ca="1" si="203"/>
        <v>0</v>
      </c>
      <c r="AC635" s="47">
        <f t="shared" ca="1" si="204"/>
        <v>0</v>
      </c>
      <c r="AD635">
        <f ca="1">Inputs!B16+(Inputs!D16-Inputs!B16)*BETAINV(RAND(),Model!H10,Model!I10)</f>
        <v>0.98309962460979516</v>
      </c>
      <c r="AE635">
        <f ca="1">Inputs!E16+(Inputs!G16-Inputs!E16)*BETAINV(RAND(),Model!J10,Model!K10)</f>
        <v>0.59933370017438814</v>
      </c>
      <c r="AF635">
        <f ca="1">(Inputs!H16+(Inputs!J16-Inputs!H16)*BETAINV(RAND(),Model!L10,Model!M10))*Inputs!$C$6</f>
        <v>80114.1024331519</v>
      </c>
      <c r="AG635">
        <f t="shared" ca="1" si="205"/>
        <v>0.58920473565744047</v>
      </c>
      <c r="AH635">
        <f t="shared" ca="1" si="206"/>
        <v>0.7749151624334194</v>
      </c>
      <c r="AI635">
        <f t="shared" ca="1" si="207"/>
        <v>1</v>
      </c>
      <c r="AJ635" s="47">
        <f t="shared" ca="1" si="208"/>
        <v>80114.1024331519</v>
      </c>
      <c r="AK635">
        <f t="shared" ca="1" si="209"/>
        <v>159616.57979429967</v>
      </c>
    </row>
    <row r="636" spans="2:37" x14ac:dyDescent="0.2">
      <c r="B636">
        <f ca="1">Inputs!B12+(Inputs!D12-Inputs!B12)*BETAINV(RAND(),Model!H6,Model!I6)</f>
        <v>5.250363660437201</v>
      </c>
      <c r="C636">
        <f ca="1">Inputs!E12+(Inputs!G12-Inputs!E12)*BETAINV(RAND(),Model!J6,Model!K6)</f>
        <v>0.29575996685815642</v>
      </c>
      <c r="D636">
        <f ca="1">(Inputs!H12+(Inputs!J12-Inputs!H12)*BETAINV(RAND(),Model!L6,Model!M6))*Inputs!$C$6</f>
        <v>40420.402605516938</v>
      </c>
      <c r="E636">
        <f t="shared" ca="1" si="189"/>
        <v>1.5528473822041755</v>
      </c>
      <c r="F636">
        <f t="shared" ca="1" si="190"/>
        <v>0.18476241450041342</v>
      </c>
      <c r="G636">
        <f t="shared" ca="1" si="191"/>
        <v>0</v>
      </c>
      <c r="H636" s="47">
        <f t="shared" ca="1" si="192"/>
        <v>0</v>
      </c>
      <c r="I636">
        <f ca="1">Inputs!B13+(Inputs!D13-Inputs!B13)*BETAINV(RAND(),Model!H7,Model!I7)</f>
        <v>2.7582175425539792</v>
      </c>
      <c r="J636">
        <f ca="1">Inputs!E13+(Inputs!G13-Inputs!E13)*BETAINV(RAND(),Model!J7,Model!K7)</f>
        <v>0.22162821085776918</v>
      </c>
      <c r="K636">
        <f ca="1">(Inputs!H13+(Inputs!J13-Inputs!H13)*BETAINV(RAND(),Model!L7,Model!M7))*Inputs!$C$6</f>
        <v>37197.411425086975</v>
      </c>
      <c r="L636">
        <f t="shared" ca="1" si="193"/>
        <v>0.61129881911275119</v>
      </c>
      <c r="M636">
        <f t="shared" ca="1" si="194"/>
        <v>0.27189307582829214</v>
      </c>
      <c r="N636">
        <f t="shared" ca="1" si="195"/>
        <v>0</v>
      </c>
      <c r="O636" s="47">
        <f t="shared" ca="1" si="196"/>
        <v>0</v>
      </c>
      <c r="P636">
        <f ca="1">Inputs!B14+(Inputs!D14-Inputs!B14)*BETAINV(RAND(),Model!H8,Model!I8)</f>
        <v>0.19542258733212003</v>
      </c>
      <c r="Q636">
        <f ca="1">Inputs!E14+(Inputs!G14-Inputs!E14)*BETAINV(RAND(),Model!J8,Model!K8)</f>
        <v>0.42376746245948377</v>
      </c>
      <c r="R636">
        <f ca="1">(Inputs!H14+(Inputs!J14-Inputs!H14)*BETAINV(RAND(),Model!L8,Model!M8))*Inputs!$C$6</f>
        <v>339352.28805751057</v>
      </c>
      <c r="S636">
        <f t="shared" ca="1" si="197"/>
        <v>8.2813733940999362E-2</v>
      </c>
      <c r="T636">
        <f t="shared" ca="1" si="198"/>
        <v>2.2189582859023838E-2</v>
      </c>
      <c r="U636">
        <f t="shared" ca="1" si="199"/>
        <v>0</v>
      </c>
      <c r="V636" s="47">
        <f t="shared" ca="1" si="200"/>
        <v>0</v>
      </c>
      <c r="W636">
        <f ca="1">Inputs!B15+(Inputs!D15-Inputs!B15)*BETAINV(RAND(),Model!H9,Model!I9)</f>
        <v>1.5281226925903639</v>
      </c>
      <c r="X636">
        <f ca="1">Inputs!E15+(Inputs!G15-Inputs!E15)*BETAINV(RAND(),Model!J9,Model!K9)</f>
        <v>0.56143273385057346</v>
      </c>
      <c r="Y636">
        <f ca="1">(Inputs!H15+(Inputs!J15-Inputs!H15)*BETAINV(RAND(),Model!L9,Model!M9))*Inputs!$C$6</f>
        <v>11346.39542814227</v>
      </c>
      <c r="Z636">
        <f t="shared" ca="1" si="201"/>
        <v>0.85793810096010747</v>
      </c>
      <c r="AA636">
        <f t="shared" ca="1" si="202"/>
        <v>0.2717604599259934</v>
      </c>
      <c r="AB636">
        <f t="shared" ca="1" si="203"/>
        <v>0</v>
      </c>
      <c r="AC636" s="47">
        <f t="shared" ca="1" si="204"/>
        <v>0</v>
      </c>
      <c r="AD636">
        <f ca="1">Inputs!B16+(Inputs!D16-Inputs!B16)*BETAINV(RAND(),Model!H10,Model!I10)</f>
        <v>0.48924038509041351</v>
      </c>
      <c r="AE636">
        <f ca="1">Inputs!E16+(Inputs!G16-Inputs!E16)*BETAINV(RAND(),Model!J10,Model!K10)</f>
        <v>0.66333831216293415</v>
      </c>
      <c r="AF636">
        <f ca="1">(Inputs!H16+(Inputs!J16-Inputs!H16)*BETAINV(RAND(),Model!L10,Model!M10))*Inputs!$C$6</f>
        <v>52688.410804117921</v>
      </c>
      <c r="AG636">
        <f t="shared" ca="1" si="205"/>
        <v>0.32453189128781884</v>
      </c>
      <c r="AH636">
        <f t="shared" ca="1" si="206"/>
        <v>0.54405995363327797</v>
      </c>
      <c r="AI636">
        <f t="shared" ca="1" si="207"/>
        <v>0</v>
      </c>
      <c r="AJ636" s="47">
        <f t="shared" ca="1" si="208"/>
        <v>0</v>
      </c>
      <c r="AK636">
        <f t="shared" ca="1" si="209"/>
        <v>0</v>
      </c>
    </row>
    <row r="637" spans="2:37" x14ac:dyDescent="0.2">
      <c r="B637">
        <f ca="1">Inputs!B12+(Inputs!D12-Inputs!B12)*BETAINV(RAND(),Model!H6,Model!I6)</f>
        <v>4.238247837999717</v>
      </c>
      <c r="C637">
        <f ca="1">Inputs!E12+(Inputs!G12-Inputs!E12)*BETAINV(RAND(),Model!J6,Model!K6)</f>
        <v>0.3053637898646806</v>
      </c>
      <c r="D637">
        <f ca="1">(Inputs!H12+(Inputs!J12-Inputs!H12)*BETAINV(RAND(),Model!L6,Model!M6))*Inputs!$C$6</f>
        <v>14761.714225901374</v>
      </c>
      <c r="E637">
        <f t="shared" ca="1" si="189"/>
        <v>1.2942074221973825</v>
      </c>
      <c r="F637">
        <f t="shared" ca="1" si="190"/>
        <v>0.64645405269770306</v>
      </c>
      <c r="G637">
        <f t="shared" ca="1" si="191"/>
        <v>2</v>
      </c>
      <c r="H637" s="47">
        <f t="shared" ca="1" si="192"/>
        <v>29523.428451802749</v>
      </c>
      <c r="I637">
        <f ca="1">Inputs!B13+(Inputs!D13-Inputs!B13)*BETAINV(RAND(),Model!H7,Model!I7)</f>
        <v>2.1144955360281812</v>
      </c>
      <c r="J637">
        <f ca="1">Inputs!E13+(Inputs!G13-Inputs!E13)*BETAINV(RAND(),Model!J7,Model!K7)</f>
        <v>0.28212726774261238</v>
      </c>
      <c r="K637">
        <f ca="1">(Inputs!H13+(Inputs!J13-Inputs!H13)*BETAINV(RAND(),Model!L7,Model!M7))*Inputs!$C$6</f>
        <v>31376.002686274409</v>
      </c>
      <c r="L637">
        <f t="shared" ca="1" si="193"/>
        <v>0.59655684823358135</v>
      </c>
      <c r="M637">
        <f t="shared" ca="1" si="194"/>
        <v>0.91397903609710218</v>
      </c>
      <c r="N637">
        <f t="shared" ca="1" si="195"/>
        <v>2</v>
      </c>
      <c r="O637" s="47">
        <f t="shared" ca="1" si="196"/>
        <v>62752.005372548818</v>
      </c>
      <c r="P637">
        <f ca="1">Inputs!B14+(Inputs!D14-Inputs!B14)*BETAINV(RAND(),Model!H8,Model!I8)</f>
        <v>0.43178769859512744</v>
      </c>
      <c r="Q637">
        <f ca="1">Inputs!E14+(Inputs!G14-Inputs!E14)*BETAINV(RAND(),Model!J8,Model!K8)</f>
        <v>0.40872636727277872</v>
      </c>
      <c r="R637">
        <f ca="1">(Inputs!H14+(Inputs!J14-Inputs!H14)*BETAINV(RAND(),Model!L8,Model!M8))*Inputs!$C$6</f>
        <v>396937.03789200349</v>
      </c>
      <c r="S637">
        <f t="shared" ca="1" si="197"/>
        <v>0.17648301747985995</v>
      </c>
      <c r="T637">
        <f t="shared" ca="1" si="198"/>
        <v>0.25913335398231485</v>
      </c>
      <c r="U637">
        <f t="shared" ca="1" si="199"/>
        <v>0</v>
      </c>
      <c r="V637" s="47">
        <f t="shared" ca="1" si="200"/>
        <v>0</v>
      </c>
      <c r="W637">
        <f ca="1">Inputs!B15+(Inputs!D15-Inputs!B15)*BETAINV(RAND(),Model!H9,Model!I9)</f>
        <v>0.6738121729665878</v>
      </c>
      <c r="X637">
        <f ca="1">Inputs!E15+(Inputs!G15-Inputs!E15)*BETAINV(RAND(),Model!J9,Model!K9)</f>
        <v>0.38104731324091023</v>
      </c>
      <c r="Y637">
        <f ca="1">(Inputs!H15+(Inputs!J15-Inputs!H15)*BETAINV(RAND(),Model!L9,Model!M9))*Inputs!$C$6</f>
        <v>40869.061786058199</v>
      </c>
      <c r="Z637">
        <f t="shared" ca="1" si="201"/>
        <v>0.25675431813793775</v>
      </c>
      <c r="AA637">
        <f t="shared" ca="1" si="202"/>
        <v>0.28389389183385427</v>
      </c>
      <c r="AB637">
        <f t="shared" ca="1" si="203"/>
        <v>0</v>
      </c>
      <c r="AC637" s="47">
        <f t="shared" ca="1" si="204"/>
        <v>0</v>
      </c>
      <c r="AD637">
        <f ca="1">Inputs!B16+(Inputs!D16-Inputs!B16)*BETAINV(RAND(),Model!H10,Model!I10)</f>
        <v>0.78856923588765016</v>
      </c>
      <c r="AE637">
        <f ca="1">Inputs!E16+(Inputs!G16-Inputs!E16)*BETAINV(RAND(),Model!J10,Model!K10)</f>
        <v>0.68592160806979063</v>
      </c>
      <c r="AF637">
        <f ca="1">(Inputs!H16+(Inputs!J16-Inputs!H16)*BETAINV(RAND(),Model!L10,Model!M10))*Inputs!$C$6</f>
        <v>38683.727022219362</v>
      </c>
      <c r="AG637">
        <f t="shared" ca="1" si="205"/>
        <v>0.54089667835442301</v>
      </c>
      <c r="AH637">
        <f t="shared" ca="1" si="206"/>
        <v>0.99801076841696723</v>
      </c>
      <c r="AI637">
        <f t="shared" ca="1" si="207"/>
        <v>4</v>
      </c>
      <c r="AJ637" s="47">
        <f t="shared" ca="1" si="208"/>
        <v>154734.90808887745</v>
      </c>
      <c r="AK637">
        <f t="shared" ca="1" si="209"/>
        <v>247010.34191322903</v>
      </c>
    </row>
    <row r="638" spans="2:37" x14ac:dyDescent="0.2">
      <c r="B638">
        <f ca="1">Inputs!B12+(Inputs!D12-Inputs!B12)*BETAINV(RAND(),Model!H6,Model!I6)</f>
        <v>3.0286990090277159</v>
      </c>
      <c r="C638">
        <f ca="1">Inputs!E12+(Inputs!G12-Inputs!E12)*BETAINV(RAND(),Model!J6,Model!K6)</f>
        <v>0.25094445768874973</v>
      </c>
      <c r="D638">
        <f ca="1">(Inputs!H12+(Inputs!J12-Inputs!H12)*BETAINV(RAND(),Model!L6,Model!M6))*Inputs!$C$6</f>
        <v>8971.2564526074711</v>
      </c>
      <c r="E638">
        <f t="shared" ca="1" si="189"/>
        <v>0.76003523032291387</v>
      </c>
      <c r="F638">
        <f t="shared" ca="1" si="190"/>
        <v>0.92432471662501559</v>
      </c>
      <c r="G638">
        <f t="shared" ca="1" si="191"/>
        <v>2</v>
      </c>
      <c r="H638" s="47">
        <f t="shared" ca="1" si="192"/>
        <v>17942.512905214942</v>
      </c>
      <c r="I638">
        <f ca="1">Inputs!B13+(Inputs!D13-Inputs!B13)*BETAINV(RAND(),Model!H7,Model!I7)</f>
        <v>2.100293886905825</v>
      </c>
      <c r="J638">
        <f ca="1">Inputs!E13+(Inputs!G13-Inputs!E13)*BETAINV(RAND(),Model!J7,Model!K7)</f>
        <v>0.17208106371814874</v>
      </c>
      <c r="K638">
        <f ca="1">(Inputs!H13+(Inputs!J13-Inputs!H13)*BETAINV(RAND(),Model!L7,Model!M7))*Inputs!$C$6</f>
        <v>40613.893142175046</v>
      </c>
      <c r="L638">
        <f t="shared" ca="1" si="193"/>
        <v>0.36142080617947953</v>
      </c>
      <c r="M638">
        <f t="shared" ca="1" si="194"/>
        <v>0.42864065743507862</v>
      </c>
      <c r="N638">
        <f t="shared" ca="1" si="195"/>
        <v>0</v>
      </c>
      <c r="O638" s="47">
        <f t="shared" ca="1" si="196"/>
        <v>0</v>
      </c>
      <c r="P638">
        <f ca="1">Inputs!B14+(Inputs!D14-Inputs!B14)*BETAINV(RAND(),Model!H8,Model!I8)</f>
        <v>0.43228899214356642</v>
      </c>
      <c r="Q638">
        <f ca="1">Inputs!E14+(Inputs!G14-Inputs!E14)*BETAINV(RAND(),Model!J8,Model!K8)</f>
        <v>0.44074319790596278</v>
      </c>
      <c r="R638">
        <f ca="1">(Inputs!H14+(Inputs!J14-Inputs!H14)*BETAINV(RAND(),Model!L8,Model!M8))*Inputs!$C$6</f>
        <v>325475.87440209603</v>
      </c>
      <c r="S638">
        <f t="shared" ca="1" si="197"/>
        <v>0.19052843281690107</v>
      </c>
      <c r="T638">
        <f t="shared" ca="1" si="198"/>
        <v>0.23311411383779168</v>
      </c>
      <c r="U638">
        <f t="shared" ca="1" si="199"/>
        <v>0</v>
      </c>
      <c r="V638" s="47">
        <f t="shared" ca="1" si="200"/>
        <v>0</v>
      </c>
      <c r="W638">
        <f ca="1">Inputs!B15+(Inputs!D15-Inputs!B15)*BETAINV(RAND(),Model!H9,Model!I9)</f>
        <v>0.492911014278268</v>
      </c>
      <c r="X638">
        <f ca="1">Inputs!E15+(Inputs!G15-Inputs!E15)*BETAINV(RAND(),Model!J9,Model!K9)</f>
        <v>0.4374324739436557</v>
      </c>
      <c r="Y638">
        <f ca="1">(Inputs!H15+(Inputs!J15-Inputs!H15)*BETAINV(RAND(),Model!L9,Model!M9))*Inputs!$C$6</f>
        <v>48577.267362664592</v>
      </c>
      <c r="Z638">
        <f t="shared" ca="1" si="201"/>
        <v>0.21561528440981936</v>
      </c>
      <c r="AA638">
        <f t="shared" ca="1" si="202"/>
        <v>0.68355140755417554</v>
      </c>
      <c r="AB638">
        <f t="shared" ca="1" si="203"/>
        <v>0</v>
      </c>
      <c r="AC638" s="47">
        <f t="shared" ca="1" si="204"/>
        <v>0</v>
      </c>
      <c r="AD638">
        <f ca="1">Inputs!B16+(Inputs!D16-Inputs!B16)*BETAINV(RAND(),Model!H10,Model!I10)</f>
        <v>0.77835704218394208</v>
      </c>
      <c r="AE638">
        <f ca="1">Inputs!E16+(Inputs!G16-Inputs!E16)*BETAINV(RAND(),Model!J10,Model!K10)</f>
        <v>0.61826779676290666</v>
      </c>
      <c r="AF638">
        <f ca="1">(Inputs!H16+(Inputs!J16-Inputs!H16)*BETAINV(RAND(),Model!L10,Model!M10))*Inputs!$C$6</f>
        <v>63856.330228216946</v>
      </c>
      <c r="AG638">
        <f t="shared" ca="1" si="205"/>
        <v>0.48123309356595867</v>
      </c>
      <c r="AH638">
        <f t="shared" ca="1" si="206"/>
        <v>0.50671361478342269</v>
      </c>
      <c r="AI638">
        <f t="shared" ca="1" si="207"/>
        <v>0</v>
      </c>
      <c r="AJ638" s="47">
        <f t="shared" ca="1" si="208"/>
        <v>0</v>
      </c>
      <c r="AK638">
        <f t="shared" ca="1" si="209"/>
        <v>17942.512905214942</v>
      </c>
    </row>
    <row r="639" spans="2:37" x14ac:dyDescent="0.2">
      <c r="B639">
        <f ca="1">Inputs!B12+(Inputs!D12-Inputs!B12)*BETAINV(RAND(),Model!H6,Model!I6)</f>
        <v>2.1289809966647528</v>
      </c>
      <c r="C639">
        <f ca="1">Inputs!E12+(Inputs!G12-Inputs!E12)*BETAINV(RAND(),Model!J6,Model!K6)</f>
        <v>0.36208956604261361</v>
      </c>
      <c r="D639">
        <f ca="1">(Inputs!H12+(Inputs!J12-Inputs!H12)*BETAINV(RAND(),Model!L6,Model!M6))*Inputs!$C$6</f>
        <v>27408.391377596687</v>
      </c>
      <c r="E639">
        <f t="shared" ca="1" si="189"/>
        <v>0.77088180519531135</v>
      </c>
      <c r="F639">
        <f t="shared" ca="1" si="190"/>
        <v>0.95770857798148989</v>
      </c>
      <c r="G639">
        <f t="shared" ca="1" si="191"/>
        <v>3</v>
      </c>
      <c r="H639" s="47">
        <f t="shared" ca="1" si="192"/>
        <v>82225.174132790067</v>
      </c>
      <c r="I639">
        <f ca="1">Inputs!B13+(Inputs!D13-Inputs!B13)*BETAINV(RAND(),Model!H7,Model!I7)</f>
        <v>1.9342996745626895</v>
      </c>
      <c r="J639">
        <f ca="1">Inputs!E13+(Inputs!G13-Inputs!E13)*BETAINV(RAND(),Model!J7,Model!K7)</f>
        <v>0.29144465067562608</v>
      </c>
      <c r="K639">
        <f ca="1">(Inputs!H13+(Inputs!J13-Inputs!H13)*BETAINV(RAND(),Model!L7,Model!M7))*Inputs!$C$6</f>
        <v>12528.671511462424</v>
      </c>
      <c r="L639">
        <f t="shared" ca="1" si="193"/>
        <v>0.56374129295490027</v>
      </c>
      <c r="M639">
        <f t="shared" ca="1" si="194"/>
        <v>0.38132988732153927</v>
      </c>
      <c r="N639">
        <f t="shared" ca="1" si="195"/>
        <v>0</v>
      </c>
      <c r="O639" s="47">
        <f t="shared" ca="1" si="196"/>
        <v>0</v>
      </c>
      <c r="P639">
        <f ca="1">Inputs!B14+(Inputs!D14-Inputs!B14)*BETAINV(RAND(),Model!H8,Model!I8)</f>
        <v>0.23174961264163818</v>
      </c>
      <c r="Q639">
        <f ca="1">Inputs!E14+(Inputs!G14-Inputs!E14)*BETAINV(RAND(),Model!J8,Model!K8)</f>
        <v>0.59831072919252937</v>
      </c>
      <c r="R639">
        <f ca="1">(Inputs!H14+(Inputs!J14-Inputs!H14)*BETAINV(RAND(),Model!L8,Model!M8))*Inputs!$C$6</f>
        <v>507672.88178560411</v>
      </c>
      <c r="S639">
        <f t="shared" ca="1" si="197"/>
        <v>0.13865827972970476</v>
      </c>
      <c r="T639">
        <f t="shared" ca="1" si="198"/>
        <v>0.28885011445469999</v>
      </c>
      <c r="U639">
        <f t="shared" ca="1" si="199"/>
        <v>0</v>
      </c>
      <c r="V639" s="47">
        <f t="shared" ca="1" si="200"/>
        <v>0</v>
      </c>
      <c r="W639">
        <f ca="1">Inputs!B15+(Inputs!D15-Inputs!B15)*BETAINV(RAND(),Model!H9,Model!I9)</f>
        <v>1.2579499640186433</v>
      </c>
      <c r="X639">
        <f ca="1">Inputs!E15+(Inputs!G15-Inputs!E15)*BETAINV(RAND(),Model!J9,Model!K9)</f>
        <v>0.49830807925938492</v>
      </c>
      <c r="Y639">
        <f ca="1">(Inputs!H15+(Inputs!J15-Inputs!H15)*BETAINV(RAND(),Model!L9,Model!M9))*Inputs!$C$6</f>
        <v>25507.092579818163</v>
      </c>
      <c r="Z639">
        <f t="shared" ca="1" si="201"/>
        <v>0.62684663037454258</v>
      </c>
      <c r="AA639">
        <f t="shared" ca="1" si="202"/>
        <v>0.8992101019393357</v>
      </c>
      <c r="AB639">
        <f t="shared" ca="1" si="203"/>
        <v>2</v>
      </c>
      <c r="AC639" s="47">
        <f t="shared" ca="1" si="204"/>
        <v>51014.185159636327</v>
      </c>
      <c r="AD639">
        <f ca="1">Inputs!B16+(Inputs!D16-Inputs!B16)*BETAINV(RAND(),Model!H10,Model!I10)</f>
        <v>0.60588410366383005</v>
      </c>
      <c r="AE639">
        <f ca="1">Inputs!E16+(Inputs!G16-Inputs!E16)*BETAINV(RAND(),Model!J10,Model!K10)</f>
        <v>0.75628498961703428</v>
      </c>
      <c r="AF639">
        <f ca="1">(Inputs!H16+(Inputs!J16-Inputs!H16)*BETAINV(RAND(),Model!L10,Model!M10))*Inputs!$C$6</f>
        <v>55837.583897132397</v>
      </c>
      <c r="AG639">
        <f t="shared" ca="1" si="205"/>
        <v>0.45822105304852584</v>
      </c>
      <c r="AH639">
        <f t="shared" ca="1" si="206"/>
        <v>6.7459751336117479E-3</v>
      </c>
      <c r="AI639">
        <f t="shared" ca="1" si="207"/>
        <v>0</v>
      </c>
      <c r="AJ639" s="47">
        <f t="shared" ca="1" si="208"/>
        <v>0</v>
      </c>
      <c r="AK639">
        <f t="shared" ca="1" si="209"/>
        <v>133239.35929242638</v>
      </c>
    </row>
    <row r="640" spans="2:37" x14ac:dyDescent="0.2">
      <c r="B640">
        <f ca="1">Inputs!B12+(Inputs!D12-Inputs!B12)*BETAINV(RAND(),Model!H6,Model!I6)</f>
        <v>3.5041656483395855</v>
      </c>
      <c r="C640">
        <f ca="1">Inputs!E12+(Inputs!G12-Inputs!E12)*BETAINV(RAND(),Model!J6,Model!K6)</f>
        <v>0.20752794691885107</v>
      </c>
      <c r="D640">
        <f ca="1">(Inputs!H12+(Inputs!J12-Inputs!H12)*BETAINV(RAND(),Model!L6,Model!M6))*Inputs!$C$6</f>
        <v>28593.378238068344</v>
      </c>
      <c r="E640">
        <f t="shared" ca="1" si="189"/>
        <v>0.7272123026634788</v>
      </c>
      <c r="F640">
        <f t="shared" ca="1" si="190"/>
        <v>0.36884211826088664</v>
      </c>
      <c r="G640">
        <f t="shared" ca="1" si="191"/>
        <v>0</v>
      </c>
      <c r="H640" s="47">
        <f t="shared" ca="1" si="192"/>
        <v>0</v>
      </c>
      <c r="I640">
        <f ca="1">Inputs!B13+(Inputs!D13-Inputs!B13)*BETAINV(RAND(),Model!H7,Model!I7)</f>
        <v>2.6094458487781846</v>
      </c>
      <c r="J640">
        <f ca="1">Inputs!E13+(Inputs!G13-Inputs!E13)*BETAINV(RAND(),Model!J7,Model!K7)</f>
        <v>0.26446338777681511</v>
      </c>
      <c r="K640">
        <f ca="1">(Inputs!H13+(Inputs!J13-Inputs!H13)*BETAINV(RAND(),Model!L7,Model!M7))*Inputs!$C$6</f>
        <v>65800.70188296499</v>
      </c>
      <c r="L640">
        <f t="shared" ca="1" si="193"/>
        <v>0.69010288938802544</v>
      </c>
      <c r="M640">
        <f t="shared" ca="1" si="194"/>
        <v>0.11117379563332019</v>
      </c>
      <c r="N640">
        <f t="shared" ca="1" si="195"/>
        <v>0</v>
      </c>
      <c r="O640" s="47">
        <f t="shared" ca="1" si="196"/>
        <v>0</v>
      </c>
      <c r="P640">
        <f ca="1">Inputs!B14+(Inputs!D14-Inputs!B14)*BETAINV(RAND(),Model!H8,Model!I8)</f>
        <v>0.3987551811742619</v>
      </c>
      <c r="Q640">
        <f ca="1">Inputs!E14+(Inputs!G14-Inputs!E14)*BETAINV(RAND(),Model!J8,Model!K8)</f>
        <v>0.87461351495411344</v>
      </c>
      <c r="R640">
        <f ca="1">(Inputs!H14+(Inputs!J14-Inputs!H14)*BETAINV(RAND(),Model!L8,Model!M8))*Inputs!$C$6</f>
        <v>291540.30196082266</v>
      </c>
      <c r="S640">
        <f t="shared" ca="1" si="197"/>
        <v>0.34875667061298554</v>
      </c>
      <c r="T640">
        <f t="shared" ca="1" si="198"/>
        <v>0.88801763502644659</v>
      </c>
      <c r="U640">
        <f t="shared" ca="1" si="199"/>
        <v>1</v>
      </c>
      <c r="V640" s="47">
        <f t="shared" ca="1" si="200"/>
        <v>291540.30196082266</v>
      </c>
      <c r="W640">
        <f ca="1">Inputs!B15+(Inputs!D15-Inputs!B15)*BETAINV(RAND(),Model!H9,Model!I9)</f>
        <v>1.0294201575593465</v>
      </c>
      <c r="X640">
        <f ca="1">Inputs!E15+(Inputs!G15-Inputs!E15)*BETAINV(RAND(),Model!J9,Model!K9)</f>
        <v>0.42853458411669376</v>
      </c>
      <c r="Y640">
        <f ca="1">(Inputs!H15+(Inputs!J15-Inputs!H15)*BETAINV(RAND(),Model!L9,Model!M9))*Inputs!$C$6</f>
        <v>11571.247826612131</v>
      </c>
      <c r="Z640">
        <f t="shared" ca="1" si="201"/>
        <v>0.44114213910103589</v>
      </c>
      <c r="AA640">
        <f t="shared" ca="1" si="202"/>
        <v>0.50430987931403715</v>
      </c>
      <c r="AB640">
        <f t="shared" ca="1" si="203"/>
        <v>0</v>
      </c>
      <c r="AC640" s="47">
        <f t="shared" ca="1" si="204"/>
        <v>0</v>
      </c>
      <c r="AD640">
        <f ca="1">Inputs!B16+(Inputs!D16-Inputs!B16)*BETAINV(RAND(),Model!H10,Model!I10)</f>
        <v>0.63563002970136684</v>
      </c>
      <c r="AE640">
        <f ca="1">Inputs!E16+(Inputs!G16-Inputs!E16)*BETAINV(RAND(),Model!J10,Model!K10)</f>
        <v>0.52233176079791188</v>
      </c>
      <c r="AF640">
        <f ca="1">(Inputs!H16+(Inputs!J16-Inputs!H16)*BETAINV(RAND(),Model!L10,Model!M10))*Inputs!$C$6</f>
        <v>118994.65315134128</v>
      </c>
      <c r="AG640">
        <f t="shared" ca="1" si="205"/>
        <v>0.33200975262994398</v>
      </c>
      <c r="AH640">
        <f t="shared" ca="1" si="206"/>
        <v>0.24843021689474232</v>
      </c>
      <c r="AI640">
        <f t="shared" ca="1" si="207"/>
        <v>0</v>
      </c>
      <c r="AJ640" s="47">
        <f t="shared" ca="1" si="208"/>
        <v>0</v>
      </c>
      <c r="AK640">
        <f t="shared" ca="1" si="209"/>
        <v>291540.30196082266</v>
      </c>
    </row>
    <row r="641" spans="2:37" x14ac:dyDescent="0.2">
      <c r="B641">
        <f ca="1">Inputs!B12+(Inputs!D12-Inputs!B12)*BETAINV(RAND(),Model!H6,Model!I6)</f>
        <v>4.252079734517638</v>
      </c>
      <c r="C641">
        <f ca="1">Inputs!E12+(Inputs!G12-Inputs!E12)*BETAINV(RAND(),Model!J6,Model!K6)</f>
        <v>0.20381823713039562</v>
      </c>
      <c r="D641">
        <f ca="1">(Inputs!H12+(Inputs!J12-Inputs!H12)*BETAINV(RAND(),Model!L6,Model!M6))*Inputs!$C$6</f>
        <v>34765.519488267717</v>
      </c>
      <c r="E641">
        <f t="shared" ca="1" si="189"/>
        <v>0.86665139562726556</v>
      </c>
      <c r="F641">
        <f t="shared" ca="1" si="190"/>
        <v>8.0032363898227432E-2</v>
      </c>
      <c r="G641">
        <f t="shared" ca="1" si="191"/>
        <v>0</v>
      </c>
      <c r="H641" s="47">
        <f t="shared" ca="1" si="192"/>
        <v>0</v>
      </c>
      <c r="I641">
        <f ca="1">Inputs!B13+(Inputs!D13-Inputs!B13)*BETAINV(RAND(),Model!H7,Model!I7)</f>
        <v>1.8325664505291717</v>
      </c>
      <c r="J641">
        <f ca="1">Inputs!E13+(Inputs!G13-Inputs!E13)*BETAINV(RAND(),Model!J7,Model!K7)</f>
        <v>0.16818571524303458</v>
      </c>
      <c r="K641">
        <f ca="1">(Inputs!H13+(Inputs!J13-Inputs!H13)*BETAINV(RAND(),Model!L7,Model!M7))*Inputs!$C$6</f>
        <v>46489.57775534028</v>
      </c>
      <c r="L641">
        <f t="shared" ca="1" si="193"/>
        <v>0.30821149921263785</v>
      </c>
      <c r="M641">
        <f t="shared" ca="1" si="194"/>
        <v>0.67403440384984215</v>
      </c>
      <c r="N641">
        <f t="shared" ca="1" si="195"/>
        <v>0</v>
      </c>
      <c r="O641" s="47">
        <f t="shared" ca="1" si="196"/>
        <v>0</v>
      </c>
      <c r="P641">
        <f ca="1">Inputs!B14+(Inputs!D14-Inputs!B14)*BETAINV(RAND(),Model!H8,Model!I8)</f>
        <v>0.41397832960287917</v>
      </c>
      <c r="Q641">
        <f ca="1">Inputs!E14+(Inputs!G14-Inputs!E14)*BETAINV(RAND(),Model!J8,Model!K8)</f>
        <v>0.58321235831693241</v>
      </c>
      <c r="R641">
        <f ca="1">(Inputs!H14+(Inputs!J14-Inputs!H14)*BETAINV(RAND(),Model!L8,Model!M8))*Inputs!$C$6</f>
        <v>386461.5264364446</v>
      </c>
      <c r="S641">
        <f t="shared" ca="1" si="197"/>
        <v>0.24143727789979952</v>
      </c>
      <c r="T641">
        <f t="shared" ca="1" si="198"/>
        <v>0.54414797412948135</v>
      </c>
      <c r="U641">
        <f t="shared" ca="1" si="199"/>
        <v>0</v>
      </c>
      <c r="V641" s="47">
        <f t="shared" ca="1" si="200"/>
        <v>0</v>
      </c>
      <c r="W641">
        <f ca="1">Inputs!B15+(Inputs!D15-Inputs!B15)*BETAINV(RAND(),Model!H9,Model!I9)</f>
        <v>1.0473882812358524</v>
      </c>
      <c r="X641">
        <f ca="1">Inputs!E15+(Inputs!G15-Inputs!E15)*BETAINV(RAND(),Model!J9,Model!K9)</f>
        <v>0.42047664620707914</v>
      </c>
      <c r="Y641">
        <f ca="1">(Inputs!H15+(Inputs!J15-Inputs!H15)*BETAINV(RAND(),Model!L9,Model!M9))*Inputs!$C$6</f>
        <v>18456.441609014582</v>
      </c>
      <c r="Z641">
        <f t="shared" ca="1" si="201"/>
        <v>0.4404023117706482</v>
      </c>
      <c r="AA641">
        <f t="shared" ca="1" si="202"/>
        <v>8.9211503500001066E-2</v>
      </c>
      <c r="AB641">
        <f t="shared" ca="1" si="203"/>
        <v>0</v>
      </c>
      <c r="AC641" s="47">
        <f t="shared" ca="1" si="204"/>
        <v>0</v>
      </c>
      <c r="AD641">
        <f ca="1">Inputs!B16+(Inputs!D16-Inputs!B16)*BETAINV(RAND(),Model!H10,Model!I10)</f>
        <v>0.94452908996050233</v>
      </c>
      <c r="AE641">
        <f ca="1">Inputs!E16+(Inputs!G16-Inputs!E16)*BETAINV(RAND(),Model!J10,Model!K10)</f>
        <v>0.62405012474032318</v>
      </c>
      <c r="AF641">
        <f ca="1">(Inputs!H16+(Inputs!J16-Inputs!H16)*BETAINV(RAND(),Model!L10,Model!M10))*Inputs!$C$6</f>
        <v>124617.16671277693</v>
      </c>
      <c r="AG641">
        <f t="shared" ca="1" si="205"/>
        <v>0.58943349641071541</v>
      </c>
      <c r="AH641">
        <f t="shared" ca="1" si="206"/>
        <v>0.1153000617456017</v>
      </c>
      <c r="AI641">
        <f t="shared" ca="1" si="207"/>
        <v>0</v>
      </c>
      <c r="AJ641" s="47">
        <f t="shared" ca="1" si="208"/>
        <v>0</v>
      </c>
      <c r="AK641">
        <f t="shared" ca="1" si="209"/>
        <v>0</v>
      </c>
    </row>
    <row r="642" spans="2:37" x14ac:dyDescent="0.2">
      <c r="B642">
        <f ca="1">Inputs!B12+(Inputs!D12-Inputs!B12)*BETAINV(RAND(),Model!H6,Model!I6)</f>
        <v>4.0278560972210968</v>
      </c>
      <c r="C642">
        <f ca="1">Inputs!E12+(Inputs!G12-Inputs!E12)*BETAINV(RAND(),Model!J6,Model!K6)</f>
        <v>0.39680065128578812</v>
      </c>
      <c r="D642">
        <f ca="1">(Inputs!H12+(Inputs!J12-Inputs!H12)*BETAINV(RAND(),Model!L6,Model!M6))*Inputs!$C$6</f>
        <v>14972.917271595696</v>
      </c>
      <c r="E642">
        <f t="shared" ca="1" si="189"/>
        <v>1.598255922662764</v>
      </c>
      <c r="F642">
        <f t="shared" ca="1" si="190"/>
        <v>0.48158096744221068</v>
      </c>
      <c r="G642">
        <f t="shared" ca="1" si="191"/>
        <v>1</v>
      </c>
      <c r="H642" s="47">
        <f t="shared" ca="1" si="192"/>
        <v>14972.917271595696</v>
      </c>
      <c r="I642">
        <f ca="1">Inputs!B13+(Inputs!D13-Inputs!B13)*BETAINV(RAND(),Model!H7,Model!I7)</f>
        <v>3.8069905260406327</v>
      </c>
      <c r="J642">
        <f ca="1">Inputs!E13+(Inputs!G13-Inputs!E13)*BETAINV(RAND(),Model!J7,Model!K7)</f>
        <v>0.2557707710418537</v>
      </c>
      <c r="K642">
        <f ca="1">(Inputs!H13+(Inputs!J13-Inputs!H13)*BETAINV(RAND(),Model!L7,Model!M7))*Inputs!$C$6</f>
        <v>74248.266346688062</v>
      </c>
      <c r="L642">
        <f t="shared" ca="1" si="193"/>
        <v>0.97371690219444484</v>
      </c>
      <c r="M642">
        <f t="shared" ca="1" si="194"/>
        <v>3.6281709587438149E-2</v>
      </c>
      <c r="N642">
        <f t="shared" ca="1" si="195"/>
        <v>0</v>
      </c>
      <c r="O642" s="47">
        <f t="shared" ca="1" si="196"/>
        <v>0</v>
      </c>
      <c r="P642">
        <f ca="1">Inputs!B14+(Inputs!D14-Inputs!B14)*BETAINV(RAND(),Model!H8,Model!I8)</f>
        <v>0.4126042249478914</v>
      </c>
      <c r="Q642">
        <f ca="1">Inputs!E14+(Inputs!G14-Inputs!E14)*BETAINV(RAND(),Model!J8,Model!K8)</f>
        <v>0.77409877282508144</v>
      </c>
      <c r="R642">
        <f ca="1">(Inputs!H14+(Inputs!J14-Inputs!H14)*BETAINV(RAND(),Model!L8,Model!M8))*Inputs!$C$6</f>
        <v>452866.05263450224</v>
      </c>
      <c r="S642">
        <f t="shared" ca="1" si="197"/>
        <v>0.31939642419460657</v>
      </c>
      <c r="T642">
        <f t="shared" ca="1" si="198"/>
        <v>0.9472564148868805</v>
      </c>
      <c r="U642">
        <f t="shared" ca="1" si="199"/>
        <v>1</v>
      </c>
      <c r="V642" s="47">
        <f t="shared" ca="1" si="200"/>
        <v>452866.05263450224</v>
      </c>
      <c r="W642">
        <f ca="1">Inputs!B15+(Inputs!D15-Inputs!B15)*BETAINV(RAND(),Model!H9,Model!I9)</f>
        <v>2.0269311988401721</v>
      </c>
      <c r="X642">
        <f ca="1">Inputs!E15+(Inputs!G15-Inputs!E15)*BETAINV(RAND(),Model!J9,Model!K9)</f>
        <v>0.5248086757616367</v>
      </c>
      <c r="Y642">
        <f ca="1">(Inputs!H15+(Inputs!J15-Inputs!H15)*BETAINV(RAND(),Model!L9,Model!M9))*Inputs!$C$6</f>
        <v>14630.02005099188</v>
      </c>
      <c r="Z642">
        <f t="shared" ca="1" si="201"/>
        <v>1.0637510783232575</v>
      </c>
      <c r="AA642">
        <f t="shared" ca="1" si="202"/>
        <v>0.99084037167289296</v>
      </c>
      <c r="AB642">
        <f t="shared" ca="1" si="203"/>
        <v>4</v>
      </c>
      <c r="AC642" s="47">
        <f t="shared" ca="1" si="204"/>
        <v>58520.080203967518</v>
      </c>
      <c r="AD642">
        <f ca="1">Inputs!B16+(Inputs!D16-Inputs!B16)*BETAINV(RAND(),Model!H10,Model!I10)</f>
        <v>0.4750465206702969</v>
      </c>
      <c r="AE642">
        <f ca="1">Inputs!E16+(Inputs!G16-Inputs!E16)*BETAINV(RAND(),Model!J10,Model!K10)</f>
        <v>0.5164700363073198</v>
      </c>
      <c r="AF642">
        <f ca="1">(Inputs!H16+(Inputs!J16-Inputs!H16)*BETAINV(RAND(),Model!L10,Model!M10))*Inputs!$C$6</f>
        <v>88129.057426213505</v>
      </c>
      <c r="AG642">
        <f t="shared" ca="1" si="205"/>
        <v>0.24534729377825418</v>
      </c>
      <c r="AH642">
        <f t="shared" ca="1" si="206"/>
        <v>0.26904920652145259</v>
      </c>
      <c r="AI642">
        <f t="shared" ca="1" si="207"/>
        <v>0</v>
      </c>
      <c r="AJ642" s="47">
        <f t="shared" ca="1" si="208"/>
        <v>0</v>
      </c>
      <c r="AK642">
        <f t="shared" ca="1" si="209"/>
        <v>526359.05011006538</v>
      </c>
    </row>
    <row r="643" spans="2:37" x14ac:dyDescent="0.2">
      <c r="B643">
        <f ca="1">Inputs!B12+(Inputs!D12-Inputs!B12)*BETAINV(RAND(),Model!H6,Model!I6)</f>
        <v>4.31000489110167</v>
      </c>
      <c r="C643">
        <f ca="1">Inputs!E12+(Inputs!G12-Inputs!E12)*BETAINV(RAND(),Model!J6,Model!K6)</f>
        <v>0.45461025728696147</v>
      </c>
      <c r="D643">
        <f ca="1">(Inputs!H12+(Inputs!J12-Inputs!H12)*BETAINV(RAND(),Model!L6,Model!M6))*Inputs!$C$6</f>
        <v>28530.728633103165</v>
      </c>
      <c r="E643">
        <f t="shared" ca="1" si="189"/>
        <v>1.9593724324517925</v>
      </c>
      <c r="F643">
        <f t="shared" ca="1" si="190"/>
        <v>0.72529422206001593</v>
      </c>
      <c r="G643">
        <f t="shared" ca="1" si="191"/>
        <v>3</v>
      </c>
      <c r="H643" s="47">
        <f t="shared" ca="1" si="192"/>
        <v>85592.185899309494</v>
      </c>
      <c r="I643">
        <f ca="1">Inputs!B13+(Inputs!D13-Inputs!B13)*BETAINV(RAND(),Model!H7,Model!I7)</f>
        <v>1.9103625516070908</v>
      </c>
      <c r="J643">
        <f ca="1">Inputs!E13+(Inputs!G13-Inputs!E13)*BETAINV(RAND(),Model!J7,Model!K7)</f>
        <v>0.26801522690317547</v>
      </c>
      <c r="K643">
        <f ca="1">(Inputs!H13+(Inputs!J13-Inputs!H13)*BETAINV(RAND(),Model!L7,Model!M7))*Inputs!$C$6</f>
        <v>39315.565593073108</v>
      </c>
      <c r="L643">
        <f t="shared" ca="1" si="193"/>
        <v>0.51200625273630374</v>
      </c>
      <c r="M643">
        <f t="shared" ca="1" si="194"/>
        <v>0.50769224169467586</v>
      </c>
      <c r="N643">
        <f t="shared" ca="1" si="195"/>
        <v>0</v>
      </c>
      <c r="O643" s="47">
        <f t="shared" ca="1" si="196"/>
        <v>0</v>
      </c>
      <c r="P643">
        <f ca="1">Inputs!B14+(Inputs!D14-Inputs!B14)*BETAINV(RAND(),Model!H8,Model!I8)</f>
        <v>0.65120538861281652</v>
      </c>
      <c r="Q643">
        <f ca="1">Inputs!E14+(Inputs!G14-Inputs!E14)*BETAINV(RAND(),Model!J8,Model!K8)</f>
        <v>0.61914173238327264</v>
      </c>
      <c r="R643">
        <f ca="1">(Inputs!H14+(Inputs!J14-Inputs!H14)*BETAINV(RAND(),Model!L8,Model!M8))*Inputs!$C$6</f>
        <v>259250.00680830353</v>
      </c>
      <c r="S643">
        <f t="shared" ca="1" si="197"/>
        <v>0.40318843244306152</v>
      </c>
      <c r="T643">
        <f t="shared" ca="1" si="198"/>
        <v>0.96135004494943255</v>
      </c>
      <c r="U643">
        <f t="shared" ca="1" si="199"/>
        <v>2</v>
      </c>
      <c r="V643" s="47">
        <f t="shared" ca="1" si="200"/>
        <v>518500.01361660706</v>
      </c>
      <c r="W643">
        <f ca="1">Inputs!B15+(Inputs!D15-Inputs!B15)*BETAINV(RAND(),Model!H9,Model!I9)</f>
        <v>1.7166867970182167</v>
      </c>
      <c r="X643">
        <f ca="1">Inputs!E15+(Inputs!G15-Inputs!E15)*BETAINV(RAND(),Model!J9,Model!K9)</f>
        <v>0.30712365375599437</v>
      </c>
      <c r="Y643">
        <f ca="1">(Inputs!H15+(Inputs!J15-Inputs!H15)*BETAINV(RAND(),Model!L9,Model!M9))*Inputs!$C$6</f>
        <v>20598.051085829946</v>
      </c>
      <c r="Z643">
        <f t="shared" ca="1" si="201"/>
        <v>0.52723512145490981</v>
      </c>
      <c r="AA643">
        <f t="shared" ca="1" si="202"/>
        <v>0.71113487837098943</v>
      </c>
      <c r="AB643">
        <f t="shared" ca="1" si="203"/>
        <v>1</v>
      </c>
      <c r="AC643" s="47">
        <f t="shared" ca="1" si="204"/>
        <v>20598.051085829946</v>
      </c>
      <c r="AD643">
        <f ca="1">Inputs!B16+(Inputs!D16-Inputs!B16)*BETAINV(RAND(),Model!H10,Model!I10)</f>
        <v>1.0499107471224514</v>
      </c>
      <c r="AE643">
        <f ca="1">Inputs!E16+(Inputs!G16-Inputs!E16)*BETAINV(RAND(),Model!J10,Model!K10)</f>
        <v>0.58761237953825296</v>
      </c>
      <c r="AF643">
        <f ca="1">(Inputs!H16+(Inputs!J16-Inputs!H16)*BETAINV(RAND(),Model!L10,Model!M10))*Inputs!$C$6</f>
        <v>86870.499232091097</v>
      </c>
      <c r="AG643">
        <f t="shared" ca="1" si="205"/>
        <v>0.61694055241940859</v>
      </c>
      <c r="AH643">
        <f t="shared" ca="1" si="206"/>
        <v>0.66035575898063648</v>
      </c>
      <c r="AI643">
        <f t="shared" ca="1" si="207"/>
        <v>1</v>
      </c>
      <c r="AJ643" s="47">
        <f t="shared" ca="1" si="208"/>
        <v>86870.499232091097</v>
      </c>
      <c r="AK643">
        <f t="shared" ca="1" si="209"/>
        <v>711560.74983383762</v>
      </c>
    </row>
    <row r="644" spans="2:37" x14ac:dyDescent="0.2">
      <c r="B644">
        <f ca="1">Inputs!B12+(Inputs!D12-Inputs!B12)*BETAINV(RAND(),Model!H6,Model!I6)</f>
        <v>5.5297237944388931</v>
      </c>
      <c r="C644">
        <f ca="1">Inputs!E12+(Inputs!G12-Inputs!E12)*BETAINV(RAND(),Model!J6,Model!K6)</f>
        <v>0.35331320827199253</v>
      </c>
      <c r="D644">
        <f ca="1">(Inputs!H12+(Inputs!J12-Inputs!H12)*BETAINV(RAND(),Model!L6,Model!M6))*Inputs!$C$6</f>
        <v>28543.091982718342</v>
      </c>
      <c r="E644">
        <f t="shared" ca="1" si="189"/>
        <v>1.9537244546711814</v>
      </c>
      <c r="F644">
        <f t="shared" ca="1" si="190"/>
        <v>0.91194074917283796</v>
      </c>
      <c r="G644">
        <f t="shared" ca="1" si="191"/>
        <v>4</v>
      </c>
      <c r="H644" s="47">
        <f t="shared" ca="1" si="192"/>
        <v>114172.36793087337</v>
      </c>
      <c r="I644">
        <f ca="1">Inputs!B13+(Inputs!D13-Inputs!B13)*BETAINV(RAND(),Model!H7,Model!I7)</f>
        <v>2.2898323667847342</v>
      </c>
      <c r="J644">
        <f ca="1">Inputs!E13+(Inputs!G13-Inputs!E13)*BETAINV(RAND(),Model!J7,Model!K7)</f>
        <v>0.43334652990360623</v>
      </c>
      <c r="K644">
        <f ca="1">(Inputs!H13+(Inputs!J13-Inputs!H13)*BETAINV(RAND(),Model!L7,Model!M7))*Inputs!$C$6</f>
        <v>43670.624159729035</v>
      </c>
      <c r="L644">
        <f t="shared" ca="1" si="193"/>
        <v>0.99229091020712623</v>
      </c>
      <c r="M644">
        <f t="shared" ca="1" si="194"/>
        <v>0.39996634754519478</v>
      </c>
      <c r="N644">
        <f t="shared" ca="1" si="195"/>
        <v>1</v>
      </c>
      <c r="O644" s="47">
        <f t="shared" ca="1" si="196"/>
        <v>43670.624159729035</v>
      </c>
      <c r="P644">
        <f ca="1">Inputs!B14+(Inputs!D14-Inputs!B14)*BETAINV(RAND(),Model!H8,Model!I8)</f>
        <v>0.26284681477854382</v>
      </c>
      <c r="Q644">
        <f ca="1">Inputs!E14+(Inputs!G14-Inputs!E14)*BETAINV(RAND(),Model!J8,Model!K8)</f>
        <v>0.6361541661828487</v>
      </c>
      <c r="R644">
        <f ca="1">(Inputs!H14+(Inputs!J14-Inputs!H14)*BETAINV(RAND(),Model!L8,Model!M8))*Inputs!$C$6</f>
        <v>399416.11154077272</v>
      </c>
      <c r="S644">
        <f t="shared" ca="1" si="197"/>
        <v>0.16721109628926223</v>
      </c>
      <c r="T644">
        <f t="shared" ca="1" si="198"/>
        <v>0.80773164505087447</v>
      </c>
      <c r="U644">
        <f t="shared" ca="1" si="199"/>
        <v>0</v>
      </c>
      <c r="V644" s="47">
        <f t="shared" ca="1" si="200"/>
        <v>0</v>
      </c>
      <c r="W644">
        <f ca="1">Inputs!B15+(Inputs!D15-Inputs!B15)*BETAINV(RAND(),Model!H9,Model!I9)</f>
        <v>0.87462634390135352</v>
      </c>
      <c r="X644">
        <f ca="1">Inputs!E15+(Inputs!G15-Inputs!E15)*BETAINV(RAND(),Model!J9,Model!K9)</f>
        <v>0.23169559914323068</v>
      </c>
      <c r="Y644">
        <f ca="1">(Inputs!H15+(Inputs!J15-Inputs!H15)*BETAINV(RAND(),Model!L9,Model!M9))*Inputs!$C$6</f>
        <v>29188.950113965107</v>
      </c>
      <c r="Z644">
        <f t="shared" ca="1" si="201"/>
        <v>0.20264707477667743</v>
      </c>
      <c r="AA644">
        <f t="shared" ca="1" si="202"/>
        <v>0.29684782655421371</v>
      </c>
      <c r="AB644">
        <f t="shared" ca="1" si="203"/>
        <v>0</v>
      </c>
      <c r="AC644" s="47">
        <f t="shared" ca="1" si="204"/>
        <v>0</v>
      </c>
      <c r="AD644">
        <f ca="1">Inputs!B16+(Inputs!D16-Inputs!B16)*BETAINV(RAND(),Model!H10,Model!I10)</f>
        <v>0.29073326986434495</v>
      </c>
      <c r="AE644">
        <f ca="1">Inputs!E16+(Inputs!G16-Inputs!E16)*BETAINV(RAND(),Model!J10,Model!K10)</f>
        <v>0.72236333923676965</v>
      </c>
      <c r="AF644">
        <f ca="1">(Inputs!H16+(Inputs!J16-Inputs!H16)*BETAINV(RAND(),Model!L10,Model!M10))*Inputs!$C$6</f>
        <v>98087.26411788672</v>
      </c>
      <c r="AG644">
        <f t="shared" ca="1" si="205"/>
        <v>0.21001505564643311</v>
      </c>
      <c r="AH644">
        <f t="shared" ca="1" si="206"/>
        <v>1.1929239518571388E-2</v>
      </c>
      <c r="AI644">
        <f t="shared" ca="1" si="207"/>
        <v>0</v>
      </c>
      <c r="AJ644" s="47">
        <f t="shared" ca="1" si="208"/>
        <v>0</v>
      </c>
      <c r="AK644">
        <f t="shared" ca="1" si="209"/>
        <v>157842.99209060241</v>
      </c>
    </row>
    <row r="645" spans="2:37" x14ac:dyDescent="0.2">
      <c r="B645">
        <f ca="1">Inputs!B12+(Inputs!D12-Inputs!B12)*BETAINV(RAND(),Model!H6,Model!I6)</f>
        <v>6.2262964325029238</v>
      </c>
      <c r="C645">
        <f ca="1">Inputs!E12+(Inputs!G12-Inputs!E12)*BETAINV(RAND(),Model!J6,Model!K6)</f>
        <v>0.28817494515714881</v>
      </c>
      <c r="D645">
        <f ca="1">(Inputs!H12+(Inputs!J12-Inputs!H12)*BETAINV(RAND(),Model!L6,Model!M6))*Inputs!$C$6</f>
        <v>10999.370547549523</v>
      </c>
      <c r="E645">
        <f t="shared" ca="1" si="189"/>
        <v>1.7942626329686813</v>
      </c>
      <c r="F645">
        <f t="shared" ca="1" si="190"/>
        <v>7.8020088384406105E-2</v>
      </c>
      <c r="G645">
        <f t="shared" ca="1" si="191"/>
        <v>0</v>
      </c>
      <c r="H645" s="47">
        <f t="shared" ca="1" si="192"/>
        <v>0</v>
      </c>
      <c r="I645">
        <f ca="1">Inputs!B13+(Inputs!D13-Inputs!B13)*BETAINV(RAND(),Model!H7,Model!I7)</f>
        <v>3.3237473799794661</v>
      </c>
      <c r="J645">
        <f ca="1">Inputs!E13+(Inputs!G13-Inputs!E13)*BETAINV(RAND(),Model!J7,Model!K7)</f>
        <v>0.18354361303450914</v>
      </c>
      <c r="K645">
        <f ca="1">(Inputs!H13+(Inputs!J13-Inputs!H13)*BETAINV(RAND(),Model!L7,Model!M7))*Inputs!$C$6</f>
        <v>17617.198165606238</v>
      </c>
      <c r="L645">
        <f t="shared" ca="1" si="193"/>
        <v>0.61005260293541475</v>
      </c>
      <c r="M645">
        <f t="shared" ca="1" si="194"/>
        <v>0.65432504961011362</v>
      </c>
      <c r="N645">
        <f t="shared" ca="1" si="195"/>
        <v>1</v>
      </c>
      <c r="O645" s="47">
        <f t="shared" ca="1" si="196"/>
        <v>17617.198165606238</v>
      </c>
      <c r="P645">
        <f ca="1">Inputs!B14+(Inputs!D14-Inputs!B14)*BETAINV(RAND(),Model!H8,Model!I8)</f>
        <v>0.13914774238691707</v>
      </c>
      <c r="Q645">
        <f ca="1">Inputs!E14+(Inputs!G14-Inputs!E14)*BETAINV(RAND(),Model!J8,Model!K8)</f>
        <v>0.64572357346842324</v>
      </c>
      <c r="R645">
        <f ca="1">(Inputs!H14+(Inputs!J14-Inputs!H14)*BETAINV(RAND(),Model!L8,Model!M8))*Inputs!$C$6</f>
        <v>544540.69346338336</v>
      </c>
      <c r="S645">
        <f t="shared" ca="1" si="197"/>
        <v>8.985097745414368E-2</v>
      </c>
      <c r="T645">
        <f t="shared" ca="1" si="198"/>
        <v>0.840009346789648</v>
      </c>
      <c r="U645">
        <f t="shared" ca="1" si="199"/>
        <v>0</v>
      </c>
      <c r="V645" s="47">
        <f t="shared" ca="1" si="200"/>
        <v>0</v>
      </c>
      <c r="W645">
        <f ca="1">Inputs!B15+(Inputs!D15-Inputs!B15)*BETAINV(RAND(),Model!H9,Model!I9)</f>
        <v>1.6615120237391563</v>
      </c>
      <c r="X645">
        <f ca="1">Inputs!E15+(Inputs!G15-Inputs!E15)*BETAINV(RAND(),Model!J9,Model!K9)</f>
        <v>0.41146271142369639</v>
      </c>
      <c r="Y645">
        <f ca="1">(Inputs!H15+(Inputs!J15-Inputs!H15)*BETAINV(RAND(),Model!L9,Model!M9))*Inputs!$C$6</f>
        <v>48821.720193676432</v>
      </c>
      <c r="Z645">
        <f t="shared" ca="1" si="201"/>
        <v>0.68365024235078631</v>
      </c>
      <c r="AA645">
        <f t="shared" ca="1" si="202"/>
        <v>0.67354267024561276</v>
      </c>
      <c r="AB645">
        <f t="shared" ca="1" si="203"/>
        <v>1</v>
      </c>
      <c r="AC645" s="47">
        <f t="shared" ca="1" si="204"/>
        <v>48821.720193676432</v>
      </c>
      <c r="AD645">
        <f ca="1">Inputs!B16+(Inputs!D16-Inputs!B16)*BETAINV(RAND(),Model!H10,Model!I10)</f>
        <v>0.66294321905754683</v>
      </c>
      <c r="AE645">
        <f ca="1">Inputs!E16+(Inputs!G16-Inputs!E16)*BETAINV(RAND(),Model!J10,Model!K10)</f>
        <v>0.70929588806046917</v>
      </c>
      <c r="AF645">
        <f ca="1">(Inputs!H16+(Inputs!J16-Inputs!H16)*BETAINV(RAND(),Model!L10,Model!M10))*Inputs!$C$6</f>
        <v>51066.352377600531</v>
      </c>
      <c r="AG645">
        <f t="shared" ca="1" si="205"/>
        <v>0.47022289929508881</v>
      </c>
      <c r="AH645">
        <f t="shared" ca="1" si="206"/>
        <v>0.95825700448543472</v>
      </c>
      <c r="AI645">
        <f t="shared" ca="1" si="207"/>
        <v>2</v>
      </c>
      <c r="AJ645" s="47">
        <f t="shared" ca="1" si="208"/>
        <v>102132.70475520106</v>
      </c>
      <c r="AK645">
        <f t="shared" ca="1" si="209"/>
        <v>168571.62311448372</v>
      </c>
    </row>
    <row r="646" spans="2:37" x14ac:dyDescent="0.2">
      <c r="B646">
        <f ca="1">Inputs!B12+(Inputs!D12-Inputs!B12)*BETAINV(RAND(),Model!H6,Model!I6)</f>
        <v>4.2636266294701066</v>
      </c>
      <c r="C646">
        <f ca="1">Inputs!E12+(Inputs!G12-Inputs!E12)*BETAINV(RAND(),Model!J6,Model!K6)</f>
        <v>0.46000819630599166</v>
      </c>
      <c r="D646">
        <f ca="1">(Inputs!H12+(Inputs!J12-Inputs!H12)*BETAINV(RAND(),Model!L6,Model!M6))*Inputs!$C$6</f>
        <v>33244.962153721419</v>
      </c>
      <c r="E646">
        <f t="shared" ca="1" si="189"/>
        <v>1.9613031955447384</v>
      </c>
      <c r="F646">
        <f t="shared" ca="1" si="190"/>
        <v>0.95420325933778238</v>
      </c>
      <c r="G646">
        <f t="shared" ca="1" si="191"/>
        <v>4</v>
      </c>
      <c r="H646" s="47">
        <f t="shared" ca="1" si="192"/>
        <v>132979.84861488568</v>
      </c>
      <c r="I646">
        <f ca="1">Inputs!B13+(Inputs!D13-Inputs!B13)*BETAINV(RAND(),Model!H7,Model!I7)</f>
        <v>1.1396601991563351</v>
      </c>
      <c r="J646">
        <f ca="1">Inputs!E13+(Inputs!G13-Inputs!E13)*BETAINV(RAND(),Model!J7,Model!K7)</f>
        <v>0.14049862083693515</v>
      </c>
      <c r="K646">
        <f ca="1">(Inputs!H13+(Inputs!J13-Inputs!H13)*BETAINV(RAND(),Model!L7,Model!M7))*Inputs!$C$6</f>
        <v>52920.860044445588</v>
      </c>
      <c r="L646">
        <f t="shared" ca="1" si="193"/>
        <v>0.16012068620421194</v>
      </c>
      <c r="M646">
        <f t="shared" ca="1" si="194"/>
        <v>0.74173067843342022</v>
      </c>
      <c r="N646">
        <f t="shared" ca="1" si="195"/>
        <v>0</v>
      </c>
      <c r="O646" s="47">
        <f t="shared" ca="1" si="196"/>
        <v>0</v>
      </c>
      <c r="P646">
        <f ca="1">Inputs!B14+(Inputs!D14-Inputs!B14)*BETAINV(RAND(),Model!H8,Model!I8)</f>
        <v>0.36507937026166659</v>
      </c>
      <c r="Q646">
        <f ca="1">Inputs!E14+(Inputs!G14-Inputs!E14)*BETAINV(RAND(),Model!J8,Model!K8)</f>
        <v>0.45591183962925852</v>
      </c>
      <c r="R646">
        <f ca="1">(Inputs!H14+(Inputs!J14-Inputs!H14)*BETAINV(RAND(),Model!L8,Model!M8))*Inputs!$C$6</f>
        <v>345592.1053272367</v>
      </c>
      <c r="S646">
        <f t="shared" ca="1" si="197"/>
        <v>0.16644400730668762</v>
      </c>
      <c r="T646">
        <f t="shared" ca="1" si="198"/>
        <v>0.50619474419808896</v>
      </c>
      <c r="U646">
        <f t="shared" ca="1" si="199"/>
        <v>0</v>
      </c>
      <c r="V646" s="47">
        <f t="shared" ca="1" si="200"/>
        <v>0</v>
      </c>
      <c r="W646">
        <f ca="1">Inputs!B15+(Inputs!D15-Inputs!B15)*BETAINV(RAND(),Model!H9,Model!I9)</f>
        <v>0.70418928353637311</v>
      </c>
      <c r="X646">
        <f ca="1">Inputs!E15+(Inputs!G15-Inputs!E15)*BETAINV(RAND(),Model!J9,Model!K9)</f>
        <v>0.4986569441604447</v>
      </c>
      <c r="Y646">
        <f ca="1">(Inputs!H15+(Inputs!J15-Inputs!H15)*BETAINV(RAND(),Model!L9,Model!M9))*Inputs!$C$6</f>
        <v>19471.532939057939</v>
      </c>
      <c r="Z646">
        <f t="shared" ca="1" si="201"/>
        <v>0.35114887623878077</v>
      </c>
      <c r="AA646">
        <f t="shared" ca="1" si="202"/>
        <v>0.19365450281305208</v>
      </c>
      <c r="AB646">
        <f t="shared" ca="1" si="203"/>
        <v>0</v>
      </c>
      <c r="AC646" s="47">
        <f t="shared" ca="1" si="204"/>
        <v>0</v>
      </c>
      <c r="AD646">
        <f ca="1">Inputs!B16+(Inputs!D16-Inputs!B16)*BETAINV(RAND(),Model!H10,Model!I10)</f>
        <v>1.0119623634829762</v>
      </c>
      <c r="AE646">
        <f ca="1">Inputs!E16+(Inputs!G16-Inputs!E16)*BETAINV(RAND(),Model!J10,Model!K10)</f>
        <v>0.65648743899174511</v>
      </c>
      <c r="AF646">
        <f ca="1">(Inputs!H16+(Inputs!J16-Inputs!H16)*BETAINV(RAND(),Model!L10,Model!M10))*Inputs!$C$6</f>
        <v>155758.0014952498</v>
      </c>
      <c r="AG646">
        <f t="shared" ca="1" si="205"/>
        <v>0.66434058035897248</v>
      </c>
      <c r="AH646">
        <f t="shared" ca="1" si="206"/>
        <v>0.17529123792983181</v>
      </c>
      <c r="AI646">
        <f t="shared" ca="1" si="207"/>
        <v>0</v>
      </c>
      <c r="AJ646" s="47">
        <f t="shared" ca="1" si="208"/>
        <v>0</v>
      </c>
      <c r="AK646">
        <f t="shared" ca="1" si="209"/>
        <v>132979.84861488568</v>
      </c>
    </row>
    <row r="647" spans="2:37" x14ac:dyDescent="0.2">
      <c r="B647">
        <f ca="1">Inputs!B12+(Inputs!D12-Inputs!B12)*BETAINV(RAND(),Model!H6,Model!I6)</f>
        <v>2.6404563459352035</v>
      </c>
      <c r="C647">
        <f ca="1">Inputs!E12+(Inputs!G12-Inputs!E12)*BETAINV(RAND(),Model!J6,Model!K6)</f>
        <v>0.35214965876823379</v>
      </c>
      <c r="D647">
        <f ca="1">(Inputs!H12+(Inputs!J12-Inputs!H12)*BETAINV(RAND(),Model!L6,Model!M6))*Inputs!$C$6</f>
        <v>24838.727448609476</v>
      </c>
      <c r="E647">
        <f t="shared" ca="1" si="189"/>
        <v>0.9298358012134994</v>
      </c>
      <c r="F647">
        <f t="shared" ca="1" si="190"/>
        <v>0.89614463200070427</v>
      </c>
      <c r="G647">
        <f t="shared" ca="1" si="191"/>
        <v>2</v>
      </c>
      <c r="H647" s="47">
        <f t="shared" ca="1" si="192"/>
        <v>49677.454897218951</v>
      </c>
      <c r="I647">
        <f ca="1">Inputs!B13+(Inputs!D13-Inputs!B13)*BETAINV(RAND(),Model!H7,Model!I7)</f>
        <v>1.3387464207733624</v>
      </c>
      <c r="J647">
        <f ca="1">Inputs!E13+(Inputs!G13-Inputs!E13)*BETAINV(RAND(),Model!J7,Model!K7)</f>
        <v>0.25280919020416759</v>
      </c>
      <c r="K647">
        <f ca="1">(Inputs!H13+(Inputs!J13-Inputs!H13)*BETAINV(RAND(),Model!L7,Model!M7))*Inputs!$C$6</f>
        <v>51404.777876766464</v>
      </c>
      <c r="L647">
        <f t="shared" ca="1" si="193"/>
        <v>0.33844739852444156</v>
      </c>
      <c r="M647">
        <f t="shared" ca="1" si="194"/>
        <v>2.6703876747224409E-2</v>
      </c>
      <c r="N647">
        <f t="shared" ca="1" si="195"/>
        <v>0</v>
      </c>
      <c r="O647" s="47">
        <f t="shared" ca="1" si="196"/>
        <v>0</v>
      </c>
      <c r="P647">
        <f ca="1">Inputs!B14+(Inputs!D14-Inputs!B14)*BETAINV(RAND(),Model!H8,Model!I8)</f>
        <v>0.1967796152134591</v>
      </c>
      <c r="Q647">
        <f ca="1">Inputs!E14+(Inputs!G14-Inputs!E14)*BETAINV(RAND(),Model!J8,Model!K8)</f>
        <v>0.51809260820460667</v>
      </c>
      <c r="R647">
        <f ca="1">(Inputs!H14+(Inputs!J14-Inputs!H14)*BETAINV(RAND(),Model!L8,Model!M8))*Inputs!$C$6</f>
        <v>562703.2084103399</v>
      </c>
      <c r="S647">
        <f t="shared" ca="1" si="197"/>
        <v>0.10195006408743992</v>
      </c>
      <c r="T647">
        <f t="shared" ca="1" si="198"/>
        <v>0.2031421619779219</v>
      </c>
      <c r="U647">
        <f t="shared" ca="1" si="199"/>
        <v>0</v>
      </c>
      <c r="V647" s="47">
        <f t="shared" ca="1" si="200"/>
        <v>0</v>
      </c>
      <c r="W647">
        <f ca="1">Inputs!B15+(Inputs!D15-Inputs!B15)*BETAINV(RAND(),Model!H9,Model!I9)</f>
        <v>2.0277035086453643</v>
      </c>
      <c r="X647">
        <f ca="1">Inputs!E15+(Inputs!G15-Inputs!E15)*BETAINV(RAND(),Model!J9,Model!K9)</f>
        <v>0.4299753245216581</v>
      </c>
      <c r="Y647">
        <f ca="1">(Inputs!H15+(Inputs!J15-Inputs!H15)*BETAINV(RAND(),Model!L9,Model!M9))*Inputs!$C$6</f>
        <v>35333.966520827067</v>
      </c>
      <c r="Z647">
        <f t="shared" ca="1" si="201"/>
        <v>0.87186247416349527</v>
      </c>
      <c r="AA647">
        <f t="shared" ca="1" si="202"/>
        <v>0.3212169507970275</v>
      </c>
      <c r="AB647">
        <f t="shared" ca="1" si="203"/>
        <v>0</v>
      </c>
      <c r="AC647" s="47">
        <f t="shared" ca="1" si="204"/>
        <v>0</v>
      </c>
      <c r="AD647">
        <f ca="1">Inputs!B16+(Inputs!D16-Inputs!B16)*BETAINV(RAND(),Model!H10,Model!I10)</f>
        <v>0.5143474884014515</v>
      </c>
      <c r="AE647">
        <f ca="1">Inputs!E16+(Inputs!G16-Inputs!E16)*BETAINV(RAND(),Model!J10,Model!K10)</f>
        <v>0.65564121264661579</v>
      </c>
      <c r="AF647">
        <f ca="1">(Inputs!H16+(Inputs!J16-Inputs!H16)*BETAINV(RAND(),Model!L10,Model!M10))*Inputs!$C$6</f>
        <v>78436.696254771974</v>
      </c>
      <c r="AG647">
        <f t="shared" ca="1" si="205"/>
        <v>0.33722741101726883</v>
      </c>
      <c r="AH647">
        <f t="shared" ca="1" si="206"/>
        <v>0.64431332563113608</v>
      </c>
      <c r="AI647">
        <f t="shared" ca="1" si="207"/>
        <v>0</v>
      </c>
      <c r="AJ647" s="47">
        <f t="shared" ca="1" si="208"/>
        <v>0</v>
      </c>
      <c r="AK647">
        <f t="shared" ca="1" si="209"/>
        <v>49677.454897218951</v>
      </c>
    </row>
    <row r="648" spans="2:37" x14ac:dyDescent="0.2">
      <c r="B648">
        <f ca="1">Inputs!B12+(Inputs!D12-Inputs!B12)*BETAINV(RAND(),Model!H6,Model!I6)</f>
        <v>2.9879386040702993</v>
      </c>
      <c r="C648">
        <f ca="1">Inputs!E12+(Inputs!G12-Inputs!E12)*BETAINV(RAND(),Model!J6,Model!K6)</f>
        <v>0.28557965203943281</v>
      </c>
      <c r="D648">
        <f ca="1">(Inputs!H12+(Inputs!J12-Inputs!H12)*BETAINV(RAND(),Model!L6,Model!M6))*Inputs!$C$6</f>
        <v>48321.04079163626</v>
      </c>
      <c r="E648">
        <f t="shared" ca="1" si="189"/>
        <v>0.85329446686558463</v>
      </c>
      <c r="F648">
        <f t="shared" ca="1" si="190"/>
        <v>0.44683964223945682</v>
      </c>
      <c r="G648">
        <f t="shared" ca="1" si="191"/>
        <v>1</v>
      </c>
      <c r="H648" s="47">
        <f t="shared" ca="1" si="192"/>
        <v>48321.04079163626</v>
      </c>
      <c r="I648">
        <f ca="1">Inputs!B13+(Inputs!D13-Inputs!B13)*BETAINV(RAND(),Model!H7,Model!I7)</f>
        <v>2.2898451089596539</v>
      </c>
      <c r="J648">
        <f ca="1">Inputs!E13+(Inputs!G13-Inputs!E13)*BETAINV(RAND(),Model!J7,Model!K7)</f>
        <v>0.33994015802211019</v>
      </c>
      <c r="K648">
        <f ca="1">(Inputs!H13+(Inputs!J13-Inputs!H13)*BETAINV(RAND(),Model!L7,Model!M7))*Inputs!$C$6</f>
        <v>37168.996016438941</v>
      </c>
      <c r="L648">
        <f t="shared" ca="1" si="193"/>
        <v>0.77841030818590085</v>
      </c>
      <c r="M648">
        <f t="shared" ca="1" si="194"/>
        <v>0.22136989111365046</v>
      </c>
      <c r="N648">
        <f t="shared" ca="1" si="195"/>
        <v>0</v>
      </c>
      <c r="O648" s="47">
        <f t="shared" ca="1" si="196"/>
        <v>0</v>
      </c>
      <c r="P648">
        <f ca="1">Inputs!B14+(Inputs!D14-Inputs!B14)*BETAINV(RAND(),Model!H8,Model!I8)</f>
        <v>0.46623836992377277</v>
      </c>
      <c r="Q648">
        <f ca="1">Inputs!E14+(Inputs!G14-Inputs!E14)*BETAINV(RAND(),Model!J8,Model!K8)</f>
        <v>0.55371494707638902</v>
      </c>
      <c r="R648">
        <f ca="1">(Inputs!H14+(Inputs!J14-Inputs!H14)*BETAINV(RAND(),Model!L8,Model!M8))*Inputs!$C$6</f>
        <v>355480.99793631525</v>
      </c>
      <c r="S648">
        <f t="shared" ca="1" si="197"/>
        <v>0.25816315432732373</v>
      </c>
      <c r="T648">
        <f t="shared" ca="1" si="198"/>
        <v>0.44471106134581473</v>
      </c>
      <c r="U648">
        <f t="shared" ca="1" si="199"/>
        <v>0</v>
      </c>
      <c r="V648" s="47">
        <f t="shared" ca="1" si="200"/>
        <v>0</v>
      </c>
      <c r="W648">
        <f ca="1">Inputs!B15+(Inputs!D15-Inputs!B15)*BETAINV(RAND(),Model!H9,Model!I9)</f>
        <v>0.64366839812846544</v>
      </c>
      <c r="X648">
        <f ca="1">Inputs!E15+(Inputs!G15-Inputs!E15)*BETAINV(RAND(),Model!J9,Model!K9)</f>
        <v>0.41493433363202092</v>
      </c>
      <c r="Y648">
        <f ca="1">(Inputs!H15+(Inputs!J15-Inputs!H15)*BETAINV(RAND(),Model!L9,Model!M9))*Inputs!$C$6</f>
        <v>32335.318026916262</v>
      </c>
      <c r="Z648">
        <f t="shared" ca="1" si="201"/>
        <v>0.26708011785742514</v>
      </c>
      <c r="AA648">
        <f t="shared" ca="1" si="202"/>
        <v>0.76928264559907999</v>
      </c>
      <c r="AB648">
        <f t="shared" ca="1" si="203"/>
        <v>1</v>
      </c>
      <c r="AC648" s="47">
        <f t="shared" ca="1" si="204"/>
        <v>32335.318026916262</v>
      </c>
      <c r="AD648">
        <f ca="1">Inputs!B16+(Inputs!D16-Inputs!B16)*BETAINV(RAND(),Model!H10,Model!I10)</f>
        <v>0.63264410408352934</v>
      </c>
      <c r="AE648">
        <f ca="1">Inputs!E16+(Inputs!G16-Inputs!E16)*BETAINV(RAND(),Model!J10,Model!K10)</f>
        <v>0.63337714844913784</v>
      </c>
      <c r="AF648">
        <f ca="1">(Inputs!H16+(Inputs!J16-Inputs!H16)*BETAINV(RAND(),Model!L10,Model!M10))*Inputs!$C$6</f>
        <v>89369.314687603895</v>
      </c>
      <c r="AG648">
        <f t="shared" ca="1" si="205"/>
        <v>0.40070231862758537</v>
      </c>
      <c r="AH648">
        <f t="shared" ca="1" si="206"/>
        <v>0.6665391666915601</v>
      </c>
      <c r="AI648">
        <f t="shared" ca="1" si="207"/>
        <v>0</v>
      </c>
      <c r="AJ648" s="47">
        <f t="shared" ca="1" si="208"/>
        <v>0</v>
      </c>
      <c r="AK648">
        <f t="shared" ca="1" si="209"/>
        <v>80656.358818552515</v>
      </c>
    </row>
    <row r="649" spans="2:37" x14ac:dyDescent="0.2">
      <c r="B649">
        <f ca="1">Inputs!B12+(Inputs!D12-Inputs!B12)*BETAINV(RAND(),Model!H6,Model!I6)</f>
        <v>5.1585668561687461</v>
      </c>
      <c r="C649">
        <f ca="1">Inputs!E12+(Inputs!G12-Inputs!E12)*BETAINV(RAND(),Model!J6,Model!K6)</f>
        <v>0.34831008906588506</v>
      </c>
      <c r="D649">
        <f ca="1">(Inputs!H12+(Inputs!J12-Inputs!H12)*BETAINV(RAND(),Model!L6,Model!M6))*Inputs!$C$6</f>
        <v>30156.95365158276</v>
      </c>
      <c r="E649">
        <f t="shared" ca="1" si="189"/>
        <v>1.7967808811244588</v>
      </c>
      <c r="F649">
        <f t="shared" ca="1" si="190"/>
        <v>0.94351155091004468</v>
      </c>
      <c r="G649">
        <f t="shared" ca="1" si="191"/>
        <v>4</v>
      </c>
      <c r="H649" s="47">
        <f t="shared" ca="1" si="192"/>
        <v>120627.81460633104</v>
      </c>
      <c r="I649">
        <f ca="1">Inputs!B13+(Inputs!D13-Inputs!B13)*BETAINV(RAND(),Model!H7,Model!I7)</f>
        <v>0.88330390763960809</v>
      </c>
      <c r="J649">
        <f ca="1">Inputs!E13+(Inputs!G13-Inputs!E13)*BETAINV(RAND(),Model!J7,Model!K7)</f>
        <v>0.24143907715747825</v>
      </c>
      <c r="K649">
        <f ca="1">(Inputs!H13+(Inputs!J13-Inputs!H13)*BETAINV(RAND(),Model!L7,Model!M7))*Inputs!$C$6</f>
        <v>44544.177248314983</v>
      </c>
      <c r="L649">
        <f t="shared" ca="1" si="193"/>
        <v>0.21326408031010138</v>
      </c>
      <c r="M649">
        <f t="shared" ca="1" si="194"/>
        <v>0.55444677923173713</v>
      </c>
      <c r="N649">
        <f t="shared" ca="1" si="195"/>
        <v>0</v>
      </c>
      <c r="O649" s="47">
        <f t="shared" ca="1" si="196"/>
        <v>0</v>
      </c>
      <c r="P649">
        <f ca="1">Inputs!B14+(Inputs!D14-Inputs!B14)*BETAINV(RAND(),Model!H8,Model!I8)</f>
        <v>0.42606149250961145</v>
      </c>
      <c r="Q649">
        <f ca="1">Inputs!E14+(Inputs!G14-Inputs!E14)*BETAINV(RAND(),Model!J8,Model!K8)</f>
        <v>0.59965085348270353</v>
      </c>
      <c r="R649">
        <f ca="1">(Inputs!H14+(Inputs!J14-Inputs!H14)*BETAINV(RAND(),Model!L8,Model!M8))*Inputs!$C$6</f>
        <v>444761.25108939339</v>
      </c>
      <c r="S649">
        <f t="shared" ca="1" si="197"/>
        <v>0.25548813761950301</v>
      </c>
      <c r="T649">
        <f t="shared" ca="1" si="198"/>
        <v>0.30899383109494682</v>
      </c>
      <c r="U649">
        <f t="shared" ca="1" si="199"/>
        <v>0</v>
      </c>
      <c r="V649" s="47">
        <f t="shared" ca="1" si="200"/>
        <v>0</v>
      </c>
      <c r="W649">
        <f ca="1">Inputs!B15+(Inputs!D15-Inputs!B15)*BETAINV(RAND(),Model!H9,Model!I9)</f>
        <v>1.2289032601741581</v>
      </c>
      <c r="X649">
        <f ca="1">Inputs!E15+(Inputs!G15-Inputs!E15)*BETAINV(RAND(),Model!J9,Model!K9)</f>
        <v>0.47666709502831955</v>
      </c>
      <c r="Y649">
        <f ca="1">(Inputs!H15+(Inputs!J15-Inputs!H15)*BETAINV(RAND(),Model!L9,Model!M9))*Inputs!$C$6</f>
        <v>45368.79652076873</v>
      </c>
      <c r="Z649">
        <f t="shared" ca="1" si="201"/>
        <v>0.58577774709804709</v>
      </c>
      <c r="AA649">
        <f t="shared" ca="1" si="202"/>
        <v>0.62266013758192496</v>
      </c>
      <c r="AB649">
        <f t="shared" ca="1" si="203"/>
        <v>1</v>
      </c>
      <c r="AC649" s="47">
        <f t="shared" ca="1" si="204"/>
        <v>45368.79652076873</v>
      </c>
      <c r="AD649">
        <f ca="1">Inputs!B16+(Inputs!D16-Inputs!B16)*BETAINV(RAND(),Model!H10,Model!I10)</f>
        <v>1.1689737836395024</v>
      </c>
      <c r="AE649">
        <f ca="1">Inputs!E16+(Inputs!G16-Inputs!E16)*BETAINV(RAND(),Model!J10,Model!K10)</f>
        <v>0.63822799724480239</v>
      </c>
      <c r="AF649">
        <f ca="1">(Inputs!H16+(Inputs!J16-Inputs!H16)*BETAINV(RAND(),Model!L10,Model!M10))*Inputs!$C$6</f>
        <v>57764.141141624073</v>
      </c>
      <c r="AG649">
        <f t="shared" ca="1" si="205"/>
        <v>0.74607179676391855</v>
      </c>
      <c r="AH649">
        <f t="shared" ca="1" si="206"/>
        <v>0.77629129745640157</v>
      </c>
      <c r="AI649">
        <f t="shared" ca="1" si="207"/>
        <v>1</v>
      </c>
      <c r="AJ649" s="47">
        <f t="shared" ca="1" si="208"/>
        <v>57764.141141624073</v>
      </c>
      <c r="AK649">
        <f t="shared" ca="1" si="209"/>
        <v>223760.75226872385</v>
      </c>
    </row>
    <row r="650" spans="2:37" x14ac:dyDescent="0.2">
      <c r="B650">
        <f ca="1">Inputs!B12+(Inputs!D12-Inputs!B12)*BETAINV(RAND(),Model!H6,Model!I6)</f>
        <v>2.6937255616302171</v>
      </c>
      <c r="C650">
        <f ca="1">Inputs!E12+(Inputs!G12-Inputs!E12)*BETAINV(RAND(),Model!J6,Model!K6)</f>
        <v>0.36135892656289603</v>
      </c>
      <c r="D650">
        <f ca="1">(Inputs!H12+(Inputs!J12-Inputs!H12)*BETAINV(RAND(),Model!L6,Model!M6))*Inputs!$C$6</f>
        <v>24683.469541144685</v>
      </c>
      <c r="E650">
        <f t="shared" ca="1" si="189"/>
        <v>0.97340177740572953</v>
      </c>
      <c r="F650">
        <f t="shared" ca="1" si="190"/>
        <v>0.17944258067368024</v>
      </c>
      <c r="G650">
        <f t="shared" ca="1" si="191"/>
        <v>0</v>
      </c>
      <c r="H650" s="47">
        <f t="shared" ca="1" si="192"/>
        <v>0</v>
      </c>
      <c r="I650">
        <f ca="1">Inputs!B13+(Inputs!D13-Inputs!B13)*BETAINV(RAND(),Model!H7,Model!I7)</f>
        <v>0.99746412742822632</v>
      </c>
      <c r="J650">
        <f ca="1">Inputs!E13+(Inputs!G13-Inputs!E13)*BETAINV(RAND(),Model!J7,Model!K7)</f>
        <v>0.3571015707469648</v>
      </c>
      <c r="K650">
        <f ca="1">(Inputs!H13+(Inputs!J13-Inputs!H13)*BETAINV(RAND(),Model!L7,Model!M7))*Inputs!$C$6</f>
        <v>14534.90521224009</v>
      </c>
      <c r="L650">
        <f t="shared" ca="1" si="193"/>
        <v>0.35619600666837026</v>
      </c>
      <c r="M650">
        <f t="shared" ca="1" si="194"/>
        <v>0.5082153003768517</v>
      </c>
      <c r="N650">
        <f t="shared" ca="1" si="195"/>
        <v>0</v>
      </c>
      <c r="O650" s="47">
        <f t="shared" ca="1" si="196"/>
        <v>0</v>
      </c>
      <c r="P650">
        <f ca="1">Inputs!B14+(Inputs!D14-Inputs!B14)*BETAINV(RAND(),Model!H8,Model!I8)</f>
        <v>0.47377237174873754</v>
      </c>
      <c r="Q650">
        <f ca="1">Inputs!E14+(Inputs!G14-Inputs!E14)*BETAINV(RAND(),Model!J8,Model!K8)</f>
        <v>0.73548647156922686</v>
      </c>
      <c r="R650">
        <f ca="1">(Inputs!H14+(Inputs!J14-Inputs!H14)*BETAINV(RAND(),Model!L8,Model!M8))*Inputs!$C$6</f>
        <v>465334.45437496842</v>
      </c>
      <c r="S650">
        <f t="shared" ca="1" si="197"/>
        <v>0.34845317002446302</v>
      </c>
      <c r="T650">
        <f t="shared" ca="1" si="198"/>
        <v>0.88991843768821399</v>
      </c>
      <c r="U650">
        <f t="shared" ca="1" si="199"/>
        <v>1</v>
      </c>
      <c r="V650" s="47">
        <f t="shared" ca="1" si="200"/>
        <v>465334.45437496842</v>
      </c>
      <c r="W650">
        <f ca="1">Inputs!B15+(Inputs!D15-Inputs!B15)*BETAINV(RAND(),Model!H9,Model!I9)</f>
        <v>1.3091664511490468</v>
      </c>
      <c r="X650">
        <f ca="1">Inputs!E15+(Inputs!G15-Inputs!E15)*BETAINV(RAND(),Model!J9,Model!K9)</f>
        <v>0.49367436316074453</v>
      </c>
      <c r="Y650">
        <f ca="1">(Inputs!H15+(Inputs!J15-Inputs!H15)*BETAINV(RAND(),Model!L9,Model!M9))*Inputs!$C$6</f>
        <v>23589.160139732194</v>
      </c>
      <c r="Z650">
        <f t="shared" ca="1" si="201"/>
        <v>0.64630191404241766</v>
      </c>
      <c r="AA650">
        <f t="shared" ca="1" si="202"/>
        <v>0.85723579818865736</v>
      </c>
      <c r="AB650">
        <f t="shared" ca="1" si="203"/>
        <v>1</v>
      </c>
      <c r="AC650" s="47">
        <f t="shared" ca="1" si="204"/>
        <v>23589.160139732194</v>
      </c>
      <c r="AD650">
        <f ca="1">Inputs!B16+(Inputs!D16-Inputs!B16)*BETAINV(RAND(),Model!H10,Model!I10)</f>
        <v>0.38669524660056726</v>
      </c>
      <c r="AE650">
        <f ca="1">Inputs!E16+(Inputs!G16-Inputs!E16)*BETAINV(RAND(),Model!J10,Model!K10)</f>
        <v>0.51787943293729577</v>
      </c>
      <c r="AF650">
        <f ca="1">(Inputs!H16+(Inputs!J16-Inputs!H16)*BETAINV(RAND(),Model!L10,Model!M10))*Inputs!$C$6</f>
        <v>83284.319551100925</v>
      </c>
      <c r="AG650">
        <f t="shared" ca="1" si="205"/>
        <v>0.20026151502904951</v>
      </c>
      <c r="AH650">
        <f t="shared" ca="1" si="206"/>
        <v>0.60753005421696438</v>
      </c>
      <c r="AI650">
        <f t="shared" ca="1" si="207"/>
        <v>0</v>
      </c>
      <c r="AJ650" s="47">
        <f t="shared" ca="1" si="208"/>
        <v>0</v>
      </c>
      <c r="AK650">
        <f t="shared" ca="1" si="209"/>
        <v>488923.6145147006</v>
      </c>
    </row>
    <row r="651" spans="2:37" x14ac:dyDescent="0.2">
      <c r="B651">
        <f ca="1">Inputs!B12+(Inputs!D12-Inputs!B12)*BETAINV(RAND(),Model!H6,Model!I6)</f>
        <v>5.7553060375435035</v>
      </c>
      <c r="C651">
        <f ca="1">Inputs!E12+(Inputs!G12-Inputs!E12)*BETAINV(RAND(),Model!J6,Model!K6)</f>
        <v>0.26870244781777142</v>
      </c>
      <c r="D651">
        <f ca="1">(Inputs!H12+(Inputs!J12-Inputs!H12)*BETAINV(RAND(),Model!L6,Model!M6))*Inputs!$C$6</f>
        <v>28768.772602024565</v>
      </c>
      <c r="E651">
        <f t="shared" ca="1" si="189"/>
        <v>1.546464820228338</v>
      </c>
      <c r="F651">
        <f t="shared" ca="1" si="190"/>
        <v>0.25627804769566775</v>
      </c>
      <c r="G651">
        <f t="shared" ca="1" si="191"/>
        <v>1</v>
      </c>
      <c r="H651" s="47">
        <f t="shared" ca="1" si="192"/>
        <v>28768.772602024565</v>
      </c>
      <c r="I651">
        <f ca="1">Inputs!B13+(Inputs!D13-Inputs!B13)*BETAINV(RAND(),Model!H7,Model!I7)</f>
        <v>2.8114470226732449</v>
      </c>
      <c r="J651">
        <f ca="1">Inputs!E13+(Inputs!G13-Inputs!E13)*BETAINV(RAND(),Model!J7,Model!K7)</f>
        <v>0.4290178981081989</v>
      </c>
      <c r="K651">
        <f ca="1">(Inputs!H13+(Inputs!J13-Inputs!H13)*BETAINV(RAND(),Model!L7,Model!M7))*Inputs!$C$6</f>
        <v>64095.33296063602</v>
      </c>
      <c r="L651">
        <f t="shared" ca="1" si="193"/>
        <v>1.2061610923098294</v>
      </c>
      <c r="M651">
        <f t="shared" ca="1" si="194"/>
        <v>0.49362981341895773</v>
      </c>
      <c r="N651">
        <f t="shared" ca="1" si="195"/>
        <v>1</v>
      </c>
      <c r="O651" s="47">
        <f t="shared" ca="1" si="196"/>
        <v>64095.33296063602</v>
      </c>
      <c r="P651">
        <f ca="1">Inputs!B14+(Inputs!D14-Inputs!B14)*BETAINV(RAND(),Model!H8,Model!I8)</f>
        <v>0.32421493431091741</v>
      </c>
      <c r="Q651">
        <f ca="1">Inputs!E14+(Inputs!G14-Inputs!E14)*BETAINV(RAND(),Model!J8,Model!K8)</f>
        <v>0.74063443257909456</v>
      </c>
      <c r="R651">
        <f ca="1">(Inputs!H14+(Inputs!J14-Inputs!H14)*BETAINV(RAND(),Model!L8,Model!M8))*Inputs!$C$6</f>
        <v>314338.32530732086</v>
      </c>
      <c r="S651">
        <f t="shared" ca="1" si="197"/>
        <v>0.24012474390703473</v>
      </c>
      <c r="T651">
        <f t="shared" ca="1" si="198"/>
        <v>0.3443584687390534</v>
      </c>
      <c r="U651">
        <f t="shared" ca="1" si="199"/>
        <v>0</v>
      </c>
      <c r="V651" s="47">
        <f t="shared" ca="1" si="200"/>
        <v>0</v>
      </c>
      <c r="W651">
        <f ca="1">Inputs!B15+(Inputs!D15-Inputs!B15)*BETAINV(RAND(),Model!H9,Model!I9)</f>
        <v>2.6228589828144853</v>
      </c>
      <c r="X651">
        <f ca="1">Inputs!E15+(Inputs!G15-Inputs!E15)*BETAINV(RAND(),Model!J9,Model!K9)</f>
        <v>0.2826668410979073</v>
      </c>
      <c r="Y651">
        <f ca="1">(Inputs!H15+(Inputs!J15-Inputs!H15)*BETAINV(RAND(),Model!L9,Model!M9))*Inputs!$C$6</f>
        <v>27224.591395177627</v>
      </c>
      <c r="Z651">
        <f t="shared" ca="1" si="201"/>
        <v>0.74139526331744088</v>
      </c>
      <c r="AA651">
        <f t="shared" ca="1" si="202"/>
        <v>0.3825950423435257</v>
      </c>
      <c r="AB651">
        <f t="shared" ca="1" si="203"/>
        <v>0</v>
      </c>
      <c r="AC651" s="47">
        <f t="shared" ca="1" si="204"/>
        <v>0</v>
      </c>
      <c r="AD651">
        <f ca="1">Inputs!B16+(Inputs!D16-Inputs!B16)*BETAINV(RAND(),Model!H10,Model!I10)</f>
        <v>1.2115025591176614</v>
      </c>
      <c r="AE651">
        <f ca="1">Inputs!E16+(Inputs!G16-Inputs!E16)*BETAINV(RAND(),Model!J10,Model!K10)</f>
        <v>0.51017510649030662</v>
      </c>
      <c r="AF651">
        <f ca="1">(Inputs!H16+(Inputs!J16-Inputs!H16)*BETAINV(RAND(),Model!L10,Model!M10))*Inputs!$C$6</f>
        <v>90380.777338465792</v>
      </c>
      <c r="AG651">
        <f t="shared" ca="1" si="205"/>
        <v>0.61807844711113191</v>
      </c>
      <c r="AH651">
        <f t="shared" ca="1" si="206"/>
        <v>0.92281674932421243</v>
      </c>
      <c r="AI651">
        <f t="shared" ca="1" si="207"/>
        <v>2</v>
      </c>
      <c r="AJ651" s="47">
        <f t="shared" ca="1" si="208"/>
        <v>180761.55467693158</v>
      </c>
      <c r="AK651">
        <f t="shared" ca="1" si="209"/>
        <v>273625.66023959219</v>
      </c>
    </row>
    <row r="652" spans="2:37" x14ac:dyDescent="0.2">
      <c r="B652">
        <f ca="1">Inputs!B12+(Inputs!D12-Inputs!B12)*BETAINV(RAND(),Model!H6,Model!I6)</f>
        <v>3.7781702830834503</v>
      </c>
      <c r="C652">
        <f ca="1">Inputs!E12+(Inputs!G12-Inputs!E12)*BETAINV(RAND(),Model!J6,Model!K6)</f>
        <v>0.29880086516588478</v>
      </c>
      <c r="D652">
        <f ca="1">(Inputs!H12+(Inputs!J12-Inputs!H12)*BETAINV(RAND(),Model!L6,Model!M6))*Inputs!$C$6</f>
        <v>47123.121856375641</v>
      </c>
      <c r="E652">
        <f t="shared" ref="E652:E715" ca="1" si="210">B652*C652</f>
        <v>1.1289205493293708</v>
      </c>
      <c r="F652">
        <f t="shared" ref="F652:F715" ca="1" si="211">RAND()</f>
        <v>0.17575811540956809</v>
      </c>
      <c r="G652">
        <f t="shared" ref="G652:G715" ca="1" si="212">IF(F652&lt;EXP(-E652),0,IF(F652&lt;EXP(-E652)*(1+E652),1,IF(F652&lt;EXP(-E652)*(1+E652+E652^2/2),2,IF(F652&lt;EXP(-E652)*(1+E652+E652^2/2+E652^3/6),3,4))))</f>
        <v>0</v>
      </c>
      <c r="H652" s="47">
        <f t="shared" ref="H652:H715" ca="1" si="213">G652*D652</f>
        <v>0</v>
      </c>
      <c r="I652">
        <f ca="1">Inputs!B13+(Inputs!D13-Inputs!B13)*BETAINV(RAND(),Model!H7,Model!I7)</f>
        <v>0.70480540670645853</v>
      </c>
      <c r="J652">
        <f ca="1">Inputs!E13+(Inputs!G13-Inputs!E13)*BETAINV(RAND(),Model!J7,Model!K7)</f>
        <v>0.17677688275633219</v>
      </c>
      <c r="K652">
        <f ca="1">(Inputs!H13+(Inputs!J13-Inputs!H13)*BETAINV(RAND(),Model!L7,Model!M7))*Inputs!$C$6</f>
        <v>54116.591948507878</v>
      </c>
      <c r="L652">
        <f t="shared" ref="L652:L715" ca="1" si="214">I652*J652</f>
        <v>0.12459330274737664</v>
      </c>
      <c r="M652">
        <f t="shared" ref="M652:M715" ca="1" si="215">RAND()</f>
        <v>0.24374834127371092</v>
      </c>
      <c r="N652">
        <f t="shared" ref="N652:N715" ca="1" si="216">IF(M652&lt;EXP(-L652),0,IF(M652&lt;EXP(-L652)*(1+L652),1,IF(M652&lt;EXP(-L652)*(1+L652+L652^2/2),2,IF(M652&lt;EXP(-L652)*(1+L652+L652^2/2+L652^3/6),3,4))))</f>
        <v>0</v>
      </c>
      <c r="O652" s="47">
        <f t="shared" ref="O652:O715" ca="1" si="217">N652*K652</f>
        <v>0</v>
      </c>
      <c r="P652">
        <f ca="1">Inputs!B14+(Inputs!D14-Inputs!B14)*BETAINV(RAND(),Model!H8,Model!I8)</f>
        <v>0.33318852560868428</v>
      </c>
      <c r="Q652">
        <f ca="1">Inputs!E14+(Inputs!G14-Inputs!E14)*BETAINV(RAND(),Model!J8,Model!K8)</f>
        <v>0.6965348701084304</v>
      </c>
      <c r="R652">
        <f ca="1">(Inputs!H14+(Inputs!J14-Inputs!H14)*BETAINV(RAND(),Model!L8,Model!M8))*Inputs!$C$6</f>
        <v>251578.28013095466</v>
      </c>
      <c r="S652">
        <f t="shared" ref="S652:S715" ca="1" si="218">P652*Q652</f>
        <v>0.23207742640646434</v>
      </c>
      <c r="T652">
        <f t="shared" ref="T652:T715" ca="1" si="219">RAND()</f>
        <v>0.9253298179654329</v>
      </c>
      <c r="U652">
        <f t="shared" ref="U652:U715" ca="1" si="220">IF(T652&lt;EXP(-S652),0,IF(T652&lt;EXP(-S652)*(1+S652),1,IF(T652&lt;EXP(-S652)*(1+S652+S652^2/2),2,IF(T652&lt;EXP(-S652)*(1+S652+S652^2/2+S652^3/6),3,4))))</f>
        <v>1</v>
      </c>
      <c r="V652" s="47">
        <f t="shared" ref="V652:V715" ca="1" si="221">U652*R652</f>
        <v>251578.28013095466</v>
      </c>
      <c r="W652">
        <f ca="1">Inputs!B15+(Inputs!D15-Inputs!B15)*BETAINV(RAND(),Model!H9,Model!I9)</f>
        <v>1.4618601550607762</v>
      </c>
      <c r="X652">
        <f ca="1">Inputs!E15+(Inputs!G15-Inputs!E15)*BETAINV(RAND(),Model!J9,Model!K9)</f>
        <v>0.53733846873994273</v>
      </c>
      <c r="Y652">
        <f ca="1">(Inputs!H15+(Inputs!J15-Inputs!H15)*BETAINV(RAND(),Model!L9,Model!M9))*Inputs!$C$6</f>
        <v>40674.523934517238</v>
      </c>
      <c r="Z652">
        <f t="shared" ref="Z652:Z715" ca="1" si="222">W652*X652</f>
        <v>0.7855136972322927</v>
      </c>
      <c r="AA652">
        <f t="shared" ref="AA652:AA715" ca="1" si="223">RAND()</f>
        <v>0.65791645350198569</v>
      </c>
      <c r="AB652">
        <f t="shared" ref="AB652:AB715" ca="1" si="224">IF(AA652&lt;EXP(-Z652),0,IF(AA652&lt;EXP(-Z652)*(1+Z652),1,IF(AA652&lt;EXP(-Z652)*(1+Z652+Z652^2/2),2,IF(AA652&lt;EXP(-Z652)*(1+Z652+Z652^2/2+Z652^3/6),3,4))))</f>
        <v>1</v>
      </c>
      <c r="AC652" s="47">
        <f t="shared" ref="AC652:AC715" ca="1" si="225">AB652*Y652</f>
        <v>40674.523934517238</v>
      </c>
      <c r="AD652">
        <f ca="1">Inputs!B16+(Inputs!D16-Inputs!B16)*BETAINV(RAND(),Model!H10,Model!I10)</f>
        <v>0.40608674253715094</v>
      </c>
      <c r="AE652">
        <f ca="1">Inputs!E16+(Inputs!G16-Inputs!E16)*BETAINV(RAND(),Model!J10,Model!K10)</f>
        <v>0.61643015097553722</v>
      </c>
      <c r="AF652">
        <f ca="1">(Inputs!H16+(Inputs!J16-Inputs!H16)*BETAINV(RAND(),Model!L10,Model!M10))*Inputs!$C$6</f>
        <v>93844.845417460689</v>
      </c>
      <c r="AG652">
        <f t="shared" ref="AG652:AG715" ca="1" si="226">AD652*AE652</f>
        <v>0.25032411201134008</v>
      </c>
      <c r="AH652">
        <f t="shared" ref="AH652:AH715" ca="1" si="227">RAND()</f>
        <v>0.47624530854763447</v>
      </c>
      <c r="AI652">
        <f t="shared" ref="AI652:AI715" ca="1" si="228">IF(AH652&lt;EXP(-AG652),0,IF(AH652&lt;EXP(-AG652)*(1+AG652),1,IF(AH652&lt;EXP(-AG652)*(1+AG652+AG652^2/2),2,IF(AH652&lt;EXP(-AG652)*(1+AG652+AG652^2/2+AG652^3/6),3,4))))</f>
        <v>0</v>
      </c>
      <c r="AJ652" s="47">
        <f t="shared" ref="AJ652:AJ715" ca="1" si="229">AI652*AF652</f>
        <v>0</v>
      </c>
      <c r="AK652">
        <f t="shared" ref="AK652:AK715" ca="1" si="230">H652+O652+V652+AC652+AJ652</f>
        <v>292252.80406547192</v>
      </c>
    </row>
    <row r="653" spans="2:37" x14ac:dyDescent="0.2">
      <c r="B653">
        <f ca="1">Inputs!B12+(Inputs!D12-Inputs!B12)*BETAINV(RAND(),Model!H6,Model!I6)</f>
        <v>2.9320855577486755</v>
      </c>
      <c r="C653">
        <f ca="1">Inputs!E12+(Inputs!G12-Inputs!E12)*BETAINV(RAND(),Model!J6,Model!K6)</f>
        <v>0.24805119398553874</v>
      </c>
      <c r="D653">
        <f ca="1">(Inputs!H12+(Inputs!J12-Inputs!H12)*BETAINV(RAND(),Model!L6,Model!M6))*Inputs!$C$6</f>
        <v>43361.790012370344</v>
      </c>
      <c r="E653">
        <f t="shared" ca="1" si="210"/>
        <v>0.7273073234673133</v>
      </c>
      <c r="F653">
        <f t="shared" ca="1" si="211"/>
        <v>0.41204838562990342</v>
      </c>
      <c r="G653">
        <f t="shared" ca="1" si="212"/>
        <v>0</v>
      </c>
      <c r="H653" s="47">
        <f t="shared" ca="1" si="213"/>
        <v>0</v>
      </c>
      <c r="I653">
        <f ca="1">Inputs!B13+(Inputs!D13-Inputs!B13)*BETAINV(RAND(),Model!H7,Model!I7)</f>
        <v>3.2323182711222942</v>
      </c>
      <c r="J653">
        <f ca="1">Inputs!E13+(Inputs!G13-Inputs!E13)*BETAINV(RAND(),Model!J7,Model!K7)</f>
        <v>0.2043905197666484</v>
      </c>
      <c r="K653">
        <f ca="1">(Inputs!H13+(Inputs!J13-Inputs!H13)*BETAINV(RAND(),Model!L7,Model!M7))*Inputs!$C$6</f>
        <v>47103.884275889373</v>
      </c>
      <c r="L653">
        <f t="shared" ca="1" si="214"/>
        <v>0.6606552114859201</v>
      </c>
      <c r="M653">
        <f t="shared" ca="1" si="215"/>
        <v>0.50006748357926245</v>
      </c>
      <c r="N653">
        <f t="shared" ca="1" si="216"/>
        <v>0</v>
      </c>
      <c r="O653" s="47">
        <f t="shared" ca="1" si="217"/>
        <v>0</v>
      </c>
      <c r="P653">
        <f ca="1">Inputs!B14+(Inputs!D14-Inputs!B14)*BETAINV(RAND(),Model!H8,Model!I8)</f>
        <v>0.50855100260224473</v>
      </c>
      <c r="Q653">
        <f ca="1">Inputs!E14+(Inputs!G14-Inputs!E14)*BETAINV(RAND(),Model!J8,Model!K8)</f>
        <v>0.70551694364954087</v>
      </c>
      <c r="R653">
        <f ca="1">(Inputs!H14+(Inputs!J14-Inputs!H14)*BETAINV(RAND(),Model!L8,Model!M8))*Inputs!$C$6</f>
        <v>289888.94574822049</v>
      </c>
      <c r="S653">
        <f t="shared" ca="1" si="218"/>
        <v>0.35879134904584542</v>
      </c>
      <c r="T653">
        <f t="shared" ca="1" si="219"/>
        <v>0.12578100100035761</v>
      </c>
      <c r="U653">
        <f t="shared" ca="1" si="220"/>
        <v>0</v>
      </c>
      <c r="V653" s="47">
        <f t="shared" ca="1" si="221"/>
        <v>0</v>
      </c>
      <c r="W653">
        <f ca="1">Inputs!B15+(Inputs!D15-Inputs!B15)*BETAINV(RAND(),Model!H9,Model!I9)</f>
        <v>1.8609989293112783</v>
      </c>
      <c r="X653">
        <f ca="1">Inputs!E15+(Inputs!G15-Inputs!E15)*BETAINV(RAND(),Model!J9,Model!K9)</f>
        <v>0.45888874611364805</v>
      </c>
      <c r="Y653">
        <f ca="1">(Inputs!H15+(Inputs!J15-Inputs!H15)*BETAINV(RAND(),Model!L9,Model!M9))*Inputs!$C$6</f>
        <v>24868.308713382099</v>
      </c>
      <c r="Z653">
        <f t="shared" ca="1" si="222"/>
        <v>0.85399146519049407</v>
      </c>
      <c r="AA653">
        <f t="shared" ca="1" si="223"/>
        <v>0.3758459520984041</v>
      </c>
      <c r="AB653">
        <f t="shared" ca="1" si="224"/>
        <v>0</v>
      </c>
      <c r="AC653" s="47">
        <f t="shared" ca="1" si="225"/>
        <v>0</v>
      </c>
      <c r="AD653">
        <f ca="1">Inputs!B16+(Inputs!D16-Inputs!B16)*BETAINV(RAND(),Model!H10,Model!I10)</f>
        <v>0.58259157350166613</v>
      </c>
      <c r="AE653">
        <f ca="1">Inputs!E16+(Inputs!G16-Inputs!E16)*BETAINV(RAND(),Model!J10,Model!K10)</f>
        <v>0.4799975577884783</v>
      </c>
      <c r="AF653">
        <f ca="1">(Inputs!H16+(Inputs!J16-Inputs!H16)*BETAINV(RAND(),Model!L10,Model!M10))*Inputs!$C$6</f>
        <v>74120.766882003634</v>
      </c>
      <c r="AG653">
        <f t="shared" ca="1" si="226"/>
        <v>0.27964253246894649</v>
      </c>
      <c r="AH653">
        <f t="shared" ca="1" si="227"/>
        <v>0.18357014135432992</v>
      </c>
      <c r="AI653">
        <f t="shared" ca="1" si="228"/>
        <v>0</v>
      </c>
      <c r="AJ653" s="47">
        <f t="shared" ca="1" si="229"/>
        <v>0</v>
      </c>
      <c r="AK653">
        <f t="shared" ca="1" si="230"/>
        <v>0</v>
      </c>
    </row>
    <row r="654" spans="2:37" x14ac:dyDescent="0.2">
      <c r="B654">
        <f ca="1">Inputs!B12+(Inputs!D12-Inputs!B12)*BETAINV(RAND(),Model!H6,Model!I6)</f>
        <v>1.9201682655918786</v>
      </c>
      <c r="C654">
        <f ca="1">Inputs!E12+(Inputs!G12-Inputs!E12)*BETAINV(RAND(),Model!J6,Model!K6)</f>
        <v>0.42526867933760792</v>
      </c>
      <c r="D654">
        <f ca="1">(Inputs!H12+(Inputs!J12-Inputs!H12)*BETAINV(RAND(),Model!L6,Model!M6))*Inputs!$C$6</f>
        <v>21200.535876216869</v>
      </c>
      <c r="E654">
        <f t="shared" ca="1" si="210"/>
        <v>0.81658742241424342</v>
      </c>
      <c r="F654">
        <f t="shared" ca="1" si="211"/>
        <v>0.64905356336662812</v>
      </c>
      <c r="G654">
        <f t="shared" ca="1" si="212"/>
        <v>1</v>
      </c>
      <c r="H654" s="47">
        <f t="shared" ca="1" si="213"/>
        <v>21200.535876216869</v>
      </c>
      <c r="I654">
        <f ca="1">Inputs!B13+(Inputs!D13-Inputs!B13)*BETAINV(RAND(),Model!H7,Model!I7)</f>
        <v>3.068378104990912</v>
      </c>
      <c r="J654">
        <f ca="1">Inputs!E13+(Inputs!G13-Inputs!E13)*BETAINV(RAND(),Model!J7,Model!K7)</f>
        <v>0.13206580447040683</v>
      </c>
      <c r="K654">
        <f ca="1">(Inputs!H13+(Inputs!J13-Inputs!H13)*BETAINV(RAND(),Model!L7,Model!M7))*Inputs!$C$6</f>
        <v>63762.990377170157</v>
      </c>
      <c r="L654">
        <f t="shared" ca="1" si="214"/>
        <v>0.40522782285500725</v>
      </c>
      <c r="M654">
        <f t="shared" ca="1" si="215"/>
        <v>0.39274470231470282</v>
      </c>
      <c r="N654">
        <f t="shared" ca="1" si="216"/>
        <v>0</v>
      </c>
      <c r="O654" s="47">
        <f t="shared" ca="1" si="217"/>
        <v>0</v>
      </c>
      <c r="P654">
        <f ca="1">Inputs!B14+(Inputs!D14-Inputs!B14)*BETAINV(RAND(),Model!H8,Model!I8)</f>
        <v>0.23463775598655451</v>
      </c>
      <c r="Q654">
        <f ca="1">Inputs!E14+(Inputs!G14-Inputs!E14)*BETAINV(RAND(),Model!J8,Model!K8)</f>
        <v>0.66579186994524298</v>
      </c>
      <c r="R654">
        <f ca="1">(Inputs!H14+(Inputs!J14-Inputs!H14)*BETAINV(RAND(),Model!L8,Model!M8))*Inputs!$C$6</f>
        <v>459580.17519812501</v>
      </c>
      <c r="S654">
        <f t="shared" ca="1" si="218"/>
        <v>0.15621991031804375</v>
      </c>
      <c r="T654">
        <f t="shared" ca="1" si="219"/>
        <v>0.44482536197461031</v>
      </c>
      <c r="U654">
        <f t="shared" ca="1" si="220"/>
        <v>0</v>
      </c>
      <c r="V654" s="47">
        <f t="shared" ca="1" si="221"/>
        <v>0</v>
      </c>
      <c r="W654">
        <f ca="1">Inputs!B15+(Inputs!D15-Inputs!B15)*BETAINV(RAND(),Model!H9,Model!I9)</f>
        <v>1.4128195499160066</v>
      </c>
      <c r="X654">
        <f ca="1">Inputs!E15+(Inputs!G15-Inputs!E15)*BETAINV(RAND(),Model!J9,Model!K9)</f>
        <v>0.54563176528510582</v>
      </c>
      <c r="Y654">
        <f ca="1">(Inputs!H15+(Inputs!J15-Inputs!H15)*BETAINV(RAND(),Model!L9,Model!M9))*Inputs!$C$6</f>
        <v>38746.755466576222</v>
      </c>
      <c r="Z654">
        <f t="shared" ca="1" si="222"/>
        <v>0.7708792250499793</v>
      </c>
      <c r="AA654">
        <f t="shared" ca="1" si="223"/>
        <v>6.1249487614289722E-2</v>
      </c>
      <c r="AB654">
        <f t="shared" ca="1" si="224"/>
        <v>0</v>
      </c>
      <c r="AC654" s="47">
        <f t="shared" ca="1" si="225"/>
        <v>0</v>
      </c>
      <c r="AD654">
        <f ca="1">Inputs!B16+(Inputs!D16-Inputs!B16)*BETAINV(RAND(),Model!H10,Model!I10)</f>
        <v>0.36594259899528947</v>
      </c>
      <c r="AE654">
        <f ca="1">Inputs!E16+(Inputs!G16-Inputs!E16)*BETAINV(RAND(),Model!J10,Model!K10)</f>
        <v>0.48893171039559763</v>
      </c>
      <c r="AF654">
        <f ca="1">(Inputs!H16+(Inputs!J16-Inputs!H16)*BETAINV(RAND(),Model!L10,Model!M10))*Inputs!$C$6</f>
        <v>77312.357148211857</v>
      </c>
      <c r="AG654">
        <f t="shared" ca="1" si="226"/>
        <v>0.17892094083337717</v>
      </c>
      <c r="AH654">
        <f t="shared" ca="1" si="227"/>
        <v>0.92090026783357581</v>
      </c>
      <c r="AI654">
        <f t="shared" ca="1" si="228"/>
        <v>1</v>
      </c>
      <c r="AJ654" s="47">
        <f t="shared" ca="1" si="229"/>
        <v>77312.357148211857</v>
      </c>
      <c r="AK654">
        <f t="shared" ca="1" si="230"/>
        <v>98512.893024428718</v>
      </c>
    </row>
    <row r="655" spans="2:37" x14ac:dyDescent="0.2">
      <c r="B655">
        <f ca="1">Inputs!B12+(Inputs!D12-Inputs!B12)*BETAINV(RAND(),Model!H6,Model!I6)</f>
        <v>2.5525490567988744</v>
      </c>
      <c r="C655">
        <f ca="1">Inputs!E12+(Inputs!G12-Inputs!E12)*BETAINV(RAND(),Model!J6,Model!K6)</f>
        <v>0.3380006654428066</v>
      </c>
      <c r="D655">
        <f ca="1">(Inputs!H12+(Inputs!J12-Inputs!H12)*BETAINV(RAND(),Model!L6,Model!M6))*Inputs!$C$6</f>
        <v>45896.983072138501</v>
      </c>
      <c r="E655">
        <f t="shared" ca="1" si="210"/>
        <v>0.86276327977342793</v>
      </c>
      <c r="F655">
        <f t="shared" ca="1" si="211"/>
        <v>0.7841817294873078</v>
      </c>
      <c r="G655">
        <f t="shared" ca="1" si="212"/>
        <v>1</v>
      </c>
      <c r="H655" s="47">
        <f t="shared" ca="1" si="213"/>
        <v>45896.983072138501</v>
      </c>
      <c r="I655">
        <f ca="1">Inputs!B13+(Inputs!D13-Inputs!B13)*BETAINV(RAND(),Model!H7,Model!I7)</f>
        <v>1.2423840487696567</v>
      </c>
      <c r="J655">
        <f ca="1">Inputs!E13+(Inputs!G13-Inputs!E13)*BETAINV(RAND(),Model!J7,Model!K7)</f>
        <v>0.19961702000158024</v>
      </c>
      <c r="K655">
        <f ca="1">(Inputs!H13+(Inputs!J13-Inputs!H13)*BETAINV(RAND(),Model!L7,Model!M7))*Inputs!$C$6</f>
        <v>48270.831037760523</v>
      </c>
      <c r="L655">
        <f t="shared" ca="1" si="214"/>
        <v>0.24800100151289681</v>
      </c>
      <c r="M655">
        <f t="shared" ca="1" si="215"/>
        <v>1.3464931310852801E-2</v>
      </c>
      <c r="N655">
        <f t="shared" ca="1" si="216"/>
        <v>0</v>
      </c>
      <c r="O655" s="47">
        <f t="shared" ca="1" si="217"/>
        <v>0</v>
      </c>
      <c r="P655">
        <f ca="1">Inputs!B14+(Inputs!D14-Inputs!B14)*BETAINV(RAND(),Model!H8,Model!I8)</f>
        <v>0.47233131936222028</v>
      </c>
      <c r="Q655">
        <f ca="1">Inputs!E14+(Inputs!G14-Inputs!E14)*BETAINV(RAND(),Model!J8,Model!K8)</f>
        <v>0.53231751724302534</v>
      </c>
      <c r="R655">
        <f ca="1">(Inputs!H14+(Inputs!J14-Inputs!H14)*BETAINV(RAND(),Model!L8,Model!M8))*Inputs!$C$6</f>
        <v>354601.8081761658</v>
      </c>
      <c r="S655">
        <f t="shared" ca="1" si="218"/>
        <v>0.25143023523901958</v>
      </c>
      <c r="T655">
        <f t="shared" ca="1" si="219"/>
        <v>0.17373531999431835</v>
      </c>
      <c r="U655">
        <f t="shared" ca="1" si="220"/>
        <v>0</v>
      </c>
      <c r="V655" s="47">
        <f t="shared" ca="1" si="221"/>
        <v>0</v>
      </c>
      <c r="W655">
        <f ca="1">Inputs!B15+(Inputs!D15-Inputs!B15)*BETAINV(RAND(),Model!H9,Model!I9)</f>
        <v>0.67436664392638479</v>
      </c>
      <c r="X655">
        <f ca="1">Inputs!E15+(Inputs!G15-Inputs!E15)*BETAINV(RAND(),Model!J9,Model!K9)</f>
        <v>0.53337893228281463</v>
      </c>
      <c r="Y655">
        <f ca="1">(Inputs!H15+(Inputs!J15-Inputs!H15)*BETAINV(RAND(),Model!L9,Model!M9))*Inputs!$C$6</f>
        <v>43858.389937735628</v>
      </c>
      <c r="Z655">
        <f t="shared" ca="1" si="222"/>
        <v>0.35969296050460015</v>
      </c>
      <c r="AA655">
        <f t="shared" ca="1" si="223"/>
        <v>0.15694748633477729</v>
      </c>
      <c r="AB655">
        <f t="shared" ca="1" si="224"/>
        <v>0</v>
      </c>
      <c r="AC655" s="47">
        <f t="shared" ca="1" si="225"/>
        <v>0</v>
      </c>
      <c r="AD655">
        <f ca="1">Inputs!B16+(Inputs!D16-Inputs!B16)*BETAINV(RAND(),Model!H10,Model!I10)</f>
        <v>0.93642952468933283</v>
      </c>
      <c r="AE655">
        <f ca="1">Inputs!E16+(Inputs!G16-Inputs!E16)*BETAINV(RAND(),Model!J10,Model!K10)</f>
        <v>0.56423196913224027</v>
      </c>
      <c r="AF655">
        <f ca="1">(Inputs!H16+(Inputs!J16-Inputs!H16)*BETAINV(RAND(),Model!L10,Model!M10))*Inputs!$C$6</f>
        <v>52879.121062681668</v>
      </c>
      <c r="AG655">
        <f t="shared" ca="1" si="226"/>
        <v>0.52836347466903011</v>
      </c>
      <c r="AH655">
        <f t="shared" ca="1" si="227"/>
        <v>0.72680325526285783</v>
      </c>
      <c r="AI655">
        <f t="shared" ca="1" si="228"/>
        <v>1</v>
      </c>
      <c r="AJ655" s="47">
        <f t="shared" ca="1" si="229"/>
        <v>52879.121062681668</v>
      </c>
      <c r="AK655">
        <f t="shared" ca="1" si="230"/>
        <v>98776.104134820169</v>
      </c>
    </row>
    <row r="656" spans="2:37" x14ac:dyDescent="0.2">
      <c r="B656">
        <f ca="1">Inputs!B12+(Inputs!D12-Inputs!B12)*BETAINV(RAND(),Model!H6,Model!I6)</f>
        <v>2.1137895038890591</v>
      </c>
      <c r="C656">
        <f ca="1">Inputs!E12+(Inputs!G12-Inputs!E12)*BETAINV(RAND(),Model!J6,Model!K6)</f>
        <v>0.40190882675029427</v>
      </c>
      <c r="D656">
        <f ca="1">(Inputs!H12+(Inputs!J12-Inputs!H12)*BETAINV(RAND(),Model!L6,Model!M6))*Inputs!$C$6</f>
        <v>41613.978022925286</v>
      </c>
      <c r="E656">
        <f t="shared" ca="1" si="210"/>
        <v>0.84955065950513831</v>
      </c>
      <c r="F656">
        <f t="shared" ca="1" si="211"/>
        <v>0.72999662721347247</v>
      </c>
      <c r="G656">
        <f t="shared" ca="1" si="212"/>
        <v>1</v>
      </c>
      <c r="H656" s="47">
        <f t="shared" ca="1" si="213"/>
        <v>41613.978022925286</v>
      </c>
      <c r="I656">
        <f ca="1">Inputs!B13+(Inputs!D13-Inputs!B13)*BETAINV(RAND(),Model!H7,Model!I7)</f>
        <v>1.4741680798009549</v>
      </c>
      <c r="J656">
        <f ca="1">Inputs!E13+(Inputs!G13-Inputs!E13)*BETAINV(RAND(),Model!J7,Model!K7)</f>
        <v>0.26937014806125048</v>
      </c>
      <c r="K656">
        <f ca="1">(Inputs!H13+(Inputs!J13-Inputs!H13)*BETAINV(RAND(),Model!L7,Model!M7))*Inputs!$C$6</f>
        <v>18894.028720078317</v>
      </c>
      <c r="L656">
        <f t="shared" ca="1" si="214"/>
        <v>0.39709687392315252</v>
      </c>
      <c r="M656">
        <f t="shared" ca="1" si="215"/>
        <v>0.37880955743251998</v>
      </c>
      <c r="N656">
        <f t="shared" ca="1" si="216"/>
        <v>0</v>
      </c>
      <c r="O656" s="47">
        <f t="shared" ca="1" si="217"/>
        <v>0</v>
      </c>
      <c r="P656">
        <f ca="1">Inputs!B14+(Inputs!D14-Inputs!B14)*BETAINV(RAND(),Model!H8,Model!I8)</f>
        <v>0.51912824029957505</v>
      </c>
      <c r="Q656">
        <f ca="1">Inputs!E14+(Inputs!G14-Inputs!E14)*BETAINV(RAND(),Model!J8,Model!K8)</f>
        <v>0.46525843169930348</v>
      </c>
      <c r="R656">
        <f ca="1">(Inputs!H14+(Inputs!J14-Inputs!H14)*BETAINV(RAND(),Model!L8,Model!M8))*Inputs!$C$6</f>
        <v>274840.93669554341</v>
      </c>
      <c r="S656">
        <f t="shared" ca="1" si="218"/>
        <v>0.24152879093259944</v>
      </c>
      <c r="T656">
        <f t="shared" ca="1" si="219"/>
        <v>0.80794731006667131</v>
      </c>
      <c r="U656">
        <f t="shared" ca="1" si="220"/>
        <v>1</v>
      </c>
      <c r="V656" s="47">
        <f t="shared" ca="1" si="221"/>
        <v>274840.93669554341</v>
      </c>
      <c r="W656">
        <f ca="1">Inputs!B15+(Inputs!D15-Inputs!B15)*BETAINV(RAND(),Model!H9,Model!I9)</f>
        <v>1.286595053016568</v>
      </c>
      <c r="X656">
        <f ca="1">Inputs!E15+(Inputs!G15-Inputs!E15)*BETAINV(RAND(),Model!J9,Model!K9)</f>
        <v>0.39150248763356565</v>
      </c>
      <c r="Y656">
        <f ca="1">(Inputs!H15+(Inputs!J15-Inputs!H15)*BETAINV(RAND(),Model!L9,Model!M9))*Inputs!$C$6</f>
        <v>26562.031895558364</v>
      </c>
      <c r="Z656">
        <f t="shared" ca="1" si="222"/>
        <v>0.50370516383302566</v>
      </c>
      <c r="AA656">
        <f t="shared" ca="1" si="223"/>
        <v>0.92145550666191622</v>
      </c>
      <c r="AB656">
        <f t="shared" ca="1" si="224"/>
        <v>2</v>
      </c>
      <c r="AC656" s="47">
        <f t="shared" ca="1" si="225"/>
        <v>53124.063791116729</v>
      </c>
      <c r="AD656">
        <f ca="1">Inputs!B16+(Inputs!D16-Inputs!B16)*BETAINV(RAND(),Model!H10,Model!I10)</f>
        <v>0.62526131238535632</v>
      </c>
      <c r="AE656">
        <f ca="1">Inputs!E16+(Inputs!G16-Inputs!E16)*BETAINV(RAND(),Model!J10,Model!K10)</f>
        <v>0.50644877651277143</v>
      </c>
      <c r="AF656">
        <f ca="1">(Inputs!H16+(Inputs!J16-Inputs!H16)*BETAINV(RAND(),Model!L10,Model!M10))*Inputs!$C$6</f>
        <v>76077.281422148459</v>
      </c>
      <c r="AG656">
        <f t="shared" ca="1" si="226"/>
        <v>0.31666282665833351</v>
      </c>
      <c r="AH656">
        <f t="shared" ca="1" si="227"/>
        <v>0.93515302046357662</v>
      </c>
      <c r="AI656">
        <f t="shared" ca="1" si="228"/>
        <v>1</v>
      </c>
      <c r="AJ656" s="47">
        <f t="shared" ca="1" si="229"/>
        <v>76077.281422148459</v>
      </c>
      <c r="AK656">
        <f t="shared" ca="1" si="230"/>
        <v>445656.25993173383</v>
      </c>
    </row>
    <row r="657" spans="2:37" x14ac:dyDescent="0.2">
      <c r="B657">
        <f ca="1">Inputs!B12+(Inputs!D12-Inputs!B12)*BETAINV(RAND(),Model!H6,Model!I6)</f>
        <v>3.2738525096464643</v>
      </c>
      <c r="C657">
        <f ca="1">Inputs!E12+(Inputs!G12-Inputs!E12)*BETAINV(RAND(),Model!J6,Model!K6)</f>
        <v>0.35188667994155987</v>
      </c>
      <c r="D657">
        <f ca="1">(Inputs!H12+(Inputs!J12-Inputs!H12)*BETAINV(RAND(),Model!L6,Model!M6))*Inputs!$C$6</f>
        <v>45611.803328853974</v>
      </c>
      <c r="E657">
        <f t="shared" ca="1" si="210"/>
        <v>1.1520250902378379</v>
      </c>
      <c r="F657">
        <f t="shared" ca="1" si="211"/>
        <v>0.8963754754623644</v>
      </c>
      <c r="G657">
        <f t="shared" ca="1" si="212"/>
        <v>3</v>
      </c>
      <c r="H657" s="47">
        <f t="shared" ca="1" si="213"/>
        <v>136835.40998656192</v>
      </c>
      <c r="I657">
        <f ca="1">Inputs!B13+(Inputs!D13-Inputs!B13)*BETAINV(RAND(),Model!H7,Model!I7)</f>
        <v>1.3896348744192308</v>
      </c>
      <c r="J657">
        <f ca="1">Inputs!E13+(Inputs!G13-Inputs!E13)*BETAINV(RAND(),Model!J7,Model!K7)</f>
        <v>0.26496587250018366</v>
      </c>
      <c r="K657">
        <f ca="1">(Inputs!H13+(Inputs!J13-Inputs!H13)*BETAINV(RAND(),Model!L7,Model!M7))*Inputs!$C$6</f>
        <v>61886.417073151912</v>
      </c>
      <c r="L657">
        <f t="shared" ca="1" si="214"/>
        <v>0.36820581695717464</v>
      </c>
      <c r="M657">
        <f t="shared" ca="1" si="215"/>
        <v>0.43624148743075308</v>
      </c>
      <c r="N657">
        <f t="shared" ca="1" si="216"/>
        <v>0</v>
      </c>
      <c r="O657" s="47">
        <f t="shared" ca="1" si="217"/>
        <v>0</v>
      </c>
      <c r="P657">
        <f ca="1">Inputs!B14+(Inputs!D14-Inputs!B14)*BETAINV(RAND(),Model!H8,Model!I8)</f>
        <v>0.34487222749586133</v>
      </c>
      <c r="Q657">
        <f ca="1">Inputs!E14+(Inputs!G14-Inputs!E14)*BETAINV(RAND(),Model!J8,Model!K8)</f>
        <v>0.68584802933540256</v>
      </c>
      <c r="R657">
        <f ca="1">(Inputs!H14+(Inputs!J14-Inputs!H14)*BETAINV(RAND(),Model!L8,Model!M8))*Inputs!$C$6</f>
        <v>281471.07884665864</v>
      </c>
      <c r="S657">
        <f t="shared" ca="1" si="218"/>
        <v>0.23652993760054714</v>
      </c>
      <c r="T657">
        <f t="shared" ca="1" si="219"/>
        <v>0.3246482434293424</v>
      </c>
      <c r="U657">
        <f t="shared" ca="1" si="220"/>
        <v>0</v>
      </c>
      <c r="V657" s="47">
        <f t="shared" ca="1" si="221"/>
        <v>0</v>
      </c>
      <c r="W657">
        <f ca="1">Inputs!B15+(Inputs!D15-Inputs!B15)*BETAINV(RAND(),Model!H9,Model!I9)</f>
        <v>0.97106777271183997</v>
      </c>
      <c r="X657">
        <f ca="1">Inputs!E15+(Inputs!G15-Inputs!E15)*BETAINV(RAND(),Model!J9,Model!K9)</f>
        <v>0.59636061960427345</v>
      </c>
      <c r="Y657">
        <f ca="1">(Inputs!H15+(Inputs!J15-Inputs!H15)*BETAINV(RAND(),Model!L9,Model!M9))*Inputs!$C$6</f>
        <v>40285.649881868456</v>
      </c>
      <c r="Z657">
        <f t="shared" ca="1" si="222"/>
        <v>0.57910657861217463</v>
      </c>
      <c r="AA657">
        <f t="shared" ca="1" si="223"/>
        <v>0.76167845974204085</v>
      </c>
      <c r="AB657">
        <f t="shared" ca="1" si="224"/>
        <v>1</v>
      </c>
      <c r="AC657" s="47">
        <f t="shared" ca="1" si="225"/>
        <v>40285.649881868456</v>
      </c>
      <c r="AD657">
        <f ca="1">Inputs!B16+(Inputs!D16-Inputs!B16)*BETAINV(RAND(),Model!H10,Model!I10)</f>
        <v>0.47863609231416876</v>
      </c>
      <c r="AE657">
        <f ca="1">Inputs!E16+(Inputs!G16-Inputs!E16)*BETAINV(RAND(),Model!J10,Model!K10)</f>
        <v>0.62820437699855158</v>
      </c>
      <c r="AF657">
        <f ca="1">(Inputs!H16+(Inputs!J16-Inputs!H16)*BETAINV(RAND(),Model!L10,Model!M10))*Inputs!$C$6</f>
        <v>53829.462490156111</v>
      </c>
      <c r="AG657">
        <f t="shared" ca="1" si="226"/>
        <v>0.30068128818124362</v>
      </c>
      <c r="AH657">
        <f t="shared" ca="1" si="227"/>
        <v>0.38894543068815757</v>
      </c>
      <c r="AI657">
        <f t="shared" ca="1" si="228"/>
        <v>0</v>
      </c>
      <c r="AJ657" s="47">
        <f t="shared" ca="1" si="229"/>
        <v>0</v>
      </c>
      <c r="AK657">
        <f t="shared" ca="1" si="230"/>
        <v>177121.05986843037</v>
      </c>
    </row>
    <row r="658" spans="2:37" x14ac:dyDescent="0.2">
      <c r="B658">
        <f ca="1">Inputs!B12+(Inputs!D12-Inputs!B12)*BETAINV(RAND(),Model!H6,Model!I6)</f>
        <v>2.4966228246093474</v>
      </c>
      <c r="C658">
        <f ca="1">Inputs!E12+(Inputs!G12-Inputs!E12)*BETAINV(RAND(),Model!J6,Model!K6)</f>
        <v>0.3823779269801163</v>
      </c>
      <c r="D658">
        <f ca="1">(Inputs!H12+(Inputs!J12-Inputs!H12)*BETAINV(RAND(),Model!L6,Model!M6))*Inputs!$C$6</f>
        <v>28659.632154979154</v>
      </c>
      <c r="E658">
        <f t="shared" ca="1" si="210"/>
        <v>0.95465346012536478</v>
      </c>
      <c r="F658">
        <f t="shared" ca="1" si="211"/>
        <v>0.11246117072301365</v>
      </c>
      <c r="G658">
        <f t="shared" ca="1" si="212"/>
        <v>0</v>
      </c>
      <c r="H658" s="47">
        <f t="shared" ca="1" si="213"/>
        <v>0</v>
      </c>
      <c r="I658">
        <f ca="1">Inputs!B13+(Inputs!D13-Inputs!B13)*BETAINV(RAND(),Model!H7,Model!I7)</f>
        <v>0.9014445571297095</v>
      </c>
      <c r="J658">
        <f ca="1">Inputs!E13+(Inputs!G13-Inputs!E13)*BETAINV(RAND(),Model!J7,Model!K7)</f>
        <v>0.35901236189599428</v>
      </c>
      <c r="K658">
        <f ca="1">(Inputs!H13+(Inputs!J13-Inputs!H13)*BETAINV(RAND(),Model!L7,Model!M7))*Inputs!$C$6</f>
        <v>39240.318342945015</v>
      </c>
      <c r="L658">
        <f t="shared" ca="1" si="214"/>
        <v>0.32362973957342556</v>
      </c>
      <c r="M658">
        <f t="shared" ca="1" si="215"/>
        <v>0.89048390579774872</v>
      </c>
      <c r="N658">
        <f t="shared" ca="1" si="216"/>
        <v>1</v>
      </c>
      <c r="O658" s="47">
        <f t="shared" ca="1" si="217"/>
        <v>39240.318342945015</v>
      </c>
      <c r="P658">
        <f ca="1">Inputs!B14+(Inputs!D14-Inputs!B14)*BETAINV(RAND(),Model!H8,Model!I8)</f>
        <v>0.69070911662501655</v>
      </c>
      <c r="Q658">
        <f ca="1">Inputs!E14+(Inputs!G14-Inputs!E14)*BETAINV(RAND(),Model!J8,Model!K8)</f>
        <v>0.75779359583170158</v>
      </c>
      <c r="R658">
        <f ca="1">(Inputs!H14+(Inputs!J14-Inputs!H14)*BETAINV(RAND(),Model!L8,Model!M8))*Inputs!$C$6</f>
        <v>339288.20246188383</v>
      </c>
      <c r="S658">
        <f t="shared" ca="1" si="218"/>
        <v>0.52341494516100939</v>
      </c>
      <c r="T658">
        <f t="shared" ca="1" si="219"/>
        <v>0.81821892904660298</v>
      </c>
      <c r="U658">
        <f t="shared" ca="1" si="220"/>
        <v>1</v>
      </c>
      <c r="V658" s="47">
        <f t="shared" ca="1" si="221"/>
        <v>339288.20246188383</v>
      </c>
      <c r="W658">
        <f ca="1">Inputs!B15+(Inputs!D15-Inputs!B15)*BETAINV(RAND(),Model!H9,Model!I9)</f>
        <v>1.6875381679523416</v>
      </c>
      <c r="X658">
        <f ca="1">Inputs!E15+(Inputs!G15-Inputs!E15)*BETAINV(RAND(),Model!J9,Model!K9)</f>
        <v>0.3836109814120639</v>
      </c>
      <c r="Y658">
        <f ca="1">(Inputs!H15+(Inputs!J15-Inputs!H15)*BETAINV(RAND(),Model!L9,Model!M9))*Inputs!$C$6</f>
        <v>39052.755733611863</v>
      </c>
      <c r="Z658">
        <f t="shared" ca="1" si="222"/>
        <v>0.64735817277851404</v>
      </c>
      <c r="AA658">
        <f t="shared" ca="1" si="223"/>
        <v>0.84102849217274867</v>
      </c>
      <c r="AB658">
        <f t="shared" ca="1" si="224"/>
        <v>1</v>
      </c>
      <c r="AC658" s="47">
        <f t="shared" ca="1" si="225"/>
        <v>39052.755733611863</v>
      </c>
      <c r="AD658">
        <f ca="1">Inputs!B16+(Inputs!D16-Inputs!B16)*BETAINV(RAND(),Model!H10,Model!I10)</f>
        <v>0.72093625712309484</v>
      </c>
      <c r="AE658">
        <f ca="1">Inputs!E16+(Inputs!G16-Inputs!E16)*BETAINV(RAND(),Model!J10,Model!K10)</f>
        <v>0.55388543656786737</v>
      </c>
      <c r="AF658">
        <f ca="1">(Inputs!H16+(Inputs!J16-Inputs!H16)*BETAINV(RAND(),Model!L10,Model!M10))*Inputs!$C$6</f>
        <v>55102.425379666274</v>
      </c>
      <c r="AG658">
        <f t="shared" ca="1" si="226"/>
        <v>0.39931609351422964</v>
      </c>
      <c r="AH658">
        <f t="shared" ca="1" si="227"/>
        <v>0.61276779415055138</v>
      </c>
      <c r="AI658">
        <f t="shared" ca="1" si="228"/>
        <v>0</v>
      </c>
      <c r="AJ658" s="47">
        <f t="shared" ca="1" si="229"/>
        <v>0</v>
      </c>
      <c r="AK658">
        <f t="shared" ca="1" si="230"/>
        <v>417581.27653844072</v>
      </c>
    </row>
    <row r="659" spans="2:37" x14ac:dyDescent="0.2">
      <c r="B659">
        <f ca="1">Inputs!B12+(Inputs!D12-Inputs!B12)*BETAINV(RAND(),Model!H6,Model!I6)</f>
        <v>5.0148701993423259</v>
      </c>
      <c r="C659">
        <f ca="1">Inputs!E12+(Inputs!G12-Inputs!E12)*BETAINV(RAND(),Model!J6,Model!K6)</f>
        <v>0.29788135549062372</v>
      </c>
      <c r="D659">
        <f ca="1">(Inputs!H12+(Inputs!J12-Inputs!H12)*BETAINV(RAND(),Model!L6,Model!M6))*Inputs!$C$6</f>
        <v>11535.580583613482</v>
      </c>
      <c r="E659">
        <f t="shared" ca="1" si="210"/>
        <v>1.4938363325896264</v>
      </c>
      <c r="F659">
        <f t="shared" ca="1" si="211"/>
        <v>0.75877527341000428</v>
      </c>
      <c r="G659">
        <f t="shared" ca="1" si="212"/>
        <v>2</v>
      </c>
      <c r="H659" s="47">
        <f t="shared" ca="1" si="213"/>
        <v>23071.161167226965</v>
      </c>
      <c r="I659">
        <f ca="1">Inputs!B13+(Inputs!D13-Inputs!B13)*BETAINV(RAND(),Model!H7,Model!I7)</f>
        <v>0.81624619030294432</v>
      </c>
      <c r="J659">
        <f ca="1">Inputs!E13+(Inputs!G13-Inputs!E13)*BETAINV(RAND(),Model!J7,Model!K7)</f>
        <v>0.39625934957941022</v>
      </c>
      <c r="K659">
        <f ca="1">(Inputs!H13+(Inputs!J13-Inputs!H13)*BETAINV(RAND(),Model!L7,Model!M7))*Inputs!$C$6</f>
        <v>34847.305112975118</v>
      </c>
      <c r="L659">
        <f t="shared" ca="1" si="214"/>
        <v>0.3234451844661162</v>
      </c>
      <c r="M659">
        <f t="shared" ca="1" si="215"/>
        <v>0.64765383340977778</v>
      </c>
      <c r="N659">
        <f t="shared" ca="1" si="216"/>
        <v>0</v>
      </c>
      <c r="O659" s="47">
        <f t="shared" ca="1" si="217"/>
        <v>0</v>
      </c>
      <c r="P659">
        <f ca="1">Inputs!B14+(Inputs!D14-Inputs!B14)*BETAINV(RAND(),Model!H8,Model!I8)</f>
        <v>0.22076953773692631</v>
      </c>
      <c r="Q659">
        <f ca="1">Inputs!E14+(Inputs!G14-Inputs!E14)*BETAINV(RAND(),Model!J8,Model!K8)</f>
        <v>0.71075233663814064</v>
      </c>
      <c r="R659">
        <f ca="1">(Inputs!H14+(Inputs!J14-Inputs!H14)*BETAINV(RAND(),Model!L8,Model!M8))*Inputs!$C$6</f>
        <v>499426.12148532661</v>
      </c>
      <c r="S659">
        <f t="shared" ca="1" si="218"/>
        <v>0.15691246480504253</v>
      </c>
      <c r="T659">
        <f t="shared" ca="1" si="219"/>
        <v>0.23169767102532868</v>
      </c>
      <c r="U659">
        <f t="shared" ca="1" si="220"/>
        <v>0</v>
      </c>
      <c r="V659" s="47">
        <f t="shared" ca="1" si="221"/>
        <v>0</v>
      </c>
      <c r="W659">
        <f ca="1">Inputs!B15+(Inputs!D15-Inputs!B15)*BETAINV(RAND(),Model!H9,Model!I9)</f>
        <v>2.013019466823343</v>
      </c>
      <c r="X659">
        <f ca="1">Inputs!E15+(Inputs!G15-Inputs!E15)*BETAINV(RAND(),Model!J9,Model!K9)</f>
        <v>0.30298323175105679</v>
      </c>
      <c r="Y659">
        <f ca="1">(Inputs!H15+(Inputs!J15-Inputs!H15)*BETAINV(RAND(),Model!L9,Model!M9))*Inputs!$C$6</f>
        <v>53485.642406993036</v>
      </c>
      <c r="Z659">
        <f t="shared" ca="1" si="222"/>
        <v>0.60991114363592569</v>
      </c>
      <c r="AA659">
        <f t="shared" ca="1" si="223"/>
        <v>1.1308995978544401E-2</v>
      </c>
      <c r="AB659">
        <f t="shared" ca="1" si="224"/>
        <v>0</v>
      </c>
      <c r="AC659" s="47">
        <f t="shared" ca="1" si="225"/>
        <v>0</v>
      </c>
      <c r="AD659">
        <f ca="1">Inputs!B16+(Inputs!D16-Inputs!B16)*BETAINV(RAND(),Model!H10,Model!I10)</f>
        <v>0.92426854605254638</v>
      </c>
      <c r="AE659">
        <f ca="1">Inputs!E16+(Inputs!G16-Inputs!E16)*BETAINV(RAND(),Model!J10,Model!K10)</f>
        <v>0.6020490112598299</v>
      </c>
      <c r="AF659">
        <f ca="1">(Inputs!H16+(Inputs!J16-Inputs!H16)*BETAINV(RAND(),Model!L10,Model!M10))*Inputs!$C$6</f>
        <v>60386.41209632036</v>
      </c>
      <c r="AG659">
        <f t="shared" ca="1" si="226"/>
        <v>0.55645496428949615</v>
      </c>
      <c r="AH659">
        <f t="shared" ca="1" si="227"/>
        <v>0.91623515882895645</v>
      </c>
      <c r="AI659">
        <f t="shared" ca="1" si="228"/>
        <v>2</v>
      </c>
      <c r="AJ659" s="47">
        <f t="shared" ca="1" si="229"/>
        <v>120772.82419264072</v>
      </c>
      <c r="AK659">
        <f t="shared" ca="1" si="230"/>
        <v>143843.98535986769</v>
      </c>
    </row>
    <row r="660" spans="2:37" x14ac:dyDescent="0.2">
      <c r="B660">
        <f ca="1">Inputs!B12+(Inputs!D12-Inputs!B12)*BETAINV(RAND(),Model!H6,Model!I6)</f>
        <v>1.5962060071368658</v>
      </c>
      <c r="C660">
        <f ca="1">Inputs!E12+(Inputs!G12-Inputs!E12)*BETAINV(RAND(),Model!J6,Model!K6)</f>
        <v>0.38500557643814604</v>
      </c>
      <c r="D660">
        <f ca="1">(Inputs!H12+(Inputs!J12-Inputs!H12)*BETAINV(RAND(),Model!L6,Model!M6))*Inputs!$C$6</f>
        <v>17435.888816754348</v>
      </c>
      <c r="E660">
        <f t="shared" ca="1" si="210"/>
        <v>0.61454821389176051</v>
      </c>
      <c r="F660">
        <f t="shared" ca="1" si="211"/>
        <v>0.282808246418914</v>
      </c>
      <c r="G660">
        <f t="shared" ca="1" si="212"/>
        <v>0</v>
      </c>
      <c r="H660" s="47">
        <f t="shared" ca="1" si="213"/>
        <v>0</v>
      </c>
      <c r="I660">
        <f ca="1">Inputs!B13+(Inputs!D13-Inputs!B13)*BETAINV(RAND(),Model!H7,Model!I7)</f>
        <v>3.3307375007195317</v>
      </c>
      <c r="J660">
        <f ca="1">Inputs!E13+(Inputs!G13-Inputs!E13)*BETAINV(RAND(),Model!J7,Model!K7)</f>
        <v>0.16229200632001584</v>
      </c>
      <c r="K660">
        <f ca="1">(Inputs!H13+(Inputs!J13-Inputs!H13)*BETAINV(RAND(),Model!L7,Model!M7))*Inputs!$C$6</f>
        <v>25917.654992184212</v>
      </c>
      <c r="L660">
        <f t="shared" ca="1" si="214"/>
        <v>0.54055207151708795</v>
      </c>
      <c r="M660">
        <f t="shared" ca="1" si="215"/>
        <v>0.53446406644934641</v>
      </c>
      <c r="N660">
        <f t="shared" ca="1" si="216"/>
        <v>0</v>
      </c>
      <c r="O660" s="47">
        <f t="shared" ca="1" si="217"/>
        <v>0</v>
      </c>
      <c r="P660">
        <f ca="1">Inputs!B14+(Inputs!D14-Inputs!B14)*BETAINV(RAND(),Model!H8,Model!I8)</f>
        <v>0.56171766334633844</v>
      </c>
      <c r="Q660">
        <f ca="1">Inputs!E14+(Inputs!G14-Inputs!E14)*BETAINV(RAND(),Model!J8,Model!K8)</f>
        <v>0.52934310654082406</v>
      </c>
      <c r="R660">
        <f ca="1">(Inputs!H14+(Inputs!J14-Inputs!H14)*BETAINV(RAND(),Model!L8,Model!M8))*Inputs!$C$6</f>
        <v>623385.67902303697</v>
      </c>
      <c r="S660">
        <f t="shared" ca="1" si="218"/>
        <v>0.29734137291460355</v>
      </c>
      <c r="T660">
        <f t="shared" ca="1" si="219"/>
        <v>0.90117362465551432</v>
      </c>
      <c r="U660">
        <f t="shared" ca="1" si="220"/>
        <v>1</v>
      </c>
      <c r="V660" s="47">
        <f t="shared" ca="1" si="221"/>
        <v>623385.67902303697</v>
      </c>
      <c r="W660">
        <f ca="1">Inputs!B15+(Inputs!D15-Inputs!B15)*BETAINV(RAND(),Model!H9,Model!I9)</f>
        <v>1.7542739556927189</v>
      </c>
      <c r="X660">
        <f ca="1">Inputs!E15+(Inputs!G15-Inputs!E15)*BETAINV(RAND(),Model!J9,Model!K9)</f>
        <v>0.40692896380178933</v>
      </c>
      <c r="Y660">
        <f ca="1">(Inputs!H15+(Inputs!J15-Inputs!H15)*BETAINV(RAND(),Model!L9,Model!M9))*Inputs!$C$6</f>
        <v>11341.786847764493</v>
      </c>
      <c r="Z660">
        <f t="shared" ca="1" si="222"/>
        <v>0.71386488301450424</v>
      </c>
      <c r="AA660">
        <f t="shared" ca="1" si="223"/>
        <v>0.32639664132558821</v>
      </c>
      <c r="AB660">
        <f t="shared" ca="1" si="224"/>
        <v>0</v>
      </c>
      <c r="AC660" s="47">
        <f t="shared" ca="1" si="225"/>
        <v>0</v>
      </c>
      <c r="AD660">
        <f ca="1">Inputs!B16+(Inputs!D16-Inputs!B16)*BETAINV(RAND(),Model!H10,Model!I10)</f>
        <v>0.52485410828797585</v>
      </c>
      <c r="AE660">
        <f ca="1">Inputs!E16+(Inputs!G16-Inputs!E16)*BETAINV(RAND(),Model!J10,Model!K10)</f>
        <v>0.57084558299087418</v>
      </c>
      <c r="AF660">
        <f ca="1">(Inputs!H16+(Inputs!J16-Inputs!H16)*BETAINV(RAND(),Model!L10,Model!M10))*Inputs!$C$6</f>
        <v>130976.84718387901</v>
      </c>
      <c r="AG660">
        <f t="shared" ca="1" si="226"/>
        <v>0.29961064943080501</v>
      </c>
      <c r="AH660">
        <f t="shared" ca="1" si="227"/>
        <v>3.9903713142318442E-2</v>
      </c>
      <c r="AI660">
        <f t="shared" ca="1" si="228"/>
        <v>0</v>
      </c>
      <c r="AJ660" s="47">
        <f t="shared" ca="1" si="229"/>
        <v>0</v>
      </c>
      <c r="AK660">
        <f t="shared" ca="1" si="230"/>
        <v>623385.67902303697</v>
      </c>
    </row>
    <row r="661" spans="2:37" x14ac:dyDescent="0.2">
      <c r="B661">
        <f ca="1">Inputs!B12+(Inputs!D12-Inputs!B12)*BETAINV(RAND(),Model!H6,Model!I6)</f>
        <v>3.1547749967192766</v>
      </c>
      <c r="C661">
        <f ca="1">Inputs!E12+(Inputs!G12-Inputs!E12)*BETAINV(RAND(),Model!J6,Model!K6)</f>
        <v>0.35052663567194797</v>
      </c>
      <c r="D661">
        <f ca="1">(Inputs!H12+(Inputs!J12-Inputs!H12)*BETAINV(RAND(),Model!L6,Model!M6))*Inputs!$C$6</f>
        <v>13765.577091521023</v>
      </c>
      <c r="E661">
        <f t="shared" ca="1" si="210"/>
        <v>1.1058326659019888</v>
      </c>
      <c r="F661">
        <f t="shared" ca="1" si="211"/>
        <v>0.38069999213248307</v>
      </c>
      <c r="G661">
        <f t="shared" ca="1" si="212"/>
        <v>1</v>
      </c>
      <c r="H661" s="47">
        <f t="shared" ca="1" si="213"/>
        <v>13765.577091521023</v>
      </c>
      <c r="I661">
        <f ca="1">Inputs!B13+(Inputs!D13-Inputs!B13)*BETAINV(RAND(),Model!H7,Model!I7)</f>
        <v>0.66129512623280395</v>
      </c>
      <c r="J661">
        <f ca="1">Inputs!E13+(Inputs!G13-Inputs!E13)*BETAINV(RAND(),Model!J7,Model!K7)</f>
        <v>0.34412836935584618</v>
      </c>
      <c r="K661">
        <f ca="1">(Inputs!H13+(Inputs!J13-Inputs!H13)*BETAINV(RAND(),Model!L7,Model!M7))*Inputs!$C$6</f>
        <v>17600.395784356511</v>
      </c>
      <c r="L661">
        <f t="shared" ca="1" si="214"/>
        <v>0.22757041345346329</v>
      </c>
      <c r="M661">
        <f t="shared" ca="1" si="215"/>
        <v>0.19072945006912201</v>
      </c>
      <c r="N661">
        <f t="shared" ca="1" si="216"/>
        <v>0</v>
      </c>
      <c r="O661" s="47">
        <f t="shared" ca="1" si="217"/>
        <v>0</v>
      </c>
      <c r="P661">
        <f ca="1">Inputs!B14+(Inputs!D14-Inputs!B14)*BETAINV(RAND(),Model!H8,Model!I8)</f>
        <v>0.18161307985424846</v>
      </c>
      <c r="Q661">
        <f ca="1">Inputs!E14+(Inputs!G14-Inputs!E14)*BETAINV(RAND(),Model!J8,Model!K8)</f>
        <v>0.43817671111324841</v>
      </c>
      <c r="R661">
        <f ca="1">(Inputs!H14+(Inputs!J14-Inputs!H14)*BETAINV(RAND(),Model!L8,Model!M8))*Inputs!$C$6</f>
        <v>482497.63934864575</v>
      </c>
      <c r="S661">
        <f t="shared" ca="1" si="218"/>
        <v>7.9578622025682347E-2</v>
      </c>
      <c r="T661">
        <f t="shared" ca="1" si="219"/>
        <v>0.71578245752424041</v>
      </c>
      <c r="U661">
        <f t="shared" ca="1" si="220"/>
        <v>0</v>
      </c>
      <c r="V661" s="47">
        <f t="shared" ca="1" si="221"/>
        <v>0</v>
      </c>
      <c r="W661">
        <f ca="1">Inputs!B15+(Inputs!D15-Inputs!B15)*BETAINV(RAND(),Model!H9,Model!I9)</f>
        <v>2.0005416209522884</v>
      </c>
      <c r="X661">
        <f ca="1">Inputs!E15+(Inputs!G15-Inputs!E15)*BETAINV(RAND(),Model!J9,Model!K9)</f>
        <v>0.47251453903853363</v>
      </c>
      <c r="Y661">
        <f ca="1">(Inputs!H15+(Inputs!J15-Inputs!H15)*BETAINV(RAND(),Model!L9,Model!M9))*Inputs!$C$6</f>
        <v>41927.20487141209</v>
      </c>
      <c r="Z661">
        <f t="shared" ca="1" si="222"/>
        <v>0.94528500185167141</v>
      </c>
      <c r="AA661">
        <f t="shared" ca="1" si="223"/>
        <v>0.89418246359154263</v>
      </c>
      <c r="AB661">
        <f t="shared" ca="1" si="224"/>
        <v>2</v>
      </c>
      <c r="AC661" s="47">
        <f t="shared" ca="1" si="225"/>
        <v>83854.40974282418</v>
      </c>
      <c r="AD661">
        <f ca="1">Inputs!B16+(Inputs!D16-Inputs!B16)*BETAINV(RAND(),Model!H10,Model!I10)</f>
        <v>0.48660842297654328</v>
      </c>
      <c r="AE661">
        <f ca="1">Inputs!E16+(Inputs!G16-Inputs!E16)*BETAINV(RAND(),Model!J10,Model!K10)</f>
        <v>0.56499616810266806</v>
      </c>
      <c r="AF661">
        <f ca="1">(Inputs!H16+(Inputs!J16-Inputs!H16)*BETAINV(RAND(),Model!L10,Model!M10))*Inputs!$C$6</f>
        <v>57529.445679003067</v>
      </c>
      <c r="AG661">
        <f t="shared" ca="1" si="226"/>
        <v>0.27493189434822923</v>
      </c>
      <c r="AH661">
        <f t="shared" ca="1" si="227"/>
        <v>0.92054386608192085</v>
      </c>
      <c r="AI661">
        <f t="shared" ca="1" si="228"/>
        <v>1</v>
      </c>
      <c r="AJ661" s="47">
        <f t="shared" ca="1" si="229"/>
        <v>57529.445679003067</v>
      </c>
      <c r="AK661">
        <f t="shared" ca="1" si="230"/>
        <v>155149.43251334829</v>
      </c>
    </row>
    <row r="662" spans="2:37" x14ac:dyDescent="0.2">
      <c r="B662">
        <f ca="1">Inputs!B12+(Inputs!D12-Inputs!B12)*BETAINV(RAND(),Model!H6,Model!I6)</f>
        <v>1.9413795685674278</v>
      </c>
      <c r="C662">
        <f ca="1">Inputs!E12+(Inputs!G12-Inputs!E12)*BETAINV(RAND(),Model!J6,Model!K6)</f>
        <v>0.34973892182242394</v>
      </c>
      <c r="D662">
        <f ca="1">(Inputs!H12+(Inputs!J12-Inputs!H12)*BETAINV(RAND(),Model!L6,Model!M6))*Inputs!$C$6</f>
        <v>32247.842540020149</v>
      </c>
      <c r="E662">
        <f t="shared" ca="1" si="210"/>
        <v>0.6789759971588547</v>
      </c>
      <c r="F662">
        <f t="shared" ca="1" si="211"/>
        <v>0.16968444258147874</v>
      </c>
      <c r="G662">
        <f t="shared" ca="1" si="212"/>
        <v>0</v>
      </c>
      <c r="H662" s="47">
        <f t="shared" ca="1" si="213"/>
        <v>0</v>
      </c>
      <c r="I662">
        <f ca="1">Inputs!B13+(Inputs!D13-Inputs!B13)*BETAINV(RAND(),Model!H7,Model!I7)</f>
        <v>1.1042752632200843</v>
      </c>
      <c r="J662">
        <f ca="1">Inputs!E13+(Inputs!G13-Inputs!E13)*BETAINV(RAND(),Model!J7,Model!K7)</f>
        <v>0.4291823138762253</v>
      </c>
      <c r="K662">
        <f ca="1">(Inputs!H13+(Inputs!J13-Inputs!H13)*BETAINV(RAND(),Model!L7,Model!M7))*Inputs!$C$6</f>
        <v>9477.1543119899598</v>
      </c>
      <c r="L662">
        <f t="shared" ca="1" si="214"/>
        <v>0.47393541262507355</v>
      </c>
      <c r="M662">
        <f t="shared" ca="1" si="215"/>
        <v>0.12307396629130873</v>
      </c>
      <c r="N662">
        <f t="shared" ca="1" si="216"/>
        <v>0</v>
      </c>
      <c r="O662" s="47">
        <f t="shared" ca="1" si="217"/>
        <v>0</v>
      </c>
      <c r="P662">
        <f ca="1">Inputs!B14+(Inputs!D14-Inputs!B14)*BETAINV(RAND(),Model!H8,Model!I8)</f>
        <v>0.26430503285877571</v>
      </c>
      <c r="Q662">
        <f ca="1">Inputs!E14+(Inputs!G14-Inputs!E14)*BETAINV(RAND(),Model!J8,Model!K8)</f>
        <v>0.63367363366805129</v>
      </c>
      <c r="R662">
        <f ca="1">(Inputs!H14+(Inputs!J14-Inputs!H14)*BETAINV(RAND(),Model!L8,Model!M8))*Inputs!$C$6</f>
        <v>280973.58872091008</v>
      </c>
      <c r="S662">
        <f t="shared" ca="1" si="218"/>
        <v>0.16748313056837411</v>
      </c>
      <c r="T662">
        <f t="shared" ca="1" si="219"/>
        <v>0.54885314592913259</v>
      </c>
      <c r="U662">
        <f t="shared" ca="1" si="220"/>
        <v>0</v>
      </c>
      <c r="V662" s="47">
        <f t="shared" ca="1" si="221"/>
        <v>0</v>
      </c>
      <c r="W662">
        <f ca="1">Inputs!B15+(Inputs!D15-Inputs!B15)*BETAINV(RAND(),Model!H9,Model!I9)</f>
        <v>1.6522299706258361</v>
      </c>
      <c r="X662">
        <f ca="1">Inputs!E15+(Inputs!G15-Inputs!E15)*BETAINV(RAND(),Model!J9,Model!K9)</f>
        <v>0.21497967004303087</v>
      </c>
      <c r="Y662">
        <f ca="1">(Inputs!H15+(Inputs!J15-Inputs!H15)*BETAINV(RAND(),Model!L9,Model!M9))*Inputs!$C$6</f>
        <v>15265.630847148319</v>
      </c>
      <c r="Z662">
        <f t="shared" ca="1" si="222"/>
        <v>0.3551958539203488</v>
      </c>
      <c r="AA662">
        <f t="shared" ca="1" si="223"/>
        <v>0.50583766538008501</v>
      </c>
      <c r="AB662">
        <f t="shared" ca="1" si="224"/>
        <v>0</v>
      </c>
      <c r="AC662" s="47">
        <f t="shared" ca="1" si="225"/>
        <v>0</v>
      </c>
      <c r="AD662">
        <f ca="1">Inputs!B16+(Inputs!D16-Inputs!B16)*BETAINV(RAND(),Model!H10,Model!I10)</f>
        <v>0.83598951391222198</v>
      </c>
      <c r="AE662">
        <f ca="1">Inputs!E16+(Inputs!G16-Inputs!E16)*BETAINV(RAND(),Model!J10,Model!K10)</f>
        <v>0.68975977087506335</v>
      </c>
      <c r="AF662">
        <f ca="1">(Inputs!H16+(Inputs!J16-Inputs!H16)*BETAINV(RAND(),Model!L10,Model!M10))*Inputs!$C$6</f>
        <v>46224.92253073644</v>
      </c>
      <c r="AG662">
        <f t="shared" ca="1" si="226"/>
        <v>0.57663193557004977</v>
      </c>
      <c r="AH662">
        <f t="shared" ca="1" si="227"/>
        <v>0.53867137762959971</v>
      </c>
      <c r="AI662">
        <f t="shared" ca="1" si="228"/>
        <v>0</v>
      </c>
      <c r="AJ662" s="47">
        <f t="shared" ca="1" si="229"/>
        <v>0</v>
      </c>
      <c r="AK662">
        <f t="shared" ca="1" si="230"/>
        <v>0</v>
      </c>
    </row>
    <row r="663" spans="2:37" x14ac:dyDescent="0.2">
      <c r="B663">
        <f ca="1">Inputs!B12+(Inputs!D12-Inputs!B12)*BETAINV(RAND(),Model!H6,Model!I6)</f>
        <v>2.2082140256832332</v>
      </c>
      <c r="C663">
        <f ca="1">Inputs!E12+(Inputs!G12-Inputs!E12)*BETAINV(RAND(),Model!J6,Model!K6)</f>
        <v>0.17773747300773915</v>
      </c>
      <c r="D663">
        <f ca="1">(Inputs!H12+(Inputs!J12-Inputs!H12)*BETAINV(RAND(),Model!L6,Model!M6))*Inputs!$C$6</f>
        <v>11506.236807490634</v>
      </c>
      <c r="E663">
        <f t="shared" ca="1" si="210"/>
        <v>0.39248238078518466</v>
      </c>
      <c r="F663">
        <f t="shared" ca="1" si="211"/>
        <v>8.9057666013786507E-2</v>
      </c>
      <c r="G663">
        <f t="shared" ca="1" si="212"/>
        <v>0</v>
      </c>
      <c r="H663" s="47">
        <f t="shared" ca="1" si="213"/>
        <v>0</v>
      </c>
      <c r="I663">
        <f ca="1">Inputs!B13+(Inputs!D13-Inputs!B13)*BETAINV(RAND(),Model!H7,Model!I7)</f>
        <v>1.0841908687883379</v>
      </c>
      <c r="J663">
        <f ca="1">Inputs!E13+(Inputs!G13-Inputs!E13)*BETAINV(RAND(),Model!J7,Model!K7)</f>
        <v>0.25448178757650897</v>
      </c>
      <c r="K663">
        <f ca="1">(Inputs!H13+(Inputs!J13-Inputs!H13)*BETAINV(RAND(),Model!L7,Model!M7))*Inputs!$C$6</f>
        <v>41624.707791100984</v>
      </c>
      <c r="L663">
        <f t="shared" ca="1" si="214"/>
        <v>0.27590683036338454</v>
      </c>
      <c r="M663">
        <f t="shared" ca="1" si="215"/>
        <v>0.44816980810912166</v>
      </c>
      <c r="N663">
        <f t="shared" ca="1" si="216"/>
        <v>0</v>
      </c>
      <c r="O663" s="47">
        <f t="shared" ca="1" si="217"/>
        <v>0</v>
      </c>
      <c r="P663">
        <f ca="1">Inputs!B14+(Inputs!D14-Inputs!B14)*BETAINV(RAND(),Model!H8,Model!I8)</f>
        <v>0.16085664945606887</v>
      </c>
      <c r="Q663">
        <f ca="1">Inputs!E14+(Inputs!G14-Inputs!E14)*BETAINV(RAND(),Model!J8,Model!K8)</f>
        <v>0.55838731000563735</v>
      </c>
      <c r="R663">
        <f ca="1">(Inputs!H14+(Inputs!J14-Inputs!H14)*BETAINV(RAND(),Model!L8,Model!M8))*Inputs!$C$6</f>
        <v>254957.45354269899</v>
      </c>
      <c r="S663">
        <f t="shared" ca="1" si="218"/>
        <v>8.9820311786294058E-2</v>
      </c>
      <c r="T663">
        <f t="shared" ca="1" si="219"/>
        <v>0.34901091144514429</v>
      </c>
      <c r="U663">
        <f t="shared" ca="1" si="220"/>
        <v>0</v>
      </c>
      <c r="V663" s="47">
        <f t="shared" ca="1" si="221"/>
        <v>0</v>
      </c>
      <c r="W663">
        <f ca="1">Inputs!B15+(Inputs!D15-Inputs!B15)*BETAINV(RAND(),Model!H9,Model!I9)</f>
        <v>2.0191420789792947</v>
      </c>
      <c r="X663">
        <f ca="1">Inputs!E15+(Inputs!G15-Inputs!E15)*BETAINV(RAND(),Model!J9,Model!K9)</f>
        <v>0.44956425302471881</v>
      </c>
      <c r="Y663">
        <f ca="1">(Inputs!H15+(Inputs!J15-Inputs!H15)*BETAINV(RAND(),Model!L9,Model!M9))*Inputs!$C$6</f>
        <v>25397.203255667278</v>
      </c>
      <c r="Z663">
        <f t="shared" ca="1" si="222"/>
        <v>0.90773410048710435</v>
      </c>
      <c r="AA663">
        <f t="shared" ca="1" si="223"/>
        <v>0.34395796133227641</v>
      </c>
      <c r="AB663">
        <f t="shared" ca="1" si="224"/>
        <v>0</v>
      </c>
      <c r="AC663" s="47">
        <f t="shared" ca="1" si="225"/>
        <v>0</v>
      </c>
      <c r="AD663">
        <f ca="1">Inputs!B16+(Inputs!D16-Inputs!B16)*BETAINV(RAND(),Model!H10,Model!I10)</f>
        <v>0.44204522269733165</v>
      </c>
      <c r="AE663">
        <f ca="1">Inputs!E16+(Inputs!G16-Inputs!E16)*BETAINV(RAND(),Model!J10,Model!K10)</f>
        <v>0.58167957165970341</v>
      </c>
      <c r="AF663">
        <f ca="1">(Inputs!H16+(Inputs!J16-Inputs!H16)*BETAINV(RAND(),Model!L10,Model!M10))*Inputs!$C$6</f>
        <v>98804.659863007633</v>
      </c>
      <c r="AG663">
        <f t="shared" ca="1" si="226"/>
        <v>0.25712867579280207</v>
      </c>
      <c r="AH663">
        <f t="shared" ca="1" si="227"/>
        <v>0.13393797521944772</v>
      </c>
      <c r="AI663">
        <f t="shared" ca="1" si="228"/>
        <v>0</v>
      </c>
      <c r="AJ663" s="47">
        <f t="shared" ca="1" si="229"/>
        <v>0</v>
      </c>
      <c r="AK663">
        <f t="shared" ca="1" si="230"/>
        <v>0</v>
      </c>
    </row>
    <row r="664" spans="2:37" x14ac:dyDescent="0.2">
      <c r="B664">
        <f ca="1">Inputs!B12+(Inputs!D12-Inputs!B12)*BETAINV(RAND(),Model!H6,Model!I6)</f>
        <v>4.7074896954844512</v>
      </c>
      <c r="C664">
        <f ca="1">Inputs!E12+(Inputs!G12-Inputs!E12)*BETAINV(RAND(),Model!J6,Model!K6)</f>
        <v>0.3264242558028474</v>
      </c>
      <c r="D664">
        <f ca="1">(Inputs!H12+(Inputs!J12-Inputs!H12)*BETAINV(RAND(),Model!L6,Model!M6))*Inputs!$C$6</f>
        <v>33723.036038703409</v>
      </c>
      <c r="E664">
        <f t="shared" ca="1" si="210"/>
        <v>1.5366388205480848</v>
      </c>
      <c r="F664">
        <f t="shared" ca="1" si="211"/>
        <v>0.12376264864076947</v>
      </c>
      <c r="G664">
        <f t="shared" ca="1" si="212"/>
        <v>0</v>
      </c>
      <c r="H664" s="47">
        <f t="shared" ca="1" si="213"/>
        <v>0</v>
      </c>
      <c r="I664">
        <f ca="1">Inputs!B13+(Inputs!D13-Inputs!B13)*BETAINV(RAND(),Model!H7,Model!I7)</f>
        <v>1.2309733890829677</v>
      </c>
      <c r="J664">
        <f ca="1">Inputs!E13+(Inputs!G13-Inputs!E13)*BETAINV(RAND(),Model!J7,Model!K7)</f>
        <v>0.34032215465062948</v>
      </c>
      <c r="K664">
        <f ca="1">(Inputs!H13+(Inputs!J13-Inputs!H13)*BETAINV(RAND(),Model!L7,Model!M7))*Inputs!$C$6</f>
        <v>35840.920178961496</v>
      </c>
      <c r="L664">
        <f t="shared" ca="1" si="214"/>
        <v>0.41892751609030326</v>
      </c>
      <c r="M664">
        <f t="shared" ca="1" si="215"/>
        <v>0.17746069984469404</v>
      </c>
      <c r="N664">
        <f t="shared" ca="1" si="216"/>
        <v>0</v>
      </c>
      <c r="O664" s="47">
        <f t="shared" ca="1" si="217"/>
        <v>0</v>
      </c>
      <c r="P664">
        <f ca="1">Inputs!B14+(Inputs!D14-Inputs!B14)*BETAINV(RAND(),Model!H8,Model!I8)</f>
        <v>0.528184083658092</v>
      </c>
      <c r="Q664">
        <f ca="1">Inputs!E14+(Inputs!G14-Inputs!E14)*BETAINV(RAND(),Model!J8,Model!K8)</f>
        <v>0.69375843716139296</v>
      </c>
      <c r="R664">
        <f ca="1">(Inputs!H14+(Inputs!J14-Inputs!H14)*BETAINV(RAND(),Model!L8,Model!M8))*Inputs!$C$6</f>
        <v>286487.92770168534</v>
      </c>
      <c r="S664">
        <f t="shared" ca="1" si="218"/>
        <v>0.36643216441216037</v>
      </c>
      <c r="T664">
        <f t="shared" ca="1" si="219"/>
        <v>0.15585493938846817</v>
      </c>
      <c r="U664">
        <f t="shared" ca="1" si="220"/>
        <v>0</v>
      </c>
      <c r="V664" s="47">
        <f t="shared" ca="1" si="221"/>
        <v>0</v>
      </c>
      <c r="W664">
        <f ca="1">Inputs!B15+(Inputs!D15-Inputs!B15)*BETAINV(RAND(),Model!H9,Model!I9)</f>
        <v>0.93789652261649969</v>
      </c>
      <c r="X664">
        <f ca="1">Inputs!E15+(Inputs!G15-Inputs!E15)*BETAINV(RAND(),Model!J9,Model!K9)</f>
        <v>0.37469235937451217</v>
      </c>
      <c r="Y664">
        <f ca="1">(Inputs!H15+(Inputs!J15-Inputs!H15)*BETAINV(RAND(),Model!L9,Model!M9))*Inputs!$C$6</f>
        <v>19634.627570904006</v>
      </c>
      <c r="Z664">
        <f t="shared" ca="1" si="222"/>
        <v>0.3514226609083268</v>
      </c>
      <c r="AA664">
        <f t="shared" ca="1" si="223"/>
        <v>0.89120347666583954</v>
      </c>
      <c r="AB664">
        <f t="shared" ca="1" si="224"/>
        <v>1</v>
      </c>
      <c r="AC664" s="47">
        <f t="shared" ca="1" si="225"/>
        <v>19634.627570904006</v>
      </c>
      <c r="AD664">
        <f ca="1">Inputs!B16+(Inputs!D16-Inputs!B16)*BETAINV(RAND(),Model!H10,Model!I10)</f>
        <v>0.34274506984064546</v>
      </c>
      <c r="AE664">
        <f ca="1">Inputs!E16+(Inputs!G16-Inputs!E16)*BETAINV(RAND(),Model!J10,Model!K10)</f>
        <v>0.69940904002399251</v>
      </c>
      <c r="AF664">
        <f ca="1">(Inputs!H16+(Inputs!J16-Inputs!H16)*BETAINV(RAND(),Model!L10,Model!M10))*Inputs!$C$6</f>
        <v>126428.82554168273</v>
      </c>
      <c r="AG664">
        <f t="shared" ca="1" si="226"/>
        <v>0.2397190002702021</v>
      </c>
      <c r="AH664">
        <f t="shared" ca="1" si="227"/>
        <v>0.52440346300295493</v>
      </c>
      <c r="AI664">
        <f t="shared" ca="1" si="228"/>
        <v>0</v>
      </c>
      <c r="AJ664" s="47">
        <f t="shared" ca="1" si="229"/>
        <v>0</v>
      </c>
      <c r="AK664">
        <f t="shared" ca="1" si="230"/>
        <v>19634.627570904006</v>
      </c>
    </row>
    <row r="665" spans="2:37" x14ac:dyDescent="0.2">
      <c r="B665">
        <f ca="1">Inputs!B12+(Inputs!D12-Inputs!B12)*BETAINV(RAND(),Model!H6,Model!I6)</f>
        <v>3.3767846511881654</v>
      </c>
      <c r="C665">
        <f ca="1">Inputs!E12+(Inputs!G12-Inputs!E12)*BETAINV(RAND(),Model!J6,Model!K6)</f>
        <v>0.36791669210902411</v>
      </c>
      <c r="D665">
        <f ca="1">(Inputs!H12+(Inputs!J12-Inputs!H12)*BETAINV(RAND(),Model!L6,Model!M6))*Inputs!$C$6</f>
        <v>27016.540084712044</v>
      </c>
      <c r="E665">
        <f t="shared" ca="1" si="210"/>
        <v>1.2423754388296746</v>
      </c>
      <c r="F665">
        <f t="shared" ca="1" si="211"/>
        <v>0.20904930680309675</v>
      </c>
      <c r="G665">
        <f t="shared" ca="1" si="212"/>
        <v>0</v>
      </c>
      <c r="H665" s="47">
        <f t="shared" ca="1" si="213"/>
        <v>0</v>
      </c>
      <c r="I665">
        <f ca="1">Inputs!B13+(Inputs!D13-Inputs!B13)*BETAINV(RAND(),Model!H7,Model!I7)</f>
        <v>2.1746421823494702</v>
      </c>
      <c r="J665">
        <f ca="1">Inputs!E13+(Inputs!G13-Inputs!E13)*BETAINV(RAND(),Model!J7,Model!K7)</f>
        <v>0.29242140816187734</v>
      </c>
      <c r="K665">
        <f ca="1">(Inputs!H13+(Inputs!J13-Inputs!H13)*BETAINV(RAND(),Model!L7,Model!M7))*Inputs!$C$6</f>
        <v>49778.668048261759</v>
      </c>
      <c r="L665">
        <f t="shared" ca="1" si="214"/>
        <v>0.63591192921085005</v>
      </c>
      <c r="M665">
        <f t="shared" ca="1" si="215"/>
        <v>0.54593626867590905</v>
      </c>
      <c r="N665">
        <f t="shared" ca="1" si="216"/>
        <v>1</v>
      </c>
      <c r="O665" s="47">
        <f t="shared" ca="1" si="217"/>
        <v>49778.668048261759</v>
      </c>
      <c r="P665">
        <f ca="1">Inputs!B14+(Inputs!D14-Inputs!B14)*BETAINV(RAND(),Model!H8,Model!I8)</f>
        <v>0.20353837320764634</v>
      </c>
      <c r="Q665">
        <f ca="1">Inputs!E14+(Inputs!G14-Inputs!E14)*BETAINV(RAND(),Model!J8,Model!K8)</f>
        <v>0.76977767423243826</v>
      </c>
      <c r="R665">
        <f ca="1">(Inputs!H14+(Inputs!J14-Inputs!H14)*BETAINV(RAND(),Model!L8,Model!M8))*Inputs!$C$6</f>
        <v>348703.04745174071</v>
      </c>
      <c r="S665">
        <f t="shared" ca="1" si="218"/>
        <v>0.15667929554483603</v>
      </c>
      <c r="T665">
        <f t="shared" ca="1" si="219"/>
        <v>7.5309829297260378E-2</v>
      </c>
      <c r="U665">
        <f t="shared" ca="1" si="220"/>
        <v>0</v>
      </c>
      <c r="V665" s="47">
        <f t="shared" ca="1" si="221"/>
        <v>0</v>
      </c>
      <c r="W665">
        <f ca="1">Inputs!B15+(Inputs!D15-Inputs!B15)*BETAINV(RAND(),Model!H9,Model!I9)</f>
        <v>0.48714568790328594</v>
      </c>
      <c r="X665">
        <f ca="1">Inputs!E15+(Inputs!G15-Inputs!E15)*BETAINV(RAND(),Model!J9,Model!K9)</f>
        <v>0.54452840181425366</v>
      </c>
      <c r="Y665">
        <f ca="1">(Inputs!H15+(Inputs!J15-Inputs!H15)*BETAINV(RAND(),Model!L9,Model!M9))*Inputs!$C$6</f>
        <v>12984.461640595871</v>
      </c>
      <c r="Z665">
        <f t="shared" ca="1" si="222"/>
        <v>0.26526466288468148</v>
      </c>
      <c r="AA665">
        <f t="shared" ca="1" si="223"/>
        <v>0.30443764826358632</v>
      </c>
      <c r="AB665">
        <f t="shared" ca="1" si="224"/>
        <v>0</v>
      </c>
      <c r="AC665" s="47">
        <f t="shared" ca="1" si="225"/>
        <v>0</v>
      </c>
      <c r="AD665">
        <f ca="1">Inputs!B16+(Inputs!D16-Inputs!B16)*BETAINV(RAND(),Model!H10,Model!I10)</f>
        <v>0.6053126577702026</v>
      </c>
      <c r="AE665">
        <f ca="1">Inputs!E16+(Inputs!G16-Inputs!E16)*BETAINV(RAND(),Model!J10,Model!K10)</f>
        <v>0.55675481677064165</v>
      </c>
      <c r="AF665">
        <f ca="1">(Inputs!H16+(Inputs!J16-Inputs!H16)*BETAINV(RAND(),Model!L10,Model!M10))*Inputs!$C$6</f>
        <v>106441.11055252326</v>
      </c>
      <c r="AG665">
        <f t="shared" ca="1" si="226"/>
        <v>0.33701073786579927</v>
      </c>
      <c r="AH665">
        <f t="shared" ca="1" si="227"/>
        <v>0.23007668090949029</v>
      </c>
      <c r="AI665">
        <f t="shared" ca="1" si="228"/>
        <v>0</v>
      </c>
      <c r="AJ665" s="47">
        <f t="shared" ca="1" si="229"/>
        <v>0</v>
      </c>
      <c r="AK665">
        <f t="shared" ca="1" si="230"/>
        <v>49778.668048261759</v>
      </c>
    </row>
    <row r="666" spans="2:37" x14ac:dyDescent="0.2">
      <c r="B666">
        <f ca="1">Inputs!B12+(Inputs!D12-Inputs!B12)*BETAINV(RAND(),Model!H6,Model!I6)</f>
        <v>2.2212819633449614</v>
      </c>
      <c r="C666">
        <f ca="1">Inputs!E12+(Inputs!G12-Inputs!E12)*BETAINV(RAND(),Model!J6,Model!K6)</f>
        <v>0.31703081308740894</v>
      </c>
      <c r="D666">
        <f ca="1">(Inputs!H12+(Inputs!J12-Inputs!H12)*BETAINV(RAND(),Model!L6,Model!M6))*Inputs!$C$6</f>
        <v>27615.165227644207</v>
      </c>
      <c r="E666">
        <f t="shared" ca="1" si="210"/>
        <v>0.70421482693564919</v>
      </c>
      <c r="F666">
        <f t="shared" ca="1" si="211"/>
        <v>0.33076979587316901</v>
      </c>
      <c r="G666">
        <f t="shared" ca="1" si="212"/>
        <v>0</v>
      </c>
      <c r="H666" s="47">
        <f t="shared" ca="1" si="213"/>
        <v>0</v>
      </c>
      <c r="I666">
        <f ca="1">Inputs!B13+(Inputs!D13-Inputs!B13)*BETAINV(RAND(),Model!H7,Model!I7)</f>
        <v>2.9678393034149377</v>
      </c>
      <c r="J666">
        <f ca="1">Inputs!E13+(Inputs!G13-Inputs!E13)*BETAINV(RAND(),Model!J7,Model!K7)</f>
        <v>0.34404978909769507</v>
      </c>
      <c r="K666">
        <f ca="1">(Inputs!H13+(Inputs!J13-Inputs!H13)*BETAINV(RAND(),Model!L7,Model!M7))*Inputs!$C$6</f>
        <v>32976.997579254392</v>
      </c>
      <c r="L666">
        <f t="shared" ca="1" si="214"/>
        <v>1.0210844864157596</v>
      </c>
      <c r="M666">
        <f t="shared" ca="1" si="215"/>
        <v>0.2669934367307204</v>
      </c>
      <c r="N666">
        <f t="shared" ca="1" si="216"/>
        <v>0</v>
      </c>
      <c r="O666" s="47">
        <f t="shared" ca="1" si="217"/>
        <v>0</v>
      </c>
      <c r="P666">
        <f ca="1">Inputs!B14+(Inputs!D14-Inputs!B14)*BETAINV(RAND(),Model!H8,Model!I8)</f>
        <v>0.37815894061322819</v>
      </c>
      <c r="Q666">
        <f ca="1">Inputs!E14+(Inputs!G14-Inputs!E14)*BETAINV(RAND(),Model!J8,Model!K8)</f>
        <v>0.55881135481355515</v>
      </c>
      <c r="R666">
        <f ca="1">(Inputs!H14+(Inputs!J14-Inputs!H14)*BETAINV(RAND(),Model!L8,Model!M8))*Inputs!$C$6</f>
        <v>377761.52288555034</v>
      </c>
      <c r="S666">
        <f t="shared" ca="1" si="218"/>
        <v>0.21131950993893678</v>
      </c>
      <c r="T666">
        <f t="shared" ca="1" si="219"/>
        <v>0.69861943405413629</v>
      </c>
      <c r="U666">
        <f t="shared" ca="1" si="220"/>
        <v>0</v>
      </c>
      <c r="V666" s="47">
        <f t="shared" ca="1" si="221"/>
        <v>0</v>
      </c>
      <c r="W666">
        <f ca="1">Inputs!B15+(Inputs!D15-Inputs!B15)*BETAINV(RAND(),Model!H9,Model!I9)</f>
        <v>1.6647229005800519</v>
      </c>
      <c r="X666">
        <f ca="1">Inputs!E15+(Inputs!G15-Inputs!E15)*BETAINV(RAND(),Model!J9,Model!K9)</f>
        <v>0.35147287991185927</v>
      </c>
      <c r="Y666">
        <f ca="1">(Inputs!H15+(Inputs!J15-Inputs!H15)*BETAINV(RAND(),Model!L9,Model!M9))*Inputs!$C$6</f>
        <v>35535.036334326709</v>
      </c>
      <c r="Z666">
        <f t="shared" ca="1" si="222"/>
        <v>0.58510495212209457</v>
      </c>
      <c r="AA666">
        <f t="shared" ca="1" si="223"/>
        <v>0.29420453817686865</v>
      </c>
      <c r="AB666">
        <f t="shared" ca="1" si="224"/>
        <v>0</v>
      </c>
      <c r="AC666" s="47">
        <f t="shared" ca="1" si="225"/>
        <v>0</v>
      </c>
      <c r="AD666">
        <f ca="1">Inputs!B16+(Inputs!D16-Inputs!B16)*BETAINV(RAND(),Model!H10,Model!I10)</f>
        <v>0.26831822875150235</v>
      </c>
      <c r="AE666">
        <f ca="1">Inputs!E16+(Inputs!G16-Inputs!E16)*BETAINV(RAND(),Model!J10,Model!K10)</f>
        <v>0.56281026891996677</v>
      </c>
      <c r="AF666">
        <f ca="1">(Inputs!H16+(Inputs!J16-Inputs!H16)*BETAINV(RAND(),Model!L10,Model!M10))*Inputs!$C$6</f>
        <v>139984.77138466557</v>
      </c>
      <c r="AG666">
        <f t="shared" ca="1" si="226"/>
        <v>0.15101225447976219</v>
      </c>
      <c r="AH666">
        <f t="shared" ca="1" si="227"/>
        <v>0.650241695061333</v>
      </c>
      <c r="AI666">
        <f t="shared" ca="1" si="228"/>
        <v>0</v>
      </c>
      <c r="AJ666" s="47">
        <f t="shared" ca="1" si="229"/>
        <v>0</v>
      </c>
      <c r="AK666">
        <f t="shared" ca="1" si="230"/>
        <v>0</v>
      </c>
    </row>
    <row r="667" spans="2:37" x14ac:dyDescent="0.2">
      <c r="B667">
        <f ca="1">Inputs!B12+(Inputs!D12-Inputs!B12)*BETAINV(RAND(),Model!H6,Model!I6)</f>
        <v>3.8389576818346236</v>
      </c>
      <c r="C667">
        <f ca="1">Inputs!E12+(Inputs!G12-Inputs!E12)*BETAINV(RAND(),Model!J6,Model!K6)</f>
        <v>0.22950490714428637</v>
      </c>
      <c r="D667">
        <f ca="1">(Inputs!H12+(Inputs!J12-Inputs!H12)*BETAINV(RAND(),Model!L6,Model!M6))*Inputs!$C$6</f>
        <v>21390.85984031123</v>
      </c>
      <c r="E667">
        <f t="shared" ca="1" si="210"/>
        <v>0.8810596263003001</v>
      </c>
      <c r="F667">
        <f t="shared" ca="1" si="211"/>
        <v>0.67900256875699405</v>
      </c>
      <c r="G667">
        <f t="shared" ca="1" si="212"/>
        <v>1</v>
      </c>
      <c r="H667" s="47">
        <f t="shared" ca="1" si="213"/>
        <v>21390.85984031123</v>
      </c>
      <c r="I667">
        <f ca="1">Inputs!B13+(Inputs!D13-Inputs!B13)*BETAINV(RAND(),Model!H7,Model!I7)</f>
        <v>1.3377216834488186</v>
      </c>
      <c r="J667">
        <f ca="1">Inputs!E13+(Inputs!G13-Inputs!E13)*BETAINV(RAND(),Model!J7,Model!K7)</f>
        <v>0.21910766421659589</v>
      </c>
      <c r="K667">
        <f ca="1">(Inputs!H13+(Inputs!J13-Inputs!H13)*BETAINV(RAND(),Model!L7,Model!M7))*Inputs!$C$6</f>
        <v>33446.920183117109</v>
      </c>
      <c r="L667">
        <f t="shared" ca="1" si="214"/>
        <v>0.29310507343236314</v>
      </c>
      <c r="M667">
        <f t="shared" ca="1" si="215"/>
        <v>0.15067407432243818</v>
      </c>
      <c r="N667">
        <f t="shared" ca="1" si="216"/>
        <v>0</v>
      </c>
      <c r="O667" s="47">
        <f t="shared" ca="1" si="217"/>
        <v>0</v>
      </c>
      <c r="P667">
        <f ca="1">Inputs!B14+(Inputs!D14-Inputs!B14)*BETAINV(RAND(),Model!H8,Model!I8)</f>
        <v>0.27016004257783821</v>
      </c>
      <c r="Q667">
        <f ca="1">Inputs!E14+(Inputs!G14-Inputs!E14)*BETAINV(RAND(),Model!J8,Model!K8)</f>
        <v>0.39263344336658162</v>
      </c>
      <c r="R667">
        <f ca="1">(Inputs!H14+(Inputs!J14-Inputs!H14)*BETAINV(RAND(),Model!L8,Model!M8))*Inputs!$C$6</f>
        <v>373296.51427102671</v>
      </c>
      <c r="S667">
        <f t="shared" ca="1" si="218"/>
        <v>0.10607386777739893</v>
      </c>
      <c r="T667">
        <f t="shared" ca="1" si="219"/>
        <v>8.7400355541751518E-2</v>
      </c>
      <c r="U667">
        <f t="shared" ca="1" si="220"/>
        <v>0</v>
      </c>
      <c r="V667" s="47">
        <f t="shared" ca="1" si="221"/>
        <v>0</v>
      </c>
      <c r="W667">
        <f ca="1">Inputs!B15+(Inputs!D15-Inputs!B15)*BETAINV(RAND(),Model!H9,Model!I9)</f>
        <v>0.97555105935200603</v>
      </c>
      <c r="X667">
        <f ca="1">Inputs!E15+(Inputs!G15-Inputs!E15)*BETAINV(RAND(),Model!J9,Model!K9)</f>
        <v>0.54352474152746655</v>
      </c>
      <c r="Y667">
        <f ca="1">(Inputs!H15+(Inputs!J15-Inputs!H15)*BETAINV(RAND(),Model!L9,Model!M9))*Inputs!$C$6</f>
        <v>49736.663423761485</v>
      </c>
      <c r="Z667">
        <f t="shared" ca="1" si="222"/>
        <v>0.53023613738114528</v>
      </c>
      <c r="AA667">
        <f t="shared" ca="1" si="223"/>
        <v>0.94938377492946713</v>
      </c>
      <c r="AB667">
        <f t="shared" ca="1" si="224"/>
        <v>2</v>
      </c>
      <c r="AC667" s="47">
        <f t="shared" ca="1" si="225"/>
        <v>99473.326847522971</v>
      </c>
      <c r="AD667">
        <f ca="1">Inputs!B16+(Inputs!D16-Inputs!B16)*BETAINV(RAND(),Model!H10,Model!I10)</f>
        <v>1.1224267940696653</v>
      </c>
      <c r="AE667">
        <f ca="1">Inputs!E16+(Inputs!G16-Inputs!E16)*BETAINV(RAND(),Model!J10,Model!K10)</f>
        <v>0.52945264159876837</v>
      </c>
      <c r="AF667">
        <f ca="1">(Inputs!H16+(Inputs!J16-Inputs!H16)*BETAINV(RAND(),Model!L10,Model!M10))*Inputs!$C$6</f>
        <v>90361.638063721839</v>
      </c>
      <c r="AG667">
        <f t="shared" ca="1" si="226"/>
        <v>0.59427183112142112</v>
      </c>
      <c r="AH667">
        <f t="shared" ca="1" si="227"/>
        <v>0.73240595160827482</v>
      </c>
      <c r="AI667">
        <f t="shared" ca="1" si="228"/>
        <v>1</v>
      </c>
      <c r="AJ667" s="47">
        <f t="shared" ca="1" si="229"/>
        <v>90361.638063721839</v>
      </c>
      <c r="AK667">
        <f t="shared" ca="1" si="230"/>
        <v>211225.82475155604</v>
      </c>
    </row>
    <row r="668" spans="2:37" x14ac:dyDescent="0.2">
      <c r="B668">
        <f ca="1">Inputs!B12+(Inputs!D12-Inputs!B12)*BETAINV(RAND(),Model!H6,Model!I6)</f>
        <v>4.6112152313134054</v>
      </c>
      <c r="C668">
        <f ca="1">Inputs!E12+(Inputs!G12-Inputs!E12)*BETAINV(RAND(),Model!J6,Model!K6)</f>
        <v>0.44112116280269587</v>
      </c>
      <c r="D668">
        <f ca="1">(Inputs!H12+(Inputs!J12-Inputs!H12)*BETAINV(RAND(),Model!L6,Model!M6))*Inputs!$C$6</f>
        <v>52056.019624724395</v>
      </c>
      <c r="E668">
        <f t="shared" ca="1" si="210"/>
        <v>2.0341046247704715</v>
      </c>
      <c r="F668">
        <f t="shared" ca="1" si="211"/>
        <v>0.46894326763181748</v>
      </c>
      <c r="G668">
        <f t="shared" ca="1" si="212"/>
        <v>2</v>
      </c>
      <c r="H668" s="47">
        <f t="shared" ca="1" si="213"/>
        <v>104112.03924944879</v>
      </c>
      <c r="I668">
        <f ca="1">Inputs!B13+(Inputs!D13-Inputs!B13)*BETAINV(RAND(),Model!H7,Model!I7)</f>
        <v>2.9640937259410576</v>
      </c>
      <c r="J668">
        <f ca="1">Inputs!E13+(Inputs!G13-Inputs!E13)*BETAINV(RAND(),Model!J7,Model!K7)</f>
        <v>0.18841666272424004</v>
      </c>
      <c r="K668">
        <f ca="1">(Inputs!H13+(Inputs!J13-Inputs!H13)*BETAINV(RAND(),Model!L7,Model!M7))*Inputs!$C$6</f>
        <v>62501.14826367877</v>
      </c>
      <c r="L668">
        <f t="shared" ca="1" si="214"/>
        <v>0.55848464784367224</v>
      </c>
      <c r="M668">
        <f t="shared" ca="1" si="215"/>
        <v>0.9062060351759107</v>
      </c>
      <c r="N668">
        <f t="shared" ca="1" si="216"/>
        <v>2</v>
      </c>
      <c r="O668" s="47">
        <f t="shared" ca="1" si="217"/>
        <v>125002.29652735754</v>
      </c>
      <c r="P668">
        <f ca="1">Inputs!B14+(Inputs!D14-Inputs!B14)*BETAINV(RAND(),Model!H8,Model!I8)</f>
        <v>0.2020269333543569</v>
      </c>
      <c r="Q668">
        <f ca="1">Inputs!E14+(Inputs!G14-Inputs!E14)*BETAINV(RAND(),Model!J8,Model!K8)</f>
        <v>0.54493568786175794</v>
      </c>
      <c r="R668">
        <f ca="1">(Inputs!H14+(Inputs!J14-Inputs!H14)*BETAINV(RAND(),Model!L8,Model!M8))*Inputs!$C$6</f>
        <v>408329.13685259386</v>
      </c>
      <c r="S668">
        <f t="shared" ca="1" si="218"/>
        <v>0.110091685894058</v>
      </c>
      <c r="T668">
        <f t="shared" ca="1" si="219"/>
        <v>0.34071158806552981</v>
      </c>
      <c r="U668">
        <f t="shared" ca="1" si="220"/>
        <v>0</v>
      </c>
      <c r="V668" s="47">
        <f t="shared" ca="1" si="221"/>
        <v>0</v>
      </c>
      <c r="W668">
        <f ca="1">Inputs!B15+(Inputs!D15-Inputs!B15)*BETAINV(RAND(),Model!H9,Model!I9)</f>
        <v>1.9611756928466721</v>
      </c>
      <c r="X668">
        <f ca="1">Inputs!E15+(Inputs!G15-Inputs!E15)*BETAINV(RAND(),Model!J9,Model!K9)</f>
        <v>0.50342559268053744</v>
      </c>
      <c r="Y668">
        <f ca="1">(Inputs!H15+(Inputs!J15-Inputs!H15)*BETAINV(RAND(),Model!L9,Model!M9))*Inputs!$C$6</f>
        <v>18592.52155547831</v>
      </c>
      <c r="Z668">
        <f t="shared" ca="1" si="222"/>
        <v>0.98730603552199958</v>
      </c>
      <c r="AA668">
        <f t="shared" ca="1" si="223"/>
        <v>0.28425902438191042</v>
      </c>
      <c r="AB668">
        <f t="shared" ca="1" si="224"/>
        <v>0</v>
      </c>
      <c r="AC668" s="47">
        <f t="shared" ca="1" si="225"/>
        <v>0</v>
      </c>
      <c r="AD668">
        <f ca="1">Inputs!B16+(Inputs!D16-Inputs!B16)*BETAINV(RAND(),Model!H10,Model!I10)</f>
        <v>0.44607196782590552</v>
      </c>
      <c r="AE668">
        <f ca="1">Inputs!E16+(Inputs!G16-Inputs!E16)*BETAINV(RAND(),Model!J10,Model!K10)</f>
        <v>0.5238926807023131</v>
      </c>
      <c r="AF668">
        <f ca="1">(Inputs!H16+(Inputs!J16-Inputs!H16)*BETAINV(RAND(),Model!L10,Model!M10))*Inputs!$C$6</f>
        <v>96665.830297807348</v>
      </c>
      <c r="AG668">
        <f t="shared" ca="1" si="226"/>
        <v>0.23369383901046961</v>
      </c>
      <c r="AH668">
        <f t="shared" ca="1" si="227"/>
        <v>0.15245619275443012</v>
      </c>
      <c r="AI668">
        <f t="shared" ca="1" si="228"/>
        <v>0</v>
      </c>
      <c r="AJ668" s="47">
        <f t="shared" ca="1" si="229"/>
        <v>0</v>
      </c>
      <c r="AK668">
        <f t="shared" ca="1" si="230"/>
        <v>229114.33577680634</v>
      </c>
    </row>
    <row r="669" spans="2:37" x14ac:dyDescent="0.2">
      <c r="B669">
        <f ca="1">Inputs!B12+(Inputs!D12-Inputs!B12)*BETAINV(RAND(),Model!H6,Model!I6)</f>
        <v>2.6588375369502808</v>
      </c>
      <c r="C669">
        <f ca="1">Inputs!E12+(Inputs!G12-Inputs!E12)*BETAINV(RAND(),Model!J6,Model!K6)</f>
        <v>0.27243125619854242</v>
      </c>
      <c r="D669">
        <f ca="1">(Inputs!H12+(Inputs!J12-Inputs!H12)*BETAINV(RAND(),Model!L6,Model!M6))*Inputs!$C$6</f>
        <v>31661.001797484183</v>
      </c>
      <c r="E669">
        <f t="shared" ca="1" si="210"/>
        <v>0.72435045021920341</v>
      </c>
      <c r="F669">
        <f t="shared" ca="1" si="211"/>
        <v>0.28169229883846325</v>
      </c>
      <c r="G669">
        <f t="shared" ca="1" si="212"/>
        <v>0</v>
      </c>
      <c r="H669" s="47">
        <f t="shared" ca="1" si="213"/>
        <v>0</v>
      </c>
      <c r="I669">
        <f ca="1">Inputs!B13+(Inputs!D13-Inputs!B13)*BETAINV(RAND(),Model!H7,Model!I7)</f>
        <v>1.6841247160833577</v>
      </c>
      <c r="J669">
        <f ca="1">Inputs!E13+(Inputs!G13-Inputs!E13)*BETAINV(RAND(),Model!J7,Model!K7)</f>
        <v>0.16826397604642279</v>
      </c>
      <c r="K669">
        <f ca="1">(Inputs!H13+(Inputs!J13-Inputs!H13)*BETAINV(RAND(),Model!L7,Model!M7))*Inputs!$C$6</f>
        <v>15239.879804187429</v>
      </c>
      <c r="L669">
        <f t="shared" ca="1" si="214"/>
        <v>0.28337752088623869</v>
      </c>
      <c r="M669">
        <f t="shared" ca="1" si="215"/>
        <v>0.67854090087120034</v>
      </c>
      <c r="N669">
        <f t="shared" ca="1" si="216"/>
        <v>0</v>
      </c>
      <c r="O669" s="47">
        <f t="shared" ca="1" si="217"/>
        <v>0</v>
      </c>
      <c r="P669">
        <f ca="1">Inputs!B14+(Inputs!D14-Inputs!B14)*BETAINV(RAND(),Model!H8,Model!I8)</f>
        <v>0.34110067307268988</v>
      </c>
      <c r="Q669">
        <f ca="1">Inputs!E14+(Inputs!G14-Inputs!E14)*BETAINV(RAND(),Model!J8,Model!K8)</f>
        <v>0.55199575211176888</v>
      </c>
      <c r="R669">
        <f ca="1">(Inputs!H14+(Inputs!J14-Inputs!H14)*BETAINV(RAND(),Model!L8,Model!M8))*Inputs!$C$6</f>
        <v>333576.20701080508</v>
      </c>
      <c r="S669">
        <f t="shared" ca="1" si="218"/>
        <v>0.18828612257859004</v>
      </c>
      <c r="T669">
        <f t="shared" ca="1" si="219"/>
        <v>0.37182996694661907</v>
      </c>
      <c r="U669">
        <f t="shared" ca="1" si="220"/>
        <v>0</v>
      </c>
      <c r="V669" s="47">
        <f t="shared" ca="1" si="221"/>
        <v>0</v>
      </c>
      <c r="W669">
        <f ca="1">Inputs!B15+(Inputs!D15-Inputs!B15)*BETAINV(RAND(),Model!H9,Model!I9)</f>
        <v>0.63263156873928261</v>
      </c>
      <c r="X669">
        <f ca="1">Inputs!E15+(Inputs!G15-Inputs!E15)*BETAINV(RAND(),Model!J9,Model!K9)</f>
        <v>0.20907300259623335</v>
      </c>
      <c r="Y669">
        <f ca="1">(Inputs!H15+(Inputs!J15-Inputs!H15)*BETAINV(RAND(),Model!L9,Model!M9))*Inputs!$C$6</f>
        <v>13081.691461207683</v>
      </c>
      <c r="Z669">
        <f t="shared" ca="1" si="222"/>
        <v>0.13226618161348722</v>
      </c>
      <c r="AA669">
        <f t="shared" ca="1" si="223"/>
        <v>0.43495358779823834</v>
      </c>
      <c r="AB669">
        <f t="shared" ca="1" si="224"/>
        <v>0</v>
      </c>
      <c r="AC669" s="47">
        <f t="shared" ca="1" si="225"/>
        <v>0</v>
      </c>
      <c r="AD669">
        <f ca="1">Inputs!B16+(Inputs!D16-Inputs!B16)*BETAINV(RAND(),Model!H10,Model!I10)</f>
        <v>1.0555509782208508</v>
      </c>
      <c r="AE669">
        <f ca="1">Inputs!E16+(Inputs!G16-Inputs!E16)*BETAINV(RAND(),Model!J10,Model!K10)</f>
        <v>0.46925268874425707</v>
      </c>
      <c r="AF669">
        <f ca="1">(Inputs!H16+(Inputs!J16-Inputs!H16)*BETAINV(RAND(),Model!L10,Model!M10))*Inputs!$C$6</f>
        <v>119607.7898603936</v>
      </c>
      <c r="AG669">
        <f t="shared" ca="1" si="226"/>
        <v>0.49532013463676494</v>
      </c>
      <c r="AH669">
        <f t="shared" ca="1" si="227"/>
        <v>0.50315982054055131</v>
      </c>
      <c r="AI669">
        <f t="shared" ca="1" si="228"/>
        <v>0</v>
      </c>
      <c r="AJ669" s="47">
        <f t="shared" ca="1" si="229"/>
        <v>0</v>
      </c>
      <c r="AK669">
        <f t="shared" ca="1" si="230"/>
        <v>0</v>
      </c>
    </row>
    <row r="670" spans="2:37" x14ac:dyDescent="0.2">
      <c r="B670">
        <f ca="1">Inputs!B12+(Inputs!D12-Inputs!B12)*BETAINV(RAND(),Model!H6,Model!I6)</f>
        <v>2.5466564382776222</v>
      </c>
      <c r="C670">
        <f ca="1">Inputs!E12+(Inputs!G12-Inputs!E12)*BETAINV(RAND(),Model!J6,Model!K6)</f>
        <v>0.25932182880488808</v>
      </c>
      <c r="D670">
        <f ca="1">(Inputs!H12+(Inputs!J12-Inputs!H12)*BETAINV(RAND(),Model!L6,Model!M6))*Inputs!$C$6</f>
        <v>32585.343511904546</v>
      </c>
      <c r="E670">
        <f t="shared" ca="1" si="210"/>
        <v>0.66040360491189554</v>
      </c>
      <c r="F670">
        <f t="shared" ca="1" si="211"/>
        <v>0.68676148984342333</v>
      </c>
      <c r="G670">
        <f t="shared" ca="1" si="212"/>
        <v>1</v>
      </c>
      <c r="H670" s="47">
        <f t="shared" ca="1" si="213"/>
        <v>32585.343511904546</v>
      </c>
      <c r="I670">
        <f ca="1">Inputs!B13+(Inputs!D13-Inputs!B13)*BETAINV(RAND(),Model!H7,Model!I7)</f>
        <v>1.7780863204286288</v>
      </c>
      <c r="J670">
        <f ca="1">Inputs!E13+(Inputs!G13-Inputs!E13)*BETAINV(RAND(),Model!J7,Model!K7)</f>
        <v>0.43262878024261187</v>
      </c>
      <c r="K670">
        <f ca="1">(Inputs!H13+(Inputs!J13-Inputs!H13)*BETAINV(RAND(),Model!L7,Model!M7))*Inputs!$C$6</f>
        <v>14353.631155150973</v>
      </c>
      <c r="L670">
        <f t="shared" ca="1" si="214"/>
        <v>0.76925131597311158</v>
      </c>
      <c r="M670">
        <f t="shared" ca="1" si="215"/>
        <v>0.58415388716793482</v>
      </c>
      <c r="N670">
        <f t="shared" ca="1" si="216"/>
        <v>1</v>
      </c>
      <c r="O670" s="47">
        <f t="shared" ca="1" si="217"/>
        <v>14353.631155150973</v>
      </c>
      <c r="P670">
        <f ca="1">Inputs!B14+(Inputs!D14-Inputs!B14)*BETAINV(RAND(),Model!H8,Model!I8)</f>
        <v>0.19070857009568373</v>
      </c>
      <c r="Q670">
        <f ca="1">Inputs!E14+(Inputs!G14-Inputs!E14)*BETAINV(RAND(),Model!J8,Model!K8)</f>
        <v>0.57100023303562963</v>
      </c>
      <c r="R670">
        <f ca="1">(Inputs!H14+(Inputs!J14-Inputs!H14)*BETAINV(RAND(),Model!L8,Model!M8))*Inputs!$C$6</f>
        <v>542502.3767930679</v>
      </c>
      <c r="S670">
        <f t="shared" ca="1" si="218"/>
        <v>0.10889463796652712</v>
      </c>
      <c r="T670">
        <f t="shared" ca="1" si="219"/>
        <v>0.16255957783361652</v>
      </c>
      <c r="U670">
        <f t="shared" ca="1" si="220"/>
        <v>0</v>
      </c>
      <c r="V670" s="47">
        <f t="shared" ca="1" si="221"/>
        <v>0</v>
      </c>
      <c r="W670">
        <f ca="1">Inputs!B15+(Inputs!D15-Inputs!B15)*BETAINV(RAND(),Model!H9,Model!I9)</f>
        <v>1.9705439264448537</v>
      </c>
      <c r="X670">
        <f ca="1">Inputs!E15+(Inputs!G15-Inputs!E15)*BETAINV(RAND(),Model!J9,Model!K9)</f>
        <v>0.42407157642512383</v>
      </c>
      <c r="Y670">
        <f ca="1">(Inputs!H15+(Inputs!J15-Inputs!H15)*BETAINV(RAND(),Model!L9,Model!M9))*Inputs!$C$6</f>
        <v>29255.316311847575</v>
      </c>
      <c r="Z670">
        <f t="shared" ca="1" si="222"/>
        <v>0.8356516693024223</v>
      </c>
      <c r="AA670">
        <f t="shared" ca="1" si="223"/>
        <v>0.89855927073751796</v>
      </c>
      <c r="AB670">
        <f t="shared" ca="1" si="224"/>
        <v>2</v>
      </c>
      <c r="AC670" s="47">
        <f t="shared" ca="1" si="225"/>
        <v>58510.63262369515</v>
      </c>
      <c r="AD670">
        <f ca="1">Inputs!B16+(Inputs!D16-Inputs!B16)*BETAINV(RAND(),Model!H10,Model!I10)</f>
        <v>0.67837252724729957</v>
      </c>
      <c r="AE670">
        <f ca="1">Inputs!E16+(Inputs!G16-Inputs!E16)*BETAINV(RAND(),Model!J10,Model!K10)</f>
        <v>0.56340443294692211</v>
      </c>
      <c r="AF670">
        <f ca="1">(Inputs!H16+(Inputs!J16-Inputs!H16)*BETAINV(RAND(),Model!L10,Model!M10))*Inputs!$C$6</f>
        <v>53454.026264567459</v>
      </c>
      <c r="AG670">
        <f t="shared" ca="1" si="226"/>
        <v>0.38219808904053526</v>
      </c>
      <c r="AH670">
        <f t="shared" ca="1" si="227"/>
        <v>0.80130051461488871</v>
      </c>
      <c r="AI670">
        <f t="shared" ca="1" si="228"/>
        <v>1</v>
      </c>
      <c r="AJ670" s="47">
        <f t="shared" ca="1" si="229"/>
        <v>53454.026264567459</v>
      </c>
      <c r="AK670">
        <f t="shared" ca="1" si="230"/>
        <v>158903.63355531811</v>
      </c>
    </row>
    <row r="671" spans="2:37" x14ac:dyDescent="0.2">
      <c r="B671">
        <f ca="1">Inputs!B12+(Inputs!D12-Inputs!B12)*BETAINV(RAND(),Model!H6,Model!I6)</f>
        <v>2.2229222310639489</v>
      </c>
      <c r="C671">
        <f ca="1">Inputs!E12+(Inputs!G12-Inputs!E12)*BETAINV(RAND(),Model!J6,Model!K6)</f>
        <v>0.45615427514572704</v>
      </c>
      <c r="D671">
        <f ca="1">(Inputs!H12+(Inputs!J12-Inputs!H12)*BETAINV(RAND(),Model!L6,Model!M6))*Inputs!$C$6</f>
        <v>24410.908493209794</v>
      </c>
      <c r="E671">
        <f t="shared" ca="1" si="210"/>
        <v>1.0139954790162979</v>
      </c>
      <c r="F671">
        <f t="shared" ca="1" si="211"/>
        <v>0.8079724205975819</v>
      </c>
      <c r="G671">
        <f t="shared" ca="1" si="212"/>
        <v>2</v>
      </c>
      <c r="H671" s="47">
        <f t="shared" ca="1" si="213"/>
        <v>48821.816986419588</v>
      </c>
      <c r="I671">
        <f ca="1">Inputs!B13+(Inputs!D13-Inputs!B13)*BETAINV(RAND(),Model!H7,Model!I7)</f>
        <v>2.3221933459251503</v>
      </c>
      <c r="J671">
        <f ca="1">Inputs!E13+(Inputs!G13-Inputs!E13)*BETAINV(RAND(),Model!J7,Model!K7)</f>
        <v>0.21613601515319392</v>
      </c>
      <c r="K671">
        <f ca="1">(Inputs!H13+(Inputs!J13-Inputs!H13)*BETAINV(RAND(),Model!L7,Model!M7))*Inputs!$C$6</f>
        <v>50347.818557068393</v>
      </c>
      <c r="L671">
        <f t="shared" ca="1" si="214"/>
        <v>0.50190961620352437</v>
      </c>
      <c r="M671">
        <f t="shared" ca="1" si="215"/>
        <v>0.89022083124505424</v>
      </c>
      <c r="N671">
        <f t="shared" ca="1" si="216"/>
        <v>1</v>
      </c>
      <c r="O671" s="47">
        <f t="shared" ca="1" si="217"/>
        <v>50347.818557068393</v>
      </c>
      <c r="P671">
        <f ca="1">Inputs!B14+(Inputs!D14-Inputs!B14)*BETAINV(RAND(),Model!H8,Model!I8)</f>
        <v>0.5830922945316841</v>
      </c>
      <c r="Q671">
        <f ca="1">Inputs!E14+(Inputs!G14-Inputs!E14)*BETAINV(RAND(),Model!J8,Model!K8)</f>
        <v>0.45230792484127502</v>
      </c>
      <c r="R671">
        <f ca="1">(Inputs!H14+(Inputs!J14-Inputs!H14)*BETAINV(RAND(),Model!L8,Model!M8))*Inputs!$C$6</f>
        <v>309265.97471944318</v>
      </c>
      <c r="S671">
        <f t="shared" ca="1" si="218"/>
        <v>0.26373726573056355</v>
      </c>
      <c r="T671">
        <f t="shared" ca="1" si="219"/>
        <v>0.57157076263289874</v>
      </c>
      <c r="U671">
        <f t="shared" ca="1" si="220"/>
        <v>0</v>
      </c>
      <c r="V671" s="47">
        <f t="shared" ca="1" si="221"/>
        <v>0</v>
      </c>
      <c r="W671">
        <f ca="1">Inputs!B15+(Inputs!D15-Inputs!B15)*BETAINV(RAND(),Model!H9,Model!I9)</f>
        <v>1.3208211906238434</v>
      </c>
      <c r="X671">
        <f ca="1">Inputs!E15+(Inputs!G15-Inputs!E15)*BETAINV(RAND(),Model!J9,Model!K9)</f>
        <v>0.36012804519302283</v>
      </c>
      <c r="Y671">
        <f ca="1">(Inputs!H15+(Inputs!J15-Inputs!H15)*BETAINV(RAND(),Model!L9,Model!M9))*Inputs!$C$6</f>
        <v>10640.92524273573</v>
      </c>
      <c r="Z671">
        <f t="shared" ca="1" si="222"/>
        <v>0.4756647534288857</v>
      </c>
      <c r="AA671">
        <f t="shared" ca="1" si="223"/>
        <v>0.56969560130858421</v>
      </c>
      <c r="AB671">
        <f t="shared" ca="1" si="224"/>
        <v>0</v>
      </c>
      <c r="AC671" s="47">
        <f t="shared" ca="1" si="225"/>
        <v>0</v>
      </c>
      <c r="AD671">
        <f ca="1">Inputs!B16+(Inputs!D16-Inputs!B16)*BETAINV(RAND(),Model!H10,Model!I10)</f>
        <v>0.65647249970654575</v>
      </c>
      <c r="AE671">
        <f ca="1">Inputs!E16+(Inputs!G16-Inputs!E16)*BETAINV(RAND(),Model!J10,Model!K10)</f>
        <v>0.61392744336723393</v>
      </c>
      <c r="AF671">
        <f ca="1">(Inputs!H16+(Inputs!J16-Inputs!H16)*BETAINV(RAND(),Model!L10,Model!M10))*Inputs!$C$6</f>
        <v>76314.900981254541</v>
      </c>
      <c r="AG671">
        <f t="shared" ca="1" si="226"/>
        <v>0.40302648338573688</v>
      </c>
      <c r="AH671">
        <f t="shared" ca="1" si="227"/>
        <v>5.9521180777892924E-2</v>
      </c>
      <c r="AI671">
        <f t="shared" ca="1" si="228"/>
        <v>0</v>
      </c>
      <c r="AJ671" s="47">
        <f t="shared" ca="1" si="229"/>
        <v>0</v>
      </c>
      <c r="AK671">
        <f t="shared" ca="1" si="230"/>
        <v>99169.635543487981</v>
      </c>
    </row>
    <row r="672" spans="2:37" x14ac:dyDescent="0.2">
      <c r="B672">
        <f ca="1">Inputs!B12+(Inputs!D12-Inputs!B12)*BETAINV(RAND(),Model!H6,Model!I6)</f>
        <v>3.412303670940291</v>
      </c>
      <c r="C672">
        <f ca="1">Inputs!E12+(Inputs!G12-Inputs!E12)*BETAINV(RAND(),Model!J6,Model!K6)</f>
        <v>0.37347675134757652</v>
      </c>
      <c r="D672">
        <f ca="1">(Inputs!H12+(Inputs!J12-Inputs!H12)*BETAINV(RAND(),Model!L6,Model!M6))*Inputs!$C$6</f>
        <v>22432.799038954934</v>
      </c>
      <c r="E672">
        <f t="shared" ca="1" si="210"/>
        <v>1.2744160896341896</v>
      </c>
      <c r="F672">
        <f t="shared" ca="1" si="211"/>
        <v>0.7659058873252883</v>
      </c>
      <c r="G672">
        <f t="shared" ca="1" si="212"/>
        <v>2</v>
      </c>
      <c r="H672" s="47">
        <f t="shared" ca="1" si="213"/>
        <v>44865.598077909868</v>
      </c>
      <c r="I672">
        <f ca="1">Inputs!B13+(Inputs!D13-Inputs!B13)*BETAINV(RAND(),Model!H7,Model!I7)</f>
        <v>2.98680294653931</v>
      </c>
      <c r="J672">
        <f ca="1">Inputs!E13+(Inputs!G13-Inputs!E13)*BETAINV(RAND(),Model!J7,Model!K7)</f>
        <v>0.35783902893900388</v>
      </c>
      <c r="K672">
        <f ca="1">(Inputs!H13+(Inputs!J13-Inputs!H13)*BETAINV(RAND(),Model!L7,Model!M7))*Inputs!$C$6</f>
        <v>19882.099312456081</v>
      </c>
      <c r="L672">
        <f t="shared" ca="1" si="214"/>
        <v>1.0687946660217822</v>
      </c>
      <c r="M672">
        <f t="shared" ca="1" si="215"/>
        <v>0.60621768275277255</v>
      </c>
      <c r="N672">
        <f t="shared" ca="1" si="216"/>
        <v>1</v>
      </c>
      <c r="O672" s="47">
        <f t="shared" ca="1" si="217"/>
        <v>19882.099312456081</v>
      </c>
      <c r="P672">
        <f ca="1">Inputs!B14+(Inputs!D14-Inputs!B14)*BETAINV(RAND(),Model!H8,Model!I8)</f>
        <v>0.28181545554728216</v>
      </c>
      <c r="Q672">
        <f ca="1">Inputs!E14+(Inputs!G14-Inputs!E14)*BETAINV(RAND(),Model!J8,Model!K8)</f>
        <v>0.52078818689457795</v>
      </c>
      <c r="R672">
        <f ca="1">(Inputs!H14+(Inputs!J14-Inputs!H14)*BETAINV(RAND(),Model!L8,Model!M8))*Inputs!$C$6</f>
        <v>292618.7326252163</v>
      </c>
      <c r="S672">
        <f t="shared" ca="1" si="218"/>
        <v>0.1467661601333386</v>
      </c>
      <c r="T672">
        <f t="shared" ca="1" si="219"/>
        <v>0.9762048722594785</v>
      </c>
      <c r="U672">
        <f t="shared" ca="1" si="220"/>
        <v>1</v>
      </c>
      <c r="V672" s="47">
        <f t="shared" ca="1" si="221"/>
        <v>292618.7326252163</v>
      </c>
      <c r="W672">
        <f ca="1">Inputs!B15+(Inputs!D15-Inputs!B15)*BETAINV(RAND(),Model!H9,Model!I9)</f>
        <v>1.3047350564503997</v>
      </c>
      <c r="X672">
        <f ca="1">Inputs!E15+(Inputs!G15-Inputs!E15)*BETAINV(RAND(),Model!J9,Model!K9)</f>
        <v>0.29919311195807663</v>
      </c>
      <c r="Y672">
        <f ca="1">(Inputs!H15+(Inputs!J15-Inputs!H15)*BETAINV(RAND(),Model!L9,Model!M9))*Inputs!$C$6</f>
        <v>45070.211743695567</v>
      </c>
      <c r="Z672">
        <f t="shared" ca="1" si="222"/>
        <v>0.39036774182019185</v>
      </c>
      <c r="AA672">
        <f t="shared" ca="1" si="223"/>
        <v>0.39045162680730172</v>
      </c>
      <c r="AB672">
        <f t="shared" ca="1" si="224"/>
        <v>0</v>
      </c>
      <c r="AC672" s="47">
        <f t="shared" ca="1" si="225"/>
        <v>0</v>
      </c>
      <c r="AD672">
        <f ca="1">Inputs!B16+(Inputs!D16-Inputs!B16)*BETAINV(RAND(),Model!H10,Model!I10)</f>
        <v>0.70418099865762329</v>
      </c>
      <c r="AE672">
        <f ca="1">Inputs!E16+(Inputs!G16-Inputs!E16)*BETAINV(RAND(),Model!J10,Model!K10)</f>
        <v>0.57431143569027288</v>
      </c>
      <c r="AF672">
        <f ca="1">(Inputs!H16+(Inputs!J16-Inputs!H16)*BETAINV(RAND(),Model!L10,Model!M10))*Inputs!$C$6</f>
        <v>98798.050547714913</v>
      </c>
      <c r="AG672">
        <f t="shared" ca="1" si="226"/>
        <v>0.40441920032486978</v>
      </c>
      <c r="AH672">
        <f t="shared" ca="1" si="227"/>
        <v>0.80867429493080056</v>
      </c>
      <c r="AI672">
        <f t="shared" ca="1" si="228"/>
        <v>1</v>
      </c>
      <c r="AJ672" s="47">
        <f t="shared" ca="1" si="229"/>
        <v>98798.050547714913</v>
      </c>
      <c r="AK672">
        <f t="shared" ca="1" si="230"/>
        <v>456164.48056329717</v>
      </c>
    </row>
    <row r="673" spans="2:37" x14ac:dyDescent="0.2">
      <c r="B673">
        <f ca="1">Inputs!B12+(Inputs!D12-Inputs!B12)*BETAINV(RAND(),Model!H6,Model!I6)</f>
        <v>4.616399822028967</v>
      </c>
      <c r="C673">
        <f ca="1">Inputs!E12+(Inputs!G12-Inputs!E12)*BETAINV(RAND(),Model!J6,Model!K6)</f>
        <v>0.40248082832230114</v>
      </c>
      <c r="D673">
        <f ca="1">(Inputs!H12+(Inputs!J12-Inputs!H12)*BETAINV(RAND(),Model!L6,Model!M6))*Inputs!$C$6</f>
        <v>29843.812161299385</v>
      </c>
      <c r="E673">
        <f t="shared" ca="1" si="210"/>
        <v>1.8580124242371423</v>
      </c>
      <c r="F673">
        <f t="shared" ca="1" si="211"/>
        <v>0.11103128119184313</v>
      </c>
      <c r="G673">
        <f t="shared" ca="1" si="212"/>
        <v>0</v>
      </c>
      <c r="H673" s="47">
        <f t="shared" ca="1" si="213"/>
        <v>0</v>
      </c>
      <c r="I673">
        <f ca="1">Inputs!B13+(Inputs!D13-Inputs!B13)*BETAINV(RAND(),Model!H7,Model!I7)</f>
        <v>2.3595416034789647</v>
      </c>
      <c r="J673">
        <f ca="1">Inputs!E13+(Inputs!G13-Inputs!E13)*BETAINV(RAND(),Model!J7,Model!K7)</f>
        <v>0.15450850790088411</v>
      </c>
      <c r="K673">
        <f ca="1">(Inputs!H13+(Inputs!J13-Inputs!H13)*BETAINV(RAND(),Model!L7,Model!M7))*Inputs!$C$6</f>
        <v>41009.671892662693</v>
      </c>
      <c r="L673">
        <f t="shared" ca="1" si="214"/>
        <v>0.3645692524835944</v>
      </c>
      <c r="M673">
        <f t="shared" ca="1" si="215"/>
        <v>0.38324088325307548</v>
      </c>
      <c r="N673">
        <f t="shared" ca="1" si="216"/>
        <v>0</v>
      </c>
      <c r="O673" s="47">
        <f t="shared" ca="1" si="217"/>
        <v>0</v>
      </c>
      <c r="P673">
        <f ca="1">Inputs!B14+(Inputs!D14-Inputs!B14)*BETAINV(RAND(),Model!H8,Model!I8)</f>
        <v>0.44702870615305901</v>
      </c>
      <c r="Q673">
        <f ca="1">Inputs!E14+(Inputs!G14-Inputs!E14)*BETAINV(RAND(),Model!J8,Model!K8)</f>
        <v>0.66897913914435025</v>
      </c>
      <c r="R673">
        <f ca="1">(Inputs!H14+(Inputs!J14-Inputs!H14)*BETAINV(RAND(),Model!L8,Model!M8))*Inputs!$C$6</f>
        <v>254864.09590991429</v>
      </c>
      <c r="S673">
        <f t="shared" ca="1" si="218"/>
        <v>0.29905287901508615</v>
      </c>
      <c r="T673">
        <f t="shared" ca="1" si="219"/>
        <v>0.12531610720933406</v>
      </c>
      <c r="U673">
        <f t="shared" ca="1" si="220"/>
        <v>0</v>
      </c>
      <c r="V673" s="47">
        <f t="shared" ca="1" si="221"/>
        <v>0</v>
      </c>
      <c r="W673">
        <f ca="1">Inputs!B15+(Inputs!D15-Inputs!B15)*BETAINV(RAND(),Model!H9,Model!I9)</f>
        <v>0.62852980907401856</v>
      </c>
      <c r="X673">
        <f ca="1">Inputs!E15+(Inputs!G15-Inputs!E15)*BETAINV(RAND(),Model!J9,Model!K9)</f>
        <v>0.5379307788231299</v>
      </c>
      <c r="Y673">
        <f ca="1">(Inputs!H15+(Inputs!J15-Inputs!H15)*BETAINV(RAND(),Model!L9,Model!M9))*Inputs!$C$6</f>
        <v>21680.220823272153</v>
      </c>
      <c r="Z673">
        <f t="shared" ca="1" si="222"/>
        <v>0.33810552970873992</v>
      </c>
      <c r="AA673">
        <f t="shared" ca="1" si="223"/>
        <v>0.67216268083263575</v>
      </c>
      <c r="AB673">
        <f t="shared" ca="1" si="224"/>
        <v>0</v>
      </c>
      <c r="AC673" s="47">
        <f t="shared" ca="1" si="225"/>
        <v>0</v>
      </c>
      <c r="AD673">
        <f ca="1">Inputs!B16+(Inputs!D16-Inputs!B16)*BETAINV(RAND(),Model!H10,Model!I10)</f>
        <v>1.046947806119932</v>
      </c>
      <c r="AE673">
        <f ca="1">Inputs!E16+(Inputs!G16-Inputs!E16)*BETAINV(RAND(),Model!J10,Model!K10)</f>
        <v>0.55726068545434604</v>
      </c>
      <c r="AF673">
        <f ca="1">(Inputs!H16+(Inputs!J16-Inputs!H16)*BETAINV(RAND(),Model!L10,Model!M10))*Inputs!$C$6</f>
        <v>69400.836201696235</v>
      </c>
      <c r="AG673">
        <f t="shared" ca="1" si="226"/>
        <v>0.58342285207331712</v>
      </c>
      <c r="AH673">
        <f t="shared" ca="1" si="227"/>
        <v>0.10939493104869014</v>
      </c>
      <c r="AI673">
        <f t="shared" ca="1" si="228"/>
        <v>0</v>
      </c>
      <c r="AJ673" s="47">
        <f t="shared" ca="1" si="229"/>
        <v>0</v>
      </c>
      <c r="AK673">
        <f t="shared" ca="1" si="230"/>
        <v>0</v>
      </c>
    </row>
    <row r="674" spans="2:37" x14ac:dyDescent="0.2">
      <c r="B674">
        <f ca="1">Inputs!B12+(Inputs!D12-Inputs!B12)*BETAINV(RAND(),Model!H6,Model!I6)</f>
        <v>2.859291518269921</v>
      </c>
      <c r="C674">
        <f ca="1">Inputs!E12+(Inputs!G12-Inputs!E12)*BETAINV(RAND(),Model!J6,Model!K6)</f>
        <v>0.29625978295589561</v>
      </c>
      <c r="D674">
        <f ca="1">(Inputs!H12+(Inputs!J12-Inputs!H12)*BETAINV(RAND(),Model!L6,Model!M6))*Inputs!$C$6</f>
        <v>22469.761018410925</v>
      </c>
      <c r="E674">
        <f t="shared" ca="1" si="210"/>
        <v>0.84709308461027999</v>
      </c>
      <c r="F674">
        <f t="shared" ca="1" si="211"/>
        <v>0.24292031204640052</v>
      </c>
      <c r="G674">
        <f t="shared" ca="1" si="212"/>
        <v>0</v>
      </c>
      <c r="H674" s="47">
        <f t="shared" ca="1" si="213"/>
        <v>0</v>
      </c>
      <c r="I674">
        <f ca="1">Inputs!B13+(Inputs!D13-Inputs!B13)*BETAINV(RAND(),Model!H7,Model!I7)</f>
        <v>1.6654019097902837</v>
      </c>
      <c r="J674">
        <f ca="1">Inputs!E13+(Inputs!G13-Inputs!E13)*BETAINV(RAND(),Model!J7,Model!K7)</f>
        <v>0.3144028916269675</v>
      </c>
      <c r="K674">
        <f ca="1">(Inputs!H13+(Inputs!J13-Inputs!H13)*BETAINV(RAND(),Model!L7,Model!M7))*Inputs!$C$6</f>
        <v>33108.766158665079</v>
      </c>
      <c r="L674">
        <f t="shared" ca="1" si="214"/>
        <v>0.52360717615913921</v>
      </c>
      <c r="M674">
        <f t="shared" ca="1" si="215"/>
        <v>0.84611707198449171</v>
      </c>
      <c r="N674">
        <f t="shared" ca="1" si="216"/>
        <v>1</v>
      </c>
      <c r="O674" s="47">
        <f t="shared" ca="1" si="217"/>
        <v>33108.766158665079</v>
      </c>
      <c r="P674">
        <f ca="1">Inputs!B14+(Inputs!D14-Inputs!B14)*BETAINV(RAND(),Model!H8,Model!I8)</f>
        <v>0.20596088951553482</v>
      </c>
      <c r="Q674">
        <f ca="1">Inputs!E14+(Inputs!G14-Inputs!E14)*BETAINV(RAND(),Model!J8,Model!K8)</f>
        <v>0.37393677183459439</v>
      </c>
      <c r="R674">
        <f ca="1">(Inputs!H14+(Inputs!J14-Inputs!H14)*BETAINV(RAND(),Model!L8,Model!M8))*Inputs!$C$6</f>
        <v>358147.23863238795</v>
      </c>
      <c r="S674">
        <f t="shared" ca="1" si="218"/>
        <v>7.7016350149620647E-2</v>
      </c>
      <c r="T674">
        <f t="shared" ca="1" si="219"/>
        <v>0.7543409262711368</v>
      </c>
      <c r="U674">
        <f t="shared" ca="1" si="220"/>
        <v>0</v>
      </c>
      <c r="V674" s="47">
        <f t="shared" ca="1" si="221"/>
        <v>0</v>
      </c>
      <c r="W674">
        <f ca="1">Inputs!B15+(Inputs!D15-Inputs!B15)*BETAINV(RAND(),Model!H9,Model!I9)</f>
        <v>1.3376607649816552</v>
      </c>
      <c r="X674">
        <f ca="1">Inputs!E15+(Inputs!G15-Inputs!E15)*BETAINV(RAND(),Model!J9,Model!K9)</f>
        <v>0.42867498265795556</v>
      </c>
      <c r="Y674">
        <f ca="1">(Inputs!H15+(Inputs!J15-Inputs!H15)*BETAINV(RAND(),Model!L9,Model!M9))*Inputs!$C$6</f>
        <v>14531.082502689778</v>
      </c>
      <c r="Z674">
        <f t="shared" ca="1" si="222"/>
        <v>0.57342170523073865</v>
      </c>
      <c r="AA674">
        <f t="shared" ca="1" si="223"/>
        <v>0.12796416000702759</v>
      </c>
      <c r="AB674">
        <f t="shared" ca="1" si="224"/>
        <v>0</v>
      </c>
      <c r="AC674" s="47">
        <f t="shared" ca="1" si="225"/>
        <v>0</v>
      </c>
      <c r="AD674">
        <f ca="1">Inputs!B16+(Inputs!D16-Inputs!B16)*BETAINV(RAND(),Model!H10,Model!I10)</f>
        <v>0.5591443332368935</v>
      </c>
      <c r="AE674">
        <f ca="1">Inputs!E16+(Inputs!G16-Inputs!E16)*BETAINV(RAND(),Model!J10,Model!K10)</f>
        <v>0.67115192250740363</v>
      </c>
      <c r="AF674">
        <f ca="1">(Inputs!H16+(Inputs!J16-Inputs!H16)*BETAINV(RAND(),Model!L10,Model!M10))*Inputs!$C$6</f>
        <v>61237.315294723143</v>
      </c>
      <c r="AG674">
        <f t="shared" ca="1" si="226"/>
        <v>0.37527079421106141</v>
      </c>
      <c r="AH674">
        <f t="shared" ca="1" si="227"/>
        <v>0.13283249142028231</v>
      </c>
      <c r="AI674">
        <f t="shared" ca="1" si="228"/>
        <v>0</v>
      </c>
      <c r="AJ674" s="47">
        <f t="shared" ca="1" si="229"/>
        <v>0</v>
      </c>
      <c r="AK674">
        <f t="shared" ca="1" si="230"/>
        <v>33108.766158665079</v>
      </c>
    </row>
    <row r="675" spans="2:37" x14ac:dyDescent="0.2">
      <c r="B675">
        <f ca="1">Inputs!B12+(Inputs!D12-Inputs!B12)*BETAINV(RAND(),Model!H6,Model!I6)</f>
        <v>1.9087761250982864</v>
      </c>
      <c r="C675">
        <f ca="1">Inputs!E12+(Inputs!G12-Inputs!E12)*BETAINV(RAND(),Model!J6,Model!K6)</f>
        <v>0.34530134020674974</v>
      </c>
      <c r="D675">
        <f ca="1">(Inputs!H12+(Inputs!J12-Inputs!H12)*BETAINV(RAND(),Model!L6,Model!M6))*Inputs!$C$6</f>
        <v>9751.0672590031227</v>
      </c>
      <c r="E675">
        <f t="shared" ca="1" si="210"/>
        <v>0.65910295415108489</v>
      </c>
      <c r="F675">
        <f t="shared" ca="1" si="211"/>
        <v>0.56120815172710847</v>
      </c>
      <c r="G675">
        <f t="shared" ca="1" si="212"/>
        <v>1</v>
      </c>
      <c r="H675" s="47">
        <f t="shared" ca="1" si="213"/>
        <v>9751.0672590031227</v>
      </c>
      <c r="I675">
        <f ca="1">Inputs!B13+(Inputs!D13-Inputs!B13)*BETAINV(RAND(),Model!H7,Model!I7)</f>
        <v>2.5211833846925091</v>
      </c>
      <c r="J675">
        <f ca="1">Inputs!E13+(Inputs!G13-Inputs!E13)*BETAINV(RAND(),Model!J7,Model!K7)</f>
        <v>0.2618216192655628</v>
      </c>
      <c r="K675">
        <f ca="1">(Inputs!H13+(Inputs!J13-Inputs!H13)*BETAINV(RAND(),Model!L7,Model!M7))*Inputs!$C$6</f>
        <v>53782.654697257516</v>
      </c>
      <c r="L675">
        <f t="shared" ca="1" si="214"/>
        <v>0.66010031624562504</v>
      </c>
      <c r="M675">
        <f t="shared" ca="1" si="215"/>
        <v>0.9753334756728409</v>
      </c>
      <c r="N675">
        <f t="shared" ca="1" si="216"/>
        <v>3</v>
      </c>
      <c r="O675" s="47">
        <f t="shared" ca="1" si="217"/>
        <v>161347.96409177256</v>
      </c>
      <c r="P675">
        <f ca="1">Inputs!B14+(Inputs!D14-Inputs!B14)*BETAINV(RAND(),Model!H8,Model!I8)</f>
        <v>0.25515707287547063</v>
      </c>
      <c r="Q675">
        <f ca="1">Inputs!E14+(Inputs!G14-Inputs!E14)*BETAINV(RAND(),Model!J8,Model!K8)</f>
        <v>0.56243117078515903</v>
      </c>
      <c r="R675">
        <f ca="1">(Inputs!H14+(Inputs!J14-Inputs!H14)*BETAINV(RAND(),Model!L8,Model!M8))*Inputs!$C$6</f>
        <v>316452.88339837891</v>
      </c>
      <c r="S675">
        <f t="shared" ca="1" si="218"/>
        <v>0.14350829123146508</v>
      </c>
      <c r="T675">
        <f t="shared" ca="1" si="219"/>
        <v>0.40679527413600602</v>
      </c>
      <c r="U675">
        <f t="shared" ca="1" si="220"/>
        <v>0</v>
      </c>
      <c r="V675" s="47">
        <f t="shared" ca="1" si="221"/>
        <v>0</v>
      </c>
      <c r="W675">
        <f ca="1">Inputs!B15+(Inputs!D15-Inputs!B15)*BETAINV(RAND(),Model!H9,Model!I9)</f>
        <v>1.4521639206645423</v>
      </c>
      <c r="X675">
        <f ca="1">Inputs!E15+(Inputs!G15-Inputs!E15)*BETAINV(RAND(),Model!J9,Model!K9)</f>
        <v>0.42091122435006234</v>
      </c>
      <c r="Y675">
        <f ca="1">(Inputs!H15+(Inputs!J15-Inputs!H15)*BETAINV(RAND(),Model!L9,Model!M9))*Inputs!$C$6</f>
        <v>46515.78033158031</v>
      </c>
      <c r="Z675">
        <f t="shared" ca="1" si="222"/>
        <v>0.61123209380389931</v>
      </c>
      <c r="AA675">
        <f t="shared" ca="1" si="223"/>
        <v>0.85184792225923334</v>
      </c>
      <c r="AB675">
        <f t="shared" ca="1" si="224"/>
        <v>1</v>
      </c>
      <c r="AC675" s="47">
        <f t="shared" ca="1" si="225"/>
        <v>46515.78033158031</v>
      </c>
      <c r="AD675">
        <f ca="1">Inputs!B16+(Inputs!D16-Inputs!B16)*BETAINV(RAND(),Model!H10,Model!I10)</f>
        <v>0.77563958881320239</v>
      </c>
      <c r="AE675">
        <f ca="1">Inputs!E16+(Inputs!G16-Inputs!E16)*BETAINV(RAND(),Model!J10,Model!K10)</f>
        <v>0.57968929102975975</v>
      </c>
      <c r="AF675">
        <f ca="1">(Inputs!H16+(Inputs!J16-Inputs!H16)*BETAINV(RAND(),Model!L10,Model!M10))*Inputs!$C$6</f>
        <v>137972.99093542737</v>
      </c>
      <c r="AG675">
        <f t="shared" ca="1" si="226"/>
        <v>0.44962996333373967</v>
      </c>
      <c r="AH675">
        <f t="shared" ca="1" si="227"/>
        <v>0.66096618117604122</v>
      </c>
      <c r="AI675">
        <f t="shared" ca="1" si="228"/>
        <v>1</v>
      </c>
      <c r="AJ675" s="47">
        <f t="shared" ca="1" si="229"/>
        <v>137972.99093542737</v>
      </c>
      <c r="AK675">
        <f t="shared" ca="1" si="230"/>
        <v>355587.80261778337</v>
      </c>
    </row>
    <row r="676" spans="2:37" x14ac:dyDescent="0.2">
      <c r="B676">
        <f ca="1">Inputs!B12+(Inputs!D12-Inputs!B12)*BETAINV(RAND(),Model!H6,Model!I6)</f>
        <v>4.3341382692176023</v>
      </c>
      <c r="C676">
        <f ca="1">Inputs!E12+(Inputs!G12-Inputs!E12)*BETAINV(RAND(),Model!J6,Model!K6)</f>
        <v>0.3729386759581037</v>
      </c>
      <c r="D676">
        <f ca="1">(Inputs!H12+(Inputs!J12-Inputs!H12)*BETAINV(RAND(),Model!L6,Model!M6))*Inputs!$C$6</f>
        <v>11639.788318504345</v>
      </c>
      <c r="E676">
        <f t="shared" ca="1" si="210"/>
        <v>1.6163677875413598</v>
      </c>
      <c r="F676">
        <f t="shared" ca="1" si="211"/>
        <v>0.36409608666866078</v>
      </c>
      <c r="G676">
        <f t="shared" ca="1" si="212"/>
        <v>1</v>
      </c>
      <c r="H676" s="47">
        <f t="shared" ca="1" si="213"/>
        <v>11639.788318504345</v>
      </c>
      <c r="I676">
        <f ca="1">Inputs!B13+(Inputs!D13-Inputs!B13)*BETAINV(RAND(),Model!H7,Model!I7)</f>
        <v>3.1626927221616477</v>
      </c>
      <c r="J676">
        <f ca="1">Inputs!E13+(Inputs!G13-Inputs!E13)*BETAINV(RAND(),Model!J7,Model!K7)</f>
        <v>0.18924286479115837</v>
      </c>
      <c r="K676">
        <f ca="1">(Inputs!H13+(Inputs!J13-Inputs!H13)*BETAINV(RAND(),Model!L7,Model!M7))*Inputs!$C$6</f>
        <v>22184.523273151073</v>
      </c>
      <c r="L676">
        <f t="shared" ca="1" si="214"/>
        <v>0.59851703119601729</v>
      </c>
      <c r="M676">
        <f t="shared" ca="1" si="215"/>
        <v>0.48006261481095591</v>
      </c>
      <c r="N676">
        <f t="shared" ca="1" si="216"/>
        <v>0</v>
      </c>
      <c r="O676" s="47">
        <f t="shared" ca="1" si="217"/>
        <v>0</v>
      </c>
      <c r="P676">
        <f ca="1">Inputs!B14+(Inputs!D14-Inputs!B14)*BETAINV(RAND(),Model!H8,Model!I8)</f>
        <v>0.3945183505375951</v>
      </c>
      <c r="Q676">
        <f ca="1">Inputs!E14+(Inputs!G14-Inputs!E14)*BETAINV(RAND(),Model!J8,Model!K8)</f>
        <v>0.37732567690667818</v>
      </c>
      <c r="R676">
        <f ca="1">(Inputs!H14+(Inputs!J14-Inputs!H14)*BETAINV(RAND(),Model!L8,Model!M8))*Inputs!$C$6</f>
        <v>481713.09277291328</v>
      </c>
      <c r="S676">
        <f t="shared" ca="1" si="218"/>
        <v>0.14886190366870422</v>
      </c>
      <c r="T676">
        <f t="shared" ca="1" si="219"/>
        <v>5.9430671728205486E-2</v>
      </c>
      <c r="U676">
        <f t="shared" ca="1" si="220"/>
        <v>0</v>
      </c>
      <c r="V676" s="47">
        <f t="shared" ca="1" si="221"/>
        <v>0</v>
      </c>
      <c r="W676">
        <f ca="1">Inputs!B15+(Inputs!D15-Inputs!B15)*BETAINV(RAND(),Model!H9,Model!I9)</f>
        <v>1.068884141520245</v>
      </c>
      <c r="X676">
        <f ca="1">Inputs!E15+(Inputs!G15-Inputs!E15)*BETAINV(RAND(),Model!J9,Model!K9)</f>
        <v>0.4372210080900738</v>
      </c>
      <c r="Y676">
        <f ca="1">(Inputs!H15+(Inputs!J15-Inputs!H15)*BETAINV(RAND(),Model!L9,Model!M9))*Inputs!$C$6</f>
        <v>30934.183417179462</v>
      </c>
      <c r="Z676">
        <f t="shared" ca="1" si="222"/>
        <v>0.46733860188697463</v>
      </c>
      <c r="AA676">
        <f t="shared" ca="1" si="223"/>
        <v>0.45902959348830019</v>
      </c>
      <c r="AB676">
        <f t="shared" ca="1" si="224"/>
        <v>0</v>
      </c>
      <c r="AC676" s="47">
        <f t="shared" ca="1" si="225"/>
        <v>0</v>
      </c>
      <c r="AD676">
        <f ca="1">Inputs!B16+(Inputs!D16-Inputs!B16)*BETAINV(RAND(),Model!H10,Model!I10)</f>
        <v>0.46565291491699801</v>
      </c>
      <c r="AE676">
        <f ca="1">Inputs!E16+(Inputs!G16-Inputs!E16)*BETAINV(RAND(),Model!J10,Model!K10)</f>
        <v>0.64874753266090668</v>
      </c>
      <c r="AF676">
        <f ca="1">(Inputs!H16+(Inputs!J16-Inputs!H16)*BETAINV(RAND(),Model!L10,Model!M10))*Inputs!$C$6</f>
        <v>167156.29294797801</v>
      </c>
      <c r="AG676">
        <f t="shared" ca="1" si="226"/>
        <v>0.30209117962876159</v>
      </c>
      <c r="AH676">
        <f t="shared" ca="1" si="227"/>
        <v>0.51286987048210042</v>
      </c>
      <c r="AI676">
        <f t="shared" ca="1" si="228"/>
        <v>0</v>
      </c>
      <c r="AJ676" s="47">
        <f t="shared" ca="1" si="229"/>
        <v>0</v>
      </c>
      <c r="AK676">
        <f t="shared" ca="1" si="230"/>
        <v>11639.788318504345</v>
      </c>
    </row>
    <row r="677" spans="2:37" x14ac:dyDescent="0.2">
      <c r="B677">
        <f ca="1">Inputs!B12+(Inputs!D12-Inputs!B12)*BETAINV(RAND(),Model!H6,Model!I6)</f>
        <v>4.0017200638357506</v>
      </c>
      <c r="C677">
        <f ca="1">Inputs!E12+(Inputs!G12-Inputs!E12)*BETAINV(RAND(),Model!J6,Model!K6)</f>
        <v>0.31438698763141493</v>
      </c>
      <c r="D677">
        <f ca="1">(Inputs!H12+(Inputs!J12-Inputs!H12)*BETAINV(RAND(),Model!L6,Model!M6))*Inputs!$C$6</f>
        <v>35030.460139078605</v>
      </c>
      <c r="E677">
        <f t="shared" ca="1" si="210"/>
        <v>1.258088716213515</v>
      </c>
      <c r="F677">
        <f t="shared" ca="1" si="211"/>
        <v>0.15977764981476772</v>
      </c>
      <c r="G677">
        <f t="shared" ca="1" si="212"/>
        <v>0</v>
      </c>
      <c r="H677" s="47">
        <f t="shared" ca="1" si="213"/>
        <v>0</v>
      </c>
      <c r="I677">
        <f ca="1">Inputs!B13+(Inputs!D13-Inputs!B13)*BETAINV(RAND(),Model!H7,Model!I7)</f>
        <v>2.5518007696341378</v>
      </c>
      <c r="J677">
        <f ca="1">Inputs!E13+(Inputs!G13-Inputs!E13)*BETAINV(RAND(),Model!J7,Model!K7)</f>
        <v>0.38842413464737813</v>
      </c>
      <c r="K677">
        <f ca="1">(Inputs!H13+(Inputs!J13-Inputs!H13)*BETAINV(RAND(),Model!L7,Model!M7))*Inputs!$C$6</f>
        <v>34471.566746783828</v>
      </c>
      <c r="L677">
        <f t="shared" ca="1" si="214"/>
        <v>0.99118100573765344</v>
      </c>
      <c r="M677">
        <f t="shared" ca="1" si="215"/>
        <v>7.3283418096226627E-2</v>
      </c>
      <c r="N677">
        <f t="shared" ca="1" si="216"/>
        <v>0</v>
      </c>
      <c r="O677" s="47">
        <f t="shared" ca="1" si="217"/>
        <v>0</v>
      </c>
      <c r="P677">
        <f ca="1">Inputs!B14+(Inputs!D14-Inputs!B14)*BETAINV(RAND(),Model!H8,Model!I8)</f>
        <v>0.15935848357943566</v>
      </c>
      <c r="Q677">
        <f ca="1">Inputs!E14+(Inputs!G14-Inputs!E14)*BETAINV(RAND(),Model!J8,Model!K8)</f>
        <v>0.44256062363486387</v>
      </c>
      <c r="R677">
        <f ca="1">(Inputs!H14+(Inputs!J14-Inputs!H14)*BETAINV(RAND(),Model!L8,Model!M8))*Inputs!$C$6</f>
        <v>482733.22611940582</v>
      </c>
      <c r="S677">
        <f t="shared" ca="1" si="218"/>
        <v>7.0525789874421263E-2</v>
      </c>
      <c r="T677">
        <f t="shared" ca="1" si="219"/>
        <v>0.57682528627402341</v>
      </c>
      <c r="U677">
        <f t="shared" ca="1" si="220"/>
        <v>0</v>
      </c>
      <c r="V677" s="47">
        <f t="shared" ca="1" si="221"/>
        <v>0</v>
      </c>
      <c r="W677">
        <f ca="1">Inputs!B15+(Inputs!D15-Inputs!B15)*BETAINV(RAND(),Model!H9,Model!I9)</f>
        <v>1.6390373925430108</v>
      </c>
      <c r="X677">
        <f ca="1">Inputs!E15+(Inputs!G15-Inputs!E15)*BETAINV(RAND(),Model!J9,Model!K9)</f>
        <v>0.2688803643741674</v>
      </c>
      <c r="Y677">
        <f ca="1">(Inputs!H15+(Inputs!J15-Inputs!H15)*BETAINV(RAND(),Model!L9,Model!M9))*Inputs!$C$6</f>
        <v>32302.564059654895</v>
      </c>
      <c r="Z677">
        <f t="shared" ca="1" si="222"/>
        <v>0.44070497132984998</v>
      </c>
      <c r="AA677">
        <f t="shared" ca="1" si="223"/>
        <v>0.10197650513358336</v>
      </c>
      <c r="AB677">
        <f t="shared" ca="1" si="224"/>
        <v>0</v>
      </c>
      <c r="AC677" s="47">
        <f t="shared" ca="1" si="225"/>
        <v>0</v>
      </c>
      <c r="AD677">
        <f ca="1">Inputs!B16+(Inputs!D16-Inputs!B16)*BETAINV(RAND(),Model!H10,Model!I10)</f>
        <v>0.40929743111934402</v>
      </c>
      <c r="AE677">
        <f ca="1">Inputs!E16+(Inputs!G16-Inputs!E16)*BETAINV(RAND(),Model!J10,Model!K10)</f>
        <v>0.5939512029512013</v>
      </c>
      <c r="AF677">
        <f ca="1">(Inputs!H16+(Inputs!J16-Inputs!H16)*BETAINV(RAND(),Model!L10,Model!M10))*Inputs!$C$6</f>
        <v>91840.484604981059</v>
      </c>
      <c r="AG677">
        <f t="shared" ca="1" si="226"/>
        <v>0.24310270157817085</v>
      </c>
      <c r="AH677">
        <f t="shared" ca="1" si="227"/>
        <v>0.13350161570110552</v>
      </c>
      <c r="AI677">
        <f t="shared" ca="1" si="228"/>
        <v>0</v>
      </c>
      <c r="AJ677" s="47">
        <f t="shared" ca="1" si="229"/>
        <v>0</v>
      </c>
      <c r="AK677">
        <f t="shared" ca="1" si="230"/>
        <v>0</v>
      </c>
    </row>
    <row r="678" spans="2:37" x14ac:dyDescent="0.2">
      <c r="B678">
        <f ca="1">Inputs!B12+(Inputs!D12-Inputs!B12)*BETAINV(RAND(),Model!H6,Model!I6)</f>
        <v>2.0353550369696176</v>
      </c>
      <c r="C678">
        <f ca="1">Inputs!E12+(Inputs!G12-Inputs!E12)*BETAINV(RAND(),Model!J6,Model!K6)</f>
        <v>0.20566897493349162</v>
      </c>
      <c r="D678">
        <f ca="1">(Inputs!H12+(Inputs!J12-Inputs!H12)*BETAINV(RAND(),Model!L6,Model!M6))*Inputs!$C$6</f>
        <v>32383.225517448318</v>
      </c>
      <c r="E678">
        <f t="shared" ca="1" si="210"/>
        <v>0.41860938407926018</v>
      </c>
      <c r="F678">
        <f t="shared" ca="1" si="211"/>
        <v>0.48580655357522917</v>
      </c>
      <c r="G678">
        <f t="shared" ca="1" si="212"/>
        <v>0</v>
      </c>
      <c r="H678" s="47">
        <f t="shared" ca="1" si="213"/>
        <v>0</v>
      </c>
      <c r="I678">
        <f ca="1">Inputs!B13+(Inputs!D13-Inputs!B13)*BETAINV(RAND(),Model!H7,Model!I7)</f>
        <v>2.108003089679614</v>
      </c>
      <c r="J678">
        <f ca="1">Inputs!E13+(Inputs!G13-Inputs!E13)*BETAINV(RAND(),Model!J7,Model!K7)</f>
        <v>0.36740474745371865</v>
      </c>
      <c r="K678">
        <f ca="1">(Inputs!H13+(Inputs!J13-Inputs!H13)*BETAINV(RAND(),Model!L7,Model!M7))*Inputs!$C$6</f>
        <v>29960.831849044956</v>
      </c>
      <c r="L678">
        <f t="shared" ca="1" si="214"/>
        <v>0.77449034279539719</v>
      </c>
      <c r="M678">
        <f t="shared" ca="1" si="215"/>
        <v>0.26872719510359389</v>
      </c>
      <c r="N678">
        <f t="shared" ca="1" si="216"/>
        <v>0</v>
      </c>
      <c r="O678" s="47">
        <f t="shared" ca="1" si="217"/>
        <v>0</v>
      </c>
      <c r="P678">
        <f ca="1">Inputs!B14+(Inputs!D14-Inputs!B14)*BETAINV(RAND(),Model!H8,Model!I8)</f>
        <v>0.21749979462028374</v>
      </c>
      <c r="Q678">
        <f ca="1">Inputs!E14+(Inputs!G14-Inputs!E14)*BETAINV(RAND(),Model!J8,Model!K8)</f>
        <v>0.53604805856630955</v>
      </c>
      <c r="R678">
        <f ca="1">(Inputs!H14+(Inputs!J14-Inputs!H14)*BETAINV(RAND(),Model!L8,Model!M8))*Inputs!$C$6</f>
        <v>639802.82345384196</v>
      </c>
      <c r="S678">
        <f t="shared" ca="1" si="218"/>
        <v>0.11659034264477415</v>
      </c>
      <c r="T678">
        <f t="shared" ca="1" si="219"/>
        <v>0.46704829951812121</v>
      </c>
      <c r="U678">
        <f t="shared" ca="1" si="220"/>
        <v>0</v>
      </c>
      <c r="V678" s="47">
        <f t="shared" ca="1" si="221"/>
        <v>0</v>
      </c>
      <c r="W678">
        <f ca="1">Inputs!B15+(Inputs!D15-Inputs!B15)*BETAINV(RAND(),Model!H9,Model!I9)</f>
        <v>0.4072712132338317</v>
      </c>
      <c r="X678">
        <f ca="1">Inputs!E15+(Inputs!G15-Inputs!E15)*BETAINV(RAND(),Model!J9,Model!K9)</f>
        <v>0.3955049841691648</v>
      </c>
      <c r="Y678">
        <f ca="1">(Inputs!H15+(Inputs!J15-Inputs!H15)*BETAINV(RAND(),Model!L9,Model!M9))*Inputs!$C$6</f>
        <v>27539.732422425088</v>
      </c>
      <c r="Z678">
        <f t="shared" ca="1" si="222"/>
        <v>0.16107779474260314</v>
      </c>
      <c r="AA678">
        <f t="shared" ca="1" si="223"/>
        <v>0.90771007090683453</v>
      </c>
      <c r="AB678">
        <f t="shared" ca="1" si="224"/>
        <v>1</v>
      </c>
      <c r="AC678" s="47">
        <f t="shared" ca="1" si="225"/>
        <v>27539.732422425088</v>
      </c>
      <c r="AD678">
        <f ca="1">Inputs!B16+(Inputs!D16-Inputs!B16)*BETAINV(RAND(),Model!H10,Model!I10)</f>
        <v>0.74079249651614321</v>
      </c>
      <c r="AE678">
        <f ca="1">Inputs!E16+(Inputs!G16-Inputs!E16)*BETAINV(RAND(),Model!J10,Model!K10)</f>
        <v>0.64917583807268986</v>
      </c>
      <c r="AF678">
        <f ca="1">(Inputs!H16+(Inputs!J16-Inputs!H16)*BETAINV(RAND(),Model!L10,Model!M10))*Inputs!$C$6</f>
        <v>104507.95780060052</v>
      </c>
      <c r="AG678">
        <f t="shared" ca="1" si="226"/>
        <v>0.48090458976382744</v>
      </c>
      <c r="AH678">
        <f t="shared" ca="1" si="227"/>
        <v>0.58838351288159074</v>
      </c>
      <c r="AI678">
        <f t="shared" ca="1" si="228"/>
        <v>0</v>
      </c>
      <c r="AJ678" s="47">
        <f t="shared" ca="1" si="229"/>
        <v>0</v>
      </c>
      <c r="AK678">
        <f t="shared" ca="1" si="230"/>
        <v>27539.732422425088</v>
      </c>
    </row>
    <row r="679" spans="2:37" x14ac:dyDescent="0.2">
      <c r="B679">
        <f ca="1">Inputs!B12+(Inputs!D12-Inputs!B12)*BETAINV(RAND(),Model!H6,Model!I6)</f>
        <v>5.639058418603299</v>
      </c>
      <c r="C679">
        <f ca="1">Inputs!E12+(Inputs!G12-Inputs!E12)*BETAINV(RAND(),Model!J6,Model!K6)</f>
        <v>0.35932364541274031</v>
      </c>
      <c r="D679">
        <f ca="1">(Inputs!H12+(Inputs!J12-Inputs!H12)*BETAINV(RAND(),Model!L6,Model!M6))*Inputs!$C$6</f>
        <v>28113.212202436793</v>
      </c>
      <c r="E679">
        <f t="shared" ca="1" si="210"/>
        <v>2.0262470276679401</v>
      </c>
      <c r="F679">
        <f t="shared" ca="1" si="211"/>
        <v>0.35998113952041222</v>
      </c>
      <c r="G679">
        <f t="shared" ca="1" si="212"/>
        <v>1</v>
      </c>
      <c r="H679" s="47">
        <f t="shared" ca="1" si="213"/>
        <v>28113.212202436793</v>
      </c>
      <c r="I679">
        <f ca="1">Inputs!B13+(Inputs!D13-Inputs!B13)*BETAINV(RAND(),Model!H7,Model!I7)</f>
        <v>2.3179496043383372</v>
      </c>
      <c r="J679">
        <f ca="1">Inputs!E13+(Inputs!G13-Inputs!E13)*BETAINV(RAND(),Model!J7,Model!K7)</f>
        <v>0.34965542592049192</v>
      </c>
      <c r="K679">
        <f ca="1">(Inputs!H13+(Inputs!J13-Inputs!H13)*BETAINV(RAND(),Model!L7,Model!M7))*Inputs!$C$6</f>
        <v>51878.964372977847</v>
      </c>
      <c r="L679">
        <f t="shared" ca="1" si="214"/>
        <v>0.81048365616715701</v>
      </c>
      <c r="M679">
        <f t="shared" ca="1" si="215"/>
        <v>2.2345436975789945E-2</v>
      </c>
      <c r="N679">
        <f t="shared" ca="1" si="216"/>
        <v>0</v>
      </c>
      <c r="O679" s="47">
        <f t="shared" ca="1" si="217"/>
        <v>0</v>
      </c>
      <c r="P679">
        <f ca="1">Inputs!B14+(Inputs!D14-Inputs!B14)*BETAINV(RAND(),Model!H8,Model!I8)</f>
        <v>0.53913908569227387</v>
      </c>
      <c r="Q679">
        <f ca="1">Inputs!E14+(Inputs!G14-Inputs!E14)*BETAINV(RAND(),Model!J8,Model!K8)</f>
        <v>0.43443277205488634</v>
      </c>
      <c r="R679">
        <f ca="1">(Inputs!H14+(Inputs!J14-Inputs!H14)*BETAINV(RAND(),Model!L8,Model!M8))*Inputs!$C$6</f>
        <v>238935.42234414205</v>
      </c>
      <c r="S679">
        <f t="shared" ca="1" si="218"/>
        <v>0.23421968752043146</v>
      </c>
      <c r="T679">
        <f t="shared" ca="1" si="219"/>
        <v>0.86008201462518252</v>
      </c>
      <c r="U679">
        <f t="shared" ca="1" si="220"/>
        <v>1</v>
      </c>
      <c r="V679" s="47">
        <f t="shared" ca="1" si="221"/>
        <v>238935.42234414205</v>
      </c>
      <c r="W679">
        <f ca="1">Inputs!B15+(Inputs!D15-Inputs!B15)*BETAINV(RAND(),Model!H9,Model!I9)</f>
        <v>1.2278237343964344</v>
      </c>
      <c r="X679">
        <f ca="1">Inputs!E15+(Inputs!G15-Inputs!E15)*BETAINV(RAND(),Model!J9,Model!K9)</f>
        <v>0.30413310579849689</v>
      </c>
      <c r="Y679">
        <f ca="1">(Inputs!H15+(Inputs!J15-Inputs!H15)*BETAINV(RAND(),Model!L9,Model!M9))*Inputs!$C$6</f>
        <v>19235.8776735143</v>
      </c>
      <c r="Z679">
        <f t="shared" ca="1" si="222"/>
        <v>0.37342184571509635</v>
      </c>
      <c r="AA679">
        <f t="shared" ca="1" si="223"/>
        <v>0.77427002386086108</v>
      </c>
      <c r="AB679">
        <f t="shared" ca="1" si="224"/>
        <v>1</v>
      </c>
      <c r="AC679" s="47">
        <f t="shared" ca="1" si="225"/>
        <v>19235.8776735143</v>
      </c>
      <c r="AD679">
        <f ca="1">Inputs!B16+(Inputs!D16-Inputs!B16)*BETAINV(RAND(),Model!H10,Model!I10)</f>
        <v>0.88948334618066083</v>
      </c>
      <c r="AE679">
        <f ca="1">Inputs!E16+(Inputs!G16-Inputs!E16)*BETAINV(RAND(),Model!J10,Model!K10)</f>
        <v>0.61286437705968244</v>
      </c>
      <c r="AF679">
        <f ca="1">(Inputs!H16+(Inputs!J16-Inputs!H16)*BETAINV(RAND(),Model!L10,Model!M10))*Inputs!$C$6</f>
        <v>77114.787786205081</v>
      </c>
      <c r="AG679">
        <f t="shared" ca="1" si="226"/>
        <v>0.54513265686197254</v>
      </c>
      <c r="AH679">
        <f t="shared" ca="1" si="227"/>
        <v>0.44299874404926154</v>
      </c>
      <c r="AI679">
        <f t="shared" ca="1" si="228"/>
        <v>0</v>
      </c>
      <c r="AJ679" s="47">
        <f t="shared" ca="1" si="229"/>
        <v>0</v>
      </c>
      <c r="AK679">
        <f t="shared" ca="1" si="230"/>
        <v>286284.51222009317</v>
      </c>
    </row>
    <row r="680" spans="2:37" x14ac:dyDescent="0.2">
      <c r="B680">
        <f ca="1">Inputs!B12+(Inputs!D12-Inputs!B12)*BETAINV(RAND(),Model!H6,Model!I6)</f>
        <v>1.4396026110809794</v>
      </c>
      <c r="C680">
        <f ca="1">Inputs!E12+(Inputs!G12-Inputs!E12)*BETAINV(RAND(),Model!J6,Model!K6)</f>
        <v>0.4744293237462951</v>
      </c>
      <c r="D680">
        <f ca="1">(Inputs!H12+(Inputs!J12-Inputs!H12)*BETAINV(RAND(),Model!L6,Model!M6))*Inputs!$C$6</f>
        <v>37026.3663523496</v>
      </c>
      <c r="E680">
        <f t="shared" ca="1" si="210"/>
        <v>0.68298969323854974</v>
      </c>
      <c r="F680">
        <f t="shared" ca="1" si="211"/>
        <v>0.91213460110789557</v>
      </c>
      <c r="G680">
        <f t="shared" ca="1" si="212"/>
        <v>2</v>
      </c>
      <c r="H680" s="47">
        <f t="shared" ca="1" si="213"/>
        <v>74052.7327046992</v>
      </c>
      <c r="I680">
        <f ca="1">Inputs!B13+(Inputs!D13-Inputs!B13)*BETAINV(RAND(),Model!H7,Model!I7)</f>
        <v>1.2653825333561723</v>
      </c>
      <c r="J680">
        <f ca="1">Inputs!E13+(Inputs!G13-Inputs!E13)*BETAINV(RAND(),Model!J7,Model!K7)</f>
        <v>0.22000930179352621</v>
      </c>
      <c r="K680">
        <f ca="1">(Inputs!H13+(Inputs!J13-Inputs!H13)*BETAINV(RAND(),Model!L7,Model!M7))*Inputs!$C$6</f>
        <v>28346.654517284387</v>
      </c>
      <c r="L680">
        <f t="shared" ca="1" si="214"/>
        <v>0.27839592766541488</v>
      </c>
      <c r="M680">
        <f t="shared" ca="1" si="215"/>
        <v>0.17147328730878664</v>
      </c>
      <c r="N680">
        <f t="shared" ca="1" si="216"/>
        <v>0</v>
      </c>
      <c r="O680" s="47">
        <f t="shared" ca="1" si="217"/>
        <v>0</v>
      </c>
      <c r="P680">
        <f ca="1">Inputs!B14+(Inputs!D14-Inputs!B14)*BETAINV(RAND(),Model!H8,Model!I8)</f>
        <v>0.28579986586193129</v>
      </c>
      <c r="Q680">
        <f ca="1">Inputs!E14+(Inputs!G14-Inputs!E14)*BETAINV(RAND(),Model!J8,Model!K8)</f>
        <v>0.63106003021412294</v>
      </c>
      <c r="R680">
        <f ca="1">(Inputs!H14+(Inputs!J14-Inputs!H14)*BETAINV(RAND(),Model!L8,Model!M8))*Inputs!$C$6</f>
        <v>448901.99678511877</v>
      </c>
      <c r="S680">
        <f t="shared" ca="1" si="218"/>
        <v>0.18035687198602265</v>
      </c>
      <c r="T680">
        <f t="shared" ca="1" si="219"/>
        <v>0.68818183259248189</v>
      </c>
      <c r="U680">
        <f t="shared" ca="1" si="220"/>
        <v>0</v>
      </c>
      <c r="V680" s="47">
        <f t="shared" ca="1" si="221"/>
        <v>0</v>
      </c>
      <c r="W680">
        <f ca="1">Inputs!B15+(Inputs!D15-Inputs!B15)*BETAINV(RAND(),Model!H9,Model!I9)</f>
        <v>0.6862674680655052</v>
      </c>
      <c r="X680">
        <f ca="1">Inputs!E15+(Inputs!G15-Inputs!E15)*BETAINV(RAND(),Model!J9,Model!K9)</f>
        <v>0.270619618882184</v>
      </c>
      <c r="Y680">
        <f ca="1">(Inputs!H15+(Inputs!J15-Inputs!H15)*BETAINV(RAND(),Model!L9,Model!M9))*Inputs!$C$6</f>
        <v>47908.22082716594</v>
      </c>
      <c r="Z680">
        <f t="shared" ca="1" si="222"/>
        <v>0.1857174406591284</v>
      </c>
      <c r="AA680">
        <f t="shared" ca="1" si="223"/>
        <v>0.98904194588366989</v>
      </c>
      <c r="AB680">
        <f t="shared" ca="1" si="224"/>
        <v>2</v>
      </c>
      <c r="AC680" s="47">
        <f t="shared" ca="1" si="225"/>
        <v>95816.44165433188</v>
      </c>
      <c r="AD680">
        <f ca="1">Inputs!B16+(Inputs!D16-Inputs!B16)*BETAINV(RAND(),Model!H10,Model!I10)</f>
        <v>0.86194203384415835</v>
      </c>
      <c r="AE680">
        <f ca="1">Inputs!E16+(Inputs!G16-Inputs!E16)*BETAINV(RAND(),Model!J10,Model!K10)</f>
        <v>0.60296387163881204</v>
      </c>
      <c r="AF680">
        <f ca="1">(Inputs!H16+(Inputs!J16-Inputs!H16)*BETAINV(RAND(),Model!L10,Model!M10))*Inputs!$C$6</f>
        <v>38198.600736285669</v>
      </c>
      <c r="AG680">
        <f t="shared" ca="1" si="226"/>
        <v>0.51971990585490568</v>
      </c>
      <c r="AH680">
        <f t="shared" ca="1" si="227"/>
        <v>0.67782482005984923</v>
      </c>
      <c r="AI680">
        <f t="shared" ca="1" si="228"/>
        <v>1</v>
      </c>
      <c r="AJ680" s="47">
        <f t="shared" ca="1" si="229"/>
        <v>38198.600736285669</v>
      </c>
      <c r="AK680">
        <f t="shared" ca="1" si="230"/>
        <v>208067.77509531676</v>
      </c>
    </row>
    <row r="681" spans="2:37" x14ac:dyDescent="0.2">
      <c r="B681">
        <f ca="1">Inputs!B12+(Inputs!D12-Inputs!B12)*BETAINV(RAND(),Model!H6,Model!I6)</f>
        <v>4.6245920978858184</v>
      </c>
      <c r="C681">
        <f ca="1">Inputs!E12+(Inputs!G12-Inputs!E12)*BETAINV(RAND(),Model!J6,Model!K6)</f>
        <v>0.24608585608166436</v>
      </c>
      <c r="D681">
        <f ca="1">(Inputs!H12+(Inputs!J12-Inputs!H12)*BETAINV(RAND(),Model!L6,Model!M6))*Inputs!$C$6</f>
        <v>29801.858864485275</v>
      </c>
      <c r="E681">
        <f t="shared" ca="1" si="210"/>
        <v>1.1380467054367318</v>
      </c>
      <c r="F681">
        <f t="shared" ca="1" si="211"/>
        <v>0.80185314626459803</v>
      </c>
      <c r="G681">
        <f t="shared" ca="1" si="212"/>
        <v>2</v>
      </c>
      <c r="H681" s="47">
        <f t="shared" ca="1" si="213"/>
        <v>59603.717728970551</v>
      </c>
      <c r="I681">
        <f ca="1">Inputs!B13+(Inputs!D13-Inputs!B13)*BETAINV(RAND(),Model!H7,Model!I7)</f>
        <v>2.8170540691747084</v>
      </c>
      <c r="J681">
        <f ca="1">Inputs!E13+(Inputs!G13-Inputs!E13)*BETAINV(RAND(),Model!J7,Model!K7)</f>
        <v>0.33082301118463153</v>
      </c>
      <c r="K681">
        <f ca="1">(Inputs!H13+(Inputs!J13-Inputs!H13)*BETAINV(RAND(),Model!L7,Model!M7))*Inputs!$C$6</f>
        <v>39805.668757050451</v>
      </c>
      <c r="L681">
        <f t="shared" ca="1" si="214"/>
        <v>0.93194630983429627</v>
      </c>
      <c r="M681">
        <f t="shared" ca="1" si="215"/>
        <v>0.37930422130473096</v>
      </c>
      <c r="N681">
        <f t="shared" ca="1" si="216"/>
        <v>0</v>
      </c>
      <c r="O681" s="47">
        <f t="shared" ca="1" si="217"/>
        <v>0</v>
      </c>
      <c r="P681">
        <f ca="1">Inputs!B14+(Inputs!D14-Inputs!B14)*BETAINV(RAND(),Model!H8,Model!I8)</f>
        <v>0.40028812945690417</v>
      </c>
      <c r="Q681">
        <f ca="1">Inputs!E14+(Inputs!G14-Inputs!E14)*BETAINV(RAND(),Model!J8,Model!K8)</f>
        <v>0.44153721501622134</v>
      </c>
      <c r="R681">
        <f ca="1">(Inputs!H14+(Inputs!J14-Inputs!H14)*BETAINV(RAND(),Model!L8,Model!M8))*Inputs!$C$6</f>
        <v>205582.36358314403</v>
      </c>
      <c r="S681">
        <f t="shared" ca="1" si="218"/>
        <v>0.17674210588445413</v>
      </c>
      <c r="T681">
        <f t="shared" ca="1" si="219"/>
        <v>0.82062291190614356</v>
      </c>
      <c r="U681">
        <f t="shared" ca="1" si="220"/>
        <v>0</v>
      </c>
      <c r="V681" s="47">
        <f t="shared" ca="1" si="221"/>
        <v>0</v>
      </c>
      <c r="W681">
        <f ca="1">Inputs!B15+(Inputs!D15-Inputs!B15)*BETAINV(RAND(),Model!H9,Model!I9)</f>
        <v>1.1501562267297181</v>
      </c>
      <c r="X681">
        <f ca="1">Inputs!E15+(Inputs!G15-Inputs!E15)*BETAINV(RAND(),Model!J9,Model!K9)</f>
        <v>0.50096740776641613</v>
      </c>
      <c r="Y681">
        <f ca="1">(Inputs!H15+(Inputs!J15-Inputs!H15)*BETAINV(RAND(),Model!L9,Model!M9))*Inputs!$C$6</f>
        <v>27430.362173600039</v>
      </c>
      <c r="Z681">
        <f t="shared" ca="1" si="222"/>
        <v>0.57619078343118924</v>
      </c>
      <c r="AA681">
        <f t="shared" ca="1" si="223"/>
        <v>0.60282040447939078</v>
      </c>
      <c r="AB681">
        <f t="shared" ca="1" si="224"/>
        <v>1</v>
      </c>
      <c r="AC681" s="47">
        <f t="shared" ca="1" si="225"/>
        <v>27430.362173600039</v>
      </c>
      <c r="AD681">
        <f ca="1">Inputs!B16+(Inputs!D16-Inputs!B16)*BETAINV(RAND(),Model!H10,Model!I10)</f>
        <v>0.69111080930000757</v>
      </c>
      <c r="AE681">
        <f ca="1">Inputs!E16+(Inputs!G16-Inputs!E16)*BETAINV(RAND(),Model!J10,Model!K10)</f>
        <v>0.5714461643042551</v>
      </c>
      <c r="AF681">
        <f ca="1">(Inputs!H16+(Inputs!J16-Inputs!H16)*BETAINV(RAND(),Model!L10,Model!M10))*Inputs!$C$6</f>
        <v>45894.694056387867</v>
      </c>
      <c r="AG681">
        <f t="shared" ca="1" si="226"/>
        <v>0.39493262108369886</v>
      </c>
      <c r="AH681">
        <f t="shared" ca="1" si="227"/>
        <v>0.82168414527206024</v>
      </c>
      <c r="AI681">
        <f t="shared" ca="1" si="228"/>
        <v>1</v>
      </c>
      <c r="AJ681" s="47">
        <f t="shared" ca="1" si="229"/>
        <v>45894.694056387867</v>
      </c>
      <c r="AK681">
        <f t="shared" ca="1" si="230"/>
        <v>132928.77395895845</v>
      </c>
    </row>
    <row r="682" spans="2:37" x14ac:dyDescent="0.2">
      <c r="B682">
        <f ca="1">Inputs!B12+(Inputs!D12-Inputs!B12)*BETAINV(RAND(),Model!H6,Model!I6)</f>
        <v>2.4743518663686577</v>
      </c>
      <c r="C682">
        <f ca="1">Inputs!E12+(Inputs!G12-Inputs!E12)*BETAINV(RAND(),Model!J6,Model!K6)</f>
        <v>0.19530862982730107</v>
      </c>
      <c r="D682">
        <f ca="1">(Inputs!H12+(Inputs!J12-Inputs!H12)*BETAINV(RAND(),Model!L6,Model!M6))*Inputs!$C$6</f>
        <v>15991.404666293081</v>
      </c>
      <c r="E682">
        <f t="shared" ca="1" si="210"/>
        <v>0.48326227273108768</v>
      </c>
      <c r="F682">
        <f t="shared" ca="1" si="211"/>
        <v>0.14132754449920004</v>
      </c>
      <c r="G682">
        <f t="shared" ca="1" si="212"/>
        <v>0</v>
      </c>
      <c r="H682" s="47">
        <f t="shared" ca="1" si="213"/>
        <v>0</v>
      </c>
      <c r="I682">
        <f ca="1">Inputs!B13+(Inputs!D13-Inputs!B13)*BETAINV(RAND(),Model!H7,Model!I7)</f>
        <v>2.7549227911678051</v>
      </c>
      <c r="J682">
        <f ca="1">Inputs!E13+(Inputs!G13-Inputs!E13)*BETAINV(RAND(),Model!J7,Model!K7)</f>
        <v>0.35111770724655578</v>
      </c>
      <c r="K682">
        <f ca="1">(Inputs!H13+(Inputs!J13-Inputs!H13)*BETAINV(RAND(),Model!L7,Model!M7))*Inputs!$C$6</f>
        <v>86989.088382663831</v>
      </c>
      <c r="L682">
        <f t="shared" ca="1" si="214"/>
        <v>0.96730217407612173</v>
      </c>
      <c r="M682">
        <f t="shared" ca="1" si="215"/>
        <v>0.73686743781233999</v>
      </c>
      <c r="N682">
        <f t="shared" ca="1" si="216"/>
        <v>1</v>
      </c>
      <c r="O682" s="47">
        <f t="shared" ca="1" si="217"/>
        <v>86989.088382663831</v>
      </c>
      <c r="P682">
        <f ca="1">Inputs!B14+(Inputs!D14-Inputs!B14)*BETAINV(RAND(),Model!H8,Model!I8)</f>
        <v>0.46282077282494072</v>
      </c>
      <c r="Q682">
        <f ca="1">Inputs!E14+(Inputs!G14-Inputs!E14)*BETAINV(RAND(),Model!J8,Model!K8)</f>
        <v>0.55243247482190116</v>
      </c>
      <c r="R682">
        <f ca="1">(Inputs!H14+(Inputs!J14-Inputs!H14)*BETAINV(RAND(),Model!L8,Model!M8))*Inputs!$C$6</f>
        <v>405765.54358051863</v>
      </c>
      <c r="S682">
        <f t="shared" ca="1" si="218"/>
        <v>0.25567722493066691</v>
      </c>
      <c r="T682">
        <f t="shared" ca="1" si="219"/>
        <v>0.56547451930086712</v>
      </c>
      <c r="U682">
        <f t="shared" ca="1" si="220"/>
        <v>0</v>
      </c>
      <c r="V682" s="47">
        <f t="shared" ca="1" si="221"/>
        <v>0</v>
      </c>
      <c r="W682">
        <f ca="1">Inputs!B15+(Inputs!D15-Inputs!B15)*BETAINV(RAND(),Model!H9,Model!I9)</f>
        <v>1.5987163242142597</v>
      </c>
      <c r="X682">
        <f ca="1">Inputs!E15+(Inputs!G15-Inputs!E15)*BETAINV(RAND(),Model!J9,Model!K9)</f>
        <v>0.47731778648837686</v>
      </c>
      <c r="Y682">
        <f ca="1">(Inputs!H15+(Inputs!J15-Inputs!H15)*BETAINV(RAND(),Model!L9,Model!M9))*Inputs!$C$6</f>
        <v>15005.010466355827</v>
      </c>
      <c r="Z682">
        <f t="shared" ca="1" si="222"/>
        <v>0.76309573709678469</v>
      </c>
      <c r="AA682">
        <f t="shared" ca="1" si="223"/>
        <v>0.92103964910560843</v>
      </c>
      <c r="AB682">
        <f t="shared" ca="1" si="224"/>
        <v>2</v>
      </c>
      <c r="AC682" s="47">
        <f t="shared" ca="1" si="225"/>
        <v>30010.020932711654</v>
      </c>
      <c r="AD682">
        <f ca="1">Inputs!B16+(Inputs!D16-Inputs!B16)*BETAINV(RAND(),Model!H10,Model!I10)</f>
        <v>0.99330158980225569</v>
      </c>
      <c r="AE682">
        <f ca="1">Inputs!E16+(Inputs!G16-Inputs!E16)*BETAINV(RAND(),Model!J10,Model!K10)</f>
        <v>0.60867409644651593</v>
      </c>
      <c r="AF682">
        <f ca="1">(Inputs!H16+(Inputs!J16-Inputs!H16)*BETAINV(RAND(),Model!L10,Model!M10))*Inputs!$C$6</f>
        <v>67370.579244213834</v>
      </c>
      <c r="AG682">
        <f t="shared" ca="1" si="226"/>
        <v>0.60459694767177574</v>
      </c>
      <c r="AH682">
        <f t="shared" ca="1" si="227"/>
        <v>0.1098334436034768</v>
      </c>
      <c r="AI682">
        <f t="shared" ca="1" si="228"/>
        <v>0</v>
      </c>
      <c r="AJ682" s="47">
        <f t="shared" ca="1" si="229"/>
        <v>0</v>
      </c>
      <c r="AK682">
        <f t="shared" ca="1" si="230"/>
        <v>116999.10931537548</v>
      </c>
    </row>
    <row r="683" spans="2:37" x14ac:dyDescent="0.2">
      <c r="B683">
        <f ca="1">Inputs!B12+(Inputs!D12-Inputs!B12)*BETAINV(RAND(),Model!H6,Model!I6)</f>
        <v>1.8652556832285687</v>
      </c>
      <c r="C683">
        <f ca="1">Inputs!E12+(Inputs!G12-Inputs!E12)*BETAINV(RAND(),Model!J6,Model!K6)</f>
        <v>0.52905458500327052</v>
      </c>
      <c r="D683">
        <f ca="1">(Inputs!H12+(Inputs!J12-Inputs!H12)*BETAINV(RAND(),Model!L6,Model!M6))*Inputs!$C$6</f>
        <v>38896.601667627147</v>
      </c>
      <c r="E683">
        <f t="shared" ca="1" si="210"/>
        <v>0.98682207141548228</v>
      </c>
      <c r="F683">
        <f t="shared" ca="1" si="211"/>
        <v>0.85442473344137293</v>
      </c>
      <c r="G683">
        <f t="shared" ca="1" si="212"/>
        <v>2</v>
      </c>
      <c r="H683" s="47">
        <f t="shared" ca="1" si="213"/>
        <v>77793.203335254293</v>
      </c>
      <c r="I683">
        <f ca="1">Inputs!B13+(Inputs!D13-Inputs!B13)*BETAINV(RAND(),Model!H7,Model!I7)</f>
        <v>3.3569389820667088</v>
      </c>
      <c r="J683">
        <f ca="1">Inputs!E13+(Inputs!G13-Inputs!E13)*BETAINV(RAND(),Model!J7,Model!K7)</f>
        <v>0.33803751414154404</v>
      </c>
      <c r="K683">
        <f ca="1">(Inputs!H13+(Inputs!J13-Inputs!H13)*BETAINV(RAND(),Model!L7,Model!M7))*Inputs!$C$6</f>
        <v>27322.690627743643</v>
      </c>
      <c r="L683">
        <f t="shared" ca="1" si="214"/>
        <v>1.1347713086226756</v>
      </c>
      <c r="M683">
        <f t="shared" ca="1" si="215"/>
        <v>0.67010008359290352</v>
      </c>
      <c r="N683">
        <f t="shared" ca="1" si="216"/>
        <v>1</v>
      </c>
      <c r="O683" s="47">
        <f t="shared" ca="1" si="217"/>
        <v>27322.690627743643</v>
      </c>
      <c r="P683">
        <f ca="1">Inputs!B14+(Inputs!D14-Inputs!B14)*BETAINV(RAND(),Model!H8,Model!I8)</f>
        <v>0.17430566813221815</v>
      </c>
      <c r="Q683">
        <f ca="1">Inputs!E14+(Inputs!G14-Inputs!E14)*BETAINV(RAND(),Model!J8,Model!K8)</f>
        <v>0.69398613287992905</v>
      </c>
      <c r="R683">
        <f ca="1">(Inputs!H14+(Inputs!J14-Inputs!H14)*BETAINV(RAND(),Model!L8,Model!M8))*Inputs!$C$6</f>
        <v>353786.5879903126</v>
      </c>
      <c r="S683">
        <f t="shared" ca="1" si="218"/>
        <v>0.12096571656613037</v>
      </c>
      <c r="T683">
        <f t="shared" ca="1" si="219"/>
        <v>0.55482083002520211</v>
      </c>
      <c r="U683">
        <f t="shared" ca="1" si="220"/>
        <v>0</v>
      </c>
      <c r="V683" s="47">
        <f t="shared" ca="1" si="221"/>
        <v>0</v>
      </c>
      <c r="W683">
        <f ca="1">Inputs!B15+(Inputs!D15-Inputs!B15)*BETAINV(RAND(),Model!H9,Model!I9)</f>
        <v>1.6569615396335777</v>
      </c>
      <c r="X683">
        <f ca="1">Inputs!E15+(Inputs!G15-Inputs!E15)*BETAINV(RAND(),Model!J9,Model!K9)</f>
        <v>0.32955010747647312</v>
      </c>
      <c r="Y683">
        <f ca="1">(Inputs!H15+(Inputs!J15-Inputs!H15)*BETAINV(RAND(),Model!L9,Model!M9))*Inputs!$C$6</f>
        <v>32291.055776118286</v>
      </c>
      <c r="Z683">
        <f t="shared" ca="1" si="222"/>
        <v>0.5460518534706279</v>
      </c>
      <c r="AA683">
        <f t="shared" ca="1" si="223"/>
        <v>0.99047655651482613</v>
      </c>
      <c r="AB683">
        <f t="shared" ca="1" si="224"/>
        <v>3</v>
      </c>
      <c r="AC683" s="47">
        <f t="shared" ca="1" si="225"/>
        <v>96873.167328354859</v>
      </c>
      <c r="AD683">
        <f ca="1">Inputs!B16+(Inputs!D16-Inputs!B16)*BETAINV(RAND(),Model!H10,Model!I10)</f>
        <v>0.69100585457645325</v>
      </c>
      <c r="AE683">
        <f ca="1">Inputs!E16+(Inputs!G16-Inputs!E16)*BETAINV(RAND(),Model!J10,Model!K10)</f>
        <v>0.61289964862991697</v>
      </c>
      <c r="AF683">
        <f ca="1">(Inputs!H16+(Inputs!J16-Inputs!H16)*BETAINV(RAND(),Model!L10,Model!M10))*Inputs!$C$6</f>
        <v>74461.676541733337</v>
      </c>
      <c r="AG683">
        <f t="shared" ca="1" si="226"/>
        <v>0.42351724547112368</v>
      </c>
      <c r="AH683">
        <f t="shared" ca="1" si="227"/>
        <v>0.82903257205175429</v>
      </c>
      <c r="AI683">
        <f t="shared" ca="1" si="228"/>
        <v>1</v>
      </c>
      <c r="AJ683" s="47">
        <f t="shared" ca="1" si="229"/>
        <v>74461.676541733337</v>
      </c>
      <c r="AK683">
        <f t="shared" ca="1" si="230"/>
        <v>276450.73783308611</v>
      </c>
    </row>
    <row r="684" spans="2:37" x14ac:dyDescent="0.2">
      <c r="B684">
        <f ca="1">Inputs!B12+(Inputs!D12-Inputs!B12)*BETAINV(RAND(),Model!H6,Model!I6)</f>
        <v>3.0585431210406315</v>
      </c>
      <c r="C684">
        <f ca="1">Inputs!E12+(Inputs!G12-Inputs!E12)*BETAINV(RAND(),Model!J6,Model!K6)</f>
        <v>0.23094383402268237</v>
      </c>
      <c r="D684">
        <f ca="1">(Inputs!H12+(Inputs!J12-Inputs!H12)*BETAINV(RAND(),Model!L6,Model!M6))*Inputs!$C$6</f>
        <v>11235.233225699041</v>
      </c>
      <c r="E684">
        <f t="shared" ca="1" si="210"/>
        <v>0.70635167489682449</v>
      </c>
      <c r="F684">
        <f t="shared" ca="1" si="211"/>
        <v>0.19233095193677974</v>
      </c>
      <c r="G684">
        <f t="shared" ca="1" si="212"/>
        <v>0</v>
      </c>
      <c r="H684" s="47">
        <f t="shared" ca="1" si="213"/>
        <v>0</v>
      </c>
      <c r="I684">
        <f ca="1">Inputs!B13+(Inputs!D13-Inputs!B13)*BETAINV(RAND(),Model!H7,Model!I7)</f>
        <v>0.86425408910158974</v>
      </c>
      <c r="J684">
        <f ca="1">Inputs!E13+(Inputs!G13-Inputs!E13)*BETAINV(RAND(),Model!J7,Model!K7)</f>
        <v>0.34723948449634756</v>
      </c>
      <c r="K684">
        <f ca="1">(Inputs!H13+(Inputs!J13-Inputs!H13)*BETAINV(RAND(),Model!L7,Model!M7))*Inputs!$C$6</f>
        <v>18995.747420458873</v>
      </c>
      <c r="L684">
        <f t="shared" ca="1" si="214"/>
        <v>0.30010314437349644</v>
      </c>
      <c r="M684">
        <f t="shared" ca="1" si="215"/>
        <v>0.51104495698186292</v>
      </c>
      <c r="N684">
        <f t="shared" ca="1" si="216"/>
        <v>0</v>
      </c>
      <c r="O684" s="47">
        <f t="shared" ca="1" si="217"/>
        <v>0</v>
      </c>
      <c r="P684">
        <f ca="1">Inputs!B14+(Inputs!D14-Inputs!B14)*BETAINV(RAND(),Model!H8,Model!I8)</f>
        <v>0.35577363992600342</v>
      </c>
      <c r="Q684">
        <f ca="1">Inputs!E14+(Inputs!G14-Inputs!E14)*BETAINV(RAND(),Model!J8,Model!K8)</f>
        <v>0.8074671635671069</v>
      </c>
      <c r="R684">
        <f ca="1">(Inputs!H14+(Inputs!J14-Inputs!H14)*BETAINV(RAND(),Model!L8,Model!M8))*Inputs!$C$6</f>
        <v>370752.39641426114</v>
      </c>
      <c r="S684">
        <f t="shared" ca="1" si="218"/>
        <v>0.28727553190299521</v>
      </c>
      <c r="T684">
        <f t="shared" ca="1" si="219"/>
        <v>0.43575796597026439</v>
      </c>
      <c r="U684">
        <f t="shared" ca="1" si="220"/>
        <v>0</v>
      </c>
      <c r="V684" s="47">
        <f t="shared" ca="1" si="221"/>
        <v>0</v>
      </c>
      <c r="W684">
        <f ca="1">Inputs!B15+(Inputs!D15-Inputs!B15)*BETAINV(RAND(),Model!H9,Model!I9)</f>
        <v>1.1950915725122186</v>
      </c>
      <c r="X684">
        <f ca="1">Inputs!E15+(Inputs!G15-Inputs!E15)*BETAINV(RAND(),Model!J9,Model!K9)</f>
        <v>0.3925999020521066</v>
      </c>
      <c r="Y684">
        <f ca="1">(Inputs!H15+(Inputs!J15-Inputs!H15)*BETAINV(RAND(),Model!L9,Model!M9))*Inputs!$C$6</f>
        <v>30979.592476600315</v>
      </c>
      <c r="Z684">
        <f t="shared" ca="1" si="222"/>
        <v>0.46919283431159509</v>
      </c>
      <c r="AA684">
        <f t="shared" ca="1" si="223"/>
        <v>0.59457500724072276</v>
      </c>
      <c r="AB684">
        <f t="shared" ca="1" si="224"/>
        <v>0</v>
      </c>
      <c r="AC684" s="47">
        <f t="shared" ca="1" si="225"/>
        <v>0</v>
      </c>
      <c r="AD684">
        <f ca="1">Inputs!B16+(Inputs!D16-Inputs!B16)*BETAINV(RAND(),Model!H10,Model!I10)</f>
        <v>0.3904741658552483</v>
      </c>
      <c r="AE684">
        <f ca="1">Inputs!E16+(Inputs!G16-Inputs!E16)*BETAINV(RAND(),Model!J10,Model!K10)</f>
        <v>0.62651964648558889</v>
      </c>
      <c r="AF684">
        <f ca="1">(Inputs!H16+(Inputs!J16-Inputs!H16)*BETAINV(RAND(),Model!L10,Model!M10))*Inputs!$C$6</f>
        <v>42464.252147628336</v>
      </c>
      <c r="AG684">
        <f t="shared" ca="1" si="226"/>
        <v>0.24463973635338537</v>
      </c>
      <c r="AH684">
        <f t="shared" ca="1" si="227"/>
        <v>0.71835697441420321</v>
      </c>
      <c r="AI684">
        <f t="shared" ca="1" si="228"/>
        <v>0</v>
      </c>
      <c r="AJ684" s="47">
        <f t="shared" ca="1" si="229"/>
        <v>0</v>
      </c>
      <c r="AK684">
        <f t="shared" ca="1" si="230"/>
        <v>0</v>
      </c>
    </row>
    <row r="685" spans="2:37" x14ac:dyDescent="0.2">
      <c r="B685">
        <f ca="1">Inputs!B12+(Inputs!D12-Inputs!B12)*BETAINV(RAND(),Model!H6,Model!I6)</f>
        <v>4.0738110986632456</v>
      </c>
      <c r="C685">
        <f ca="1">Inputs!E12+(Inputs!G12-Inputs!E12)*BETAINV(RAND(),Model!J6,Model!K6)</f>
        <v>0.23868661788049531</v>
      </c>
      <c r="D685">
        <f ca="1">(Inputs!H12+(Inputs!J12-Inputs!H12)*BETAINV(RAND(),Model!L6,Model!M6))*Inputs!$C$6</f>
        <v>26555.181518401205</v>
      </c>
      <c r="E685">
        <f t="shared" ca="1" si="210"/>
        <v>0.97236419302395483</v>
      </c>
      <c r="F685">
        <f t="shared" ca="1" si="211"/>
        <v>1.9973697317610228E-2</v>
      </c>
      <c r="G685">
        <f t="shared" ca="1" si="212"/>
        <v>0</v>
      </c>
      <c r="H685" s="47">
        <f t="shared" ca="1" si="213"/>
        <v>0</v>
      </c>
      <c r="I685">
        <f ca="1">Inputs!B13+(Inputs!D13-Inputs!B13)*BETAINV(RAND(),Model!H7,Model!I7)</f>
        <v>2.259451740146003</v>
      </c>
      <c r="J685">
        <f ca="1">Inputs!E13+(Inputs!G13-Inputs!E13)*BETAINV(RAND(),Model!J7,Model!K7)</f>
        <v>0.43384803520267667</v>
      </c>
      <c r="K685">
        <f ca="1">(Inputs!H13+(Inputs!J13-Inputs!H13)*BETAINV(RAND(),Model!L7,Model!M7))*Inputs!$C$6</f>
        <v>27764.219281241363</v>
      </c>
      <c r="L685">
        <f t="shared" ca="1" si="214"/>
        <v>0.98025869809761224</v>
      </c>
      <c r="M685">
        <f t="shared" ca="1" si="215"/>
        <v>0.25809388943633915</v>
      </c>
      <c r="N685">
        <f t="shared" ca="1" si="216"/>
        <v>0</v>
      </c>
      <c r="O685" s="47">
        <f t="shared" ca="1" si="217"/>
        <v>0</v>
      </c>
      <c r="P685">
        <f ca="1">Inputs!B14+(Inputs!D14-Inputs!B14)*BETAINV(RAND(),Model!H8,Model!I8)</f>
        <v>0.22469266848979627</v>
      </c>
      <c r="Q685">
        <f ca="1">Inputs!E14+(Inputs!G14-Inputs!E14)*BETAINV(RAND(),Model!J8,Model!K8)</f>
        <v>0.62832087084981469</v>
      </c>
      <c r="R685">
        <f ca="1">(Inputs!H14+(Inputs!J14-Inputs!H14)*BETAINV(RAND(),Model!L8,Model!M8))*Inputs!$C$6</f>
        <v>363162.15017755888</v>
      </c>
      <c r="S685">
        <f t="shared" ca="1" si="218"/>
        <v>0.14117909313907751</v>
      </c>
      <c r="T685">
        <f t="shared" ca="1" si="219"/>
        <v>0.45920961881308353</v>
      </c>
      <c r="U685">
        <f t="shared" ca="1" si="220"/>
        <v>0</v>
      </c>
      <c r="V685" s="47">
        <f t="shared" ca="1" si="221"/>
        <v>0</v>
      </c>
      <c r="W685">
        <f ca="1">Inputs!B15+(Inputs!D15-Inputs!B15)*BETAINV(RAND(),Model!H9,Model!I9)</f>
        <v>2.2687796674835221</v>
      </c>
      <c r="X685">
        <f ca="1">Inputs!E15+(Inputs!G15-Inputs!E15)*BETAINV(RAND(),Model!J9,Model!K9)</f>
        <v>0.26486973975526901</v>
      </c>
      <c r="Y685">
        <f ca="1">(Inputs!H15+(Inputs!J15-Inputs!H15)*BETAINV(RAND(),Model!L9,Model!M9))*Inputs!$C$6</f>
        <v>41813.836716106758</v>
      </c>
      <c r="Z685">
        <f t="shared" ca="1" si="222"/>
        <v>0.60093108008840623</v>
      </c>
      <c r="AA685">
        <f t="shared" ca="1" si="223"/>
        <v>0.83432119171729646</v>
      </c>
      <c r="AB685">
        <f t="shared" ca="1" si="224"/>
        <v>1</v>
      </c>
      <c r="AC685" s="47">
        <f t="shared" ca="1" si="225"/>
        <v>41813.836716106758</v>
      </c>
      <c r="AD685">
        <f ca="1">Inputs!B16+(Inputs!D16-Inputs!B16)*BETAINV(RAND(),Model!H10,Model!I10)</f>
        <v>0.74726574439328108</v>
      </c>
      <c r="AE685">
        <f ca="1">Inputs!E16+(Inputs!G16-Inputs!E16)*BETAINV(RAND(),Model!J10,Model!K10)</f>
        <v>0.62647752306749771</v>
      </c>
      <c r="AF685">
        <f ca="1">(Inputs!H16+(Inputs!J16-Inputs!H16)*BETAINV(RAND(),Model!L10,Model!M10))*Inputs!$C$6</f>
        <v>122155.50746096345</v>
      </c>
      <c r="AG685">
        <f t="shared" ca="1" si="226"/>
        <v>0.4681451926206926</v>
      </c>
      <c r="AH685">
        <f t="shared" ca="1" si="227"/>
        <v>5.4272745961040147E-2</v>
      </c>
      <c r="AI685">
        <f t="shared" ca="1" si="228"/>
        <v>0</v>
      </c>
      <c r="AJ685" s="47">
        <f t="shared" ca="1" si="229"/>
        <v>0</v>
      </c>
      <c r="AK685">
        <f t="shared" ca="1" si="230"/>
        <v>41813.836716106758</v>
      </c>
    </row>
    <row r="686" spans="2:37" x14ac:dyDescent="0.2">
      <c r="B686">
        <f ca="1">Inputs!B12+(Inputs!D12-Inputs!B12)*BETAINV(RAND(),Model!H6,Model!I6)</f>
        <v>2.7758755799268466</v>
      </c>
      <c r="C686">
        <f ca="1">Inputs!E12+(Inputs!G12-Inputs!E12)*BETAINV(RAND(),Model!J6,Model!K6)</f>
        <v>0.20185804189525319</v>
      </c>
      <c r="D686">
        <f ca="1">(Inputs!H12+(Inputs!J12-Inputs!H12)*BETAINV(RAND(),Model!L6,Model!M6))*Inputs!$C$6</f>
        <v>18865.145353300002</v>
      </c>
      <c r="E686">
        <f t="shared" ca="1" si="210"/>
        <v>0.56033280910888361</v>
      </c>
      <c r="F686">
        <f t="shared" ca="1" si="211"/>
        <v>0.94653029782294262</v>
      </c>
      <c r="G686">
        <f t="shared" ca="1" si="212"/>
        <v>2</v>
      </c>
      <c r="H686" s="47">
        <f t="shared" ca="1" si="213"/>
        <v>37730.290706600004</v>
      </c>
      <c r="I686">
        <f ca="1">Inputs!B13+(Inputs!D13-Inputs!B13)*BETAINV(RAND(),Model!H7,Model!I7)</f>
        <v>2.7526771495500002</v>
      </c>
      <c r="J686">
        <f ca="1">Inputs!E13+(Inputs!G13-Inputs!E13)*BETAINV(RAND(),Model!J7,Model!K7)</f>
        <v>0.32273100357718426</v>
      </c>
      <c r="K686">
        <f ca="1">(Inputs!H13+(Inputs!J13-Inputs!H13)*BETAINV(RAND(),Model!L7,Model!M7))*Inputs!$C$6</f>
        <v>15194.859077296031</v>
      </c>
      <c r="L686">
        <f t="shared" ca="1" si="214"/>
        <v>0.88837425899825451</v>
      </c>
      <c r="M686">
        <f t="shared" ca="1" si="215"/>
        <v>5.7630154658300237E-3</v>
      </c>
      <c r="N686">
        <f t="shared" ca="1" si="216"/>
        <v>0</v>
      </c>
      <c r="O686" s="47">
        <f t="shared" ca="1" si="217"/>
        <v>0</v>
      </c>
      <c r="P686">
        <f ca="1">Inputs!B14+(Inputs!D14-Inputs!B14)*BETAINV(RAND(),Model!H8,Model!I8)</f>
        <v>0.16872836600829544</v>
      </c>
      <c r="Q686">
        <f ca="1">Inputs!E14+(Inputs!G14-Inputs!E14)*BETAINV(RAND(),Model!J8,Model!K8)</f>
        <v>0.47619434558700058</v>
      </c>
      <c r="R686">
        <f ca="1">(Inputs!H14+(Inputs!J14-Inputs!H14)*BETAINV(RAND(),Model!L8,Model!M8))*Inputs!$C$6</f>
        <v>386334.07293641911</v>
      </c>
      <c r="S686">
        <f t="shared" ca="1" si="218"/>
        <v>8.0347493833284156E-2</v>
      </c>
      <c r="T686">
        <f t="shared" ca="1" si="219"/>
        <v>0.51775896242647657</v>
      </c>
      <c r="U686">
        <f t="shared" ca="1" si="220"/>
        <v>0</v>
      </c>
      <c r="V686" s="47">
        <f t="shared" ca="1" si="221"/>
        <v>0</v>
      </c>
      <c r="W686">
        <f ca="1">Inputs!B15+(Inputs!D15-Inputs!B15)*BETAINV(RAND(),Model!H9,Model!I9)</f>
        <v>0.86345349467628374</v>
      </c>
      <c r="X686">
        <f ca="1">Inputs!E15+(Inputs!G15-Inputs!E15)*BETAINV(RAND(),Model!J9,Model!K9)</f>
        <v>0.24269237428836479</v>
      </c>
      <c r="Y686">
        <f ca="1">(Inputs!H15+(Inputs!J15-Inputs!H15)*BETAINV(RAND(),Model!L9,Model!M9))*Inputs!$C$6</f>
        <v>16805.365330683504</v>
      </c>
      <c r="Z686">
        <f t="shared" ca="1" si="222"/>
        <v>0.20955357871057326</v>
      </c>
      <c r="AA686">
        <f t="shared" ca="1" si="223"/>
        <v>0.51305431532333279</v>
      </c>
      <c r="AB686">
        <f t="shared" ca="1" si="224"/>
        <v>0</v>
      </c>
      <c r="AC686" s="47">
        <f t="shared" ca="1" si="225"/>
        <v>0</v>
      </c>
      <c r="AD686">
        <f ca="1">Inputs!B16+(Inputs!D16-Inputs!B16)*BETAINV(RAND(),Model!H10,Model!I10)</f>
        <v>0.43770037568558789</v>
      </c>
      <c r="AE686">
        <f ca="1">Inputs!E16+(Inputs!G16-Inputs!E16)*BETAINV(RAND(),Model!J10,Model!K10)</f>
        <v>0.77137995254427827</v>
      </c>
      <c r="AF686">
        <f ca="1">(Inputs!H16+(Inputs!J16-Inputs!H16)*BETAINV(RAND(),Model!L10,Model!M10))*Inputs!$C$6</f>
        <v>121347.05749075623</v>
      </c>
      <c r="AG686">
        <f t="shared" ca="1" si="226"/>
        <v>0.33763329502496153</v>
      </c>
      <c r="AH686">
        <f t="shared" ca="1" si="227"/>
        <v>0.57495693654111613</v>
      </c>
      <c r="AI686">
        <f t="shared" ca="1" si="228"/>
        <v>0</v>
      </c>
      <c r="AJ686" s="47">
        <f t="shared" ca="1" si="229"/>
        <v>0</v>
      </c>
      <c r="AK686">
        <f t="shared" ca="1" si="230"/>
        <v>37730.290706600004</v>
      </c>
    </row>
    <row r="687" spans="2:37" x14ac:dyDescent="0.2">
      <c r="B687">
        <f ca="1">Inputs!B12+(Inputs!D12-Inputs!B12)*BETAINV(RAND(),Model!H6,Model!I6)</f>
        <v>4.7207461752001123</v>
      </c>
      <c r="C687">
        <f ca="1">Inputs!E12+(Inputs!G12-Inputs!E12)*BETAINV(RAND(),Model!J6,Model!K6)</f>
        <v>0.31600380444860093</v>
      </c>
      <c r="D687">
        <f ca="1">(Inputs!H12+(Inputs!J12-Inputs!H12)*BETAINV(RAND(),Model!L6,Model!M6))*Inputs!$C$6</f>
        <v>43333.526284456188</v>
      </c>
      <c r="E687">
        <f t="shared" ca="1" si="210"/>
        <v>1.4917737511994171</v>
      </c>
      <c r="F687">
        <f t="shared" ca="1" si="211"/>
        <v>0.37713412231457688</v>
      </c>
      <c r="G687">
        <f t="shared" ca="1" si="212"/>
        <v>1</v>
      </c>
      <c r="H687" s="47">
        <f t="shared" ca="1" si="213"/>
        <v>43333.526284456188</v>
      </c>
      <c r="I687">
        <f ca="1">Inputs!B13+(Inputs!D13-Inputs!B13)*BETAINV(RAND(),Model!H7,Model!I7)</f>
        <v>3.7006165536545965</v>
      </c>
      <c r="J687">
        <f ca="1">Inputs!E13+(Inputs!G13-Inputs!E13)*BETAINV(RAND(),Model!J7,Model!K7)</f>
        <v>0.27565001550042301</v>
      </c>
      <c r="K687">
        <f ca="1">(Inputs!H13+(Inputs!J13-Inputs!H13)*BETAINV(RAND(),Model!L7,Model!M7))*Inputs!$C$6</f>
        <v>79736.075048188766</v>
      </c>
      <c r="L687">
        <f t="shared" ca="1" si="214"/>
        <v>1.0200750103760114</v>
      </c>
      <c r="M687">
        <f t="shared" ca="1" si="215"/>
        <v>9.6399657060460608E-2</v>
      </c>
      <c r="N687">
        <f t="shared" ca="1" si="216"/>
        <v>0</v>
      </c>
      <c r="O687" s="47">
        <f t="shared" ca="1" si="217"/>
        <v>0</v>
      </c>
      <c r="P687">
        <f ca="1">Inputs!B14+(Inputs!D14-Inputs!B14)*BETAINV(RAND(),Model!H8,Model!I8)</f>
        <v>0.1952469408100948</v>
      </c>
      <c r="Q687">
        <f ca="1">Inputs!E14+(Inputs!G14-Inputs!E14)*BETAINV(RAND(),Model!J8,Model!K8)</f>
        <v>0.78494302819382122</v>
      </c>
      <c r="R687">
        <f ca="1">(Inputs!H14+(Inputs!J14-Inputs!H14)*BETAINV(RAND(),Model!L8,Model!M8))*Inputs!$C$6</f>
        <v>328353.58369774162</v>
      </c>
      <c r="S687">
        <f t="shared" ca="1" si="218"/>
        <v>0.1532577249650556</v>
      </c>
      <c r="T687">
        <f t="shared" ca="1" si="219"/>
        <v>0.35594001626758576</v>
      </c>
      <c r="U687">
        <f t="shared" ca="1" si="220"/>
        <v>0</v>
      </c>
      <c r="V687" s="47">
        <f t="shared" ca="1" si="221"/>
        <v>0</v>
      </c>
      <c r="W687">
        <f ca="1">Inputs!B15+(Inputs!D15-Inputs!B15)*BETAINV(RAND(),Model!H9,Model!I9)</f>
        <v>1.4046289915800807</v>
      </c>
      <c r="X687">
        <f ca="1">Inputs!E15+(Inputs!G15-Inputs!E15)*BETAINV(RAND(),Model!J9,Model!K9)</f>
        <v>0.39014179402646332</v>
      </c>
      <c r="Y687">
        <f ca="1">(Inputs!H15+(Inputs!J15-Inputs!H15)*BETAINV(RAND(),Model!L9,Model!M9))*Inputs!$C$6</f>
        <v>10756.06477061322</v>
      </c>
      <c r="Z687">
        <f t="shared" ca="1" si="222"/>
        <v>0.54800447471663472</v>
      </c>
      <c r="AA687">
        <f t="shared" ca="1" si="223"/>
        <v>8.4381340568985497E-2</v>
      </c>
      <c r="AB687">
        <f t="shared" ca="1" si="224"/>
        <v>0</v>
      </c>
      <c r="AC687" s="47">
        <f t="shared" ca="1" si="225"/>
        <v>0</v>
      </c>
      <c r="AD687">
        <f ca="1">Inputs!B16+(Inputs!D16-Inputs!B16)*BETAINV(RAND(),Model!H10,Model!I10)</f>
        <v>0.6698774270040595</v>
      </c>
      <c r="AE687">
        <f ca="1">Inputs!E16+(Inputs!G16-Inputs!E16)*BETAINV(RAND(),Model!J10,Model!K10)</f>
        <v>0.69014095709165812</v>
      </c>
      <c r="AF687">
        <f ca="1">(Inputs!H16+(Inputs!J16-Inputs!H16)*BETAINV(RAND(),Model!L10,Model!M10))*Inputs!$C$6</f>
        <v>40612.823540731915</v>
      </c>
      <c r="AG687">
        <f t="shared" ca="1" si="226"/>
        <v>0.46230984860667895</v>
      </c>
      <c r="AH687">
        <f t="shared" ca="1" si="227"/>
        <v>0.96449565249783475</v>
      </c>
      <c r="AI687">
        <f t="shared" ca="1" si="228"/>
        <v>2</v>
      </c>
      <c r="AJ687" s="47">
        <f t="shared" ca="1" si="229"/>
        <v>81225.647081463831</v>
      </c>
      <c r="AK687">
        <f t="shared" ca="1" si="230"/>
        <v>124559.17336592003</v>
      </c>
    </row>
    <row r="688" spans="2:37" x14ac:dyDescent="0.2">
      <c r="B688">
        <f ca="1">Inputs!B12+(Inputs!D12-Inputs!B12)*BETAINV(RAND(),Model!H6,Model!I6)</f>
        <v>2.6699938531635228</v>
      </c>
      <c r="C688">
        <f ca="1">Inputs!E12+(Inputs!G12-Inputs!E12)*BETAINV(RAND(),Model!J6,Model!K6)</f>
        <v>0.32105208641790517</v>
      </c>
      <c r="D688">
        <f ca="1">(Inputs!H12+(Inputs!J12-Inputs!H12)*BETAINV(RAND(),Model!L6,Model!M6))*Inputs!$C$6</f>
        <v>13814.689530831432</v>
      </c>
      <c r="E688">
        <f t="shared" ca="1" si="210"/>
        <v>0.85720709728113087</v>
      </c>
      <c r="F688">
        <f t="shared" ca="1" si="211"/>
        <v>0.67000068361403042</v>
      </c>
      <c r="G688">
        <f t="shared" ca="1" si="212"/>
        <v>1</v>
      </c>
      <c r="H688" s="47">
        <f t="shared" ca="1" si="213"/>
        <v>13814.689530831432</v>
      </c>
      <c r="I688">
        <f ca="1">Inputs!B13+(Inputs!D13-Inputs!B13)*BETAINV(RAND(),Model!H7,Model!I7)</f>
        <v>3.9749413330525321</v>
      </c>
      <c r="J688">
        <f ca="1">Inputs!E13+(Inputs!G13-Inputs!E13)*BETAINV(RAND(),Model!J7,Model!K7)</f>
        <v>0.28017919200260166</v>
      </c>
      <c r="K688">
        <f ca="1">(Inputs!H13+(Inputs!J13-Inputs!H13)*BETAINV(RAND(),Model!L7,Model!M7))*Inputs!$C$6</f>
        <v>17364.359911386538</v>
      </c>
      <c r="L688">
        <f t="shared" ca="1" si="214"/>
        <v>1.1136958509524029</v>
      </c>
      <c r="M688">
        <f t="shared" ca="1" si="215"/>
        <v>0.73360177929246939</v>
      </c>
      <c r="N688">
        <f t="shared" ca="1" si="216"/>
        <v>2</v>
      </c>
      <c r="O688" s="47">
        <f t="shared" ca="1" si="217"/>
        <v>34728.719822773077</v>
      </c>
      <c r="P688">
        <f ca="1">Inputs!B14+(Inputs!D14-Inputs!B14)*BETAINV(RAND(),Model!H8,Model!I8)</f>
        <v>0.21329544183016336</v>
      </c>
      <c r="Q688">
        <f ca="1">Inputs!E14+(Inputs!G14-Inputs!E14)*BETAINV(RAND(),Model!J8,Model!K8)</f>
        <v>0.45836074420357242</v>
      </c>
      <c r="R688">
        <f ca="1">(Inputs!H14+(Inputs!J14-Inputs!H14)*BETAINV(RAND(),Model!L8,Model!M8))*Inputs!$C$6</f>
        <v>488552.51192664524</v>
      </c>
      <c r="S688">
        <f t="shared" ca="1" si="218"/>
        <v>9.7766257452503474E-2</v>
      </c>
      <c r="T688">
        <f t="shared" ca="1" si="219"/>
        <v>0.50707494405282338</v>
      </c>
      <c r="U688">
        <f t="shared" ca="1" si="220"/>
        <v>0</v>
      </c>
      <c r="V688" s="47">
        <f t="shared" ca="1" si="221"/>
        <v>0</v>
      </c>
      <c r="W688">
        <f ca="1">Inputs!B15+(Inputs!D15-Inputs!B15)*BETAINV(RAND(),Model!H9,Model!I9)</f>
        <v>1.2233027672860655</v>
      </c>
      <c r="X688">
        <f ca="1">Inputs!E15+(Inputs!G15-Inputs!E15)*BETAINV(RAND(),Model!J9,Model!K9)</f>
        <v>0.25556174711350654</v>
      </c>
      <c r="Y688">
        <f ca="1">(Inputs!H15+(Inputs!J15-Inputs!H15)*BETAINV(RAND(),Model!L9,Model!M9))*Inputs!$C$6</f>
        <v>34422.096519954393</v>
      </c>
      <c r="Z688">
        <f t="shared" ca="1" si="222"/>
        <v>0.31262939245641419</v>
      </c>
      <c r="AA688">
        <f t="shared" ca="1" si="223"/>
        <v>7.8463908681268291E-2</v>
      </c>
      <c r="AB688">
        <f t="shared" ca="1" si="224"/>
        <v>0</v>
      </c>
      <c r="AC688" s="47">
        <f t="shared" ca="1" si="225"/>
        <v>0</v>
      </c>
      <c r="AD688">
        <f ca="1">Inputs!B16+(Inputs!D16-Inputs!B16)*BETAINV(RAND(),Model!H10,Model!I10)</f>
        <v>0.52272388001198622</v>
      </c>
      <c r="AE688">
        <f ca="1">Inputs!E16+(Inputs!G16-Inputs!E16)*BETAINV(RAND(),Model!J10,Model!K10)</f>
        <v>0.59662565014246238</v>
      </c>
      <c r="AF688">
        <f ca="1">(Inputs!H16+(Inputs!J16-Inputs!H16)*BETAINV(RAND(),Model!L10,Model!M10))*Inputs!$C$6</f>
        <v>92535.80067197133</v>
      </c>
      <c r="AG688">
        <f t="shared" ca="1" si="226"/>
        <v>0.3118704747571418</v>
      </c>
      <c r="AH688">
        <f t="shared" ca="1" si="227"/>
        <v>0.52164748541046646</v>
      </c>
      <c r="AI688">
        <f t="shared" ca="1" si="228"/>
        <v>0</v>
      </c>
      <c r="AJ688" s="47">
        <f t="shared" ca="1" si="229"/>
        <v>0</v>
      </c>
      <c r="AK688">
        <f t="shared" ca="1" si="230"/>
        <v>48543.409353604511</v>
      </c>
    </row>
    <row r="689" spans="2:37" x14ac:dyDescent="0.2">
      <c r="B689">
        <f ca="1">Inputs!B12+(Inputs!D12-Inputs!B12)*BETAINV(RAND(),Model!H6,Model!I6)</f>
        <v>3.2213455852740069</v>
      </c>
      <c r="C689">
        <f ca="1">Inputs!E12+(Inputs!G12-Inputs!E12)*BETAINV(RAND(),Model!J6,Model!K6)</f>
        <v>0.2826633722894541</v>
      </c>
      <c r="D689">
        <f ca="1">(Inputs!H12+(Inputs!J12-Inputs!H12)*BETAINV(RAND(),Model!L6,Model!M6))*Inputs!$C$6</f>
        <v>16950.241137623096</v>
      </c>
      <c r="E689">
        <f t="shared" ca="1" si="210"/>
        <v>0.91055640644329605</v>
      </c>
      <c r="F689">
        <f t="shared" ca="1" si="211"/>
        <v>0.43143482222528651</v>
      </c>
      <c r="G689">
        <f t="shared" ca="1" si="212"/>
        <v>1</v>
      </c>
      <c r="H689" s="47">
        <f t="shared" ca="1" si="213"/>
        <v>16950.241137623096</v>
      </c>
      <c r="I689">
        <f ca="1">Inputs!B13+(Inputs!D13-Inputs!B13)*BETAINV(RAND(),Model!H7,Model!I7)</f>
        <v>2.2573994272897613</v>
      </c>
      <c r="J689">
        <f ca="1">Inputs!E13+(Inputs!G13-Inputs!E13)*BETAINV(RAND(),Model!J7,Model!K7)</f>
        <v>0.23766907692405478</v>
      </c>
      <c r="K689">
        <f ca="1">(Inputs!H13+(Inputs!J13-Inputs!H13)*BETAINV(RAND(),Model!L7,Model!M7))*Inputs!$C$6</f>
        <v>61537.980105942988</v>
      </c>
      <c r="L689">
        <f t="shared" ca="1" si="214"/>
        <v>0.53651403813284748</v>
      </c>
      <c r="M689">
        <f t="shared" ca="1" si="215"/>
        <v>0.63405519403188237</v>
      </c>
      <c r="N689">
        <f t="shared" ca="1" si="216"/>
        <v>1</v>
      </c>
      <c r="O689" s="47">
        <f t="shared" ca="1" si="217"/>
        <v>61537.980105942988</v>
      </c>
      <c r="P689">
        <f ca="1">Inputs!B14+(Inputs!D14-Inputs!B14)*BETAINV(RAND(),Model!H8,Model!I8)</f>
        <v>0.41656843084743445</v>
      </c>
      <c r="Q689">
        <f ca="1">Inputs!E14+(Inputs!G14-Inputs!E14)*BETAINV(RAND(),Model!J8,Model!K8)</f>
        <v>0.60940847091826389</v>
      </c>
      <c r="R689">
        <f ca="1">(Inputs!H14+(Inputs!J14-Inputs!H14)*BETAINV(RAND(),Model!L8,Model!M8))*Inputs!$C$6</f>
        <v>329700.01984552934</v>
      </c>
      <c r="S689">
        <f t="shared" ca="1" si="218"/>
        <v>0.25386033047555556</v>
      </c>
      <c r="T689">
        <f t="shared" ca="1" si="219"/>
        <v>0.13261350023735641</v>
      </c>
      <c r="U689">
        <f t="shared" ca="1" si="220"/>
        <v>0</v>
      </c>
      <c r="V689" s="47">
        <f t="shared" ca="1" si="221"/>
        <v>0</v>
      </c>
      <c r="W689">
        <f ca="1">Inputs!B15+(Inputs!D15-Inputs!B15)*BETAINV(RAND(),Model!H9,Model!I9)</f>
        <v>1.2439695393464945</v>
      </c>
      <c r="X689">
        <f ca="1">Inputs!E15+(Inputs!G15-Inputs!E15)*BETAINV(RAND(),Model!J9,Model!K9)</f>
        <v>0.32024554717711601</v>
      </c>
      <c r="Y689">
        <f ca="1">(Inputs!H15+(Inputs!J15-Inputs!H15)*BETAINV(RAND(),Model!L9,Model!M9))*Inputs!$C$6</f>
        <v>31199.826658969563</v>
      </c>
      <c r="Z689">
        <f t="shared" ca="1" si="222"/>
        <v>0.39837570579968307</v>
      </c>
      <c r="AA689">
        <f t="shared" ca="1" si="223"/>
        <v>0.14471918513489301</v>
      </c>
      <c r="AB689">
        <f t="shared" ca="1" si="224"/>
        <v>0</v>
      </c>
      <c r="AC689" s="47">
        <f t="shared" ca="1" si="225"/>
        <v>0</v>
      </c>
      <c r="AD689">
        <f ca="1">Inputs!B16+(Inputs!D16-Inputs!B16)*BETAINV(RAND(),Model!H10,Model!I10)</f>
        <v>0.94498821178135417</v>
      </c>
      <c r="AE689">
        <f ca="1">Inputs!E16+(Inputs!G16-Inputs!E16)*BETAINV(RAND(),Model!J10,Model!K10)</f>
        <v>0.59794672400569882</v>
      </c>
      <c r="AF689">
        <f ca="1">(Inputs!H16+(Inputs!J16-Inputs!H16)*BETAINV(RAND(),Model!L10,Model!M10))*Inputs!$C$6</f>
        <v>67812.065524284626</v>
      </c>
      <c r="AG689">
        <f t="shared" ca="1" si="226"/>
        <v>0.5650526054586642</v>
      </c>
      <c r="AH689">
        <f t="shared" ca="1" si="227"/>
        <v>0.83875480899414279</v>
      </c>
      <c r="AI689">
        <f t="shared" ca="1" si="228"/>
        <v>1</v>
      </c>
      <c r="AJ689" s="47">
        <f t="shared" ca="1" si="229"/>
        <v>67812.065524284626</v>
      </c>
      <c r="AK689">
        <f t="shared" ca="1" si="230"/>
        <v>146300.28676785069</v>
      </c>
    </row>
    <row r="690" spans="2:37" x14ac:dyDescent="0.2">
      <c r="B690">
        <f ca="1">Inputs!B12+(Inputs!D12-Inputs!B12)*BETAINV(RAND(),Model!H6,Model!I6)</f>
        <v>2.4515038729034218</v>
      </c>
      <c r="C690">
        <f ca="1">Inputs!E12+(Inputs!G12-Inputs!E12)*BETAINV(RAND(),Model!J6,Model!K6)</f>
        <v>0.29981060385430047</v>
      </c>
      <c r="D690">
        <f ca="1">(Inputs!H12+(Inputs!J12-Inputs!H12)*BETAINV(RAND(),Model!L6,Model!M6))*Inputs!$C$6</f>
        <v>24343.281905494256</v>
      </c>
      <c r="E690">
        <f t="shared" ca="1" si="210"/>
        <v>0.73498685648633111</v>
      </c>
      <c r="F690">
        <f t="shared" ca="1" si="211"/>
        <v>0.30670421978726536</v>
      </c>
      <c r="G690">
        <f t="shared" ca="1" si="212"/>
        <v>0</v>
      </c>
      <c r="H690" s="47">
        <f t="shared" ca="1" si="213"/>
        <v>0</v>
      </c>
      <c r="I690">
        <f ca="1">Inputs!B13+(Inputs!D13-Inputs!B13)*BETAINV(RAND(),Model!H7,Model!I7)</f>
        <v>2.7485814024730404</v>
      </c>
      <c r="J690">
        <f ca="1">Inputs!E13+(Inputs!G13-Inputs!E13)*BETAINV(RAND(),Model!J7,Model!K7)</f>
        <v>0.33077274264051698</v>
      </c>
      <c r="K690">
        <f ca="1">(Inputs!H13+(Inputs!J13-Inputs!H13)*BETAINV(RAND(),Model!L7,Model!M7))*Inputs!$C$6</f>
        <v>8747.6433374920762</v>
      </c>
      <c r="L690">
        <f t="shared" ca="1" si="214"/>
        <v>0.9091558088667262</v>
      </c>
      <c r="M690">
        <f t="shared" ca="1" si="215"/>
        <v>0.86194719145566712</v>
      </c>
      <c r="N690">
        <f t="shared" ca="1" si="216"/>
        <v>2</v>
      </c>
      <c r="O690" s="47">
        <f t="shared" ca="1" si="217"/>
        <v>17495.286674984152</v>
      </c>
      <c r="P690">
        <f ca="1">Inputs!B14+(Inputs!D14-Inputs!B14)*BETAINV(RAND(),Model!H8,Model!I8)</f>
        <v>0.22560652548987464</v>
      </c>
      <c r="Q690">
        <f ca="1">Inputs!E14+(Inputs!G14-Inputs!E14)*BETAINV(RAND(),Model!J8,Model!K8)</f>
        <v>0.5717399314288194</v>
      </c>
      <c r="R690">
        <f ca="1">(Inputs!H14+(Inputs!J14-Inputs!H14)*BETAINV(RAND(),Model!L8,Model!M8))*Inputs!$C$6</f>
        <v>599234.71565455745</v>
      </c>
      <c r="S690">
        <f t="shared" ca="1" si="218"/>
        <v>0.12898825941347514</v>
      </c>
      <c r="T690">
        <f t="shared" ca="1" si="219"/>
        <v>0.75767873490921633</v>
      </c>
      <c r="U690">
        <f t="shared" ca="1" si="220"/>
        <v>0</v>
      </c>
      <c r="V690" s="47">
        <f t="shared" ca="1" si="221"/>
        <v>0</v>
      </c>
      <c r="W690">
        <f ca="1">Inputs!B15+(Inputs!D15-Inputs!B15)*BETAINV(RAND(),Model!H9,Model!I9)</f>
        <v>0.98624836794377657</v>
      </c>
      <c r="X690">
        <f ca="1">Inputs!E15+(Inputs!G15-Inputs!E15)*BETAINV(RAND(),Model!J9,Model!K9)</f>
        <v>0.33788902085882044</v>
      </c>
      <c r="Y690">
        <f ca="1">(Inputs!H15+(Inputs!J15-Inputs!H15)*BETAINV(RAND(),Model!L9,Model!M9))*Inputs!$C$6</f>
        <v>46325.364507421029</v>
      </c>
      <c r="Z690">
        <f t="shared" ca="1" si="222"/>
        <v>0.33324249536813233</v>
      </c>
      <c r="AA690">
        <f t="shared" ca="1" si="223"/>
        <v>0.43100241069483403</v>
      </c>
      <c r="AB690">
        <f t="shared" ca="1" si="224"/>
        <v>0</v>
      </c>
      <c r="AC690" s="47">
        <f t="shared" ca="1" si="225"/>
        <v>0</v>
      </c>
      <c r="AD690">
        <f ca="1">Inputs!B16+(Inputs!D16-Inputs!B16)*BETAINV(RAND(),Model!H10,Model!I10)</f>
        <v>0.76543658168736028</v>
      </c>
      <c r="AE690">
        <f ca="1">Inputs!E16+(Inputs!G16-Inputs!E16)*BETAINV(RAND(),Model!J10,Model!K10)</f>
        <v>0.57633987455263824</v>
      </c>
      <c r="AF690">
        <f ca="1">(Inputs!H16+(Inputs!J16-Inputs!H16)*BETAINV(RAND(),Model!L10,Model!M10))*Inputs!$C$6</f>
        <v>85135.715900679061</v>
      </c>
      <c r="AG690">
        <f t="shared" ca="1" si="226"/>
        <v>0.44115162346769349</v>
      </c>
      <c r="AH690">
        <f t="shared" ca="1" si="227"/>
        <v>0.1724134159644497</v>
      </c>
      <c r="AI690">
        <f t="shared" ca="1" si="228"/>
        <v>0</v>
      </c>
      <c r="AJ690" s="47">
        <f t="shared" ca="1" si="229"/>
        <v>0</v>
      </c>
      <c r="AK690">
        <f t="shared" ca="1" si="230"/>
        <v>17495.286674984152</v>
      </c>
    </row>
    <row r="691" spans="2:37" x14ac:dyDescent="0.2">
      <c r="B691">
        <f ca="1">Inputs!B12+(Inputs!D12-Inputs!B12)*BETAINV(RAND(),Model!H6,Model!I6)</f>
        <v>5.9216433602814558</v>
      </c>
      <c r="C691">
        <f ca="1">Inputs!E12+(Inputs!G12-Inputs!E12)*BETAINV(RAND(),Model!J6,Model!K6)</f>
        <v>0.47412353232642279</v>
      </c>
      <c r="D691">
        <f ca="1">(Inputs!H12+(Inputs!J12-Inputs!H12)*BETAINV(RAND(),Model!L6,Model!M6))*Inputs!$C$6</f>
        <v>10814.607240730522</v>
      </c>
      <c r="E691">
        <f t="shared" ca="1" si="210"/>
        <v>2.8075904671539518</v>
      </c>
      <c r="F691">
        <f t="shared" ca="1" si="211"/>
        <v>1.7340401904024749E-2</v>
      </c>
      <c r="G691">
        <f t="shared" ca="1" si="212"/>
        <v>0</v>
      </c>
      <c r="H691" s="47">
        <f t="shared" ca="1" si="213"/>
        <v>0</v>
      </c>
      <c r="I691">
        <f ca="1">Inputs!B13+(Inputs!D13-Inputs!B13)*BETAINV(RAND(),Model!H7,Model!I7)</f>
        <v>2.3581109695952067</v>
      </c>
      <c r="J691">
        <f ca="1">Inputs!E13+(Inputs!G13-Inputs!E13)*BETAINV(RAND(),Model!J7,Model!K7)</f>
        <v>0.38367655961767366</v>
      </c>
      <c r="K691">
        <f ca="1">(Inputs!H13+(Inputs!J13-Inputs!H13)*BETAINV(RAND(),Model!L7,Model!M7))*Inputs!$C$6</f>
        <v>65836.190205770661</v>
      </c>
      <c r="L691">
        <f t="shared" ca="1" si="214"/>
        <v>0.9047519040109856</v>
      </c>
      <c r="M691">
        <f t="shared" ca="1" si="215"/>
        <v>0.21108016100258897</v>
      </c>
      <c r="N691">
        <f t="shared" ca="1" si="216"/>
        <v>0</v>
      </c>
      <c r="O691" s="47">
        <f t="shared" ca="1" si="217"/>
        <v>0</v>
      </c>
      <c r="P691">
        <f ca="1">Inputs!B14+(Inputs!D14-Inputs!B14)*BETAINV(RAND(),Model!H8,Model!I8)</f>
        <v>0.3579152933021541</v>
      </c>
      <c r="Q691">
        <f ca="1">Inputs!E14+(Inputs!G14-Inputs!E14)*BETAINV(RAND(),Model!J8,Model!K8)</f>
        <v>0.62953593974990074</v>
      </c>
      <c r="R691">
        <f ca="1">(Inputs!H14+(Inputs!J14-Inputs!H14)*BETAINV(RAND(),Model!L8,Model!M8))*Inputs!$C$6</f>
        <v>489139.52593156038</v>
      </c>
      <c r="S691">
        <f t="shared" ca="1" si="218"/>
        <v>0.22532054051983294</v>
      </c>
      <c r="T691">
        <f t="shared" ca="1" si="219"/>
        <v>0.20319236933201446</v>
      </c>
      <c r="U691">
        <f t="shared" ca="1" si="220"/>
        <v>0</v>
      </c>
      <c r="V691" s="47">
        <f t="shared" ca="1" si="221"/>
        <v>0</v>
      </c>
      <c r="W691">
        <f ca="1">Inputs!B15+(Inputs!D15-Inputs!B15)*BETAINV(RAND(),Model!H9,Model!I9)</f>
        <v>1.7658782280854028</v>
      </c>
      <c r="X691">
        <f ca="1">Inputs!E15+(Inputs!G15-Inputs!E15)*BETAINV(RAND(),Model!J9,Model!K9)</f>
        <v>0.39114248826847953</v>
      </c>
      <c r="Y691">
        <f ca="1">(Inputs!H15+(Inputs!J15-Inputs!H15)*BETAINV(RAND(),Model!L9,Model!M9))*Inputs!$C$6</f>
        <v>41000.979004521789</v>
      </c>
      <c r="Z691">
        <f t="shared" ca="1" si="222"/>
        <v>0.69071000411245809</v>
      </c>
      <c r="AA691">
        <f t="shared" ca="1" si="223"/>
        <v>0.41883366067193861</v>
      </c>
      <c r="AB691">
        <f t="shared" ca="1" si="224"/>
        <v>0</v>
      </c>
      <c r="AC691" s="47">
        <f t="shared" ca="1" si="225"/>
        <v>0</v>
      </c>
      <c r="AD691">
        <f ca="1">Inputs!B16+(Inputs!D16-Inputs!B16)*BETAINV(RAND(),Model!H10,Model!I10)</f>
        <v>0.82548426881025949</v>
      </c>
      <c r="AE691">
        <f ca="1">Inputs!E16+(Inputs!G16-Inputs!E16)*BETAINV(RAND(),Model!J10,Model!K10)</f>
        <v>0.78417000657053382</v>
      </c>
      <c r="AF691">
        <f ca="1">(Inputs!H16+(Inputs!J16-Inputs!H16)*BETAINV(RAND(),Model!L10,Model!M10))*Inputs!$C$6</f>
        <v>73575.952702942042</v>
      </c>
      <c r="AG691">
        <f t="shared" ca="1" si="226"/>
        <v>0.64732000449681348</v>
      </c>
      <c r="AH691">
        <f t="shared" ca="1" si="227"/>
        <v>0.37054111572861181</v>
      </c>
      <c r="AI691">
        <f t="shared" ca="1" si="228"/>
        <v>0</v>
      </c>
      <c r="AJ691" s="47">
        <f t="shared" ca="1" si="229"/>
        <v>0</v>
      </c>
      <c r="AK691">
        <f t="shared" ca="1" si="230"/>
        <v>0</v>
      </c>
    </row>
    <row r="692" spans="2:37" x14ac:dyDescent="0.2">
      <c r="B692">
        <f ca="1">Inputs!B12+(Inputs!D12-Inputs!B12)*BETAINV(RAND(),Model!H6,Model!I6)</f>
        <v>4.2784461646618199</v>
      </c>
      <c r="C692">
        <f ca="1">Inputs!E12+(Inputs!G12-Inputs!E12)*BETAINV(RAND(),Model!J6,Model!K6)</f>
        <v>0.3452765052920661</v>
      </c>
      <c r="D692">
        <f ca="1">(Inputs!H12+(Inputs!J12-Inputs!H12)*BETAINV(RAND(),Model!L6,Model!M6))*Inputs!$C$6</f>
        <v>24260.510964297944</v>
      </c>
      <c r="E692">
        <f t="shared" ca="1" si="210"/>
        <v>1.4772469398146768</v>
      </c>
      <c r="F692">
        <f t="shared" ca="1" si="211"/>
        <v>5.5414538000677194E-2</v>
      </c>
      <c r="G692">
        <f t="shared" ca="1" si="212"/>
        <v>0</v>
      </c>
      <c r="H692" s="47">
        <f t="shared" ca="1" si="213"/>
        <v>0</v>
      </c>
      <c r="I692">
        <f ca="1">Inputs!B13+(Inputs!D13-Inputs!B13)*BETAINV(RAND(),Model!H7,Model!I7)</f>
        <v>3.1293724606325668</v>
      </c>
      <c r="J692">
        <f ca="1">Inputs!E13+(Inputs!G13-Inputs!E13)*BETAINV(RAND(),Model!J7,Model!K7)</f>
        <v>0.37284719960186641</v>
      </c>
      <c r="K692">
        <f ca="1">(Inputs!H13+(Inputs!J13-Inputs!H13)*BETAINV(RAND(),Model!L7,Model!M7))*Inputs!$C$6</f>
        <v>36940.603893622749</v>
      </c>
      <c r="L692">
        <f t="shared" ca="1" si="214"/>
        <v>1.1667777584580545</v>
      </c>
      <c r="M692">
        <f t="shared" ca="1" si="215"/>
        <v>4.2910220617031869E-2</v>
      </c>
      <c r="N692">
        <f t="shared" ca="1" si="216"/>
        <v>0</v>
      </c>
      <c r="O692" s="47">
        <f t="shared" ca="1" si="217"/>
        <v>0</v>
      </c>
      <c r="P692">
        <f ca="1">Inputs!B14+(Inputs!D14-Inputs!B14)*BETAINV(RAND(),Model!H8,Model!I8)</f>
        <v>0.36091893845430678</v>
      </c>
      <c r="Q692">
        <f ca="1">Inputs!E14+(Inputs!G14-Inputs!E14)*BETAINV(RAND(),Model!J8,Model!K8)</f>
        <v>0.39422266845553838</v>
      </c>
      <c r="R692">
        <f ca="1">(Inputs!H14+(Inputs!J14-Inputs!H14)*BETAINV(RAND(),Model!L8,Model!M8))*Inputs!$C$6</f>
        <v>433724.22500244749</v>
      </c>
      <c r="S692">
        <f t="shared" ca="1" si="218"/>
        <v>0.14228242701359706</v>
      </c>
      <c r="T692">
        <f t="shared" ca="1" si="219"/>
        <v>0.99248625281040981</v>
      </c>
      <c r="U692">
        <f t="shared" ca="1" si="220"/>
        <v>2</v>
      </c>
      <c r="V692" s="47">
        <f t="shared" ca="1" si="221"/>
        <v>867448.45000489498</v>
      </c>
      <c r="W692">
        <f ca="1">Inputs!B15+(Inputs!D15-Inputs!B15)*BETAINV(RAND(),Model!H9,Model!I9)</f>
        <v>0.8883824754435663</v>
      </c>
      <c r="X692">
        <f ca="1">Inputs!E15+(Inputs!G15-Inputs!E15)*BETAINV(RAND(),Model!J9,Model!K9)</f>
        <v>0.31745347991955136</v>
      </c>
      <c r="Y692">
        <f ca="1">(Inputs!H15+(Inputs!J15-Inputs!H15)*BETAINV(RAND(),Model!L9,Model!M9))*Inputs!$C$6</f>
        <v>27954.105470852344</v>
      </c>
      <c r="Z692">
        <f t="shared" ca="1" si="222"/>
        <v>0.28202010832910551</v>
      </c>
      <c r="AA692">
        <f t="shared" ca="1" si="223"/>
        <v>5.7019218023031115E-3</v>
      </c>
      <c r="AB692">
        <f t="shared" ca="1" si="224"/>
        <v>0</v>
      </c>
      <c r="AC692" s="47">
        <f t="shared" ca="1" si="225"/>
        <v>0</v>
      </c>
      <c r="AD692">
        <f ca="1">Inputs!B16+(Inputs!D16-Inputs!B16)*BETAINV(RAND(),Model!H10,Model!I10)</f>
        <v>0.50762015260402582</v>
      </c>
      <c r="AE692">
        <f ca="1">Inputs!E16+(Inputs!G16-Inputs!E16)*BETAINV(RAND(),Model!J10,Model!K10)</f>
        <v>0.61930766322734909</v>
      </c>
      <c r="AF692">
        <f ca="1">(Inputs!H16+(Inputs!J16-Inputs!H16)*BETAINV(RAND(),Model!L10,Model!M10))*Inputs!$C$6</f>
        <v>65934.090346373487</v>
      </c>
      <c r="AG692">
        <f t="shared" ca="1" si="226"/>
        <v>0.31437305051630959</v>
      </c>
      <c r="AH692">
        <f t="shared" ca="1" si="227"/>
        <v>0.40094808086143507</v>
      </c>
      <c r="AI692">
        <f t="shared" ca="1" si="228"/>
        <v>0</v>
      </c>
      <c r="AJ692" s="47">
        <f t="shared" ca="1" si="229"/>
        <v>0</v>
      </c>
      <c r="AK692">
        <f t="shared" ca="1" si="230"/>
        <v>867448.45000489498</v>
      </c>
    </row>
    <row r="693" spans="2:37" x14ac:dyDescent="0.2">
      <c r="B693">
        <f ca="1">Inputs!B12+(Inputs!D12-Inputs!B12)*BETAINV(RAND(),Model!H6,Model!I6)</f>
        <v>4.7259652869241497</v>
      </c>
      <c r="C693">
        <f ca="1">Inputs!E12+(Inputs!G12-Inputs!E12)*BETAINV(RAND(),Model!J6,Model!K6)</f>
        <v>0.31393626735424701</v>
      </c>
      <c r="D693">
        <f ca="1">(Inputs!H12+(Inputs!J12-Inputs!H12)*BETAINV(RAND(),Model!L6,Model!M6))*Inputs!$C$6</f>
        <v>8561.927681188954</v>
      </c>
      <c r="E693">
        <f t="shared" ca="1" si="210"/>
        <v>1.4836519018227106</v>
      </c>
      <c r="F693">
        <f t="shared" ca="1" si="211"/>
        <v>0.54856852292736136</v>
      </c>
      <c r="G693">
        <f t="shared" ca="1" si="212"/>
        <v>1</v>
      </c>
      <c r="H693" s="47">
        <f t="shared" ca="1" si="213"/>
        <v>8561.927681188954</v>
      </c>
      <c r="I693">
        <f ca="1">Inputs!B13+(Inputs!D13-Inputs!B13)*BETAINV(RAND(),Model!H7,Model!I7)</f>
        <v>3.1705038810857578</v>
      </c>
      <c r="J693">
        <f ca="1">Inputs!E13+(Inputs!G13-Inputs!E13)*BETAINV(RAND(),Model!J7,Model!K7)</f>
        <v>0.27087087184481218</v>
      </c>
      <c r="K693">
        <f ca="1">(Inputs!H13+(Inputs!J13-Inputs!H13)*BETAINV(RAND(),Model!L7,Model!M7))*Inputs!$C$6</f>
        <v>36988.128489333445</v>
      </c>
      <c r="L693">
        <f t="shared" ca="1" si="214"/>
        <v>0.85879715045705995</v>
      </c>
      <c r="M693">
        <f t="shared" ca="1" si="215"/>
        <v>0.57462820144231663</v>
      </c>
      <c r="N693">
        <f t="shared" ca="1" si="216"/>
        <v>1</v>
      </c>
      <c r="O693" s="47">
        <f t="shared" ca="1" si="217"/>
        <v>36988.128489333445</v>
      </c>
      <c r="P693">
        <f ca="1">Inputs!B14+(Inputs!D14-Inputs!B14)*BETAINV(RAND(),Model!H8,Model!I8)</f>
        <v>0.36854548107219032</v>
      </c>
      <c r="Q693">
        <f ca="1">Inputs!E14+(Inputs!G14-Inputs!E14)*BETAINV(RAND(),Model!J8,Model!K8)</f>
        <v>0.53226408145913673</v>
      </c>
      <c r="R693">
        <f ca="1">(Inputs!H14+(Inputs!J14-Inputs!H14)*BETAINV(RAND(),Model!L8,Model!M8))*Inputs!$C$6</f>
        <v>619871.51061248628</v>
      </c>
      <c r="S693">
        <f t="shared" ca="1" si="218"/>
        <v>0.19616352195880504</v>
      </c>
      <c r="T693">
        <f t="shared" ca="1" si="219"/>
        <v>0.9552782295203448</v>
      </c>
      <c r="U693">
        <f t="shared" ca="1" si="220"/>
        <v>1</v>
      </c>
      <c r="V693" s="47">
        <f t="shared" ca="1" si="221"/>
        <v>619871.51061248628</v>
      </c>
      <c r="W693">
        <f ca="1">Inputs!B15+(Inputs!D15-Inputs!B15)*BETAINV(RAND(),Model!H9,Model!I9)</f>
        <v>0.4842550092124232</v>
      </c>
      <c r="X693">
        <f ca="1">Inputs!E15+(Inputs!G15-Inputs!E15)*BETAINV(RAND(),Model!J9,Model!K9)</f>
        <v>0.47859869682695427</v>
      </c>
      <c r="Y693">
        <f ca="1">(Inputs!H15+(Inputs!J15-Inputs!H15)*BETAINV(RAND(),Model!L9,Model!M9))*Inputs!$C$6</f>
        <v>22747.498175532466</v>
      </c>
      <c r="Z693">
        <f t="shared" ca="1" si="222"/>
        <v>0.23176381634099047</v>
      </c>
      <c r="AA693">
        <f t="shared" ca="1" si="223"/>
        <v>0.90901870677155006</v>
      </c>
      <c r="AB693">
        <f t="shared" ca="1" si="224"/>
        <v>1</v>
      </c>
      <c r="AC693" s="47">
        <f t="shared" ca="1" si="225"/>
        <v>22747.498175532466</v>
      </c>
      <c r="AD693">
        <f ca="1">Inputs!B16+(Inputs!D16-Inputs!B16)*BETAINV(RAND(),Model!H10,Model!I10)</f>
        <v>0.68927896308281622</v>
      </c>
      <c r="AE693">
        <f ca="1">Inputs!E16+(Inputs!G16-Inputs!E16)*BETAINV(RAND(),Model!J10,Model!K10)</f>
        <v>0.70267508432655412</v>
      </c>
      <c r="AF693">
        <f ca="1">(Inputs!H16+(Inputs!J16-Inputs!H16)*BETAINV(RAND(),Model!L10,Model!M10))*Inputs!$C$6</f>
        <v>48570.080334003433</v>
      </c>
      <c r="AG693">
        <f t="shared" ca="1" si="226"/>
        <v>0.48433915350873769</v>
      </c>
      <c r="AH693">
        <f t="shared" ca="1" si="227"/>
        <v>0.35536469717066177</v>
      </c>
      <c r="AI693">
        <f t="shared" ca="1" si="228"/>
        <v>0</v>
      </c>
      <c r="AJ693" s="47">
        <f t="shared" ca="1" si="229"/>
        <v>0</v>
      </c>
      <c r="AK693">
        <f t="shared" ca="1" si="230"/>
        <v>688169.06495854107</v>
      </c>
    </row>
    <row r="694" spans="2:37" x14ac:dyDescent="0.2">
      <c r="B694">
        <f ca="1">Inputs!B12+(Inputs!D12-Inputs!B12)*BETAINV(RAND(),Model!H6,Model!I6)</f>
        <v>1.8143824105760182</v>
      </c>
      <c r="C694">
        <f ca="1">Inputs!E12+(Inputs!G12-Inputs!E12)*BETAINV(RAND(),Model!J6,Model!K6)</f>
        <v>0.31547504245499569</v>
      </c>
      <c r="D694">
        <f ca="1">(Inputs!H12+(Inputs!J12-Inputs!H12)*BETAINV(RAND(),Model!L6,Model!M6))*Inputs!$C$6</f>
        <v>37451.766916017994</v>
      </c>
      <c r="E694">
        <f t="shared" ca="1" si="210"/>
        <v>0.57239236800606674</v>
      </c>
      <c r="F694">
        <f t="shared" ca="1" si="211"/>
        <v>0.71870295041095278</v>
      </c>
      <c r="G694">
        <f t="shared" ca="1" si="212"/>
        <v>1</v>
      </c>
      <c r="H694" s="47">
        <f t="shared" ca="1" si="213"/>
        <v>37451.766916017994</v>
      </c>
      <c r="I694">
        <f ca="1">Inputs!B13+(Inputs!D13-Inputs!B13)*BETAINV(RAND(),Model!H7,Model!I7)</f>
        <v>2.7006404724298201</v>
      </c>
      <c r="J694">
        <f ca="1">Inputs!E13+(Inputs!G13-Inputs!E13)*BETAINV(RAND(),Model!J7,Model!K7)</f>
        <v>0.21987080550473226</v>
      </c>
      <c r="K694">
        <f ca="1">(Inputs!H13+(Inputs!J13-Inputs!H13)*BETAINV(RAND(),Model!L7,Model!M7))*Inputs!$C$6</f>
        <v>61777.12762206421</v>
      </c>
      <c r="L694">
        <f t="shared" ca="1" si="214"/>
        <v>0.5937919960518252</v>
      </c>
      <c r="M694">
        <f t="shared" ca="1" si="215"/>
        <v>0.59975821666534734</v>
      </c>
      <c r="N694">
        <f t="shared" ca="1" si="216"/>
        <v>1</v>
      </c>
      <c r="O694" s="47">
        <f t="shared" ca="1" si="217"/>
        <v>61777.12762206421</v>
      </c>
      <c r="P694">
        <f ca="1">Inputs!B14+(Inputs!D14-Inputs!B14)*BETAINV(RAND(),Model!H8,Model!I8)</f>
        <v>0.34563607530970264</v>
      </c>
      <c r="Q694">
        <f ca="1">Inputs!E14+(Inputs!G14-Inputs!E14)*BETAINV(RAND(),Model!J8,Model!K8)</f>
        <v>0.62796878241823573</v>
      </c>
      <c r="R694">
        <f ca="1">(Inputs!H14+(Inputs!J14-Inputs!H14)*BETAINV(RAND(),Model!L8,Model!M8))*Inputs!$C$6</f>
        <v>387207.50055914622</v>
      </c>
      <c r="S694">
        <f t="shared" ca="1" si="218"/>
        <v>0.21704866537205159</v>
      </c>
      <c r="T694">
        <f t="shared" ca="1" si="219"/>
        <v>0.68636130511054838</v>
      </c>
      <c r="U694">
        <f t="shared" ca="1" si="220"/>
        <v>0</v>
      </c>
      <c r="V694" s="47">
        <f t="shared" ca="1" si="221"/>
        <v>0</v>
      </c>
      <c r="W694">
        <f ca="1">Inputs!B15+(Inputs!D15-Inputs!B15)*BETAINV(RAND(),Model!H9,Model!I9)</f>
        <v>1.8351043528543709</v>
      </c>
      <c r="X694">
        <f ca="1">Inputs!E15+(Inputs!G15-Inputs!E15)*BETAINV(RAND(),Model!J9,Model!K9)</f>
        <v>0.44369477840956917</v>
      </c>
      <c r="Y694">
        <f ca="1">(Inputs!H15+(Inputs!J15-Inputs!H15)*BETAINV(RAND(),Model!L9,Model!M9))*Inputs!$C$6</f>
        <v>27846.302876278922</v>
      </c>
      <c r="Z694">
        <f t="shared" ca="1" si="222"/>
        <v>0.81422621919815596</v>
      </c>
      <c r="AA694">
        <f t="shared" ca="1" si="223"/>
        <v>0.85756196111040717</v>
      </c>
      <c r="AB694">
        <f t="shared" ca="1" si="224"/>
        <v>2</v>
      </c>
      <c r="AC694" s="47">
        <f t="shared" ca="1" si="225"/>
        <v>55692.605752557844</v>
      </c>
      <c r="AD694">
        <f ca="1">Inputs!B16+(Inputs!D16-Inputs!B16)*BETAINV(RAND(),Model!H10,Model!I10)</f>
        <v>0.44328643493083342</v>
      </c>
      <c r="AE694">
        <f ca="1">Inputs!E16+(Inputs!G16-Inputs!E16)*BETAINV(RAND(),Model!J10,Model!K10)</f>
        <v>0.66250829610368434</v>
      </c>
      <c r="AF694">
        <f ca="1">(Inputs!H16+(Inputs!J16-Inputs!H16)*BETAINV(RAND(),Model!L10,Model!M10))*Inputs!$C$6</f>
        <v>97718.32677768117</v>
      </c>
      <c r="AG694">
        <f t="shared" ca="1" si="226"/>
        <v>0.2936809406919032</v>
      </c>
      <c r="AH694">
        <f t="shared" ca="1" si="227"/>
        <v>0.9404236498535441</v>
      </c>
      <c r="AI694">
        <f t="shared" ca="1" si="228"/>
        <v>1</v>
      </c>
      <c r="AJ694" s="47">
        <f t="shared" ca="1" si="229"/>
        <v>97718.32677768117</v>
      </c>
      <c r="AK694">
        <f t="shared" ca="1" si="230"/>
        <v>252639.82706832123</v>
      </c>
    </row>
    <row r="695" spans="2:37" x14ac:dyDescent="0.2">
      <c r="B695">
        <f ca="1">Inputs!B12+(Inputs!D12-Inputs!B12)*BETAINV(RAND(),Model!H6,Model!I6)</f>
        <v>4.1177506970621049</v>
      </c>
      <c r="C695">
        <f ca="1">Inputs!E12+(Inputs!G12-Inputs!E12)*BETAINV(RAND(),Model!J6,Model!K6)</f>
        <v>0.24931224632882054</v>
      </c>
      <c r="D695">
        <f ca="1">(Inputs!H12+(Inputs!J12-Inputs!H12)*BETAINV(RAND(),Model!L6,Model!M6))*Inputs!$C$6</f>
        <v>33351.558652874526</v>
      </c>
      <c r="E695">
        <f t="shared" ca="1" si="210"/>
        <v>1.02660567610662</v>
      </c>
      <c r="F695">
        <f t="shared" ca="1" si="211"/>
        <v>0.38750542126260756</v>
      </c>
      <c r="G695">
        <f t="shared" ca="1" si="212"/>
        <v>1</v>
      </c>
      <c r="H695" s="47">
        <f t="shared" ca="1" si="213"/>
        <v>33351.558652874526</v>
      </c>
      <c r="I695">
        <f ca="1">Inputs!B13+(Inputs!D13-Inputs!B13)*BETAINV(RAND(),Model!H7,Model!I7)</f>
        <v>2.9176341557132486</v>
      </c>
      <c r="J695">
        <f ca="1">Inputs!E13+(Inputs!G13-Inputs!E13)*BETAINV(RAND(),Model!J7,Model!K7)</f>
        <v>0.21501950897326344</v>
      </c>
      <c r="K695">
        <f ca="1">(Inputs!H13+(Inputs!J13-Inputs!H13)*BETAINV(RAND(),Model!L7,Model!M7))*Inputs!$C$6</f>
        <v>10909.601438944586</v>
      </c>
      <c r="L695">
        <f t="shared" ca="1" si="214"/>
        <v>0.62734826352508477</v>
      </c>
      <c r="M695">
        <f t="shared" ca="1" si="215"/>
        <v>0.55454587412096579</v>
      </c>
      <c r="N695">
        <f t="shared" ca="1" si="216"/>
        <v>1</v>
      </c>
      <c r="O695" s="47">
        <f t="shared" ca="1" si="217"/>
        <v>10909.601438944586</v>
      </c>
      <c r="P695">
        <f ca="1">Inputs!B14+(Inputs!D14-Inputs!B14)*BETAINV(RAND(),Model!H8,Model!I8)</f>
        <v>0.25288030281748519</v>
      </c>
      <c r="Q695">
        <f ca="1">Inputs!E14+(Inputs!G14-Inputs!E14)*BETAINV(RAND(),Model!J8,Model!K8)</f>
        <v>0.53017086764298793</v>
      </c>
      <c r="R695">
        <f ca="1">(Inputs!H14+(Inputs!J14-Inputs!H14)*BETAINV(RAND(),Model!L8,Model!M8))*Inputs!$C$6</f>
        <v>390253.77544892766</v>
      </c>
      <c r="S695">
        <f t="shared" ca="1" si="218"/>
        <v>0.13406976955456765</v>
      </c>
      <c r="T695">
        <f t="shared" ca="1" si="219"/>
        <v>0.9492309055110778</v>
      </c>
      <c r="U695">
        <f t="shared" ca="1" si="220"/>
        <v>1</v>
      </c>
      <c r="V695" s="47">
        <f t="shared" ca="1" si="221"/>
        <v>390253.77544892766</v>
      </c>
      <c r="W695">
        <f ca="1">Inputs!B15+(Inputs!D15-Inputs!B15)*BETAINV(RAND(),Model!H9,Model!I9)</f>
        <v>2.2202973331459872</v>
      </c>
      <c r="X695">
        <f ca="1">Inputs!E15+(Inputs!G15-Inputs!E15)*BETAINV(RAND(),Model!J9,Model!K9)</f>
        <v>0.42829488628040102</v>
      </c>
      <c r="Y695">
        <f ca="1">(Inputs!H15+(Inputs!J15-Inputs!H15)*BETAINV(RAND(),Model!L9,Model!M9))*Inputs!$C$6</f>
        <v>54428.108151940964</v>
      </c>
      <c r="Z695">
        <f t="shared" ca="1" si="222"/>
        <v>0.95094199380843825</v>
      </c>
      <c r="AA695">
        <f t="shared" ca="1" si="223"/>
        <v>0.88386004222830827</v>
      </c>
      <c r="AB695">
        <f t="shared" ca="1" si="224"/>
        <v>2</v>
      </c>
      <c r="AC695" s="47">
        <f t="shared" ca="1" si="225"/>
        <v>108856.21630388193</v>
      </c>
      <c r="AD695">
        <f ca="1">Inputs!B16+(Inputs!D16-Inputs!B16)*BETAINV(RAND(),Model!H10,Model!I10)</f>
        <v>0.70094698950974443</v>
      </c>
      <c r="AE695">
        <f ca="1">Inputs!E16+(Inputs!G16-Inputs!E16)*BETAINV(RAND(),Model!J10,Model!K10)</f>
        <v>0.74337689228132664</v>
      </c>
      <c r="AF695">
        <f ca="1">(Inputs!H16+(Inputs!J16-Inputs!H16)*BETAINV(RAND(),Model!L10,Model!M10))*Inputs!$C$6</f>
        <v>64348.455234267618</v>
      </c>
      <c r="AG695">
        <f t="shared" ca="1" si="226"/>
        <v>0.52106779471570552</v>
      </c>
      <c r="AH695">
        <f t="shared" ca="1" si="227"/>
        <v>0.58487110823276689</v>
      </c>
      <c r="AI695">
        <f t="shared" ca="1" si="228"/>
        <v>0</v>
      </c>
      <c r="AJ695" s="47">
        <f t="shared" ca="1" si="229"/>
        <v>0</v>
      </c>
      <c r="AK695">
        <f t="shared" ca="1" si="230"/>
        <v>543371.15184462874</v>
      </c>
    </row>
    <row r="696" spans="2:37" x14ac:dyDescent="0.2">
      <c r="B696">
        <f ca="1">Inputs!B12+(Inputs!D12-Inputs!B12)*BETAINV(RAND(),Model!H6,Model!I6)</f>
        <v>2.1895593443807844</v>
      </c>
      <c r="C696">
        <f ca="1">Inputs!E12+(Inputs!G12-Inputs!E12)*BETAINV(RAND(),Model!J6,Model!K6)</f>
        <v>0.40738005243972342</v>
      </c>
      <c r="D696">
        <f ca="1">(Inputs!H12+(Inputs!J12-Inputs!H12)*BETAINV(RAND(),Model!L6,Model!M6))*Inputs!$C$6</f>
        <v>26502.983333080243</v>
      </c>
      <c r="E696">
        <f t="shared" ca="1" si="210"/>
        <v>0.89198280053373036</v>
      </c>
      <c r="F696">
        <f t="shared" ca="1" si="211"/>
        <v>0.19154157581313491</v>
      </c>
      <c r="G696">
        <f t="shared" ca="1" si="212"/>
        <v>0</v>
      </c>
      <c r="H696" s="47">
        <f t="shared" ca="1" si="213"/>
        <v>0</v>
      </c>
      <c r="I696">
        <f ca="1">Inputs!B13+(Inputs!D13-Inputs!B13)*BETAINV(RAND(),Model!H7,Model!I7)</f>
        <v>1.8007219546085012</v>
      </c>
      <c r="J696">
        <f ca="1">Inputs!E13+(Inputs!G13-Inputs!E13)*BETAINV(RAND(),Model!J7,Model!K7)</f>
        <v>0.162609771550558</v>
      </c>
      <c r="K696">
        <f ca="1">(Inputs!H13+(Inputs!J13-Inputs!H13)*BETAINV(RAND(),Model!L7,Model!M7))*Inputs!$C$6</f>
        <v>14539.776734518318</v>
      </c>
      <c r="L696">
        <f t="shared" ca="1" si="214"/>
        <v>0.29281498566496267</v>
      </c>
      <c r="M696">
        <f t="shared" ca="1" si="215"/>
        <v>0.19903335539257327</v>
      </c>
      <c r="N696">
        <f t="shared" ca="1" si="216"/>
        <v>0</v>
      </c>
      <c r="O696" s="47">
        <f t="shared" ca="1" si="217"/>
        <v>0</v>
      </c>
      <c r="P696">
        <f ca="1">Inputs!B14+(Inputs!D14-Inputs!B14)*BETAINV(RAND(),Model!H8,Model!I8)</f>
        <v>0.57103248763360726</v>
      </c>
      <c r="Q696">
        <f ca="1">Inputs!E14+(Inputs!G14-Inputs!E14)*BETAINV(RAND(),Model!J8,Model!K8)</f>
        <v>0.72567263292020012</v>
      </c>
      <c r="R696">
        <f ca="1">(Inputs!H14+(Inputs!J14-Inputs!H14)*BETAINV(RAND(),Model!L8,Model!M8))*Inputs!$C$6</f>
        <v>322317.76878152112</v>
      </c>
      <c r="S696">
        <f t="shared" ca="1" si="218"/>
        <v>0.4143826487840514</v>
      </c>
      <c r="T696">
        <f t="shared" ca="1" si="219"/>
        <v>0.21072683323620989</v>
      </c>
      <c r="U696">
        <f t="shared" ca="1" si="220"/>
        <v>0</v>
      </c>
      <c r="V696" s="47">
        <f t="shared" ca="1" si="221"/>
        <v>0</v>
      </c>
      <c r="W696">
        <f ca="1">Inputs!B15+(Inputs!D15-Inputs!B15)*BETAINV(RAND(),Model!H9,Model!I9)</f>
        <v>1.8149270934347241</v>
      </c>
      <c r="X696">
        <f ca="1">Inputs!E15+(Inputs!G15-Inputs!E15)*BETAINV(RAND(),Model!J9,Model!K9)</f>
        <v>0.4330712591336181</v>
      </c>
      <c r="Y696">
        <f ca="1">(Inputs!H15+(Inputs!J15-Inputs!H15)*BETAINV(RAND(),Model!L9,Model!M9))*Inputs!$C$6</f>
        <v>55379.246049293011</v>
      </c>
      <c r="Z696">
        <f t="shared" ca="1" si="222"/>
        <v>0.78599276158949372</v>
      </c>
      <c r="AA696">
        <f t="shared" ca="1" si="223"/>
        <v>0.34278827962308889</v>
      </c>
      <c r="AB696">
        <f t="shared" ca="1" si="224"/>
        <v>0</v>
      </c>
      <c r="AC696" s="47">
        <f t="shared" ca="1" si="225"/>
        <v>0</v>
      </c>
      <c r="AD696">
        <f ca="1">Inputs!B16+(Inputs!D16-Inputs!B16)*BETAINV(RAND(),Model!H10,Model!I10)</f>
        <v>0.47702698323465498</v>
      </c>
      <c r="AE696">
        <f ca="1">Inputs!E16+(Inputs!G16-Inputs!E16)*BETAINV(RAND(),Model!J10,Model!K10)</f>
        <v>0.76552726820241102</v>
      </c>
      <c r="AF696">
        <f ca="1">(Inputs!H16+(Inputs!J16-Inputs!H16)*BETAINV(RAND(),Model!L10,Model!M10))*Inputs!$C$6</f>
        <v>133366.36818167355</v>
      </c>
      <c r="AG696">
        <f t="shared" ca="1" si="226"/>
        <v>0.36517716333446276</v>
      </c>
      <c r="AH696">
        <f t="shared" ca="1" si="227"/>
        <v>3.6904511895501702E-2</v>
      </c>
      <c r="AI696">
        <f t="shared" ca="1" si="228"/>
        <v>0</v>
      </c>
      <c r="AJ696" s="47">
        <f t="shared" ca="1" si="229"/>
        <v>0</v>
      </c>
      <c r="AK696">
        <f t="shared" ca="1" si="230"/>
        <v>0</v>
      </c>
    </row>
    <row r="697" spans="2:37" x14ac:dyDescent="0.2">
      <c r="B697">
        <f ca="1">Inputs!B12+(Inputs!D12-Inputs!B12)*BETAINV(RAND(),Model!H6,Model!I6)</f>
        <v>3.4099403903422409</v>
      </c>
      <c r="C697">
        <f ca="1">Inputs!E12+(Inputs!G12-Inputs!E12)*BETAINV(RAND(),Model!J6,Model!K6)</f>
        <v>0.20490212219257994</v>
      </c>
      <c r="D697">
        <f ca="1">(Inputs!H12+(Inputs!J12-Inputs!H12)*BETAINV(RAND(),Model!L6,Model!M6))*Inputs!$C$6</f>
        <v>20210.730058542355</v>
      </c>
      <c r="E697">
        <f t="shared" ca="1" si="210"/>
        <v>0.69870402253131958</v>
      </c>
      <c r="F697">
        <f t="shared" ca="1" si="211"/>
        <v>0.51746906689079142</v>
      </c>
      <c r="G697">
        <f t="shared" ca="1" si="212"/>
        <v>1</v>
      </c>
      <c r="H697" s="47">
        <f t="shared" ca="1" si="213"/>
        <v>20210.730058542355</v>
      </c>
      <c r="I697">
        <f ca="1">Inputs!B13+(Inputs!D13-Inputs!B13)*BETAINV(RAND(),Model!H7,Model!I7)</f>
        <v>1.1976035381320471</v>
      </c>
      <c r="J697">
        <f ca="1">Inputs!E13+(Inputs!G13-Inputs!E13)*BETAINV(RAND(),Model!J7,Model!K7)</f>
        <v>0.27385882985440568</v>
      </c>
      <c r="K697">
        <f ca="1">(Inputs!H13+(Inputs!J13-Inputs!H13)*BETAINV(RAND(),Model!L7,Model!M7))*Inputs!$C$6</f>
        <v>22827.9669137983</v>
      </c>
      <c r="L697">
        <f t="shared" ca="1" si="214"/>
        <v>0.32797430358233853</v>
      </c>
      <c r="M697">
        <f t="shared" ca="1" si="215"/>
        <v>0.48975683920746749</v>
      </c>
      <c r="N697">
        <f t="shared" ca="1" si="216"/>
        <v>0</v>
      </c>
      <c r="O697" s="47">
        <f t="shared" ca="1" si="217"/>
        <v>0</v>
      </c>
      <c r="P697">
        <f ca="1">Inputs!B14+(Inputs!D14-Inputs!B14)*BETAINV(RAND(),Model!H8,Model!I8)</f>
        <v>0.23441495104997309</v>
      </c>
      <c r="Q697">
        <f ca="1">Inputs!E14+(Inputs!G14-Inputs!E14)*BETAINV(RAND(),Model!J8,Model!K8)</f>
        <v>0.54234686110657271</v>
      </c>
      <c r="R697">
        <f ca="1">(Inputs!H14+(Inputs!J14-Inputs!H14)*BETAINV(RAND(),Model!L8,Model!M8))*Inputs!$C$6</f>
        <v>249610.81152821812</v>
      </c>
      <c r="S697">
        <f t="shared" ca="1" si="218"/>
        <v>0.12713421289840379</v>
      </c>
      <c r="T697">
        <f t="shared" ca="1" si="219"/>
        <v>0.78940329795955921</v>
      </c>
      <c r="U697">
        <f t="shared" ca="1" si="220"/>
        <v>0</v>
      </c>
      <c r="V697" s="47">
        <f t="shared" ca="1" si="221"/>
        <v>0</v>
      </c>
      <c r="W697">
        <f ca="1">Inputs!B15+(Inputs!D15-Inputs!B15)*BETAINV(RAND(),Model!H9,Model!I9)</f>
        <v>1.9709157109823752</v>
      </c>
      <c r="X697">
        <f ca="1">Inputs!E15+(Inputs!G15-Inputs!E15)*BETAINV(RAND(),Model!J9,Model!K9)</f>
        <v>0.31794662623311709</v>
      </c>
      <c r="Y697">
        <f ca="1">(Inputs!H15+(Inputs!J15-Inputs!H15)*BETAINV(RAND(),Model!L9,Model!M9))*Inputs!$C$6</f>
        <v>28966.213265057209</v>
      </c>
      <c r="Z697">
        <f t="shared" ca="1" si="222"/>
        <v>0.62664600089669142</v>
      </c>
      <c r="AA697">
        <f t="shared" ca="1" si="223"/>
        <v>0.66872876294515238</v>
      </c>
      <c r="AB697">
        <f t="shared" ca="1" si="224"/>
        <v>1</v>
      </c>
      <c r="AC697" s="47">
        <f t="shared" ca="1" si="225"/>
        <v>28966.213265057209</v>
      </c>
      <c r="AD697">
        <f ca="1">Inputs!B16+(Inputs!D16-Inputs!B16)*BETAINV(RAND(),Model!H10,Model!I10)</f>
        <v>0.79291383697016227</v>
      </c>
      <c r="AE697">
        <f ca="1">Inputs!E16+(Inputs!G16-Inputs!E16)*BETAINV(RAND(),Model!J10,Model!K10)</f>
        <v>0.53932531335412104</v>
      </c>
      <c r="AF697">
        <f ca="1">(Inputs!H16+(Inputs!J16-Inputs!H16)*BETAINV(RAND(),Model!L10,Model!M10))*Inputs!$C$6</f>
        <v>146738.62278209411</v>
      </c>
      <c r="AG697">
        <f t="shared" ca="1" si="226"/>
        <v>0.42763850358675121</v>
      </c>
      <c r="AH697">
        <f t="shared" ca="1" si="227"/>
        <v>8.9545742116984517E-2</v>
      </c>
      <c r="AI697">
        <f t="shared" ca="1" si="228"/>
        <v>0</v>
      </c>
      <c r="AJ697" s="47">
        <f t="shared" ca="1" si="229"/>
        <v>0</v>
      </c>
      <c r="AK697">
        <f t="shared" ca="1" si="230"/>
        <v>49176.943323599568</v>
      </c>
    </row>
    <row r="698" spans="2:37" x14ac:dyDescent="0.2">
      <c r="B698">
        <f ca="1">Inputs!B12+(Inputs!D12-Inputs!B12)*BETAINV(RAND(),Model!H6,Model!I6)</f>
        <v>4.0467422957186727</v>
      </c>
      <c r="C698">
        <f ca="1">Inputs!E12+(Inputs!G12-Inputs!E12)*BETAINV(RAND(),Model!J6,Model!K6)</f>
        <v>0.31696176005289001</v>
      </c>
      <c r="D698">
        <f ca="1">(Inputs!H12+(Inputs!J12-Inputs!H12)*BETAINV(RAND(),Model!L6,Model!M6))*Inputs!$C$6</f>
        <v>28358.494277856964</v>
      </c>
      <c r="E698">
        <f t="shared" ca="1" si="210"/>
        <v>1.2826625605314632</v>
      </c>
      <c r="F698">
        <f t="shared" ca="1" si="211"/>
        <v>0.31691981164558991</v>
      </c>
      <c r="G698">
        <f t="shared" ca="1" si="212"/>
        <v>1</v>
      </c>
      <c r="H698" s="47">
        <f t="shared" ca="1" si="213"/>
        <v>28358.494277856964</v>
      </c>
      <c r="I698">
        <f ca="1">Inputs!B13+(Inputs!D13-Inputs!B13)*BETAINV(RAND(),Model!H7,Model!I7)</f>
        <v>1.9981347673818264</v>
      </c>
      <c r="J698">
        <f ca="1">Inputs!E13+(Inputs!G13-Inputs!E13)*BETAINV(RAND(),Model!J7,Model!K7)</f>
        <v>0.17060839991610355</v>
      </c>
      <c r="K698">
        <f ca="1">(Inputs!H13+(Inputs!J13-Inputs!H13)*BETAINV(RAND(),Model!L7,Model!M7))*Inputs!$C$6</f>
        <v>68527.956059752149</v>
      </c>
      <c r="L698">
        <f t="shared" ca="1" si="214"/>
        <v>0.34089857547974917</v>
      </c>
      <c r="M698">
        <f t="shared" ca="1" si="215"/>
        <v>0.45714394029357652</v>
      </c>
      <c r="N698">
        <f t="shared" ca="1" si="216"/>
        <v>0</v>
      </c>
      <c r="O698" s="47">
        <f t="shared" ca="1" si="217"/>
        <v>0</v>
      </c>
      <c r="P698">
        <f ca="1">Inputs!B14+(Inputs!D14-Inputs!B14)*BETAINV(RAND(),Model!H8,Model!I8)</f>
        <v>0.16159692946699589</v>
      </c>
      <c r="Q698">
        <f ca="1">Inputs!E14+(Inputs!G14-Inputs!E14)*BETAINV(RAND(),Model!J8,Model!K8)</f>
        <v>0.64526325579140043</v>
      </c>
      <c r="R698">
        <f ca="1">(Inputs!H14+(Inputs!J14-Inputs!H14)*BETAINV(RAND(),Model!L8,Model!M8))*Inputs!$C$6</f>
        <v>272500.64898536546</v>
      </c>
      <c r="S698">
        <f t="shared" ca="1" si="218"/>
        <v>0.10427256083376706</v>
      </c>
      <c r="T698">
        <f t="shared" ca="1" si="219"/>
        <v>0.92408691692172362</v>
      </c>
      <c r="U698">
        <f t="shared" ca="1" si="220"/>
        <v>1</v>
      </c>
      <c r="V698" s="47">
        <f t="shared" ca="1" si="221"/>
        <v>272500.64898536546</v>
      </c>
      <c r="W698">
        <f ca="1">Inputs!B15+(Inputs!D15-Inputs!B15)*BETAINV(RAND(),Model!H9,Model!I9)</f>
        <v>1.00586563004633</v>
      </c>
      <c r="X698">
        <f ca="1">Inputs!E15+(Inputs!G15-Inputs!E15)*BETAINV(RAND(),Model!J9,Model!K9)</f>
        <v>0.48267098036155137</v>
      </c>
      <c r="Y698">
        <f ca="1">(Inputs!H15+(Inputs!J15-Inputs!H15)*BETAINV(RAND(),Model!L9,Model!M9))*Inputs!$C$6</f>
        <v>10776.208647517109</v>
      </c>
      <c r="Z698">
        <f t="shared" ca="1" si="222"/>
        <v>0.48550214976645167</v>
      </c>
      <c r="AA698">
        <f t="shared" ca="1" si="223"/>
        <v>0.68346461252880331</v>
      </c>
      <c r="AB698">
        <f t="shared" ca="1" si="224"/>
        <v>1</v>
      </c>
      <c r="AC698" s="47">
        <f t="shared" ca="1" si="225"/>
        <v>10776.208647517109</v>
      </c>
      <c r="AD698">
        <f ca="1">Inputs!B16+(Inputs!D16-Inputs!B16)*BETAINV(RAND(),Model!H10,Model!I10)</f>
        <v>0.95540367620189204</v>
      </c>
      <c r="AE698">
        <f ca="1">Inputs!E16+(Inputs!G16-Inputs!E16)*BETAINV(RAND(),Model!J10,Model!K10)</f>
        <v>0.77986094883839208</v>
      </c>
      <c r="AF698">
        <f ca="1">(Inputs!H16+(Inputs!J16-Inputs!H16)*BETAINV(RAND(),Model!L10,Model!M10))*Inputs!$C$6</f>
        <v>86183.63210418055</v>
      </c>
      <c r="AG698">
        <f t="shared" ca="1" si="226"/>
        <v>0.74508201744649538</v>
      </c>
      <c r="AH698">
        <f t="shared" ca="1" si="227"/>
        <v>0.2139617779416666</v>
      </c>
      <c r="AI698">
        <f t="shared" ca="1" si="228"/>
        <v>0</v>
      </c>
      <c r="AJ698" s="47">
        <f t="shared" ca="1" si="229"/>
        <v>0</v>
      </c>
      <c r="AK698">
        <f t="shared" ca="1" si="230"/>
        <v>311635.35191073956</v>
      </c>
    </row>
    <row r="699" spans="2:37" x14ac:dyDescent="0.2">
      <c r="B699">
        <f ca="1">Inputs!B12+(Inputs!D12-Inputs!B12)*BETAINV(RAND(),Model!H6,Model!I6)</f>
        <v>4.6588766695708212</v>
      </c>
      <c r="C699">
        <f ca="1">Inputs!E12+(Inputs!G12-Inputs!E12)*BETAINV(RAND(),Model!J6,Model!K6)</f>
        <v>0.40879698493996608</v>
      </c>
      <c r="D699">
        <f ca="1">(Inputs!H12+(Inputs!J12-Inputs!H12)*BETAINV(RAND(),Model!L6,Model!M6))*Inputs!$C$6</f>
        <v>23749.440623001858</v>
      </c>
      <c r="E699">
        <f t="shared" ca="1" si="210"/>
        <v>1.9045347357277023</v>
      </c>
      <c r="F699">
        <f t="shared" ca="1" si="211"/>
        <v>0.88510110785035301</v>
      </c>
      <c r="G699">
        <f t="shared" ca="1" si="212"/>
        <v>4</v>
      </c>
      <c r="H699" s="47">
        <f t="shared" ca="1" si="213"/>
        <v>94997.76249200743</v>
      </c>
      <c r="I699">
        <f ca="1">Inputs!B13+(Inputs!D13-Inputs!B13)*BETAINV(RAND(),Model!H7,Model!I7)</f>
        <v>1.9915465133089252</v>
      </c>
      <c r="J699">
        <f ca="1">Inputs!E13+(Inputs!G13-Inputs!E13)*BETAINV(RAND(),Model!J7,Model!K7)</f>
        <v>0.25810892885039249</v>
      </c>
      <c r="K699">
        <f ca="1">(Inputs!H13+(Inputs!J13-Inputs!H13)*BETAINV(RAND(),Model!L7,Model!M7))*Inputs!$C$6</f>
        <v>52369.947047284862</v>
      </c>
      <c r="L699">
        <f t="shared" ca="1" si="214"/>
        <v>0.51403593730590058</v>
      </c>
      <c r="M699">
        <f t="shared" ca="1" si="215"/>
        <v>0.8195117992951757</v>
      </c>
      <c r="N699">
        <f t="shared" ca="1" si="216"/>
        <v>1</v>
      </c>
      <c r="O699" s="47">
        <f t="shared" ca="1" si="217"/>
        <v>52369.947047284862</v>
      </c>
      <c r="P699">
        <f ca="1">Inputs!B14+(Inputs!D14-Inputs!B14)*BETAINV(RAND(),Model!H8,Model!I8)</f>
        <v>0.32345764843259961</v>
      </c>
      <c r="Q699">
        <f ca="1">Inputs!E14+(Inputs!G14-Inputs!E14)*BETAINV(RAND(),Model!J8,Model!K8)</f>
        <v>0.75411970695532016</v>
      </c>
      <c r="R699">
        <f ca="1">(Inputs!H14+(Inputs!J14-Inputs!H14)*BETAINV(RAND(),Model!L8,Model!M8))*Inputs!$C$6</f>
        <v>438111.47528655728</v>
      </c>
      <c r="S699">
        <f t="shared" ca="1" si="218"/>
        <v>0.243925787048449</v>
      </c>
      <c r="T699">
        <f t="shared" ca="1" si="219"/>
        <v>0.1043082140762599</v>
      </c>
      <c r="U699">
        <f t="shared" ca="1" si="220"/>
        <v>0</v>
      </c>
      <c r="V699" s="47">
        <f t="shared" ca="1" si="221"/>
        <v>0</v>
      </c>
      <c r="W699">
        <f ca="1">Inputs!B15+(Inputs!D15-Inputs!B15)*BETAINV(RAND(),Model!H9,Model!I9)</f>
        <v>1.2406374154356838</v>
      </c>
      <c r="X699">
        <f ca="1">Inputs!E15+(Inputs!G15-Inputs!E15)*BETAINV(RAND(),Model!J9,Model!K9)</f>
        <v>0.58494169223363024</v>
      </c>
      <c r="Y699">
        <f ca="1">(Inputs!H15+(Inputs!J15-Inputs!H15)*BETAINV(RAND(),Model!L9,Model!M9))*Inputs!$C$6</f>
        <v>39378.340873113826</v>
      </c>
      <c r="Z699">
        <f t="shared" ca="1" si="222"/>
        <v>0.72570054923330629</v>
      </c>
      <c r="AA699">
        <f t="shared" ca="1" si="223"/>
        <v>0.34936504537056678</v>
      </c>
      <c r="AB699">
        <f t="shared" ca="1" si="224"/>
        <v>0</v>
      </c>
      <c r="AC699" s="47">
        <f t="shared" ca="1" si="225"/>
        <v>0</v>
      </c>
      <c r="AD699">
        <f ca="1">Inputs!B16+(Inputs!D16-Inputs!B16)*BETAINV(RAND(),Model!H10,Model!I10)</f>
        <v>0.75484638899085121</v>
      </c>
      <c r="AE699">
        <f ca="1">Inputs!E16+(Inputs!G16-Inputs!E16)*BETAINV(RAND(),Model!J10,Model!K10)</f>
        <v>0.48969442811680913</v>
      </c>
      <c r="AF699">
        <f ca="1">(Inputs!H16+(Inputs!J16-Inputs!H16)*BETAINV(RAND(),Model!L10,Model!M10))*Inputs!$C$6</f>
        <v>113150.1808560466</v>
      </c>
      <c r="AG699">
        <f t="shared" ca="1" si="226"/>
        <v>0.36964407077291334</v>
      </c>
      <c r="AH699">
        <f t="shared" ca="1" si="227"/>
        <v>0.50974633893683341</v>
      </c>
      <c r="AI699">
        <f t="shared" ca="1" si="228"/>
        <v>0</v>
      </c>
      <c r="AJ699" s="47">
        <f t="shared" ca="1" si="229"/>
        <v>0</v>
      </c>
      <c r="AK699">
        <f t="shared" ca="1" si="230"/>
        <v>147367.70953929229</v>
      </c>
    </row>
    <row r="700" spans="2:37" x14ac:dyDescent="0.2">
      <c r="B700">
        <f ca="1">Inputs!B12+(Inputs!D12-Inputs!B12)*BETAINV(RAND(),Model!H6,Model!I6)</f>
        <v>2.565557587121897</v>
      </c>
      <c r="C700">
        <f ca="1">Inputs!E12+(Inputs!G12-Inputs!E12)*BETAINV(RAND(),Model!J6,Model!K6)</f>
        <v>0.26998827510486956</v>
      </c>
      <c r="D700">
        <f ca="1">(Inputs!H12+(Inputs!J12-Inputs!H12)*BETAINV(RAND(),Model!L6,Model!M6))*Inputs!$C$6</f>
        <v>8449.6096785854679</v>
      </c>
      <c r="E700">
        <f t="shared" ca="1" si="210"/>
        <v>0.69267046762925211</v>
      </c>
      <c r="F700">
        <f t="shared" ca="1" si="211"/>
        <v>0.50286348744001641</v>
      </c>
      <c r="G700">
        <f t="shared" ca="1" si="212"/>
        <v>1</v>
      </c>
      <c r="H700" s="47">
        <f t="shared" ca="1" si="213"/>
        <v>8449.6096785854679</v>
      </c>
      <c r="I700">
        <f ca="1">Inputs!B13+(Inputs!D13-Inputs!B13)*BETAINV(RAND(),Model!H7,Model!I7)</f>
        <v>1.4959716216257342</v>
      </c>
      <c r="J700">
        <f ca="1">Inputs!E13+(Inputs!G13-Inputs!E13)*BETAINV(RAND(),Model!J7,Model!K7)</f>
        <v>0.20825898921186928</v>
      </c>
      <c r="K700">
        <f ca="1">(Inputs!H13+(Inputs!J13-Inputs!H13)*BETAINV(RAND(),Model!L7,Model!M7))*Inputs!$C$6</f>
        <v>11668.720497826118</v>
      </c>
      <c r="L700">
        <f t="shared" ca="1" si="214"/>
        <v>0.31154953780941635</v>
      </c>
      <c r="M700">
        <f t="shared" ca="1" si="215"/>
        <v>0.57368641858599911</v>
      </c>
      <c r="N700">
        <f t="shared" ca="1" si="216"/>
        <v>0</v>
      </c>
      <c r="O700" s="47">
        <f t="shared" ca="1" si="217"/>
        <v>0</v>
      </c>
      <c r="P700">
        <f ca="1">Inputs!B14+(Inputs!D14-Inputs!B14)*BETAINV(RAND(),Model!H8,Model!I8)</f>
        <v>0.25056889993808651</v>
      </c>
      <c r="Q700">
        <f ca="1">Inputs!E14+(Inputs!G14-Inputs!E14)*BETAINV(RAND(),Model!J8,Model!K8)</f>
        <v>0.59227439432209161</v>
      </c>
      <c r="R700">
        <f ca="1">(Inputs!H14+(Inputs!J14-Inputs!H14)*BETAINV(RAND(),Model!L8,Model!M8))*Inputs!$C$6</f>
        <v>428308.19762621215</v>
      </c>
      <c r="S700">
        <f t="shared" ca="1" si="218"/>
        <v>0.14840554344678297</v>
      </c>
      <c r="T700">
        <f t="shared" ca="1" si="219"/>
        <v>0.3136359727549225</v>
      </c>
      <c r="U700">
        <f t="shared" ca="1" si="220"/>
        <v>0</v>
      </c>
      <c r="V700" s="47">
        <f t="shared" ca="1" si="221"/>
        <v>0</v>
      </c>
      <c r="W700">
        <f ca="1">Inputs!B15+(Inputs!D15-Inputs!B15)*BETAINV(RAND(),Model!H9,Model!I9)</f>
        <v>1.0501806819442918</v>
      </c>
      <c r="X700">
        <f ca="1">Inputs!E15+(Inputs!G15-Inputs!E15)*BETAINV(RAND(),Model!J9,Model!K9)</f>
        <v>0.4811009624930056</v>
      </c>
      <c r="Y700">
        <f ca="1">(Inputs!H15+(Inputs!J15-Inputs!H15)*BETAINV(RAND(),Model!L9,Model!M9))*Inputs!$C$6</f>
        <v>14928.196048910189</v>
      </c>
      <c r="Z700">
        <f t="shared" ca="1" si="222"/>
        <v>0.5052429368749598</v>
      </c>
      <c r="AA700">
        <f t="shared" ca="1" si="223"/>
        <v>8.629893794270771E-2</v>
      </c>
      <c r="AB700">
        <f t="shared" ca="1" si="224"/>
        <v>0</v>
      </c>
      <c r="AC700" s="47">
        <f t="shared" ca="1" si="225"/>
        <v>0</v>
      </c>
      <c r="AD700">
        <f ca="1">Inputs!B16+(Inputs!D16-Inputs!B16)*BETAINV(RAND(),Model!H10,Model!I10)</f>
        <v>1.0243138179219275</v>
      </c>
      <c r="AE700">
        <f ca="1">Inputs!E16+(Inputs!G16-Inputs!E16)*BETAINV(RAND(),Model!J10,Model!K10)</f>
        <v>0.52335177881161909</v>
      </c>
      <c r="AF700">
        <f ca="1">(Inputs!H16+(Inputs!J16-Inputs!H16)*BETAINV(RAND(),Model!L10,Model!M10))*Inputs!$C$6</f>
        <v>90024.472640039108</v>
      </c>
      <c r="AG700">
        <f t="shared" ca="1" si="226"/>
        <v>0.5360764586707617</v>
      </c>
      <c r="AH700">
        <f t="shared" ca="1" si="227"/>
        <v>5.6947110067016138E-2</v>
      </c>
      <c r="AI700">
        <f t="shared" ca="1" si="228"/>
        <v>0</v>
      </c>
      <c r="AJ700" s="47">
        <f t="shared" ca="1" si="229"/>
        <v>0</v>
      </c>
      <c r="AK700">
        <f t="shared" ca="1" si="230"/>
        <v>8449.6096785854679</v>
      </c>
    </row>
    <row r="701" spans="2:37" x14ac:dyDescent="0.2">
      <c r="B701">
        <f ca="1">Inputs!B12+(Inputs!D12-Inputs!B12)*BETAINV(RAND(),Model!H6,Model!I6)</f>
        <v>2.182015662138916</v>
      </c>
      <c r="C701">
        <f ca="1">Inputs!E12+(Inputs!G12-Inputs!E12)*BETAINV(RAND(),Model!J6,Model!K6)</f>
        <v>0.19101178022401238</v>
      </c>
      <c r="D701">
        <f ca="1">(Inputs!H12+(Inputs!J12-Inputs!H12)*BETAINV(RAND(),Model!L6,Model!M6))*Inputs!$C$6</f>
        <v>20501.265792804861</v>
      </c>
      <c r="E701">
        <f t="shared" ca="1" si="210"/>
        <v>0.41679069610183145</v>
      </c>
      <c r="F701">
        <f t="shared" ca="1" si="211"/>
        <v>0.14361294150630022</v>
      </c>
      <c r="G701">
        <f t="shared" ca="1" si="212"/>
        <v>0</v>
      </c>
      <c r="H701" s="47">
        <f t="shared" ca="1" si="213"/>
        <v>0</v>
      </c>
      <c r="I701">
        <f ca="1">Inputs!B13+(Inputs!D13-Inputs!B13)*BETAINV(RAND(),Model!H7,Model!I7)</f>
        <v>2.3130780768257049</v>
      </c>
      <c r="J701">
        <f ca="1">Inputs!E13+(Inputs!G13-Inputs!E13)*BETAINV(RAND(),Model!J7,Model!K7)</f>
        <v>0.13007972039455484</v>
      </c>
      <c r="K701">
        <f ca="1">(Inputs!H13+(Inputs!J13-Inputs!H13)*BETAINV(RAND(),Model!L7,Model!M7))*Inputs!$C$6</f>
        <v>34558.072220800495</v>
      </c>
      <c r="L701">
        <f t="shared" ca="1" si="214"/>
        <v>0.30088454948426235</v>
      </c>
      <c r="M701">
        <f t="shared" ca="1" si="215"/>
        <v>0.37848688633308358</v>
      </c>
      <c r="N701">
        <f t="shared" ca="1" si="216"/>
        <v>0</v>
      </c>
      <c r="O701" s="47">
        <f t="shared" ca="1" si="217"/>
        <v>0</v>
      </c>
      <c r="P701">
        <f ca="1">Inputs!B14+(Inputs!D14-Inputs!B14)*BETAINV(RAND(),Model!H8,Model!I8)</f>
        <v>0.26785571976106337</v>
      </c>
      <c r="Q701">
        <f ca="1">Inputs!E14+(Inputs!G14-Inputs!E14)*BETAINV(RAND(),Model!J8,Model!K8)</f>
        <v>0.48328348455160841</v>
      </c>
      <c r="R701">
        <f ca="1">(Inputs!H14+(Inputs!J14-Inputs!H14)*BETAINV(RAND(),Model!L8,Model!M8))*Inputs!$C$6</f>
        <v>359655.04363773036</v>
      </c>
      <c r="S701">
        <f t="shared" ca="1" si="218"/>
        <v>0.12945024560320581</v>
      </c>
      <c r="T701">
        <f t="shared" ca="1" si="219"/>
        <v>0.16475940219336305</v>
      </c>
      <c r="U701">
        <f t="shared" ca="1" si="220"/>
        <v>0</v>
      </c>
      <c r="V701" s="47">
        <f t="shared" ca="1" si="221"/>
        <v>0</v>
      </c>
      <c r="W701">
        <f ca="1">Inputs!B15+(Inputs!D15-Inputs!B15)*BETAINV(RAND(),Model!H9,Model!I9)</f>
        <v>0.7890984105348966</v>
      </c>
      <c r="X701">
        <f ca="1">Inputs!E15+(Inputs!G15-Inputs!E15)*BETAINV(RAND(),Model!J9,Model!K9)</f>
        <v>0.35843410878265036</v>
      </c>
      <c r="Y701">
        <f ca="1">(Inputs!H15+(Inputs!J15-Inputs!H15)*BETAINV(RAND(),Model!L9,Model!M9))*Inputs!$C$6</f>
        <v>23852.078184327918</v>
      </c>
      <c r="Z701">
        <f t="shared" ca="1" si="222"/>
        <v>0.2828397855218816</v>
      </c>
      <c r="AA701">
        <f t="shared" ca="1" si="223"/>
        <v>0.1053374659559746</v>
      </c>
      <c r="AB701">
        <f t="shared" ca="1" si="224"/>
        <v>0</v>
      </c>
      <c r="AC701" s="47">
        <f t="shared" ca="1" si="225"/>
        <v>0</v>
      </c>
      <c r="AD701">
        <f ca="1">Inputs!B16+(Inputs!D16-Inputs!B16)*BETAINV(RAND(),Model!H10,Model!I10)</f>
        <v>0.9656851479365951</v>
      </c>
      <c r="AE701">
        <f ca="1">Inputs!E16+(Inputs!G16-Inputs!E16)*BETAINV(RAND(),Model!J10,Model!K10)</f>
        <v>0.55790601222547065</v>
      </c>
      <c r="AF701">
        <f ca="1">(Inputs!H16+(Inputs!J16-Inputs!H16)*BETAINV(RAND(),Model!L10,Model!M10))*Inputs!$C$6</f>
        <v>89530.175760235245</v>
      </c>
      <c r="AG701">
        <f t="shared" ca="1" si="226"/>
        <v>0.53876154995066949</v>
      </c>
      <c r="AH701">
        <f t="shared" ca="1" si="227"/>
        <v>0.2214140686114171</v>
      </c>
      <c r="AI701">
        <f t="shared" ca="1" si="228"/>
        <v>0</v>
      </c>
      <c r="AJ701" s="47">
        <f t="shared" ca="1" si="229"/>
        <v>0</v>
      </c>
      <c r="AK701">
        <f t="shared" ca="1" si="230"/>
        <v>0</v>
      </c>
    </row>
    <row r="702" spans="2:37" x14ac:dyDescent="0.2">
      <c r="B702">
        <f ca="1">Inputs!B12+(Inputs!D12-Inputs!B12)*BETAINV(RAND(),Model!H6,Model!I6)</f>
        <v>2.3704295259957648</v>
      </c>
      <c r="C702">
        <f ca="1">Inputs!E12+(Inputs!G12-Inputs!E12)*BETAINV(RAND(),Model!J6,Model!K6)</f>
        <v>0.31496954639971464</v>
      </c>
      <c r="D702">
        <f ca="1">(Inputs!H12+(Inputs!J12-Inputs!H12)*BETAINV(RAND(),Model!L6,Model!M6))*Inputs!$C$6</f>
        <v>37565.378086267388</v>
      </c>
      <c r="E702">
        <f t="shared" ca="1" si="210"/>
        <v>0.74661311257537666</v>
      </c>
      <c r="F702">
        <f t="shared" ca="1" si="211"/>
        <v>0.42153878526050004</v>
      </c>
      <c r="G702">
        <f t="shared" ca="1" si="212"/>
        <v>0</v>
      </c>
      <c r="H702" s="47">
        <f t="shared" ca="1" si="213"/>
        <v>0</v>
      </c>
      <c r="I702">
        <f ca="1">Inputs!B13+(Inputs!D13-Inputs!B13)*BETAINV(RAND(),Model!H7,Model!I7)</f>
        <v>1.9720650671251463</v>
      </c>
      <c r="J702">
        <f ca="1">Inputs!E13+(Inputs!G13-Inputs!E13)*BETAINV(RAND(),Model!J7,Model!K7)</f>
        <v>0.13571908049520195</v>
      </c>
      <c r="K702">
        <f ca="1">(Inputs!H13+(Inputs!J13-Inputs!H13)*BETAINV(RAND(),Model!L7,Model!M7))*Inputs!$C$6</f>
        <v>17647.216793830143</v>
      </c>
      <c r="L702">
        <f t="shared" ca="1" si="214"/>
        <v>0.26764685758693357</v>
      </c>
      <c r="M702">
        <f t="shared" ca="1" si="215"/>
        <v>0.85889026485431508</v>
      </c>
      <c r="N702">
        <f t="shared" ca="1" si="216"/>
        <v>1</v>
      </c>
      <c r="O702" s="47">
        <f t="shared" ca="1" si="217"/>
        <v>17647.216793830143</v>
      </c>
      <c r="P702">
        <f ca="1">Inputs!B14+(Inputs!D14-Inputs!B14)*BETAINV(RAND(),Model!H8,Model!I8)</f>
        <v>0.25499844627382939</v>
      </c>
      <c r="Q702">
        <f ca="1">Inputs!E14+(Inputs!G14-Inputs!E14)*BETAINV(RAND(),Model!J8,Model!K8)</f>
        <v>0.56816524934584711</v>
      </c>
      <c r="R702">
        <f ca="1">(Inputs!H14+(Inputs!J14-Inputs!H14)*BETAINV(RAND(),Model!L8,Model!M8))*Inputs!$C$6</f>
        <v>554124.53302915662</v>
      </c>
      <c r="S702">
        <f t="shared" ca="1" si="218"/>
        <v>0.14488125580997388</v>
      </c>
      <c r="T702">
        <f t="shared" ca="1" si="219"/>
        <v>0.20897715930441862</v>
      </c>
      <c r="U702">
        <f t="shared" ca="1" si="220"/>
        <v>0</v>
      </c>
      <c r="V702" s="47">
        <f t="shared" ca="1" si="221"/>
        <v>0</v>
      </c>
      <c r="W702">
        <f ca="1">Inputs!B15+(Inputs!D15-Inputs!B15)*BETAINV(RAND(),Model!H9,Model!I9)</f>
        <v>1.3435789654305559</v>
      </c>
      <c r="X702">
        <f ca="1">Inputs!E15+(Inputs!G15-Inputs!E15)*BETAINV(RAND(),Model!J9,Model!K9)</f>
        <v>0.51255613353739471</v>
      </c>
      <c r="Y702">
        <f ca="1">(Inputs!H15+(Inputs!J15-Inputs!H15)*BETAINV(RAND(),Model!L9,Model!M9))*Inputs!$C$6</f>
        <v>20236.78352472949</v>
      </c>
      <c r="Z702">
        <f t="shared" ca="1" si="222"/>
        <v>0.6886596396232586</v>
      </c>
      <c r="AA702">
        <f t="shared" ca="1" si="223"/>
        <v>0.44127464566429953</v>
      </c>
      <c r="AB702">
        <f t="shared" ca="1" si="224"/>
        <v>0</v>
      </c>
      <c r="AC702" s="47">
        <f t="shared" ca="1" si="225"/>
        <v>0</v>
      </c>
      <c r="AD702">
        <f ca="1">Inputs!B16+(Inputs!D16-Inputs!B16)*BETAINV(RAND(),Model!H10,Model!I10)</f>
        <v>0.308112640870434</v>
      </c>
      <c r="AE702">
        <f ca="1">Inputs!E16+(Inputs!G16-Inputs!E16)*BETAINV(RAND(),Model!J10,Model!K10)</f>
        <v>0.42594990911868391</v>
      </c>
      <c r="AF702">
        <f ca="1">(Inputs!H16+(Inputs!J16-Inputs!H16)*BETAINV(RAND(),Model!L10,Model!M10))*Inputs!$C$6</f>
        <v>85064.516368535245</v>
      </c>
      <c r="AG702">
        <f t="shared" ca="1" si="226"/>
        <v>0.13124055137707905</v>
      </c>
      <c r="AH702">
        <f t="shared" ca="1" si="227"/>
        <v>0.6723729886504749</v>
      </c>
      <c r="AI702">
        <f t="shared" ca="1" si="228"/>
        <v>0</v>
      </c>
      <c r="AJ702" s="47">
        <f t="shared" ca="1" si="229"/>
        <v>0</v>
      </c>
      <c r="AK702">
        <f t="shared" ca="1" si="230"/>
        <v>17647.216793830143</v>
      </c>
    </row>
    <row r="703" spans="2:37" x14ac:dyDescent="0.2">
      <c r="B703">
        <f ca="1">Inputs!B12+(Inputs!D12-Inputs!B12)*BETAINV(RAND(),Model!H6,Model!I6)</f>
        <v>3.7955720417716052</v>
      </c>
      <c r="C703">
        <f ca="1">Inputs!E12+(Inputs!G12-Inputs!E12)*BETAINV(RAND(),Model!J6,Model!K6)</f>
        <v>0.28675852152612202</v>
      </c>
      <c r="D703">
        <f ca="1">(Inputs!H12+(Inputs!J12-Inputs!H12)*BETAINV(RAND(),Model!L6,Model!M6))*Inputs!$C$6</f>
        <v>42713.629167274506</v>
      </c>
      <c r="E703">
        <f t="shared" ca="1" si="210"/>
        <v>1.0884126270443097</v>
      </c>
      <c r="F703">
        <f t="shared" ca="1" si="211"/>
        <v>0.56258363190425453</v>
      </c>
      <c r="G703">
        <f t="shared" ca="1" si="212"/>
        <v>1</v>
      </c>
      <c r="H703" s="47">
        <f t="shared" ca="1" si="213"/>
        <v>42713.629167274506</v>
      </c>
      <c r="I703">
        <f ca="1">Inputs!B13+(Inputs!D13-Inputs!B13)*BETAINV(RAND(),Model!H7,Model!I7)</f>
        <v>1.3295455843156114</v>
      </c>
      <c r="J703">
        <f ca="1">Inputs!E13+(Inputs!G13-Inputs!E13)*BETAINV(RAND(),Model!J7,Model!K7)</f>
        <v>0.33030765376132043</v>
      </c>
      <c r="K703">
        <f ca="1">(Inputs!H13+(Inputs!J13-Inputs!H13)*BETAINV(RAND(),Model!L7,Model!M7))*Inputs!$C$6</f>
        <v>40901.695865687165</v>
      </c>
      <c r="L703">
        <f t="shared" ca="1" si="214"/>
        <v>0.43915908252401342</v>
      </c>
      <c r="M703">
        <f t="shared" ca="1" si="215"/>
        <v>0.69241888423493325</v>
      </c>
      <c r="N703">
        <f t="shared" ca="1" si="216"/>
        <v>1</v>
      </c>
      <c r="O703" s="47">
        <f t="shared" ca="1" si="217"/>
        <v>40901.695865687165</v>
      </c>
      <c r="P703">
        <f ca="1">Inputs!B14+(Inputs!D14-Inputs!B14)*BETAINV(RAND(),Model!H8,Model!I8)</f>
        <v>0.34438239893705763</v>
      </c>
      <c r="Q703">
        <f ca="1">Inputs!E14+(Inputs!G14-Inputs!E14)*BETAINV(RAND(),Model!J8,Model!K8)</f>
        <v>0.51617793321433536</v>
      </c>
      <c r="R703">
        <f ca="1">(Inputs!H14+(Inputs!J14-Inputs!H14)*BETAINV(RAND(),Model!L8,Model!M8))*Inputs!$C$6</f>
        <v>382139.98863486754</v>
      </c>
      <c r="S703">
        <f t="shared" ca="1" si="218"/>
        <v>0.17776259491872512</v>
      </c>
      <c r="T703">
        <f t="shared" ca="1" si="219"/>
        <v>0.50404871716616728</v>
      </c>
      <c r="U703">
        <f t="shared" ca="1" si="220"/>
        <v>0</v>
      </c>
      <c r="V703" s="47">
        <f t="shared" ca="1" si="221"/>
        <v>0</v>
      </c>
      <c r="W703">
        <f ca="1">Inputs!B15+(Inputs!D15-Inputs!B15)*BETAINV(RAND(),Model!H9,Model!I9)</f>
        <v>1.4352137640158267</v>
      </c>
      <c r="X703">
        <f ca="1">Inputs!E15+(Inputs!G15-Inputs!E15)*BETAINV(RAND(),Model!J9,Model!K9)</f>
        <v>0.48480152266363341</v>
      </c>
      <c r="Y703">
        <f ca="1">(Inputs!H15+(Inputs!J15-Inputs!H15)*BETAINV(RAND(),Model!L9,Model!M9))*Inputs!$C$6</f>
        <v>15055.33796470844</v>
      </c>
      <c r="Z703">
        <f t="shared" ca="1" si="222"/>
        <v>0.69579381814267738</v>
      </c>
      <c r="AA703">
        <f t="shared" ca="1" si="223"/>
        <v>0.63546263421411864</v>
      </c>
      <c r="AB703">
        <f t="shared" ca="1" si="224"/>
        <v>1</v>
      </c>
      <c r="AC703" s="47">
        <f t="shared" ca="1" si="225"/>
        <v>15055.33796470844</v>
      </c>
      <c r="AD703">
        <f ca="1">Inputs!B16+(Inputs!D16-Inputs!B16)*BETAINV(RAND(),Model!H10,Model!I10)</f>
        <v>0.83201310386137362</v>
      </c>
      <c r="AE703">
        <f ca="1">Inputs!E16+(Inputs!G16-Inputs!E16)*BETAINV(RAND(),Model!J10,Model!K10)</f>
        <v>0.52957247459414036</v>
      </c>
      <c r="AF703">
        <f ca="1">(Inputs!H16+(Inputs!J16-Inputs!H16)*BETAINV(RAND(),Model!L10,Model!M10))*Inputs!$C$6</f>
        <v>56407.137762527032</v>
      </c>
      <c r="AG703">
        <f t="shared" ca="1" si="226"/>
        <v>0.44061123830661914</v>
      </c>
      <c r="AH703">
        <f t="shared" ca="1" si="227"/>
        <v>0.35570627094516616</v>
      </c>
      <c r="AI703">
        <f t="shared" ca="1" si="228"/>
        <v>0</v>
      </c>
      <c r="AJ703" s="47">
        <f t="shared" ca="1" si="229"/>
        <v>0</v>
      </c>
      <c r="AK703">
        <f t="shared" ca="1" si="230"/>
        <v>98670.662997670108</v>
      </c>
    </row>
    <row r="704" spans="2:37" x14ac:dyDescent="0.2">
      <c r="B704">
        <f ca="1">Inputs!B12+(Inputs!D12-Inputs!B12)*BETAINV(RAND(),Model!H6,Model!I6)</f>
        <v>1.9367342639178391</v>
      </c>
      <c r="C704">
        <f ca="1">Inputs!E12+(Inputs!G12-Inputs!E12)*BETAINV(RAND(),Model!J6,Model!K6)</f>
        <v>0.26518569596253933</v>
      </c>
      <c r="D704">
        <f ca="1">(Inputs!H12+(Inputs!J12-Inputs!H12)*BETAINV(RAND(),Model!L6,Model!M6))*Inputs!$C$6</f>
        <v>50570.838725860471</v>
      </c>
      <c r="E704">
        <f t="shared" ca="1" si="210"/>
        <v>0.5135942236715485</v>
      </c>
      <c r="F704">
        <f t="shared" ca="1" si="211"/>
        <v>0.94762297862716138</v>
      </c>
      <c r="G704">
        <f t="shared" ca="1" si="212"/>
        <v>2</v>
      </c>
      <c r="H704" s="47">
        <f t="shared" ca="1" si="213"/>
        <v>101141.67745172094</v>
      </c>
      <c r="I704">
        <f ca="1">Inputs!B13+(Inputs!D13-Inputs!B13)*BETAINV(RAND(),Model!H7,Model!I7)</f>
        <v>3.3000712521514233</v>
      </c>
      <c r="J704">
        <f ca="1">Inputs!E13+(Inputs!G13-Inputs!E13)*BETAINV(RAND(),Model!J7,Model!K7)</f>
        <v>0.42339934867026019</v>
      </c>
      <c r="K704">
        <f ca="1">(Inputs!H13+(Inputs!J13-Inputs!H13)*BETAINV(RAND(),Model!L7,Model!M7))*Inputs!$C$6</f>
        <v>26811.281613942232</v>
      </c>
      <c r="L704">
        <f t="shared" ca="1" si="214"/>
        <v>1.3972480187263625</v>
      </c>
      <c r="M704">
        <f t="shared" ca="1" si="215"/>
        <v>0.6944751238662894</v>
      </c>
      <c r="N704">
        <f t="shared" ca="1" si="216"/>
        <v>2</v>
      </c>
      <c r="O704" s="47">
        <f t="shared" ca="1" si="217"/>
        <v>53622.563227884464</v>
      </c>
      <c r="P704">
        <f ca="1">Inputs!B14+(Inputs!D14-Inputs!B14)*BETAINV(RAND(),Model!H8,Model!I8)</f>
        <v>0.2040715348221584</v>
      </c>
      <c r="Q704">
        <f ca="1">Inputs!E14+(Inputs!G14-Inputs!E14)*BETAINV(RAND(),Model!J8,Model!K8)</f>
        <v>0.7964044777977537</v>
      </c>
      <c r="R704">
        <f ca="1">(Inputs!H14+(Inputs!J14-Inputs!H14)*BETAINV(RAND(),Model!L8,Model!M8))*Inputs!$C$6</f>
        <v>350088.05407686048</v>
      </c>
      <c r="S704">
        <f t="shared" ca="1" si="218"/>
        <v>0.16252348412342715</v>
      </c>
      <c r="T704">
        <f t="shared" ca="1" si="219"/>
        <v>4.2145036670593994E-2</v>
      </c>
      <c r="U704">
        <f t="shared" ca="1" si="220"/>
        <v>0</v>
      </c>
      <c r="V704" s="47">
        <f t="shared" ca="1" si="221"/>
        <v>0</v>
      </c>
      <c r="W704">
        <f ca="1">Inputs!B15+(Inputs!D15-Inputs!B15)*BETAINV(RAND(),Model!H9,Model!I9)</f>
        <v>1.7392237180332635</v>
      </c>
      <c r="X704">
        <f ca="1">Inputs!E15+(Inputs!G15-Inputs!E15)*BETAINV(RAND(),Model!J9,Model!K9)</f>
        <v>0.62874839224955026</v>
      </c>
      <c r="Y704">
        <f ca="1">(Inputs!H15+(Inputs!J15-Inputs!H15)*BETAINV(RAND(),Model!L9,Model!M9))*Inputs!$C$6</f>
        <v>34422.4682483754</v>
      </c>
      <c r="Z704">
        <f t="shared" ca="1" si="222"/>
        <v>1.0935341164756995</v>
      </c>
      <c r="AA704">
        <f t="shared" ca="1" si="223"/>
        <v>0.31016707204436655</v>
      </c>
      <c r="AB704">
        <f t="shared" ca="1" si="224"/>
        <v>0</v>
      </c>
      <c r="AC704" s="47">
        <f t="shared" ca="1" si="225"/>
        <v>0</v>
      </c>
      <c r="AD704">
        <f ca="1">Inputs!B16+(Inputs!D16-Inputs!B16)*BETAINV(RAND(),Model!H10,Model!I10)</f>
        <v>0.72480720449346236</v>
      </c>
      <c r="AE704">
        <f ca="1">Inputs!E16+(Inputs!G16-Inputs!E16)*BETAINV(RAND(),Model!J10,Model!K10)</f>
        <v>0.55067063935570038</v>
      </c>
      <c r="AF704">
        <f ca="1">(Inputs!H16+(Inputs!J16-Inputs!H16)*BETAINV(RAND(),Model!L10,Model!M10))*Inputs!$C$6</f>
        <v>109403.49320123269</v>
      </c>
      <c r="AG704">
        <f t="shared" ca="1" si="226"/>
        <v>0.39913004670803276</v>
      </c>
      <c r="AH704">
        <f t="shared" ca="1" si="227"/>
        <v>0.98918644697659952</v>
      </c>
      <c r="AI704">
        <f t="shared" ca="1" si="228"/>
        <v>2</v>
      </c>
      <c r="AJ704" s="47">
        <f t="shared" ca="1" si="229"/>
        <v>218806.98640246538</v>
      </c>
      <c r="AK704">
        <f t="shared" ca="1" si="230"/>
        <v>373571.22708207078</v>
      </c>
    </row>
    <row r="705" spans="2:37" x14ac:dyDescent="0.2">
      <c r="B705">
        <f ca="1">Inputs!B12+(Inputs!D12-Inputs!B12)*BETAINV(RAND(),Model!H6,Model!I6)</f>
        <v>4.760023261091618</v>
      </c>
      <c r="C705">
        <f ca="1">Inputs!E12+(Inputs!G12-Inputs!E12)*BETAINV(RAND(),Model!J6,Model!K6)</f>
        <v>0.27101818377662923</v>
      </c>
      <c r="D705">
        <f ca="1">(Inputs!H12+(Inputs!J12-Inputs!H12)*BETAINV(RAND(),Model!L6,Model!M6))*Inputs!$C$6</f>
        <v>30783.622427284132</v>
      </c>
      <c r="E705">
        <f t="shared" ca="1" si="210"/>
        <v>1.290052858955558</v>
      </c>
      <c r="F705">
        <f t="shared" ca="1" si="211"/>
        <v>0.27643599032269883</v>
      </c>
      <c r="G705">
        <f t="shared" ca="1" si="212"/>
        <v>1</v>
      </c>
      <c r="H705" s="47">
        <f t="shared" ca="1" si="213"/>
        <v>30783.622427284132</v>
      </c>
      <c r="I705">
        <f ca="1">Inputs!B13+(Inputs!D13-Inputs!B13)*BETAINV(RAND(),Model!H7,Model!I7)</f>
        <v>1.7117677791762766</v>
      </c>
      <c r="J705">
        <f ca="1">Inputs!E13+(Inputs!G13-Inputs!E13)*BETAINV(RAND(),Model!J7,Model!K7)</f>
        <v>0.17218237661588218</v>
      </c>
      <c r="K705">
        <f ca="1">(Inputs!H13+(Inputs!J13-Inputs!H13)*BETAINV(RAND(),Model!L7,Model!M7))*Inputs!$C$6</f>
        <v>28699.754733644364</v>
      </c>
      <c r="L705">
        <f t="shared" ca="1" si="214"/>
        <v>0.2947362444330619</v>
      </c>
      <c r="M705">
        <f t="shared" ca="1" si="215"/>
        <v>0.14093739296164598</v>
      </c>
      <c r="N705">
        <f t="shared" ca="1" si="216"/>
        <v>0</v>
      </c>
      <c r="O705" s="47">
        <f t="shared" ca="1" si="217"/>
        <v>0</v>
      </c>
      <c r="P705">
        <f ca="1">Inputs!B14+(Inputs!D14-Inputs!B14)*BETAINV(RAND(),Model!H8,Model!I8)</f>
        <v>0.12109213447758078</v>
      </c>
      <c r="Q705">
        <f ca="1">Inputs!E14+(Inputs!G14-Inputs!E14)*BETAINV(RAND(),Model!J8,Model!K8)</f>
        <v>0.75613596262785643</v>
      </c>
      <c r="R705">
        <f ca="1">(Inputs!H14+(Inputs!J14-Inputs!H14)*BETAINV(RAND(),Model!L8,Model!M8))*Inputs!$C$6</f>
        <v>323824.03355882043</v>
      </c>
      <c r="S705">
        <f t="shared" ca="1" si="218"/>
        <v>9.1562117669867382E-2</v>
      </c>
      <c r="T705">
        <f t="shared" ca="1" si="219"/>
        <v>0.90385826070871589</v>
      </c>
      <c r="U705">
        <f t="shared" ca="1" si="220"/>
        <v>0</v>
      </c>
      <c r="V705" s="47">
        <f t="shared" ca="1" si="221"/>
        <v>0</v>
      </c>
      <c r="W705">
        <f ca="1">Inputs!B15+(Inputs!D15-Inputs!B15)*BETAINV(RAND(),Model!H9,Model!I9)</f>
        <v>1.194540791322696</v>
      </c>
      <c r="X705">
        <f ca="1">Inputs!E15+(Inputs!G15-Inputs!E15)*BETAINV(RAND(),Model!J9,Model!K9)</f>
        <v>0.43085081089720345</v>
      </c>
      <c r="Y705">
        <f ca="1">(Inputs!H15+(Inputs!J15-Inputs!H15)*BETAINV(RAND(),Model!L9,Model!M9))*Inputs!$C$6</f>
        <v>21814.564322551843</v>
      </c>
      <c r="Z705">
        <f t="shared" ca="1" si="222"/>
        <v>0.51466886859117067</v>
      </c>
      <c r="AA705">
        <f t="shared" ca="1" si="223"/>
        <v>0.81422377748690755</v>
      </c>
      <c r="AB705">
        <f t="shared" ca="1" si="224"/>
        <v>1</v>
      </c>
      <c r="AC705" s="47">
        <f t="shared" ca="1" si="225"/>
        <v>21814.564322551843</v>
      </c>
      <c r="AD705">
        <f ca="1">Inputs!B16+(Inputs!D16-Inputs!B16)*BETAINV(RAND(),Model!H10,Model!I10)</f>
        <v>0.91830627559341682</v>
      </c>
      <c r="AE705">
        <f ca="1">Inputs!E16+(Inputs!G16-Inputs!E16)*BETAINV(RAND(),Model!J10,Model!K10)</f>
        <v>0.68915369129039417</v>
      </c>
      <c r="AF705">
        <f ca="1">(Inputs!H16+(Inputs!J16-Inputs!H16)*BETAINV(RAND(),Model!L10,Model!M10))*Inputs!$C$6</f>
        <v>93505.682805805496</v>
      </c>
      <c r="AG705">
        <f t="shared" ca="1" si="226"/>
        <v>0.63285415956033719</v>
      </c>
      <c r="AH705">
        <f t="shared" ca="1" si="227"/>
        <v>0.71841926150832602</v>
      </c>
      <c r="AI705">
        <f t="shared" ca="1" si="228"/>
        <v>1</v>
      </c>
      <c r="AJ705" s="47">
        <f t="shared" ca="1" si="229"/>
        <v>93505.682805805496</v>
      </c>
      <c r="AK705">
        <f t="shared" ca="1" si="230"/>
        <v>146103.86955564149</v>
      </c>
    </row>
    <row r="706" spans="2:37" x14ac:dyDescent="0.2">
      <c r="B706">
        <f ca="1">Inputs!B12+(Inputs!D12-Inputs!B12)*BETAINV(RAND(),Model!H6,Model!I6)</f>
        <v>2.7364833825993902</v>
      </c>
      <c r="C706">
        <f ca="1">Inputs!E12+(Inputs!G12-Inputs!E12)*BETAINV(RAND(),Model!J6,Model!K6)</f>
        <v>0.32622630294029897</v>
      </c>
      <c r="D706">
        <f ca="1">(Inputs!H12+(Inputs!J12-Inputs!H12)*BETAINV(RAND(),Model!L6,Model!M6))*Inputs!$C$6</f>
        <v>33132.058664476019</v>
      </c>
      <c r="E706">
        <f t="shared" ca="1" si="210"/>
        <v>0.89271285696296276</v>
      </c>
      <c r="F706">
        <f t="shared" ca="1" si="211"/>
        <v>0.37737646445229767</v>
      </c>
      <c r="G706">
        <f t="shared" ca="1" si="212"/>
        <v>0</v>
      </c>
      <c r="H706" s="47">
        <f t="shared" ca="1" si="213"/>
        <v>0</v>
      </c>
      <c r="I706">
        <f ca="1">Inputs!B13+(Inputs!D13-Inputs!B13)*BETAINV(RAND(),Model!H7,Model!I7)</f>
        <v>2.6025600224580243</v>
      </c>
      <c r="J706">
        <f ca="1">Inputs!E13+(Inputs!G13-Inputs!E13)*BETAINV(RAND(),Model!J7,Model!K7)</f>
        <v>0.22483729050596518</v>
      </c>
      <c r="K706">
        <f ca="1">(Inputs!H13+(Inputs!J13-Inputs!H13)*BETAINV(RAND(),Model!L7,Model!M7))*Inputs!$C$6</f>
        <v>36897.331913735929</v>
      </c>
      <c r="L706">
        <f t="shared" ca="1" si="214"/>
        <v>0.58515254382860604</v>
      </c>
      <c r="M706">
        <f t="shared" ca="1" si="215"/>
        <v>0.42199562554521131</v>
      </c>
      <c r="N706">
        <f t="shared" ca="1" si="216"/>
        <v>0</v>
      </c>
      <c r="O706" s="47">
        <f t="shared" ca="1" si="217"/>
        <v>0</v>
      </c>
      <c r="P706">
        <f ca="1">Inputs!B14+(Inputs!D14-Inputs!B14)*BETAINV(RAND(),Model!H8,Model!I8)</f>
        <v>0.55825385211955181</v>
      </c>
      <c r="Q706">
        <f ca="1">Inputs!E14+(Inputs!G14-Inputs!E14)*BETAINV(RAND(),Model!J8,Model!K8)</f>
        <v>0.34030233874175836</v>
      </c>
      <c r="R706">
        <f ca="1">(Inputs!H14+(Inputs!J14-Inputs!H14)*BETAINV(RAND(),Model!L8,Model!M8))*Inputs!$C$6</f>
        <v>393390.41186535713</v>
      </c>
      <c r="S706">
        <f t="shared" ca="1" si="218"/>
        <v>0.18997509148787919</v>
      </c>
      <c r="T706">
        <f t="shared" ca="1" si="219"/>
        <v>0.33542058932308227</v>
      </c>
      <c r="U706">
        <f t="shared" ca="1" si="220"/>
        <v>0</v>
      </c>
      <c r="V706" s="47">
        <f t="shared" ca="1" si="221"/>
        <v>0</v>
      </c>
      <c r="W706">
        <f ca="1">Inputs!B15+(Inputs!D15-Inputs!B15)*BETAINV(RAND(),Model!H9,Model!I9)</f>
        <v>1.1622928303584867</v>
      </c>
      <c r="X706">
        <f ca="1">Inputs!E15+(Inputs!G15-Inputs!E15)*BETAINV(RAND(),Model!J9,Model!K9)</f>
        <v>0.3573449387311306</v>
      </c>
      <c r="Y706">
        <f ca="1">(Inputs!H15+(Inputs!J15-Inputs!H15)*BETAINV(RAND(),Model!L9,Model!M9))*Inputs!$C$6</f>
        <v>11966.875642560499</v>
      </c>
      <c r="Z706">
        <f t="shared" ca="1" si="222"/>
        <v>0.41533946025208579</v>
      </c>
      <c r="AA706">
        <f t="shared" ca="1" si="223"/>
        <v>0.37989304898412979</v>
      </c>
      <c r="AB706">
        <f t="shared" ca="1" si="224"/>
        <v>0</v>
      </c>
      <c r="AC706" s="47">
        <f t="shared" ca="1" si="225"/>
        <v>0</v>
      </c>
      <c r="AD706">
        <f ca="1">Inputs!B16+(Inputs!D16-Inputs!B16)*BETAINV(RAND(),Model!H10,Model!I10)</f>
        <v>0.91098807129754467</v>
      </c>
      <c r="AE706">
        <f ca="1">Inputs!E16+(Inputs!G16-Inputs!E16)*BETAINV(RAND(),Model!J10,Model!K10)</f>
        <v>0.6028847488459379</v>
      </c>
      <c r="AF706">
        <f ca="1">(Inputs!H16+(Inputs!J16-Inputs!H16)*BETAINV(RAND(),Model!L10,Model!M10))*Inputs!$C$6</f>
        <v>113570.2795773234</v>
      </c>
      <c r="AG706">
        <f t="shared" ca="1" si="226"/>
        <v>0.54922081456586558</v>
      </c>
      <c r="AH706">
        <f t="shared" ca="1" si="227"/>
        <v>0.53427148056761453</v>
      </c>
      <c r="AI706">
        <f t="shared" ca="1" si="228"/>
        <v>0</v>
      </c>
      <c r="AJ706" s="47">
        <f t="shared" ca="1" si="229"/>
        <v>0</v>
      </c>
      <c r="AK706">
        <f t="shared" ca="1" si="230"/>
        <v>0</v>
      </c>
    </row>
    <row r="707" spans="2:37" x14ac:dyDescent="0.2">
      <c r="B707">
        <f ca="1">Inputs!B12+(Inputs!D12-Inputs!B12)*BETAINV(RAND(),Model!H6,Model!I6)</f>
        <v>3.0694092770340644</v>
      </c>
      <c r="C707">
        <f ca="1">Inputs!E12+(Inputs!G12-Inputs!E12)*BETAINV(RAND(),Model!J6,Model!K6)</f>
        <v>0.22385402690666517</v>
      </c>
      <c r="D707">
        <f ca="1">(Inputs!H12+(Inputs!J12-Inputs!H12)*BETAINV(RAND(),Model!L6,Model!M6))*Inputs!$C$6</f>
        <v>27524.784459491828</v>
      </c>
      <c r="E707">
        <f t="shared" ca="1" si="210"/>
        <v>0.68709962688875115</v>
      </c>
      <c r="F707">
        <f t="shared" ca="1" si="211"/>
        <v>0.3863805586378477</v>
      </c>
      <c r="G707">
        <f t="shared" ca="1" si="212"/>
        <v>0</v>
      </c>
      <c r="H707" s="47">
        <f t="shared" ca="1" si="213"/>
        <v>0</v>
      </c>
      <c r="I707">
        <f ca="1">Inputs!B13+(Inputs!D13-Inputs!B13)*BETAINV(RAND(),Model!H7,Model!I7)</f>
        <v>3.694917673312589</v>
      </c>
      <c r="J707">
        <f ca="1">Inputs!E13+(Inputs!G13-Inputs!E13)*BETAINV(RAND(),Model!J7,Model!K7)</f>
        <v>0.1682311746315768</v>
      </c>
      <c r="K707">
        <f ca="1">(Inputs!H13+(Inputs!J13-Inputs!H13)*BETAINV(RAND(),Model!L7,Model!M7))*Inputs!$C$6</f>
        <v>9109.4712496034881</v>
      </c>
      <c r="L707">
        <f t="shared" ca="1" si="214"/>
        <v>0.62160034034834966</v>
      </c>
      <c r="M707">
        <f t="shared" ca="1" si="215"/>
        <v>0.42205525953205014</v>
      </c>
      <c r="N707">
        <f t="shared" ca="1" si="216"/>
        <v>0</v>
      </c>
      <c r="O707" s="47">
        <f t="shared" ca="1" si="217"/>
        <v>0</v>
      </c>
      <c r="P707">
        <f ca="1">Inputs!B14+(Inputs!D14-Inputs!B14)*BETAINV(RAND(),Model!H8,Model!I8)</f>
        <v>0.39699387529739549</v>
      </c>
      <c r="Q707">
        <f ca="1">Inputs!E14+(Inputs!G14-Inputs!E14)*BETAINV(RAND(),Model!J8,Model!K8)</f>
        <v>0.39984368100930812</v>
      </c>
      <c r="R707">
        <f ca="1">(Inputs!H14+(Inputs!J14-Inputs!H14)*BETAINV(RAND(),Model!L8,Model!M8))*Inputs!$C$6</f>
        <v>348682.55504591664</v>
      </c>
      <c r="S707">
        <f t="shared" ca="1" si="218"/>
        <v>0.15873549243706084</v>
      </c>
      <c r="T707">
        <f t="shared" ca="1" si="219"/>
        <v>0.88977436592048287</v>
      </c>
      <c r="U707">
        <f t="shared" ca="1" si="220"/>
        <v>1</v>
      </c>
      <c r="V707" s="47">
        <f t="shared" ca="1" si="221"/>
        <v>348682.55504591664</v>
      </c>
      <c r="W707">
        <f ca="1">Inputs!B15+(Inputs!D15-Inputs!B15)*BETAINV(RAND(),Model!H9,Model!I9)</f>
        <v>0.67488666442128553</v>
      </c>
      <c r="X707">
        <f ca="1">Inputs!E15+(Inputs!G15-Inputs!E15)*BETAINV(RAND(),Model!J9,Model!K9)</f>
        <v>0.54893782423553961</v>
      </c>
      <c r="Y707">
        <f ca="1">(Inputs!H15+(Inputs!J15-Inputs!H15)*BETAINV(RAND(),Model!L9,Model!M9))*Inputs!$C$6</f>
        <v>58706.222781324708</v>
      </c>
      <c r="Z707">
        <f t="shared" ca="1" si="222"/>
        <v>0.37047081717300123</v>
      </c>
      <c r="AA707">
        <f t="shared" ca="1" si="223"/>
        <v>0.94305896227098818</v>
      </c>
      <c r="AB707">
        <f t="shared" ca="1" si="224"/>
        <v>1</v>
      </c>
      <c r="AC707" s="47">
        <f t="shared" ca="1" si="225"/>
        <v>58706.222781324708</v>
      </c>
      <c r="AD707">
        <f ca="1">Inputs!B16+(Inputs!D16-Inputs!B16)*BETAINV(RAND(),Model!H10,Model!I10)</f>
        <v>0.90821437383191395</v>
      </c>
      <c r="AE707">
        <f ca="1">Inputs!E16+(Inputs!G16-Inputs!E16)*BETAINV(RAND(),Model!J10,Model!K10)</f>
        <v>0.74728423174360503</v>
      </c>
      <c r="AF707">
        <f ca="1">(Inputs!H16+(Inputs!J16-Inputs!H16)*BETAINV(RAND(),Model!L10,Model!M10))*Inputs!$C$6</f>
        <v>86801.547255684694</v>
      </c>
      <c r="AG707">
        <f t="shared" ca="1" si="226"/>
        <v>0.67869428060748116</v>
      </c>
      <c r="AH707">
        <f t="shared" ca="1" si="227"/>
        <v>0.67629292725834234</v>
      </c>
      <c r="AI707">
        <f t="shared" ca="1" si="228"/>
        <v>1</v>
      </c>
      <c r="AJ707" s="47">
        <f t="shared" ca="1" si="229"/>
        <v>86801.547255684694</v>
      </c>
      <c r="AK707">
        <f t="shared" ca="1" si="230"/>
        <v>494190.32508292602</v>
      </c>
    </row>
    <row r="708" spans="2:37" x14ac:dyDescent="0.2">
      <c r="B708">
        <f ca="1">Inputs!B12+(Inputs!D12-Inputs!B12)*BETAINV(RAND(),Model!H6,Model!I6)</f>
        <v>1.6664859394416691</v>
      </c>
      <c r="C708">
        <f ca="1">Inputs!E12+(Inputs!G12-Inputs!E12)*BETAINV(RAND(),Model!J6,Model!K6)</f>
        <v>0.49958723908592184</v>
      </c>
      <c r="D708">
        <f ca="1">(Inputs!H12+(Inputs!J12-Inputs!H12)*BETAINV(RAND(),Model!L6,Model!M6))*Inputs!$C$6</f>
        <v>21985.824018509913</v>
      </c>
      <c r="E708">
        <f t="shared" ca="1" si="210"/>
        <v>0.83255510946117217</v>
      </c>
      <c r="F708">
        <f t="shared" ca="1" si="211"/>
        <v>0.92798848264355416</v>
      </c>
      <c r="G708">
        <f t="shared" ca="1" si="212"/>
        <v>2</v>
      </c>
      <c r="H708" s="47">
        <f t="shared" ca="1" si="213"/>
        <v>43971.648037019826</v>
      </c>
      <c r="I708">
        <f ca="1">Inputs!B13+(Inputs!D13-Inputs!B13)*BETAINV(RAND(),Model!H7,Model!I7)</f>
        <v>3.468889622664185</v>
      </c>
      <c r="J708">
        <f ca="1">Inputs!E13+(Inputs!G13-Inputs!E13)*BETAINV(RAND(),Model!J7,Model!K7)</f>
        <v>0.39184835399229867</v>
      </c>
      <c r="K708">
        <f ca="1">(Inputs!H13+(Inputs!J13-Inputs!H13)*BETAINV(RAND(),Model!L7,Model!M7))*Inputs!$C$6</f>
        <v>32056.521861828092</v>
      </c>
      <c r="L708">
        <f t="shared" ca="1" si="214"/>
        <v>1.3592786888219268</v>
      </c>
      <c r="M708">
        <f t="shared" ca="1" si="215"/>
        <v>0.80555848012318032</v>
      </c>
      <c r="N708">
        <f t="shared" ca="1" si="216"/>
        <v>2</v>
      </c>
      <c r="O708" s="47">
        <f t="shared" ca="1" si="217"/>
        <v>64113.043723656185</v>
      </c>
      <c r="P708">
        <f ca="1">Inputs!B14+(Inputs!D14-Inputs!B14)*BETAINV(RAND(),Model!H8,Model!I8)</f>
        <v>0.39977268864380677</v>
      </c>
      <c r="Q708">
        <f ca="1">Inputs!E14+(Inputs!G14-Inputs!E14)*BETAINV(RAND(),Model!J8,Model!K8)</f>
        <v>0.40805441105401952</v>
      </c>
      <c r="R708">
        <f ca="1">(Inputs!H14+(Inputs!J14-Inputs!H14)*BETAINV(RAND(),Model!L8,Model!M8))*Inputs!$C$6</f>
        <v>492661.01488693594</v>
      </c>
      <c r="S708">
        <f t="shared" ca="1" si="218"/>
        <v>0.1631290090200305</v>
      </c>
      <c r="T708">
        <f t="shared" ca="1" si="219"/>
        <v>2.6622299979174757E-2</v>
      </c>
      <c r="U708">
        <f t="shared" ca="1" si="220"/>
        <v>0</v>
      </c>
      <c r="V708" s="47">
        <f t="shared" ca="1" si="221"/>
        <v>0</v>
      </c>
      <c r="W708">
        <f ca="1">Inputs!B15+(Inputs!D15-Inputs!B15)*BETAINV(RAND(),Model!H9,Model!I9)</f>
        <v>0.65296604873295605</v>
      </c>
      <c r="X708">
        <f ca="1">Inputs!E15+(Inputs!G15-Inputs!E15)*BETAINV(RAND(),Model!J9,Model!K9)</f>
        <v>0.53776217948685523</v>
      </c>
      <c r="Y708">
        <f ca="1">(Inputs!H15+(Inputs!J15-Inputs!H15)*BETAINV(RAND(),Model!L9,Model!M9))*Inputs!$C$6</f>
        <v>19555.367752269627</v>
      </c>
      <c r="Z708">
        <f t="shared" ca="1" si="222"/>
        <v>0.35114044549755458</v>
      </c>
      <c r="AA708">
        <f t="shared" ca="1" si="223"/>
        <v>0.39946408856699533</v>
      </c>
      <c r="AB708">
        <f t="shared" ca="1" si="224"/>
        <v>0</v>
      </c>
      <c r="AC708" s="47">
        <f t="shared" ca="1" si="225"/>
        <v>0</v>
      </c>
      <c r="AD708">
        <f ca="1">Inputs!B16+(Inputs!D16-Inputs!B16)*BETAINV(RAND(),Model!H10,Model!I10)</f>
        <v>0.33845584126528605</v>
      </c>
      <c r="AE708">
        <f ca="1">Inputs!E16+(Inputs!G16-Inputs!E16)*BETAINV(RAND(),Model!J10,Model!K10)</f>
        <v>0.66984734992453077</v>
      </c>
      <c r="AF708">
        <f ca="1">(Inputs!H16+(Inputs!J16-Inputs!H16)*BETAINV(RAND(),Model!L10,Model!M10))*Inputs!$C$6</f>
        <v>81164.648353213663</v>
      </c>
      <c r="AG708">
        <f t="shared" ca="1" si="226"/>
        <v>0.22671374833802951</v>
      </c>
      <c r="AH708">
        <f t="shared" ca="1" si="227"/>
        <v>0.39370474011049339</v>
      </c>
      <c r="AI708">
        <f t="shared" ca="1" si="228"/>
        <v>0</v>
      </c>
      <c r="AJ708" s="47">
        <f t="shared" ca="1" si="229"/>
        <v>0</v>
      </c>
      <c r="AK708">
        <f t="shared" ca="1" si="230"/>
        <v>108084.69176067601</v>
      </c>
    </row>
    <row r="709" spans="2:37" x14ac:dyDescent="0.2">
      <c r="B709">
        <f ca="1">Inputs!B12+(Inputs!D12-Inputs!B12)*BETAINV(RAND(),Model!H6,Model!I6)</f>
        <v>3.6408908152863626</v>
      </c>
      <c r="C709">
        <f ca="1">Inputs!E12+(Inputs!G12-Inputs!E12)*BETAINV(RAND(),Model!J6,Model!K6)</f>
        <v>0.38165019471977413</v>
      </c>
      <c r="D709">
        <f ca="1">(Inputs!H12+(Inputs!J12-Inputs!H12)*BETAINV(RAND(),Model!L6,Model!M6))*Inputs!$C$6</f>
        <v>20961.116353053589</v>
      </c>
      <c r="E709">
        <f t="shared" ca="1" si="210"/>
        <v>1.3895466886074774</v>
      </c>
      <c r="F709">
        <f t="shared" ca="1" si="211"/>
        <v>0.78349079376056219</v>
      </c>
      <c r="G709">
        <f t="shared" ca="1" si="212"/>
        <v>2</v>
      </c>
      <c r="H709" s="47">
        <f t="shared" ca="1" si="213"/>
        <v>41922.232706107177</v>
      </c>
      <c r="I709">
        <f ca="1">Inputs!B13+(Inputs!D13-Inputs!B13)*BETAINV(RAND(),Model!H7,Model!I7)</f>
        <v>1.6125500104353394</v>
      </c>
      <c r="J709">
        <f ca="1">Inputs!E13+(Inputs!G13-Inputs!E13)*BETAINV(RAND(),Model!J7,Model!K7)</f>
        <v>0.21268992064502965</v>
      </c>
      <c r="K709">
        <f ca="1">(Inputs!H13+(Inputs!J13-Inputs!H13)*BETAINV(RAND(),Model!L7,Model!M7))*Inputs!$C$6</f>
        <v>28505.454074004672</v>
      </c>
      <c r="L709">
        <f t="shared" ca="1" si="214"/>
        <v>0.34297313375563404</v>
      </c>
      <c r="M709">
        <f t="shared" ca="1" si="215"/>
        <v>0.70794090009545874</v>
      </c>
      <c r="N709">
        <f t="shared" ca="1" si="216"/>
        <v>0</v>
      </c>
      <c r="O709" s="47">
        <f t="shared" ca="1" si="217"/>
        <v>0</v>
      </c>
      <c r="P709">
        <f ca="1">Inputs!B14+(Inputs!D14-Inputs!B14)*BETAINV(RAND(),Model!H8,Model!I8)</f>
        <v>0.31312520136792465</v>
      </c>
      <c r="Q709">
        <f ca="1">Inputs!E14+(Inputs!G14-Inputs!E14)*BETAINV(RAND(),Model!J8,Model!K8)</f>
        <v>0.78591756801212309</v>
      </c>
      <c r="R709">
        <f ca="1">(Inputs!H14+(Inputs!J14-Inputs!H14)*BETAINV(RAND(),Model!L8,Model!M8))*Inputs!$C$6</f>
        <v>285482.4037969514</v>
      </c>
      <c r="S709">
        <f t="shared" ca="1" si="218"/>
        <v>0.24609059674238568</v>
      </c>
      <c r="T709">
        <f t="shared" ca="1" si="219"/>
        <v>0.95792574335360459</v>
      </c>
      <c r="U709">
        <f t="shared" ca="1" si="220"/>
        <v>1</v>
      </c>
      <c r="V709" s="47">
        <f t="shared" ca="1" si="221"/>
        <v>285482.4037969514</v>
      </c>
      <c r="W709">
        <f ca="1">Inputs!B15+(Inputs!D15-Inputs!B15)*BETAINV(RAND(),Model!H9,Model!I9)</f>
        <v>1.5284004974713943</v>
      </c>
      <c r="X709">
        <f ca="1">Inputs!E15+(Inputs!G15-Inputs!E15)*BETAINV(RAND(),Model!J9,Model!K9)</f>
        <v>0.36928372858218128</v>
      </c>
      <c r="Y709">
        <f ca="1">(Inputs!H15+(Inputs!J15-Inputs!H15)*BETAINV(RAND(),Model!L9,Model!M9))*Inputs!$C$6</f>
        <v>30710.679066350698</v>
      </c>
      <c r="Z709">
        <f t="shared" ca="1" si="222"/>
        <v>0.56441343447309722</v>
      </c>
      <c r="AA709">
        <f t="shared" ca="1" si="223"/>
        <v>0.23696290744833726</v>
      </c>
      <c r="AB709">
        <f t="shared" ca="1" si="224"/>
        <v>0</v>
      </c>
      <c r="AC709" s="47">
        <f t="shared" ca="1" si="225"/>
        <v>0</v>
      </c>
      <c r="AD709">
        <f ca="1">Inputs!B16+(Inputs!D16-Inputs!B16)*BETAINV(RAND(),Model!H10,Model!I10)</f>
        <v>0.45203665389583148</v>
      </c>
      <c r="AE709">
        <f ca="1">Inputs!E16+(Inputs!G16-Inputs!E16)*BETAINV(RAND(),Model!J10,Model!K10)</f>
        <v>0.59860376672930271</v>
      </c>
      <c r="AF709">
        <f ca="1">(Inputs!H16+(Inputs!J16-Inputs!H16)*BETAINV(RAND(),Model!L10,Model!M10))*Inputs!$C$6</f>
        <v>97792.68000219026</v>
      </c>
      <c r="AG709">
        <f t="shared" ca="1" si="226"/>
        <v>0.27059084372175485</v>
      </c>
      <c r="AH709">
        <f t="shared" ca="1" si="227"/>
        <v>0.78763604342338911</v>
      </c>
      <c r="AI709">
        <f t="shared" ca="1" si="228"/>
        <v>1</v>
      </c>
      <c r="AJ709" s="47">
        <f t="shared" ca="1" si="229"/>
        <v>97792.68000219026</v>
      </c>
      <c r="AK709">
        <f t="shared" ca="1" si="230"/>
        <v>425197.31650524889</v>
      </c>
    </row>
    <row r="710" spans="2:37" x14ac:dyDescent="0.2">
      <c r="B710">
        <f ca="1">Inputs!B12+(Inputs!D12-Inputs!B12)*BETAINV(RAND(),Model!H6,Model!I6)</f>
        <v>4.5664183087622634</v>
      </c>
      <c r="C710">
        <f ca="1">Inputs!E12+(Inputs!G12-Inputs!E12)*BETAINV(RAND(),Model!J6,Model!K6)</f>
        <v>0.40320759240337045</v>
      </c>
      <c r="D710">
        <f ca="1">(Inputs!H12+(Inputs!J12-Inputs!H12)*BETAINV(RAND(),Model!L6,Model!M6))*Inputs!$C$6</f>
        <v>21279.989367452938</v>
      </c>
      <c r="E710">
        <f t="shared" ca="1" si="210"/>
        <v>1.8412145321827029</v>
      </c>
      <c r="F710">
        <f t="shared" ca="1" si="211"/>
        <v>0.26617016977705865</v>
      </c>
      <c r="G710">
        <f t="shared" ca="1" si="212"/>
        <v>1</v>
      </c>
      <c r="H710" s="47">
        <f t="shared" ca="1" si="213"/>
        <v>21279.989367452938</v>
      </c>
      <c r="I710">
        <f ca="1">Inputs!B13+(Inputs!D13-Inputs!B13)*BETAINV(RAND(),Model!H7,Model!I7)</f>
        <v>1.004850118797771</v>
      </c>
      <c r="J710">
        <f ca="1">Inputs!E13+(Inputs!G13-Inputs!E13)*BETAINV(RAND(),Model!J7,Model!K7)</f>
        <v>0.30669133749786776</v>
      </c>
      <c r="K710">
        <f ca="1">(Inputs!H13+(Inputs!J13-Inputs!H13)*BETAINV(RAND(),Model!L7,Model!M7))*Inputs!$C$6</f>
        <v>21577.870580723407</v>
      </c>
      <c r="L710">
        <f t="shared" ca="1" si="214"/>
        <v>0.30817882691897969</v>
      </c>
      <c r="M710">
        <f t="shared" ca="1" si="215"/>
        <v>0.20475663511260334</v>
      </c>
      <c r="N710">
        <f t="shared" ca="1" si="216"/>
        <v>0</v>
      </c>
      <c r="O710" s="47">
        <f t="shared" ca="1" si="217"/>
        <v>0</v>
      </c>
      <c r="P710">
        <f ca="1">Inputs!B14+(Inputs!D14-Inputs!B14)*BETAINV(RAND(),Model!H8,Model!I8)</f>
        <v>0.27674876822091038</v>
      </c>
      <c r="Q710">
        <f ca="1">Inputs!E14+(Inputs!G14-Inputs!E14)*BETAINV(RAND(),Model!J8,Model!K8)</f>
        <v>0.5979111350116546</v>
      </c>
      <c r="R710">
        <f ca="1">(Inputs!H14+(Inputs!J14-Inputs!H14)*BETAINV(RAND(),Model!L8,Model!M8))*Inputs!$C$6</f>
        <v>182575.43590827813</v>
      </c>
      <c r="S710">
        <f t="shared" ca="1" si="218"/>
        <v>0.16547117012004187</v>
      </c>
      <c r="T710">
        <f t="shared" ca="1" si="219"/>
        <v>1.5338058595357751E-3</v>
      </c>
      <c r="U710">
        <f t="shared" ca="1" si="220"/>
        <v>0</v>
      </c>
      <c r="V710" s="47">
        <f t="shared" ca="1" si="221"/>
        <v>0</v>
      </c>
      <c r="W710">
        <f ca="1">Inputs!B15+(Inputs!D15-Inputs!B15)*BETAINV(RAND(),Model!H9,Model!I9)</f>
        <v>1.7383655141718086</v>
      </c>
      <c r="X710">
        <f ca="1">Inputs!E15+(Inputs!G15-Inputs!E15)*BETAINV(RAND(),Model!J9,Model!K9)</f>
        <v>0.51338010564637593</v>
      </c>
      <c r="Y710">
        <f ca="1">(Inputs!H15+(Inputs!J15-Inputs!H15)*BETAINV(RAND(),Model!L9,Model!M9))*Inputs!$C$6</f>
        <v>24308.669604651881</v>
      </c>
      <c r="Z710">
        <f t="shared" ca="1" si="222"/>
        <v>0.89244227131753973</v>
      </c>
      <c r="AA710">
        <f t="shared" ca="1" si="223"/>
        <v>0.52725666665478543</v>
      </c>
      <c r="AB710">
        <f t="shared" ca="1" si="224"/>
        <v>1</v>
      </c>
      <c r="AC710" s="47">
        <f t="shared" ca="1" si="225"/>
        <v>24308.669604651881</v>
      </c>
      <c r="AD710">
        <f ca="1">Inputs!B16+(Inputs!D16-Inputs!B16)*BETAINV(RAND(),Model!H10,Model!I10)</f>
        <v>0.8956133365051957</v>
      </c>
      <c r="AE710">
        <f ca="1">Inputs!E16+(Inputs!G16-Inputs!E16)*BETAINV(RAND(),Model!J10,Model!K10)</f>
        <v>0.56068612498085801</v>
      </c>
      <c r="AF710">
        <f ca="1">(Inputs!H16+(Inputs!J16-Inputs!H16)*BETAINV(RAND(),Model!L10,Model!M10))*Inputs!$C$6</f>
        <v>120533.24492169385</v>
      </c>
      <c r="AG710">
        <f t="shared" ca="1" si="226"/>
        <v>0.50215797112627536</v>
      </c>
      <c r="AH710">
        <f t="shared" ca="1" si="227"/>
        <v>0.61630413433024578</v>
      </c>
      <c r="AI710">
        <f t="shared" ca="1" si="228"/>
        <v>1</v>
      </c>
      <c r="AJ710" s="47">
        <f t="shared" ca="1" si="229"/>
        <v>120533.24492169385</v>
      </c>
      <c r="AK710">
        <f t="shared" ca="1" si="230"/>
        <v>166121.90389379868</v>
      </c>
    </row>
    <row r="711" spans="2:37" x14ac:dyDescent="0.2">
      <c r="B711">
        <f ca="1">Inputs!B12+(Inputs!D12-Inputs!B12)*BETAINV(RAND(),Model!H6,Model!I6)</f>
        <v>3.715960368095848</v>
      </c>
      <c r="C711">
        <f ca="1">Inputs!E12+(Inputs!G12-Inputs!E12)*BETAINV(RAND(),Model!J6,Model!K6)</f>
        <v>0.26098649442671801</v>
      </c>
      <c r="D711">
        <f ca="1">(Inputs!H12+(Inputs!J12-Inputs!H12)*BETAINV(RAND(),Model!L6,Model!M6))*Inputs!$C$6</f>
        <v>12537.316805491424</v>
      </c>
      <c r="E711">
        <f t="shared" ca="1" si="210"/>
        <v>0.96981546989795198</v>
      </c>
      <c r="F711">
        <f t="shared" ca="1" si="211"/>
        <v>0.86178352819391268</v>
      </c>
      <c r="G711">
        <f t="shared" ca="1" si="212"/>
        <v>2</v>
      </c>
      <c r="H711" s="47">
        <f t="shared" ca="1" si="213"/>
        <v>25074.633610982848</v>
      </c>
      <c r="I711">
        <f ca="1">Inputs!B13+(Inputs!D13-Inputs!B13)*BETAINV(RAND(),Model!H7,Model!I7)</f>
        <v>3.0281372210108599</v>
      </c>
      <c r="J711">
        <f ca="1">Inputs!E13+(Inputs!G13-Inputs!E13)*BETAINV(RAND(),Model!J7,Model!K7)</f>
        <v>0.21778573680752464</v>
      </c>
      <c r="K711">
        <f ca="1">(Inputs!H13+(Inputs!J13-Inputs!H13)*BETAINV(RAND(),Model!L7,Model!M7))*Inputs!$C$6</f>
        <v>15689.494260510493</v>
      </c>
      <c r="L711">
        <f t="shared" ca="1" si="214"/>
        <v>0.65948509583214021</v>
      </c>
      <c r="M711">
        <f t="shared" ca="1" si="215"/>
        <v>8.2090026784356618E-2</v>
      </c>
      <c r="N711">
        <f t="shared" ca="1" si="216"/>
        <v>0</v>
      </c>
      <c r="O711" s="47">
        <f t="shared" ca="1" si="217"/>
        <v>0</v>
      </c>
      <c r="P711">
        <f ca="1">Inputs!B14+(Inputs!D14-Inputs!B14)*BETAINV(RAND(),Model!H8,Model!I8)</f>
        <v>0.31947563431244164</v>
      </c>
      <c r="Q711">
        <f ca="1">Inputs!E14+(Inputs!G14-Inputs!E14)*BETAINV(RAND(),Model!J8,Model!K8)</f>
        <v>0.37851244146741952</v>
      </c>
      <c r="R711">
        <f ca="1">(Inputs!H14+(Inputs!J14-Inputs!H14)*BETAINV(RAND(),Model!L8,Model!M8))*Inputs!$C$6</f>
        <v>343258.89456047432</v>
      </c>
      <c r="S711">
        <f t="shared" ca="1" si="218"/>
        <v>0.12092550233295479</v>
      </c>
      <c r="T711">
        <f t="shared" ca="1" si="219"/>
        <v>0.92094318747785342</v>
      </c>
      <c r="U711">
        <f t="shared" ca="1" si="220"/>
        <v>1</v>
      </c>
      <c r="V711" s="47">
        <f t="shared" ca="1" si="221"/>
        <v>343258.89456047432</v>
      </c>
      <c r="W711">
        <f ca="1">Inputs!B15+(Inputs!D15-Inputs!B15)*BETAINV(RAND(),Model!H9,Model!I9)</f>
        <v>1.0332923498313165</v>
      </c>
      <c r="X711">
        <f ca="1">Inputs!E15+(Inputs!G15-Inputs!E15)*BETAINV(RAND(),Model!J9,Model!K9)</f>
        <v>0.55498637804191131</v>
      </c>
      <c r="Y711">
        <f ca="1">(Inputs!H15+(Inputs!J15-Inputs!H15)*BETAINV(RAND(),Model!L9,Model!M9))*Inputs!$C$6</f>
        <v>32524.360263640538</v>
      </c>
      <c r="Z711">
        <f t="shared" ca="1" si="222"/>
        <v>0.57346317869129781</v>
      </c>
      <c r="AA711">
        <f t="shared" ca="1" si="223"/>
        <v>0.49538956821169211</v>
      </c>
      <c r="AB711">
        <f t="shared" ca="1" si="224"/>
        <v>0</v>
      </c>
      <c r="AC711" s="47">
        <f t="shared" ca="1" si="225"/>
        <v>0</v>
      </c>
      <c r="AD711">
        <f ca="1">Inputs!B16+(Inputs!D16-Inputs!B16)*BETAINV(RAND(),Model!H10,Model!I10)</f>
        <v>0.76598120286508542</v>
      </c>
      <c r="AE711">
        <f ca="1">Inputs!E16+(Inputs!G16-Inputs!E16)*BETAINV(RAND(),Model!J10,Model!K10)</f>
        <v>0.63062706745886588</v>
      </c>
      <c r="AF711">
        <f ca="1">(Inputs!H16+(Inputs!J16-Inputs!H16)*BETAINV(RAND(),Model!L10,Model!M10))*Inputs!$C$6</f>
        <v>41961.640573598932</v>
      </c>
      <c r="AG711">
        <f t="shared" ca="1" si="226"/>
        <v>0.48304847969142345</v>
      </c>
      <c r="AH711">
        <f t="shared" ca="1" si="227"/>
        <v>0.62321695136445387</v>
      </c>
      <c r="AI711">
        <f t="shared" ca="1" si="228"/>
        <v>1</v>
      </c>
      <c r="AJ711" s="47">
        <f t="shared" ca="1" si="229"/>
        <v>41961.640573598932</v>
      </c>
      <c r="AK711">
        <f t="shared" ca="1" si="230"/>
        <v>410295.16874505609</v>
      </c>
    </row>
    <row r="712" spans="2:37" x14ac:dyDescent="0.2">
      <c r="B712">
        <f ca="1">Inputs!B12+(Inputs!D12-Inputs!B12)*BETAINV(RAND(),Model!H6,Model!I6)</f>
        <v>3.22690283986219</v>
      </c>
      <c r="C712">
        <f ca="1">Inputs!E12+(Inputs!G12-Inputs!E12)*BETAINV(RAND(),Model!J6,Model!K6)</f>
        <v>0.35151481066718865</v>
      </c>
      <c r="D712">
        <f ca="1">(Inputs!H12+(Inputs!J12-Inputs!H12)*BETAINV(RAND(),Model!L6,Model!M6))*Inputs!$C$6</f>
        <v>52288.056094209089</v>
      </c>
      <c r="E712">
        <f t="shared" ca="1" si="210"/>
        <v>1.1343041407955712</v>
      </c>
      <c r="F712">
        <f t="shared" ca="1" si="211"/>
        <v>0.42801038515523038</v>
      </c>
      <c r="G712">
        <f t="shared" ca="1" si="212"/>
        <v>1</v>
      </c>
      <c r="H712" s="47">
        <f t="shared" ca="1" si="213"/>
        <v>52288.056094209089</v>
      </c>
      <c r="I712">
        <f ca="1">Inputs!B13+(Inputs!D13-Inputs!B13)*BETAINV(RAND(),Model!H7,Model!I7)</f>
        <v>3.4376439029560046</v>
      </c>
      <c r="J712">
        <f ca="1">Inputs!E13+(Inputs!G13-Inputs!E13)*BETAINV(RAND(),Model!J7,Model!K7)</f>
        <v>0.36710980427488393</v>
      </c>
      <c r="K712">
        <f ca="1">(Inputs!H13+(Inputs!J13-Inputs!H13)*BETAINV(RAND(),Model!L7,Model!M7))*Inputs!$C$6</f>
        <v>57322.985725421684</v>
      </c>
      <c r="L712">
        <f t="shared" ca="1" si="214"/>
        <v>1.261992780380927</v>
      </c>
      <c r="M712">
        <f t="shared" ca="1" si="215"/>
        <v>0.34523684685023215</v>
      </c>
      <c r="N712">
        <f t="shared" ca="1" si="216"/>
        <v>1</v>
      </c>
      <c r="O712" s="47">
        <f t="shared" ca="1" si="217"/>
        <v>57322.985725421684</v>
      </c>
      <c r="P712">
        <f ca="1">Inputs!B14+(Inputs!D14-Inputs!B14)*BETAINV(RAND(),Model!H8,Model!I8)</f>
        <v>0.31167773353457318</v>
      </c>
      <c r="Q712">
        <f ca="1">Inputs!E14+(Inputs!G14-Inputs!E14)*BETAINV(RAND(),Model!J8,Model!K8)</f>
        <v>0.47194073063688835</v>
      </c>
      <c r="R712">
        <f ca="1">(Inputs!H14+(Inputs!J14-Inputs!H14)*BETAINV(RAND(),Model!L8,Model!M8))*Inputs!$C$6</f>
        <v>604878.58148939582</v>
      </c>
      <c r="S712">
        <f t="shared" ca="1" si="218"/>
        <v>0.14709341728755587</v>
      </c>
      <c r="T712">
        <f t="shared" ca="1" si="219"/>
        <v>0.39147440483323959</v>
      </c>
      <c r="U712">
        <f t="shared" ca="1" si="220"/>
        <v>0</v>
      </c>
      <c r="V712" s="47">
        <f t="shared" ca="1" si="221"/>
        <v>0</v>
      </c>
      <c r="W712">
        <f ca="1">Inputs!B15+(Inputs!D15-Inputs!B15)*BETAINV(RAND(),Model!H9,Model!I9)</f>
        <v>1.2734852154068055</v>
      </c>
      <c r="X712">
        <f ca="1">Inputs!E15+(Inputs!G15-Inputs!E15)*BETAINV(RAND(),Model!J9,Model!K9)</f>
        <v>0.27797091563539222</v>
      </c>
      <c r="Y712">
        <f ca="1">(Inputs!H15+(Inputs!J15-Inputs!H15)*BETAINV(RAND(),Model!L9,Model!M9))*Inputs!$C$6</f>
        <v>27122.458167360695</v>
      </c>
      <c r="Z712">
        <f t="shared" ca="1" si="222"/>
        <v>0.35399185137476441</v>
      </c>
      <c r="AA712">
        <f t="shared" ca="1" si="223"/>
        <v>0.27063332105868354</v>
      </c>
      <c r="AB712">
        <f t="shared" ca="1" si="224"/>
        <v>0</v>
      </c>
      <c r="AC712" s="47">
        <f t="shared" ca="1" si="225"/>
        <v>0</v>
      </c>
      <c r="AD712">
        <f ca="1">Inputs!B16+(Inputs!D16-Inputs!B16)*BETAINV(RAND(),Model!H10,Model!I10)</f>
        <v>0.56815299478937931</v>
      </c>
      <c r="AE712">
        <f ca="1">Inputs!E16+(Inputs!G16-Inputs!E16)*BETAINV(RAND(),Model!J10,Model!K10)</f>
        <v>0.58767471257956916</v>
      </c>
      <c r="AF712">
        <f ca="1">(Inputs!H16+(Inputs!J16-Inputs!H16)*BETAINV(RAND(),Model!L10,Model!M10))*Inputs!$C$6</f>
        <v>141215.2593194629</v>
      </c>
      <c r="AG712">
        <f t="shared" ca="1" si="226"/>
        <v>0.33388914791406993</v>
      </c>
      <c r="AH712">
        <f t="shared" ca="1" si="227"/>
        <v>0.73580292965118044</v>
      </c>
      <c r="AI712">
        <f t="shared" ca="1" si="228"/>
        <v>1</v>
      </c>
      <c r="AJ712" s="47">
        <f t="shared" ca="1" si="229"/>
        <v>141215.2593194629</v>
      </c>
      <c r="AK712">
        <f t="shared" ca="1" si="230"/>
        <v>250826.30113909367</v>
      </c>
    </row>
    <row r="713" spans="2:37" x14ac:dyDescent="0.2">
      <c r="B713">
        <f ca="1">Inputs!B12+(Inputs!D12-Inputs!B12)*BETAINV(RAND(),Model!H6,Model!I6)</f>
        <v>4.8144796648362149</v>
      </c>
      <c r="C713">
        <f ca="1">Inputs!E12+(Inputs!G12-Inputs!E12)*BETAINV(RAND(),Model!J6,Model!K6)</f>
        <v>0.40224060983380161</v>
      </c>
      <c r="D713">
        <f ca="1">(Inputs!H12+(Inputs!J12-Inputs!H12)*BETAINV(RAND(),Model!L6,Model!M6))*Inputs!$C$6</f>
        <v>44739.470960162056</v>
      </c>
      <c r="E713">
        <f t="shared" ca="1" si="210"/>
        <v>1.9365792364161558</v>
      </c>
      <c r="F713">
        <f t="shared" ca="1" si="211"/>
        <v>0.99248485798734065</v>
      </c>
      <c r="G713">
        <f t="shared" ca="1" si="212"/>
        <v>4</v>
      </c>
      <c r="H713" s="47">
        <f t="shared" ca="1" si="213"/>
        <v>178957.88384064822</v>
      </c>
      <c r="I713">
        <f ca="1">Inputs!B13+(Inputs!D13-Inputs!B13)*BETAINV(RAND(),Model!H7,Model!I7)</f>
        <v>0.94667216407379939</v>
      </c>
      <c r="J713">
        <f ca="1">Inputs!E13+(Inputs!G13-Inputs!E13)*BETAINV(RAND(),Model!J7,Model!K7)</f>
        <v>0.25549487119510528</v>
      </c>
      <c r="K713">
        <f ca="1">(Inputs!H13+(Inputs!J13-Inputs!H13)*BETAINV(RAND(),Model!L7,Model!M7))*Inputs!$C$6</f>
        <v>21430.014627111195</v>
      </c>
      <c r="L713">
        <f t="shared" ca="1" si="214"/>
        <v>0.24186988262402695</v>
      </c>
      <c r="M713">
        <f t="shared" ca="1" si="215"/>
        <v>0.68813816813586992</v>
      </c>
      <c r="N713">
        <f t="shared" ca="1" si="216"/>
        <v>0</v>
      </c>
      <c r="O713" s="47">
        <f t="shared" ca="1" si="217"/>
        <v>0</v>
      </c>
      <c r="P713">
        <f ca="1">Inputs!B14+(Inputs!D14-Inputs!B14)*BETAINV(RAND(),Model!H8,Model!I8)</f>
        <v>0.38096233395211587</v>
      </c>
      <c r="Q713">
        <f ca="1">Inputs!E14+(Inputs!G14-Inputs!E14)*BETAINV(RAND(),Model!J8,Model!K8)</f>
        <v>0.45147129956995052</v>
      </c>
      <c r="R713">
        <f ca="1">(Inputs!H14+(Inputs!J14-Inputs!H14)*BETAINV(RAND(),Model!L8,Model!M8))*Inputs!$C$6</f>
        <v>560985.30848065799</v>
      </c>
      <c r="S713">
        <f t="shared" ca="1" si="218"/>
        <v>0.17199355999656324</v>
      </c>
      <c r="T713">
        <f t="shared" ca="1" si="219"/>
        <v>9.9702306182236966E-2</v>
      </c>
      <c r="U713">
        <f t="shared" ca="1" si="220"/>
        <v>0</v>
      </c>
      <c r="V713" s="47">
        <f t="shared" ca="1" si="221"/>
        <v>0</v>
      </c>
      <c r="W713">
        <f ca="1">Inputs!B15+(Inputs!D15-Inputs!B15)*BETAINV(RAND(),Model!H9,Model!I9)</f>
        <v>1.1979186713415493</v>
      </c>
      <c r="X713">
        <f ca="1">Inputs!E15+(Inputs!G15-Inputs!E15)*BETAINV(RAND(),Model!J9,Model!K9)</f>
        <v>0.34689087981480304</v>
      </c>
      <c r="Y713">
        <f ca="1">(Inputs!H15+(Inputs!J15-Inputs!H15)*BETAINV(RAND(),Model!L9,Model!M9))*Inputs!$C$6</f>
        <v>20235.81926586476</v>
      </c>
      <c r="Z713">
        <f t="shared" ca="1" si="222"/>
        <v>0.41554706184824991</v>
      </c>
      <c r="AA713">
        <f t="shared" ca="1" si="223"/>
        <v>0.33516233577028443</v>
      </c>
      <c r="AB713">
        <f t="shared" ca="1" si="224"/>
        <v>0</v>
      </c>
      <c r="AC713" s="47">
        <f t="shared" ca="1" si="225"/>
        <v>0</v>
      </c>
      <c r="AD713">
        <f ca="1">Inputs!B16+(Inputs!D16-Inputs!B16)*BETAINV(RAND(),Model!H10,Model!I10)</f>
        <v>0.64931235087212169</v>
      </c>
      <c r="AE713">
        <f ca="1">Inputs!E16+(Inputs!G16-Inputs!E16)*BETAINV(RAND(),Model!J10,Model!K10)</f>
        <v>0.65991867067986432</v>
      </c>
      <c r="AF713">
        <f ca="1">(Inputs!H16+(Inputs!J16-Inputs!H16)*BETAINV(RAND(),Model!L10,Model!M10))*Inputs!$C$6</f>
        <v>67646.482745250978</v>
      </c>
      <c r="AG713">
        <f t="shared" ca="1" si="226"/>
        <v>0.42849334344354817</v>
      </c>
      <c r="AH713">
        <f t="shared" ca="1" si="227"/>
        <v>0.8802066533642614</v>
      </c>
      <c r="AI713">
        <f t="shared" ca="1" si="228"/>
        <v>1</v>
      </c>
      <c r="AJ713" s="47">
        <f t="shared" ca="1" si="229"/>
        <v>67646.482745250978</v>
      </c>
      <c r="AK713">
        <f t="shared" ca="1" si="230"/>
        <v>246604.3665858992</v>
      </c>
    </row>
    <row r="714" spans="2:37" x14ac:dyDescent="0.2">
      <c r="B714">
        <f ca="1">Inputs!B12+(Inputs!D12-Inputs!B12)*BETAINV(RAND(),Model!H6,Model!I6)</f>
        <v>4.0309378992689338</v>
      </c>
      <c r="C714">
        <f ca="1">Inputs!E12+(Inputs!G12-Inputs!E12)*BETAINV(RAND(),Model!J6,Model!K6)</f>
        <v>0.27960965052406528</v>
      </c>
      <c r="D714">
        <f ca="1">(Inputs!H12+(Inputs!J12-Inputs!H12)*BETAINV(RAND(),Model!L6,Model!M6))*Inputs!$C$6</f>
        <v>26425.438270409846</v>
      </c>
      <c r="E714">
        <f t="shared" ca="1" si="210"/>
        <v>1.1270891372987963</v>
      </c>
      <c r="F714">
        <f t="shared" ca="1" si="211"/>
        <v>0.14993051671307067</v>
      </c>
      <c r="G714">
        <f t="shared" ca="1" si="212"/>
        <v>0</v>
      </c>
      <c r="H714" s="47">
        <f t="shared" ca="1" si="213"/>
        <v>0</v>
      </c>
      <c r="I714">
        <f ca="1">Inputs!B13+(Inputs!D13-Inputs!B13)*BETAINV(RAND(),Model!H7,Model!I7)</f>
        <v>3.4374666762406725</v>
      </c>
      <c r="J714">
        <f ca="1">Inputs!E13+(Inputs!G13-Inputs!E13)*BETAINV(RAND(),Model!J7,Model!K7)</f>
        <v>0.34122559892246918</v>
      </c>
      <c r="K714">
        <f ca="1">(Inputs!H13+(Inputs!J13-Inputs!H13)*BETAINV(RAND(),Model!L7,Model!M7))*Inputs!$C$6</f>
        <v>39157.390982067525</v>
      </c>
      <c r="L714">
        <f t="shared" ca="1" si="214"/>
        <v>1.1729516253762529</v>
      </c>
      <c r="M714">
        <f t="shared" ca="1" si="215"/>
        <v>0.62573804570207192</v>
      </c>
      <c r="N714">
        <f t="shared" ca="1" si="216"/>
        <v>1</v>
      </c>
      <c r="O714" s="47">
        <f t="shared" ca="1" si="217"/>
        <v>39157.390982067525</v>
      </c>
      <c r="P714">
        <f ca="1">Inputs!B14+(Inputs!D14-Inputs!B14)*BETAINV(RAND(),Model!H8,Model!I8)</f>
        <v>0.43663772073244778</v>
      </c>
      <c r="Q714">
        <f ca="1">Inputs!E14+(Inputs!G14-Inputs!E14)*BETAINV(RAND(),Model!J8,Model!K8)</f>
        <v>0.62701098752369844</v>
      </c>
      <c r="R714">
        <f ca="1">(Inputs!H14+(Inputs!J14-Inputs!H14)*BETAINV(RAND(),Model!L8,Model!M8))*Inputs!$C$6</f>
        <v>272583.29871630762</v>
      </c>
      <c r="S714">
        <f t="shared" ca="1" si="218"/>
        <v>0.27377664846654892</v>
      </c>
      <c r="T714">
        <f t="shared" ca="1" si="219"/>
        <v>0.9766414659223569</v>
      </c>
      <c r="U714">
        <f t="shared" ca="1" si="220"/>
        <v>2</v>
      </c>
      <c r="V714" s="47">
        <f t="shared" ca="1" si="221"/>
        <v>545166.59743261524</v>
      </c>
      <c r="W714">
        <f ca="1">Inputs!B15+(Inputs!D15-Inputs!B15)*BETAINV(RAND(),Model!H9,Model!I9)</f>
        <v>0.488080806752546</v>
      </c>
      <c r="X714">
        <f ca="1">Inputs!E15+(Inputs!G15-Inputs!E15)*BETAINV(RAND(),Model!J9,Model!K9)</f>
        <v>0.43299643719004821</v>
      </c>
      <c r="Y714">
        <f ca="1">(Inputs!H15+(Inputs!J15-Inputs!H15)*BETAINV(RAND(),Model!L9,Model!M9))*Inputs!$C$6</f>
        <v>35651.907201684342</v>
      </c>
      <c r="Z714">
        <f t="shared" ca="1" si="222"/>
        <v>0.21133725038469683</v>
      </c>
      <c r="AA714">
        <f t="shared" ca="1" si="223"/>
        <v>0.80388372809444952</v>
      </c>
      <c r="AB714">
        <f t="shared" ca="1" si="224"/>
        <v>0</v>
      </c>
      <c r="AC714" s="47">
        <f t="shared" ca="1" si="225"/>
        <v>0</v>
      </c>
      <c r="AD714">
        <f ca="1">Inputs!B16+(Inputs!D16-Inputs!B16)*BETAINV(RAND(),Model!H10,Model!I10)</f>
        <v>0.46730873764110598</v>
      </c>
      <c r="AE714">
        <f ca="1">Inputs!E16+(Inputs!G16-Inputs!E16)*BETAINV(RAND(),Model!J10,Model!K10)</f>
        <v>0.64004816438925038</v>
      </c>
      <c r="AF714">
        <f ca="1">(Inputs!H16+(Inputs!J16-Inputs!H16)*BETAINV(RAND(),Model!L10,Model!M10))*Inputs!$C$6</f>
        <v>92292.220283099217</v>
      </c>
      <c r="AG714">
        <f t="shared" ca="1" si="226"/>
        <v>0.2991000997302477</v>
      </c>
      <c r="AH714">
        <f t="shared" ca="1" si="227"/>
        <v>0.83817692087702611</v>
      </c>
      <c r="AI714">
        <f t="shared" ca="1" si="228"/>
        <v>1</v>
      </c>
      <c r="AJ714" s="47">
        <f t="shared" ca="1" si="229"/>
        <v>92292.220283099217</v>
      </c>
      <c r="AK714">
        <f t="shared" ca="1" si="230"/>
        <v>676616.20869778201</v>
      </c>
    </row>
    <row r="715" spans="2:37" x14ac:dyDescent="0.2">
      <c r="B715">
        <f ca="1">Inputs!B12+(Inputs!D12-Inputs!B12)*BETAINV(RAND(),Model!H6,Model!I6)</f>
        <v>2.4167487433090886</v>
      </c>
      <c r="C715">
        <f ca="1">Inputs!E12+(Inputs!G12-Inputs!E12)*BETAINV(RAND(),Model!J6,Model!K6)</f>
        <v>0.28822360707247296</v>
      </c>
      <c r="D715">
        <f ca="1">(Inputs!H12+(Inputs!J12-Inputs!H12)*BETAINV(RAND(),Model!L6,Model!M6))*Inputs!$C$6</f>
        <v>24878.050858521077</v>
      </c>
      <c r="E715">
        <f t="shared" ca="1" si="210"/>
        <v>0.69656404018441154</v>
      </c>
      <c r="F715">
        <f t="shared" ca="1" si="211"/>
        <v>0.81794859260183939</v>
      </c>
      <c r="G715">
        <f t="shared" ca="1" si="212"/>
        <v>1</v>
      </c>
      <c r="H715" s="47">
        <f t="shared" ca="1" si="213"/>
        <v>24878.050858521077</v>
      </c>
      <c r="I715">
        <f ca="1">Inputs!B13+(Inputs!D13-Inputs!B13)*BETAINV(RAND(),Model!H7,Model!I7)</f>
        <v>4.4606016134738571</v>
      </c>
      <c r="J715">
        <f ca="1">Inputs!E13+(Inputs!G13-Inputs!E13)*BETAINV(RAND(),Model!J7,Model!K7)</f>
        <v>0.29291735513888684</v>
      </c>
      <c r="K715">
        <f ca="1">(Inputs!H13+(Inputs!J13-Inputs!H13)*BETAINV(RAND(),Model!L7,Model!M7))*Inputs!$C$6</f>
        <v>59327.444510053945</v>
      </c>
      <c r="L715">
        <f t="shared" ca="1" si="214"/>
        <v>1.3065876269470134</v>
      </c>
      <c r="M715">
        <f t="shared" ca="1" si="215"/>
        <v>0.14419281841203291</v>
      </c>
      <c r="N715">
        <f t="shared" ca="1" si="216"/>
        <v>0</v>
      </c>
      <c r="O715" s="47">
        <f t="shared" ca="1" si="217"/>
        <v>0</v>
      </c>
      <c r="P715">
        <f ca="1">Inputs!B14+(Inputs!D14-Inputs!B14)*BETAINV(RAND(),Model!H8,Model!I8)</f>
        <v>0.48084639576330379</v>
      </c>
      <c r="Q715">
        <f ca="1">Inputs!E14+(Inputs!G14-Inputs!E14)*BETAINV(RAND(),Model!J8,Model!K8)</f>
        <v>0.69564188853853448</v>
      </c>
      <c r="R715">
        <f ca="1">(Inputs!H14+(Inputs!J14-Inputs!H14)*BETAINV(RAND(),Model!L8,Model!M8))*Inputs!$C$6</f>
        <v>592344.90168005461</v>
      </c>
      <c r="S715">
        <f t="shared" ca="1" si="218"/>
        <v>0.3344968948457322</v>
      </c>
      <c r="T715">
        <f t="shared" ca="1" si="219"/>
        <v>3.4012806529035822E-2</v>
      </c>
      <c r="U715">
        <f t="shared" ca="1" si="220"/>
        <v>0</v>
      </c>
      <c r="V715" s="47">
        <f t="shared" ca="1" si="221"/>
        <v>0</v>
      </c>
      <c r="W715">
        <f ca="1">Inputs!B15+(Inputs!D15-Inputs!B15)*BETAINV(RAND(),Model!H9,Model!I9)</f>
        <v>1.3479950133590837</v>
      </c>
      <c r="X715">
        <f ca="1">Inputs!E15+(Inputs!G15-Inputs!E15)*BETAINV(RAND(),Model!J9,Model!K9)</f>
        <v>0.59857760639283264</v>
      </c>
      <c r="Y715">
        <f ca="1">(Inputs!H15+(Inputs!J15-Inputs!H15)*BETAINV(RAND(),Model!L9,Model!M9))*Inputs!$C$6</f>
        <v>23214.794720546422</v>
      </c>
      <c r="Z715">
        <f t="shared" ca="1" si="222"/>
        <v>0.80687962852595474</v>
      </c>
      <c r="AA715">
        <f t="shared" ca="1" si="223"/>
        <v>0.1537460566307346</v>
      </c>
      <c r="AB715">
        <f t="shared" ca="1" si="224"/>
        <v>0</v>
      </c>
      <c r="AC715" s="47">
        <f t="shared" ca="1" si="225"/>
        <v>0</v>
      </c>
      <c r="AD715">
        <f ca="1">Inputs!B16+(Inputs!D16-Inputs!B16)*BETAINV(RAND(),Model!H10,Model!I10)</f>
        <v>0.54574641133238588</v>
      </c>
      <c r="AE715">
        <f ca="1">Inputs!E16+(Inputs!G16-Inputs!E16)*BETAINV(RAND(),Model!J10,Model!K10)</f>
        <v>0.52683139179443605</v>
      </c>
      <c r="AF715">
        <f ca="1">(Inputs!H16+(Inputs!J16-Inputs!H16)*BETAINV(RAND(),Model!L10,Model!M10))*Inputs!$C$6</f>
        <v>61571.97287545861</v>
      </c>
      <c r="AG715">
        <f t="shared" ca="1" si="226"/>
        <v>0.28751634144905963</v>
      </c>
      <c r="AH715">
        <f t="shared" ca="1" si="227"/>
        <v>0.53541047551419918</v>
      </c>
      <c r="AI715">
        <f t="shared" ca="1" si="228"/>
        <v>0</v>
      </c>
      <c r="AJ715" s="47">
        <f t="shared" ca="1" si="229"/>
        <v>0</v>
      </c>
      <c r="AK715">
        <f t="shared" ca="1" si="230"/>
        <v>24878.050858521077</v>
      </c>
    </row>
    <row r="716" spans="2:37" x14ac:dyDescent="0.2">
      <c r="B716">
        <f ca="1">Inputs!B12+(Inputs!D12-Inputs!B12)*BETAINV(RAND(),Model!H6,Model!I6)</f>
        <v>1.9806335539632509</v>
      </c>
      <c r="C716">
        <f ca="1">Inputs!E12+(Inputs!G12-Inputs!E12)*BETAINV(RAND(),Model!J6,Model!K6)</f>
        <v>0.21256072987828581</v>
      </c>
      <c r="D716">
        <f ca="1">(Inputs!H12+(Inputs!J12-Inputs!H12)*BETAINV(RAND(),Model!L6,Model!M6))*Inputs!$C$6</f>
        <v>9913.3578897246243</v>
      </c>
      <c r="E716">
        <f t="shared" ref="E716:E779" ca="1" si="231">B716*C716</f>
        <v>0.42100491385185179</v>
      </c>
      <c r="F716">
        <f t="shared" ref="F716:F779" ca="1" si="232">RAND()</f>
        <v>0.23970157027931405</v>
      </c>
      <c r="G716">
        <f t="shared" ref="G716:G779" ca="1" si="233">IF(F716&lt;EXP(-E716),0,IF(F716&lt;EXP(-E716)*(1+E716),1,IF(F716&lt;EXP(-E716)*(1+E716+E716^2/2),2,IF(F716&lt;EXP(-E716)*(1+E716+E716^2/2+E716^3/6),3,4))))</f>
        <v>0</v>
      </c>
      <c r="H716" s="47">
        <f t="shared" ref="H716:H779" ca="1" si="234">G716*D716</f>
        <v>0</v>
      </c>
      <c r="I716">
        <f ca="1">Inputs!B13+(Inputs!D13-Inputs!B13)*BETAINV(RAND(),Model!H7,Model!I7)</f>
        <v>2.6363186291384939</v>
      </c>
      <c r="J716">
        <f ca="1">Inputs!E13+(Inputs!G13-Inputs!E13)*BETAINV(RAND(),Model!J7,Model!K7)</f>
        <v>0.21058012236742707</v>
      </c>
      <c r="K716">
        <f ca="1">(Inputs!H13+(Inputs!J13-Inputs!H13)*BETAINV(RAND(),Model!L7,Model!M7))*Inputs!$C$6</f>
        <v>36203.467755431775</v>
      </c>
      <c r="L716">
        <f t="shared" ref="L716:L779" ca="1" si="235">I716*J716</f>
        <v>0.55515629952351164</v>
      </c>
      <c r="M716">
        <f t="shared" ref="M716:M779" ca="1" si="236">RAND()</f>
        <v>0.95447611362447193</v>
      </c>
      <c r="N716">
        <f t="shared" ref="N716:N779" ca="1" si="237">IF(M716&lt;EXP(-L716),0,IF(M716&lt;EXP(-L716)*(1+L716),1,IF(M716&lt;EXP(-L716)*(1+L716+L716^2/2),2,IF(M716&lt;EXP(-L716)*(1+L716+L716^2/2+L716^3/6),3,4))))</f>
        <v>2</v>
      </c>
      <c r="O716" s="47">
        <f t="shared" ref="O716:O779" ca="1" si="238">N716*K716</f>
        <v>72406.93551086355</v>
      </c>
      <c r="P716">
        <f ca="1">Inputs!B14+(Inputs!D14-Inputs!B14)*BETAINV(RAND(),Model!H8,Model!I8)</f>
        <v>0.50651194384686693</v>
      </c>
      <c r="Q716">
        <f ca="1">Inputs!E14+(Inputs!G14-Inputs!E14)*BETAINV(RAND(),Model!J8,Model!K8)</f>
        <v>0.5409059510816705</v>
      </c>
      <c r="R716">
        <f ca="1">(Inputs!H14+(Inputs!J14-Inputs!H14)*BETAINV(RAND(),Model!L8,Model!M8))*Inputs!$C$6</f>
        <v>202927.22067333994</v>
      </c>
      <c r="S716">
        <f t="shared" ref="S716:S779" ca="1" si="239">P716*Q716</f>
        <v>0.27397532472071523</v>
      </c>
      <c r="T716">
        <f t="shared" ref="T716:T779" ca="1" si="240">RAND()</f>
        <v>0.76572909243608789</v>
      </c>
      <c r="U716">
        <f t="shared" ref="U716:U779" ca="1" si="241">IF(T716&lt;EXP(-S716),0,IF(T716&lt;EXP(-S716)*(1+S716),1,IF(T716&lt;EXP(-S716)*(1+S716+S716^2/2),2,IF(T716&lt;EXP(-S716)*(1+S716+S716^2/2+S716^3/6),3,4))))</f>
        <v>1</v>
      </c>
      <c r="V716" s="47">
        <f t="shared" ref="V716:V779" ca="1" si="242">U716*R716</f>
        <v>202927.22067333994</v>
      </c>
      <c r="W716">
        <f ca="1">Inputs!B15+(Inputs!D15-Inputs!B15)*BETAINV(RAND(),Model!H9,Model!I9)</f>
        <v>1.5812077720790183</v>
      </c>
      <c r="X716">
        <f ca="1">Inputs!E15+(Inputs!G15-Inputs!E15)*BETAINV(RAND(),Model!J9,Model!K9)</f>
        <v>0.3651569664347849</v>
      </c>
      <c r="Y716">
        <f ca="1">(Inputs!H15+(Inputs!J15-Inputs!H15)*BETAINV(RAND(),Model!L9,Model!M9))*Inputs!$C$6</f>
        <v>46261.997785929576</v>
      </c>
      <c r="Z716">
        <f t="shared" ref="Z716:Z779" ca="1" si="243">W716*X716</f>
        <v>0.57738903335547909</v>
      </c>
      <c r="AA716">
        <f t="shared" ref="AA716:AA779" ca="1" si="244">RAND()</f>
        <v>0.53646470425562742</v>
      </c>
      <c r="AB716">
        <f t="shared" ref="AB716:AB779" ca="1" si="245">IF(AA716&lt;EXP(-Z716),0,IF(AA716&lt;EXP(-Z716)*(1+Z716),1,IF(AA716&lt;EXP(-Z716)*(1+Z716+Z716^2/2),2,IF(AA716&lt;EXP(-Z716)*(1+Z716+Z716^2/2+Z716^3/6),3,4))))</f>
        <v>0</v>
      </c>
      <c r="AC716" s="47">
        <f t="shared" ref="AC716:AC779" ca="1" si="246">AB716*Y716</f>
        <v>0</v>
      </c>
      <c r="AD716">
        <f ca="1">Inputs!B16+(Inputs!D16-Inputs!B16)*BETAINV(RAND(),Model!H10,Model!I10)</f>
        <v>0.39183064253193045</v>
      </c>
      <c r="AE716">
        <f ca="1">Inputs!E16+(Inputs!G16-Inputs!E16)*BETAINV(RAND(),Model!J10,Model!K10)</f>
        <v>0.49770334462814703</v>
      </c>
      <c r="AF716">
        <f ca="1">(Inputs!H16+(Inputs!J16-Inputs!H16)*BETAINV(RAND(),Model!L10,Model!M10))*Inputs!$C$6</f>
        <v>72396.456662789205</v>
      </c>
      <c r="AG716">
        <f t="shared" ref="AG716:AG779" ca="1" si="247">AD716*AE716</f>
        <v>0.19501542131593766</v>
      </c>
      <c r="AH716">
        <f t="shared" ref="AH716:AH779" ca="1" si="248">RAND()</f>
        <v>0.11627599487340112</v>
      </c>
      <c r="AI716">
        <f t="shared" ref="AI716:AI779" ca="1" si="249">IF(AH716&lt;EXP(-AG716),0,IF(AH716&lt;EXP(-AG716)*(1+AG716),1,IF(AH716&lt;EXP(-AG716)*(1+AG716+AG716^2/2),2,IF(AH716&lt;EXP(-AG716)*(1+AG716+AG716^2/2+AG716^3/6),3,4))))</f>
        <v>0</v>
      </c>
      <c r="AJ716" s="47">
        <f t="shared" ref="AJ716:AJ779" ca="1" si="250">AI716*AF716</f>
        <v>0</v>
      </c>
      <c r="AK716">
        <f t="shared" ref="AK716:AK779" ca="1" si="251">H716+O716+V716+AC716+AJ716</f>
        <v>275334.15618420346</v>
      </c>
    </row>
    <row r="717" spans="2:37" x14ac:dyDescent="0.2">
      <c r="B717">
        <f ca="1">Inputs!B12+(Inputs!D12-Inputs!B12)*BETAINV(RAND(),Model!H6,Model!I6)</f>
        <v>3.3569230560713166</v>
      </c>
      <c r="C717">
        <f ca="1">Inputs!E12+(Inputs!G12-Inputs!E12)*BETAINV(RAND(),Model!J6,Model!K6)</f>
        <v>0.32336819194520322</v>
      </c>
      <c r="D717">
        <f ca="1">(Inputs!H12+(Inputs!J12-Inputs!H12)*BETAINV(RAND(),Model!L6,Model!M6))*Inputs!$C$6</f>
        <v>27843.784717789033</v>
      </c>
      <c r="E717">
        <f t="shared" ca="1" si="231"/>
        <v>1.0855221391409478</v>
      </c>
      <c r="F717">
        <f t="shared" ca="1" si="232"/>
        <v>0.30670523619366485</v>
      </c>
      <c r="G717">
        <f t="shared" ca="1" si="233"/>
        <v>0</v>
      </c>
      <c r="H717" s="47">
        <f t="shared" ca="1" si="234"/>
        <v>0</v>
      </c>
      <c r="I717">
        <f ca="1">Inputs!B13+(Inputs!D13-Inputs!B13)*BETAINV(RAND(),Model!H7,Model!I7)</f>
        <v>2.8864720866954983</v>
      </c>
      <c r="J717">
        <f ca="1">Inputs!E13+(Inputs!G13-Inputs!E13)*BETAINV(RAND(),Model!J7,Model!K7)</f>
        <v>0.40881175756788168</v>
      </c>
      <c r="K717">
        <f ca="1">(Inputs!H13+(Inputs!J13-Inputs!H13)*BETAINV(RAND(),Model!L7,Model!M7))*Inputs!$C$6</f>
        <v>43763.538746671125</v>
      </c>
      <c r="L717">
        <f t="shared" ca="1" si="235"/>
        <v>1.1800237269326177</v>
      </c>
      <c r="M717">
        <f t="shared" ca="1" si="236"/>
        <v>0.87290110239406549</v>
      </c>
      <c r="N717">
        <f t="shared" ca="1" si="237"/>
        <v>2</v>
      </c>
      <c r="O717" s="47">
        <f t="shared" ca="1" si="238"/>
        <v>87527.077493342251</v>
      </c>
      <c r="P717">
        <f ca="1">Inputs!B14+(Inputs!D14-Inputs!B14)*BETAINV(RAND(),Model!H8,Model!I8)</f>
        <v>0.17332837051970512</v>
      </c>
      <c r="Q717">
        <f ca="1">Inputs!E14+(Inputs!G14-Inputs!E14)*BETAINV(RAND(),Model!J8,Model!K8)</f>
        <v>0.82557245666334023</v>
      </c>
      <c r="R717">
        <f ca="1">(Inputs!H14+(Inputs!J14-Inputs!H14)*BETAINV(RAND(),Model!L8,Model!M8))*Inputs!$C$6</f>
        <v>432412.77126671153</v>
      </c>
      <c r="S717">
        <f t="shared" ca="1" si="239"/>
        <v>0.14309512865940663</v>
      </c>
      <c r="T717">
        <f t="shared" ca="1" si="240"/>
        <v>9.988969762795652E-2</v>
      </c>
      <c r="U717">
        <f t="shared" ca="1" si="241"/>
        <v>0</v>
      </c>
      <c r="V717" s="47">
        <f t="shared" ca="1" si="242"/>
        <v>0</v>
      </c>
      <c r="W717">
        <f ca="1">Inputs!B15+(Inputs!D15-Inputs!B15)*BETAINV(RAND(),Model!H9,Model!I9)</f>
        <v>1.4841580694113468</v>
      </c>
      <c r="X717">
        <f ca="1">Inputs!E15+(Inputs!G15-Inputs!E15)*BETAINV(RAND(),Model!J9,Model!K9)</f>
        <v>0.45448711918749107</v>
      </c>
      <c r="Y717">
        <f ca="1">(Inputs!H15+(Inputs!J15-Inputs!H15)*BETAINV(RAND(),Model!L9,Model!M9))*Inputs!$C$6</f>
        <v>34808.257776154031</v>
      </c>
      <c r="Z717">
        <f t="shared" ca="1" si="243"/>
        <v>0.67453072538563141</v>
      </c>
      <c r="AA717">
        <f t="shared" ca="1" si="244"/>
        <v>0.64522961032832715</v>
      </c>
      <c r="AB717">
        <f t="shared" ca="1" si="245"/>
        <v>1</v>
      </c>
      <c r="AC717" s="47">
        <f t="shared" ca="1" si="246"/>
        <v>34808.257776154031</v>
      </c>
      <c r="AD717">
        <f ca="1">Inputs!B16+(Inputs!D16-Inputs!B16)*BETAINV(RAND(),Model!H10,Model!I10)</f>
        <v>0.46851308927034152</v>
      </c>
      <c r="AE717">
        <f ca="1">Inputs!E16+(Inputs!G16-Inputs!E16)*BETAINV(RAND(),Model!J10,Model!K10)</f>
        <v>0.59541806909169626</v>
      </c>
      <c r="AF717">
        <f ca="1">(Inputs!H16+(Inputs!J16-Inputs!H16)*BETAINV(RAND(),Model!L10,Model!M10))*Inputs!$C$6</f>
        <v>48398.957229532454</v>
      </c>
      <c r="AG717">
        <f t="shared" ca="1" si="247"/>
        <v>0.27896115895753226</v>
      </c>
      <c r="AH717">
        <f t="shared" ca="1" si="248"/>
        <v>0.38507414504889137</v>
      </c>
      <c r="AI717">
        <f t="shared" ca="1" si="249"/>
        <v>0</v>
      </c>
      <c r="AJ717" s="47">
        <f t="shared" ca="1" si="250"/>
        <v>0</v>
      </c>
      <c r="AK717">
        <f t="shared" ca="1" si="251"/>
        <v>122335.33526949628</v>
      </c>
    </row>
    <row r="718" spans="2:37" x14ac:dyDescent="0.2">
      <c r="B718">
        <f ca="1">Inputs!B12+(Inputs!D12-Inputs!B12)*BETAINV(RAND(),Model!H6,Model!I6)</f>
        <v>5.4477729604904743</v>
      </c>
      <c r="C718">
        <f ca="1">Inputs!E12+(Inputs!G12-Inputs!E12)*BETAINV(RAND(),Model!J6,Model!K6)</f>
        <v>0.40162526169853519</v>
      </c>
      <c r="D718">
        <f ca="1">(Inputs!H12+(Inputs!J12-Inputs!H12)*BETAINV(RAND(),Model!L6,Model!M6))*Inputs!$C$6</f>
        <v>29097.306060224062</v>
      </c>
      <c r="E718">
        <f t="shared" ca="1" si="231"/>
        <v>2.1879632409311904</v>
      </c>
      <c r="F718">
        <f t="shared" ca="1" si="232"/>
        <v>0.20677717787652961</v>
      </c>
      <c r="G718">
        <f t="shared" ca="1" si="233"/>
        <v>1</v>
      </c>
      <c r="H718" s="47">
        <f t="shared" ca="1" si="234"/>
        <v>29097.306060224062</v>
      </c>
      <c r="I718">
        <f ca="1">Inputs!B13+(Inputs!D13-Inputs!B13)*BETAINV(RAND(),Model!H7,Model!I7)</f>
        <v>0.90719959604426559</v>
      </c>
      <c r="J718">
        <f ca="1">Inputs!E13+(Inputs!G13-Inputs!E13)*BETAINV(RAND(),Model!J7,Model!K7)</f>
        <v>0.2135353402317923</v>
      </c>
      <c r="K718">
        <f ca="1">(Inputs!H13+(Inputs!J13-Inputs!H13)*BETAINV(RAND(),Model!L7,Model!M7))*Inputs!$C$6</f>
        <v>12175.79856576081</v>
      </c>
      <c r="L718">
        <f t="shared" ca="1" si="235"/>
        <v>0.19371917439945679</v>
      </c>
      <c r="M718">
        <f t="shared" ca="1" si="236"/>
        <v>0.67497926609385728</v>
      </c>
      <c r="N718">
        <f t="shared" ca="1" si="237"/>
        <v>0</v>
      </c>
      <c r="O718" s="47">
        <f t="shared" ca="1" si="238"/>
        <v>0</v>
      </c>
      <c r="P718">
        <f ca="1">Inputs!B14+(Inputs!D14-Inputs!B14)*BETAINV(RAND(),Model!H8,Model!I8)</f>
        <v>0.43492305660539077</v>
      </c>
      <c r="Q718">
        <f ca="1">Inputs!E14+(Inputs!G14-Inputs!E14)*BETAINV(RAND(),Model!J8,Model!K8)</f>
        <v>0.59970979793800072</v>
      </c>
      <c r="R718">
        <f ca="1">(Inputs!H14+(Inputs!J14-Inputs!H14)*BETAINV(RAND(),Model!L8,Model!M8))*Inputs!$C$6</f>
        <v>334148.56420423841</v>
      </c>
      <c r="S718">
        <f t="shared" ca="1" si="239"/>
        <v>0.26082761839539653</v>
      </c>
      <c r="T718">
        <f t="shared" ca="1" si="240"/>
        <v>0.77635280505622928</v>
      </c>
      <c r="U718">
        <f t="shared" ca="1" si="241"/>
        <v>1</v>
      </c>
      <c r="V718" s="47">
        <f t="shared" ca="1" si="242"/>
        <v>334148.56420423841</v>
      </c>
      <c r="W718">
        <f ca="1">Inputs!B15+(Inputs!D15-Inputs!B15)*BETAINV(RAND(),Model!H9,Model!I9)</f>
        <v>1.8777602079277129</v>
      </c>
      <c r="X718">
        <f ca="1">Inputs!E15+(Inputs!G15-Inputs!E15)*BETAINV(RAND(),Model!J9,Model!K9)</f>
        <v>0.49987127986534241</v>
      </c>
      <c r="Y718">
        <f ca="1">(Inputs!H15+(Inputs!J15-Inputs!H15)*BETAINV(RAND(),Model!L9,Model!M9))*Inputs!$C$6</f>
        <v>20202.420463654769</v>
      </c>
      <c r="Z718">
        <f t="shared" ca="1" si="243"/>
        <v>0.93863839841703733</v>
      </c>
      <c r="AA718">
        <f t="shared" ca="1" si="244"/>
        <v>0.22861759789415981</v>
      </c>
      <c r="AB718">
        <f t="shared" ca="1" si="245"/>
        <v>0</v>
      </c>
      <c r="AC718" s="47">
        <f t="shared" ca="1" si="246"/>
        <v>0</v>
      </c>
      <c r="AD718">
        <f ca="1">Inputs!B16+(Inputs!D16-Inputs!B16)*BETAINV(RAND(),Model!H10,Model!I10)</f>
        <v>0.55072902821554404</v>
      </c>
      <c r="AE718">
        <f ca="1">Inputs!E16+(Inputs!G16-Inputs!E16)*BETAINV(RAND(),Model!J10,Model!K10)</f>
        <v>0.71217145147244298</v>
      </c>
      <c r="AF718">
        <f ca="1">(Inputs!H16+(Inputs!J16-Inputs!H16)*BETAINV(RAND(),Model!L10,Model!M10))*Inputs!$C$6</f>
        <v>79593.504190671447</v>
      </c>
      <c r="AG718">
        <f t="shared" ca="1" si="247"/>
        <v>0.39221349139227202</v>
      </c>
      <c r="AH718">
        <f t="shared" ca="1" si="248"/>
        <v>0.76320064155363931</v>
      </c>
      <c r="AI718">
        <f t="shared" ca="1" si="249"/>
        <v>1</v>
      </c>
      <c r="AJ718" s="47">
        <f t="shared" ca="1" si="250"/>
        <v>79593.504190671447</v>
      </c>
      <c r="AK718">
        <f t="shared" ca="1" si="251"/>
        <v>442839.37445513392</v>
      </c>
    </row>
    <row r="719" spans="2:37" x14ac:dyDescent="0.2">
      <c r="B719">
        <f ca="1">Inputs!B12+(Inputs!D12-Inputs!B12)*BETAINV(RAND(),Model!H6,Model!I6)</f>
        <v>2.5880467822247759</v>
      </c>
      <c r="C719">
        <f ca="1">Inputs!E12+(Inputs!G12-Inputs!E12)*BETAINV(RAND(),Model!J6,Model!K6)</f>
        <v>0.40480569185310189</v>
      </c>
      <c r="D719">
        <f ca="1">(Inputs!H12+(Inputs!J12-Inputs!H12)*BETAINV(RAND(),Model!L6,Model!M6))*Inputs!$C$6</f>
        <v>8616.4000986077644</v>
      </c>
      <c r="E719">
        <f t="shared" ca="1" si="231"/>
        <v>1.0476560682266944</v>
      </c>
      <c r="F719">
        <f t="shared" ca="1" si="232"/>
        <v>0.14056578357970229</v>
      </c>
      <c r="G719">
        <f t="shared" ca="1" si="233"/>
        <v>0</v>
      </c>
      <c r="H719" s="47">
        <f t="shared" ca="1" si="234"/>
        <v>0</v>
      </c>
      <c r="I719">
        <f ca="1">Inputs!B13+(Inputs!D13-Inputs!B13)*BETAINV(RAND(),Model!H7,Model!I7)</f>
        <v>1.1736604730121414</v>
      </c>
      <c r="J719">
        <f ca="1">Inputs!E13+(Inputs!G13-Inputs!E13)*BETAINV(RAND(),Model!J7,Model!K7)</f>
        <v>0.32293087424124911</v>
      </c>
      <c r="K719">
        <f ca="1">(Inputs!H13+(Inputs!J13-Inputs!H13)*BETAINV(RAND(),Model!L7,Model!M7))*Inputs!$C$6</f>
        <v>32036.229580217343</v>
      </c>
      <c r="L719">
        <f t="shared" ca="1" si="235"/>
        <v>0.37901120261220878</v>
      </c>
      <c r="M719">
        <f t="shared" ca="1" si="236"/>
        <v>0.24439925030346965</v>
      </c>
      <c r="N719">
        <f t="shared" ca="1" si="237"/>
        <v>0</v>
      </c>
      <c r="O719" s="47">
        <f t="shared" ca="1" si="238"/>
        <v>0</v>
      </c>
      <c r="P719">
        <f ca="1">Inputs!B14+(Inputs!D14-Inputs!B14)*BETAINV(RAND(),Model!H8,Model!I8)</f>
        <v>0.43249010912376373</v>
      </c>
      <c r="Q719">
        <f ca="1">Inputs!E14+(Inputs!G14-Inputs!E14)*BETAINV(RAND(),Model!J8,Model!K8)</f>
        <v>0.68750150958994538</v>
      </c>
      <c r="R719">
        <f ca="1">(Inputs!H14+(Inputs!J14-Inputs!H14)*BETAINV(RAND(),Model!L8,Model!M8))*Inputs!$C$6</f>
        <v>372583.54392933421</v>
      </c>
      <c r="S719">
        <f t="shared" ca="1" si="239"/>
        <v>0.29733760290530775</v>
      </c>
      <c r="T719">
        <f t="shared" ca="1" si="240"/>
        <v>0.65557016814133895</v>
      </c>
      <c r="U719">
        <f t="shared" ca="1" si="241"/>
        <v>0</v>
      </c>
      <c r="V719" s="47">
        <f t="shared" ca="1" si="242"/>
        <v>0</v>
      </c>
      <c r="W719">
        <f ca="1">Inputs!B15+(Inputs!D15-Inputs!B15)*BETAINV(RAND(),Model!H9,Model!I9)</f>
        <v>0.96276360517827331</v>
      </c>
      <c r="X719">
        <f ca="1">Inputs!E15+(Inputs!G15-Inputs!E15)*BETAINV(RAND(),Model!J9,Model!K9)</f>
        <v>0.4043229680025674</v>
      </c>
      <c r="Y719">
        <f ca="1">(Inputs!H15+(Inputs!J15-Inputs!H15)*BETAINV(RAND(),Model!L9,Model!M9))*Inputs!$C$6</f>
        <v>39654.519045132154</v>
      </c>
      <c r="Z719">
        <f t="shared" ca="1" si="243"/>
        <v>0.3892674383305314</v>
      </c>
      <c r="AA719">
        <f t="shared" ca="1" si="244"/>
        <v>0.63052443596297469</v>
      </c>
      <c r="AB719">
        <f t="shared" ca="1" si="245"/>
        <v>0</v>
      </c>
      <c r="AC719" s="47">
        <f t="shared" ca="1" si="246"/>
        <v>0</v>
      </c>
      <c r="AD719">
        <f ca="1">Inputs!B16+(Inputs!D16-Inputs!B16)*BETAINV(RAND(),Model!H10,Model!I10)</f>
        <v>0.54786221962169845</v>
      </c>
      <c r="AE719">
        <f ca="1">Inputs!E16+(Inputs!G16-Inputs!E16)*BETAINV(RAND(),Model!J10,Model!K10)</f>
        <v>0.63975144248533256</v>
      </c>
      <c r="AF719">
        <f ca="1">(Inputs!H16+(Inputs!J16-Inputs!H16)*BETAINV(RAND(),Model!L10,Model!M10))*Inputs!$C$6</f>
        <v>68797.831747007003</v>
      </c>
      <c r="AG719">
        <f t="shared" ca="1" si="247"/>
        <v>0.35049564528619764</v>
      </c>
      <c r="AH719">
        <f t="shared" ca="1" si="248"/>
        <v>0.89400188414526816</v>
      </c>
      <c r="AI719">
        <f t="shared" ca="1" si="249"/>
        <v>1</v>
      </c>
      <c r="AJ719" s="47">
        <f t="shared" ca="1" si="250"/>
        <v>68797.831747007003</v>
      </c>
      <c r="AK719">
        <f t="shared" ca="1" si="251"/>
        <v>68797.831747007003</v>
      </c>
    </row>
    <row r="720" spans="2:37" x14ac:dyDescent="0.2">
      <c r="B720">
        <f ca="1">Inputs!B12+(Inputs!D12-Inputs!B12)*BETAINV(RAND(),Model!H6,Model!I6)</f>
        <v>3.5636306664723989</v>
      </c>
      <c r="C720">
        <f ca="1">Inputs!E12+(Inputs!G12-Inputs!E12)*BETAINV(RAND(),Model!J6,Model!K6)</f>
        <v>0.29352120339785615</v>
      </c>
      <c r="D720">
        <f ca="1">(Inputs!H12+(Inputs!J12-Inputs!H12)*BETAINV(RAND(),Model!L6,Model!M6))*Inputs!$C$6</f>
        <v>31252.152771478744</v>
      </c>
      <c r="E720">
        <f t="shared" ca="1" si="231"/>
        <v>1.0460011616884826</v>
      </c>
      <c r="F720">
        <f t="shared" ca="1" si="232"/>
        <v>0.57491220974403723</v>
      </c>
      <c r="G720">
        <f t="shared" ca="1" si="233"/>
        <v>1</v>
      </c>
      <c r="H720" s="47">
        <f t="shared" ca="1" si="234"/>
        <v>31252.152771478744</v>
      </c>
      <c r="I720">
        <f ca="1">Inputs!B13+(Inputs!D13-Inputs!B13)*BETAINV(RAND(),Model!H7,Model!I7)</f>
        <v>2.6181695653730319</v>
      </c>
      <c r="J720">
        <f ca="1">Inputs!E13+(Inputs!G13-Inputs!E13)*BETAINV(RAND(),Model!J7,Model!K7)</f>
        <v>0.20140963605396181</v>
      </c>
      <c r="K720">
        <f ca="1">(Inputs!H13+(Inputs!J13-Inputs!H13)*BETAINV(RAND(),Model!L7,Model!M7))*Inputs!$C$6</f>
        <v>38522.177701201494</v>
      </c>
      <c r="L720">
        <f t="shared" ca="1" si="235"/>
        <v>0.52732457928934173</v>
      </c>
      <c r="M720">
        <f t="shared" ca="1" si="236"/>
        <v>0.68799045017535854</v>
      </c>
      <c r="N720">
        <f t="shared" ca="1" si="237"/>
        <v>1</v>
      </c>
      <c r="O720" s="47">
        <f t="shared" ca="1" si="238"/>
        <v>38522.177701201494</v>
      </c>
      <c r="P720">
        <f ca="1">Inputs!B14+(Inputs!D14-Inputs!B14)*BETAINV(RAND(),Model!H8,Model!I8)</f>
        <v>0.2936859735035281</v>
      </c>
      <c r="Q720">
        <f ca="1">Inputs!E14+(Inputs!G14-Inputs!E14)*BETAINV(RAND(),Model!J8,Model!K8)</f>
        <v>0.60622393026565891</v>
      </c>
      <c r="R720">
        <f ca="1">(Inputs!H14+(Inputs!J14-Inputs!H14)*BETAINV(RAND(),Model!L8,Model!M8))*Inputs!$C$6</f>
        <v>286117.48606707453</v>
      </c>
      <c r="S720">
        <f t="shared" ca="1" si="239"/>
        <v>0.17803946512120497</v>
      </c>
      <c r="T720">
        <f t="shared" ca="1" si="240"/>
        <v>9.357456663337993E-2</v>
      </c>
      <c r="U720">
        <f t="shared" ca="1" si="241"/>
        <v>0</v>
      </c>
      <c r="V720" s="47">
        <f t="shared" ca="1" si="242"/>
        <v>0</v>
      </c>
      <c r="W720">
        <f ca="1">Inputs!B15+(Inputs!D15-Inputs!B15)*BETAINV(RAND(),Model!H9,Model!I9)</f>
        <v>1.8854404043166302</v>
      </c>
      <c r="X720">
        <f ca="1">Inputs!E15+(Inputs!G15-Inputs!E15)*BETAINV(RAND(),Model!J9,Model!K9)</f>
        <v>0.41067659271081985</v>
      </c>
      <c r="Y720">
        <f ca="1">(Inputs!H15+(Inputs!J15-Inputs!H15)*BETAINV(RAND(),Model!L9,Model!M9))*Inputs!$C$6</f>
        <v>44653.952544160922</v>
      </c>
      <c r="Z720">
        <f t="shared" ca="1" si="243"/>
        <v>0.7743062410040642</v>
      </c>
      <c r="AA720">
        <f t="shared" ca="1" si="244"/>
        <v>0.7720424869446888</v>
      </c>
      <c r="AB720">
        <f t="shared" ca="1" si="245"/>
        <v>1</v>
      </c>
      <c r="AC720" s="47">
        <f t="shared" ca="1" si="246"/>
        <v>44653.952544160922</v>
      </c>
      <c r="AD720">
        <f ca="1">Inputs!B16+(Inputs!D16-Inputs!B16)*BETAINV(RAND(),Model!H10,Model!I10)</f>
        <v>1.1187234435940396</v>
      </c>
      <c r="AE720">
        <f ca="1">Inputs!E16+(Inputs!G16-Inputs!E16)*BETAINV(RAND(),Model!J10,Model!K10)</f>
        <v>0.50397049024870566</v>
      </c>
      <c r="AF720">
        <f ca="1">(Inputs!H16+(Inputs!J16-Inputs!H16)*BETAINV(RAND(),Model!L10,Model!M10))*Inputs!$C$6</f>
        <v>45157.149910633918</v>
      </c>
      <c r="AG720">
        <f t="shared" ca="1" si="247"/>
        <v>0.56380360232080839</v>
      </c>
      <c r="AH720">
        <f t="shared" ca="1" si="248"/>
        <v>6.3973285590660178E-2</v>
      </c>
      <c r="AI720">
        <f t="shared" ca="1" si="249"/>
        <v>0</v>
      </c>
      <c r="AJ720" s="47">
        <f t="shared" ca="1" si="250"/>
        <v>0</v>
      </c>
      <c r="AK720">
        <f t="shared" ca="1" si="251"/>
        <v>114428.28301684116</v>
      </c>
    </row>
    <row r="721" spans="2:37" x14ac:dyDescent="0.2">
      <c r="B721">
        <f ca="1">Inputs!B12+(Inputs!D12-Inputs!B12)*BETAINV(RAND(),Model!H6,Model!I6)</f>
        <v>2.809197182436467</v>
      </c>
      <c r="C721">
        <f ca="1">Inputs!E12+(Inputs!G12-Inputs!E12)*BETAINV(RAND(),Model!J6,Model!K6)</f>
        <v>0.34294165876661109</v>
      </c>
      <c r="D721">
        <f ca="1">(Inputs!H12+(Inputs!J12-Inputs!H12)*BETAINV(RAND(),Model!L6,Model!M6))*Inputs!$C$6</f>
        <v>19349.640315770466</v>
      </c>
      <c r="E721">
        <f t="shared" ca="1" si="231"/>
        <v>0.96339074154725224</v>
      </c>
      <c r="F721">
        <f t="shared" ca="1" si="232"/>
        <v>0.57280139682468589</v>
      </c>
      <c r="G721">
        <f t="shared" ca="1" si="233"/>
        <v>1</v>
      </c>
      <c r="H721" s="47">
        <f t="shared" ca="1" si="234"/>
        <v>19349.640315770466</v>
      </c>
      <c r="I721">
        <f ca="1">Inputs!B13+(Inputs!D13-Inputs!B13)*BETAINV(RAND(),Model!H7,Model!I7)</f>
        <v>3.4606380765781966</v>
      </c>
      <c r="J721">
        <f ca="1">Inputs!E13+(Inputs!G13-Inputs!E13)*BETAINV(RAND(),Model!J7,Model!K7)</f>
        <v>0.31935665069355024</v>
      </c>
      <c r="K721">
        <f ca="1">(Inputs!H13+(Inputs!J13-Inputs!H13)*BETAINV(RAND(),Model!L7,Model!M7))*Inputs!$C$6</f>
        <v>17300.127838627446</v>
      </c>
      <c r="L721">
        <f t="shared" ca="1" si="235"/>
        <v>1.1051777853985827</v>
      </c>
      <c r="M721">
        <f t="shared" ca="1" si="236"/>
        <v>0.97502771386445863</v>
      </c>
      <c r="N721">
        <f t="shared" ca="1" si="237"/>
        <v>4</v>
      </c>
      <c r="O721" s="47">
        <f t="shared" ca="1" si="238"/>
        <v>69200.511354509785</v>
      </c>
      <c r="P721">
        <f ca="1">Inputs!B14+(Inputs!D14-Inputs!B14)*BETAINV(RAND(),Model!H8,Model!I8)</f>
        <v>0.23166691181397348</v>
      </c>
      <c r="Q721">
        <f ca="1">Inputs!E14+(Inputs!G14-Inputs!E14)*BETAINV(RAND(),Model!J8,Model!K8)</f>
        <v>0.45443988527536228</v>
      </c>
      <c r="R721">
        <f ca="1">(Inputs!H14+(Inputs!J14-Inputs!H14)*BETAINV(RAND(),Model!L8,Model!M8))*Inputs!$C$6</f>
        <v>337611.26266528049</v>
      </c>
      <c r="S721">
        <f t="shared" ca="1" si="239"/>
        <v>0.10527868482683958</v>
      </c>
      <c r="T721">
        <f t="shared" ca="1" si="240"/>
        <v>0.75183850807072727</v>
      </c>
      <c r="U721">
        <f t="shared" ca="1" si="241"/>
        <v>0</v>
      </c>
      <c r="V721" s="47">
        <f t="shared" ca="1" si="242"/>
        <v>0</v>
      </c>
      <c r="W721">
        <f ca="1">Inputs!B15+(Inputs!D15-Inputs!B15)*BETAINV(RAND(),Model!H9,Model!I9)</f>
        <v>0.83769099001569147</v>
      </c>
      <c r="X721">
        <f ca="1">Inputs!E15+(Inputs!G15-Inputs!E15)*BETAINV(RAND(),Model!J9,Model!K9)</f>
        <v>0.50826687919542235</v>
      </c>
      <c r="Y721">
        <f ca="1">(Inputs!H15+(Inputs!J15-Inputs!H15)*BETAINV(RAND(),Model!L9,Model!M9))*Inputs!$C$6</f>
        <v>24237.994716164634</v>
      </c>
      <c r="Z721">
        <f t="shared" ca="1" si="243"/>
        <v>0.42577058522539923</v>
      </c>
      <c r="AA721">
        <f t="shared" ca="1" si="244"/>
        <v>0.46906358097421175</v>
      </c>
      <c r="AB721">
        <f t="shared" ca="1" si="245"/>
        <v>0</v>
      </c>
      <c r="AC721" s="47">
        <f t="shared" ca="1" si="246"/>
        <v>0</v>
      </c>
      <c r="AD721">
        <f ca="1">Inputs!B16+(Inputs!D16-Inputs!B16)*BETAINV(RAND(),Model!H10,Model!I10)</f>
        <v>0.93278479139031445</v>
      </c>
      <c r="AE721">
        <f ca="1">Inputs!E16+(Inputs!G16-Inputs!E16)*BETAINV(RAND(),Model!J10,Model!K10)</f>
        <v>0.53898044250839328</v>
      </c>
      <c r="AF721">
        <f ca="1">(Inputs!H16+(Inputs!J16-Inputs!H16)*BETAINV(RAND(),Model!L10,Model!M10))*Inputs!$C$6</f>
        <v>49436.725567598063</v>
      </c>
      <c r="AG721">
        <f t="shared" ca="1" si="247"/>
        <v>0.50275275962865096</v>
      </c>
      <c r="AH721">
        <f t="shared" ca="1" si="248"/>
        <v>0.53815186902532208</v>
      </c>
      <c r="AI721">
        <f t="shared" ca="1" si="249"/>
        <v>0</v>
      </c>
      <c r="AJ721" s="47">
        <f t="shared" ca="1" si="250"/>
        <v>0</v>
      </c>
      <c r="AK721">
        <f t="shared" ca="1" si="251"/>
        <v>88550.151670280247</v>
      </c>
    </row>
    <row r="722" spans="2:37" x14ac:dyDescent="0.2">
      <c r="B722">
        <f ca="1">Inputs!B12+(Inputs!D12-Inputs!B12)*BETAINV(RAND(),Model!H6,Model!I6)</f>
        <v>2.1235898226619212</v>
      </c>
      <c r="C722">
        <f ca="1">Inputs!E12+(Inputs!G12-Inputs!E12)*BETAINV(RAND(),Model!J6,Model!K6)</f>
        <v>0.2985661862792261</v>
      </c>
      <c r="D722">
        <f ca="1">(Inputs!H12+(Inputs!J12-Inputs!H12)*BETAINV(RAND(),Model!L6,Model!M6))*Inputs!$C$6</f>
        <v>52575.085563842091</v>
      </c>
      <c r="E722">
        <f t="shared" ca="1" si="231"/>
        <v>0.63403211457354791</v>
      </c>
      <c r="F722">
        <f t="shared" ca="1" si="232"/>
        <v>0.23459537929286012</v>
      </c>
      <c r="G722">
        <f t="shared" ca="1" si="233"/>
        <v>0</v>
      </c>
      <c r="H722" s="47">
        <f t="shared" ca="1" si="234"/>
        <v>0</v>
      </c>
      <c r="I722">
        <f ca="1">Inputs!B13+(Inputs!D13-Inputs!B13)*BETAINV(RAND(),Model!H7,Model!I7)</f>
        <v>0.8896374013493149</v>
      </c>
      <c r="J722">
        <f ca="1">Inputs!E13+(Inputs!G13-Inputs!E13)*BETAINV(RAND(),Model!J7,Model!K7)</f>
        <v>0.11698579146733543</v>
      </c>
      <c r="K722">
        <f ca="1">(Inputs!H13+(Inputs!J13-Inputs!H13)*BETAINV(RAND(),Model!L7,Model!M7))*Inputs!$C$6</f>
        <v>37456.923389971802</v>
      </c>
      <c r="L722">
        <f t="shared" ca="1" si="235"/>
        <v>0.10407493551579315</v>
      </c>
      <c r="M722">
        <f t="shared" ca="1" si="236"/>
        <v>0.66942405136456262</v>
      </c>
      <c r="N722">
        <f t="shared" ca="1" si="237"/>
        <v>0</v>
      </c>
      <c r="O722" s="47">
        <f t="shared" ca="1" si="238"/>
        <v>0</v>
      </c>
      <c r="P722">
        <f ca="1">Inputs!B14+(Inputs!D14-Inputs!B14)*BETAINV(RAND(),Model!H8,Model!I8)</f>
        <v>0.17076345137005369</v>
      </c>
      <c r="Q722">
        <f ca="1">Inputs!E14+(Inputs!G14-Inputs!E14)*BETAINV(RAND(),Model!J8,Model!K8)</f>
        <v>0.69779409635023004</v>
      </c>
      <c r="R722">
        <f ca="1">(Inputs!H14+(Inputs!J14-Inputs!H14)*BETAINV(RAND(),Model!L8,Model!M8))*Inputs!$C$6</f>
        <v>326734.09788981156</v>
      </c>
      <c r="S722">
        <f t="shared" ca="1" si="239"/>
        <v>0.11915772823841307</v>
      </c>
      <c r="T722">
        <f t="shared" ca="1" si="240"/>
        <v>0.80154628204116785</v>
      </c>
      <c r="U722">
        <f t="shared" ca="1" si="241"/>
        <v>0</v>
      </c>
      <c r="V722" s="47">
        <f t="shared" ca="1" si="242"/>
        <v>0</v>
      </c>
      <c r="W722">
        <f ca="1">Inputs!B15+(Inputs!D15-Inputs!B15)*BETAINV(RAND(),Model!H9,Model!I9)</f>
        <v>1.1093028195187538</v>
      </c>
      <c r="X722">
        <f ca="1">Inputs!E15+(Inputs!G15-Inputs!E15)*BETAINV(RAND(),Model!J9,Model!K9)</f>
        <v>0.39455387514620188</v>
      </c>
      <c r="Y722">
        <f ca="1">(Inputs!H15+(Inputs!J15-Inputs!H15)*BETAINV(RAND(),Model!L9,Model!M9))*Inputs!$C$6</f>
        <v>20677.390348126479</v>
      </c>
      <c r="Z722">
        <f t="shared" ca="1" si="243"/>
        <v>0.43767972615173212</v>
      </c>
      <c r="AA722">
        <f t="shared" ca="1" si="244"/>
        <v>0.26234120904943681</v>
      </c>
      <c r="AB722">
        <f t="shared" ca="1" si="245"/>
        <v>0</v>
      </c>
      <c r="AC722" s="47">
        <f t="shared" ca="1" si="246"/>
        <v>0</v>
      </c>
      <c r="AD722">
        <f ca="1">Inputs!B16+(Inputs!D16-Inputs!B16)*BETAINV(RAND(),Model!H10,Model!I10)</f>
        <v>0.51318965101447422</v>
      </c>
      <c r="AE722">
        <f ca="1">Inputs!E16+(Inputs!G16-Inputs!E16)*BETAINV(RAND(),Model!J10,Model!K10)</f>
        <v>0.68221289030612686</v>
      </c>
      <c r="AF722">
        <f ca="1">(Inputs!H16+(Inputs!J16-Inputs!H16)*BETAINV(RAND(),Model!L10,Model!M10))*Inputs!$C$6</f>
        <v>43505.099051484947</v>
      </c>
      <c r="AG722">
        <f t="shared" ca="1" si="247"/>
        <v>0.350104595093777</v>
      </c>
      <c r="AH722">
        <f t="shared" ca="1" si="248"/>
        <v>0.56730626758987313</v>
      </c>
      <c r="AI722">
        <f t="shared" ca="1" si="249"/>
        <v>0</v>
      </c>
      <c r="AJ722" s="47">
        <f t="shared" ca="1" si="250"/>
        <v>0</v>
      </c>
      <c r="AK722">
        <f t="shared" ca="1" si="251"/>
        <v>0</v>
      </c>
    </row>
    <row r="723" spans="2:37" x14ac:dyDescent="0.2">
      <c r="B723">
        <f ca="1">Inputs!B12+(Inputs!D12-Inputs!B12)*BETAINV(RAND(),Model!H6,Model!I6)</f>
        <v>3.8809988718581239</v>
      </c>
      <c r="C723">
        <f ca="1">Inputs!E12+(Inputs!G12-Inputs!E12)*BETAINV(RAND(),Model!J6,Model!K6)</f>
        <v>0.18913055356129876</v>
      </c>
      <c r="D723">
        <f ca="1">(Inputs!H12+(Inputs!J12-Inputs!H12)*BETAINV(RAND(),Model!L6,Model!M6))*Inputs!$C$6</f>
        <v>30344.121684588983</v>
      </c>
      <c r="E723">
        <f t="shared" ca="1" si="231"/>
        <v>0.73401546500530301</v>
      </c>
      <c r="F723">
        <f t="shared" ca="1" si="232"/>
        <v>0.46941783337100729</v>
      </c>
      <c r="G723">
        <f t="shared" ca="1" si="233"/>
        <v>0</v>
      </c>
      <c r="H723" s="47">
        <f t="shared" ca="1" si="234"/>
        <v>0</v>
      </c>
      <c r="I723">
        <f ca="1">Inputs!B13+(Inputs!D13-Inputs!B13)*BETAINV(RAND(),Model!H7,Model!I7)</f>
        <v>3.9491833595058652</v>
      </c>
      <c r="J723">
        <f ca="1">Inputs!E13+(Inputs!G13-Inputs!E13)*BETAINV(RAND(),Model!J7,Model!K7)</f>
        <v>0.18177233102907825</v>
      </c>
      <c r="K723">
        <f ca="1">(Inputs!H13+(Inputs!J13-Inputs!H13)*BETAINV(RAND(),Model!L7,Model!M7))*Inputs!$C$6</f>
        <v>57001.556956897643</v>
      </c>
      <c r="L723">
        <f t="shared" ca="1" si="235"/>
        <v>0.71785226491862741</v>
      </c>
      <c r="M723">
        <f t="shared" ca="1" si="236"/>
        <v>0.7662427508120262</v>
      </c>
      <c r="N723">
        <f t="shared" ca="1" si="237"/>
        <v>1</v>
      </c>
      <c r="O723" s="47">
        <f t="shared" ca="1" si="238"/>
        <v>57001.556956897643</v>
      </c>
      <c r="P723">
        <f ca="1">Inputs!B14+(Inputs!D14-Inputs!B14)*BETAINV(RAND(),Model!H8,Model!I8)</f>
        <v>0.44818909266524454</v>
      </c>
      <c r="Q723">
        <f ca="1">Inputs!E14+(Inputs!G14-Inputs!E14)*BETAINV(RAND(),Model!J8,Model!K8)</f>
        <v>0.42867730367478168</v>
      </c>
      <c r="R723">
        <f ca="1">(Inputs!H14+(Inputs!J14-Inputs!H14)*BETAINV(RAND(),Model!L8,Model!M8))*Inputs!$C$6</f>
        <v>414686.33509107062</v>
      </c>
      <c r="S723">
        <f t="shared" ca="1" si="239"/>
        <v>0.1921284917801839</v>
      </c>
      <c r="T723">
        <f t="shared" ca="1" si="240"/>
        <v>0.73396743554875177</v>
      </c>
      <c r="U723">
        <f t="shared" ca="1" si="241"/>
        <v>0</v>
      </c>
      <c r="V723" s="47">
        <f t="shared" ca="1" si="242"/>
        <v>0</v>
      </c>
      <c r="W723">
        <f ca="1">Inputs!B15+(Inputs!D15-Inputs!B15)*BETAINV(RAND(),Model!H9,Model!I9)</f>
        <v>0.77380679331370628</v>
      </c>
      <c r="X723">
        <f ca="1">Inputs!E15+(Inputs!G15-Inputs!E15)*BETAINV(RAND(),Model!J9,Model!K9)</f>
        <v>0.39796293107341574</v>
      </c>
      <c r="Y723">
        <f ca="1">(Inputs!H15+(Inputs!J15-Inputs!H15)*BETAINV(RAND(),Model!L9,Model!M9))*Inputs!$C$6</f>
        <v>16047.098066276167</v>
      </c>
      <c r="Z723">
        <f t="shared" ca="1" si="243"/>
        <v>0.30794641955164337</v>
      </c>
      <c r="AA723">
        <f t="shared" ca="1" si="244"/>
        <v>0.26835418536989331</v>
      </c>
      <c r="AB723">
        <f t="shared" ca="1" si="245"/>
        <v>0</v>
      </c>
      <c r="AC723" s="47">
        <f t="shared" ca="1" si="246"/>
        <v>0</v>
      </c>
      <c r="AD723">
        <f ca="1">Inputs!B16+(Inputs!D16-Inputs!B16)*BETAINV(RAND(),Model!H10,Model!I10)</f>
        <v>0.55816227564241649</v>
      </c>
      <c r="AE723">
        <f ca="1">Inputs!E16+(Inputs!G16-Inputs!E16)*BETAINV(RAND(),Model!J10,Model!K10)</f>
        <v>0.51378300045220948</v>
      </c>
      <c r="AF723">
        <f ca="1">(Inputs!H16+(Inputs!J16-Inputs!H16)*BETAINV(RAND(),Model!L10,Model!M10))*Inputs!$C$6</f>
        <v>112948.57450086839</v>
      </c>
      <c r="AG723">
        <f t="shared" ca="1" si="247"/>
        <v>0.28677428871879396</v>
      </c>
      <c r="AH723">
        <f t="shared" ca="1" si="248"/>
        <v>0.37645055172539943</v>
      </c>
      <c r="AI723">
        <f t="shared" ca="1" si="249"/>
        <v>0</v>
      </c>
      <c r="AJ723" s="47">
        <f t="shared" ca="1" si="250"/>
        <v>0</v>
      </c>
      <c r="AK723">
        <f t="shared" ca="1" si="251"/>
        <v>57001.556956897643</v>
      </c>
    </row>
    <row r="724" spans="2:37" x14ac:dyDescent="0.2">
      <c r="B724">
        <f ca="1">Inputs!B12+(Inputs!D12-Inputs!B12)*BETAINV(RAND(),Model!H6,Model!I6)</f>
        <v>2.7268692099302472</v>
      </c>
      <c r="C724">
        <f ca="1">Inputs!E12+(Inputs!G12-Inputs!E12)*BETAINV(RAND(),Model!J6,Model!K6)</f>
        <v>0.39477126542831853</v>
      </c>
      <c r="D724">
        <f ca="1">(Inputs!H12+(Inputs!J12-Inputs!H12)*BETAINV(RAND(),Model!L6,Model!M6))*Inputs!$C$6</f>
        <v>13650.463049483855</v>
      </c>
      <c r="E724">
        <f t="shared" ca="1" si="231"/>
        <v>1.0764896086616829</v>
      </c>
      <c r="F724">
        <f t="shared" ca="1" si="232"/>
        <v>8.9328297141241908E-2</v>
      </c>
      <c r="G724">
        <f t="shared" ca="1" si="233"/>
        <v>0</v>
      </c>
      <c r="H724" s="47">
        <f t="shared" ca="1" si="234"/>
        <v>0</v>
      </c>
      <c r="I724">
        <f ca="1">Inputs!B13+(Inputs!D13-Inputs!B13)*BETAINV(RAND(),Model!H7,Model!I7)</f>
        <v>1.327104669708044</v>
      </c>
      <c r="J724">
        <f ca="1">Inputs!E13+(Inputs!G13-Inputs!E13)*BETAINV(RAND(),Model!J7,Model!K7)</f>
        <v>0.11969239565223072</v>
      </c>
      <c r="K724">
        <f ca="1">(Inputs!H13+(Inputs!J13-Inputs!H13)*BETAINV(RAND(),Model!L7,Model!M7))*Inputs!$C$6</f>
        <v>28251.339779724454</v>
      </c>
      <c r="L724">
        <f t="shared" ca="1" si="235"/>
        <v>0.15884433719861818</v>
      </c>
      <c r="M724">
        <f t="shared" ca="1" si="236"/>
        <v>0.8825389489086336</v>
      </c>
      <c r="N724">
        <f t="shared" ca="1" si="237"/>
        <v>1</v>
      </c>
      <c r="O724" s="47">
        <f t="shared" ca="1" si="238"/>
        <v>28251.339779724454</v>
      </c>
      <c r="P724">
        <f ca="1">Inputs!B14+(Inputs!D14-Inputs!B14)*BETAINV(RAND(),Model!H8,Model!I8)</f>
        <v>0.50725437162811571</v>
      </c>
      <c r="Q724">
        <f ca="1">Inputs!E14+(Inputs!G14-Inputs!E14)*BETAINV(RAND(),Model!J8,Model!K8)</f>
        <v>0.56361337106460219</v>
      </c>
      <c r="R724">
        <f ca="1">(Inputs!H14+(Inputs!J14-Inputs!H14)*BETAINV(RAND(),Model!L8,Model!M8))*Inputs!$C$6</f>
        <v>442625.20837319427</v>
      </c>
      <c r="S724">
        <f t="shared" ca="1" si="239"/>
        <v>0.28589534638057879</v>
      </c>
      <c r="T724">
        <f t="shared" ca="1" si="240"/>
        <v>0.56369747628376587</v>
      </c>
      <c r="U724">
        <f t="shared" ca="1" si="241"/>
        <v>0</v>
      </c>
      <c r="V724" s="47">
        <f t="shared" ca="1" si="242"/>
        <v>0</v>
      </c>
      <c r="W724">
        <f ca="1">Inputs!B15+(Inputs!D15-Inputs!B15)*BETAINV(RAND(),Model!H9,Model!I9)</f>
        <v>0.92337099433597114</v>
      </c>
      <c r="X724">
        <f ca="1">Inputs!E15+(Inputs!G15-Inputs!E15)*BETAINV(RAND(),Model!J9,Model!K9)</f>
        <v>0.52645606324467897</v>
      </c>
      <c r="Y724">
        <f ca="1">(Inputs!H15+(Inputs!J15-Inputs!H15)*BETAINV(RAND(),Model!L9,Model!M9))*Inputs!$C$6</f>
        <v>24344.096613686015</v>
      </c>
      <c r="Z724">
        <f t="shared" ca="1" si="243"/>
        <v>0.48611425859244012</v>
      </c>
      <c r="AA724">
        <f t="shared" ca="1" si="244"/>
        <v>0.23456397939903495</v>
      </c>
      <c r="AB724">
        <f t="shared" ca="1" si="245"/>
        <v>0</v>
      </c>
      <c r="AC724" s="47">
        <f t="shared" ca="1" si="246"/>
        <v>0</v>
      </c>
      <c r="AD724">
        <f ca="1">Inputs!B16+(Inputs!D16-Inputs!B16)*BETAINV(RAND(),Model!H10,Model!I10)</f>
        <v>0.7303332082229701</v>
      </c>
      <c r="AE724">
        <f ca="1">Inputs!E16+(Inputs!G16-Inputs!E16)*BETAINV(RAND(),Model!J10,Model!K10)</f>
        <v>0.58389718029696835</v>
      </c>
      <c r="AF724">
        <f ca="1">(Inputs!H16+(Inputs!J16-Inputs!H16)*BETAINV(RAND(),Model!L10,Model!M10))*Inputs!$C$6</f>
        <v>75374.042276755266</v>
      </c>
      <c r="AG724">
        <f t="shared" ca="1" si="247"/>
        <v>0.42643950095863092</v>
      </c>
      <c r="AH724">
        <f t="shared" ca="1" si="248"/>
        <v>0.97146176935461659</v>
      </c>
      <c r="AI724">
        <f t="shared" ca="1" si="249"/>
        <v>2</v>
      </c>
      <c r="AJ724" s="47">
        <f t="shared" ca="1" si="250"/>
        <v>150748.08455351053</v>
      </c>
      <c r="AK724">
        <f t="shared" ca="1" si="251"/>
        <v>178999.42433323499</v>
      </c>
    </row>
    <row r="725" spans="2:37" x14ac:dyDescent="0.2">
      <c r="B725">
        <f ca="1">Inputs!B12+(Inputs!D12-Inputs!B12)*BETAINV(RAND(),Model!H6,Model!I6)</f>
        <v>7.4529432855020312</v>
      </c>
      <c r="C725">
        <f ca="1">Inputs!E12+(Inputs!G12-Inputs!E12)*BETAINV(RAND(),Model!J6,Model!K6)</f>
        <v>0.44747050487880968</v>
      </c>
      <c r="D725">
        <f ca="1">(Inputs!H12+(Inputs!J12-Inputs!H12)*BETAINV(RAND(),Model!L6,Model!M6))*Inputs!$C$6</f>
        <v>23134.941778316883</v>
      </c>
      <c r="E725">
        <f t="shared" ca="1" si="231"/>
        <v>3.3349722947967284</v>
      </c>
      <c r="F725">
        <f t="shared" ca="1" si="232"/>
        <v>0.8907700596901198</v>
      </c>
      <c r="G725">
        <f t="shared" ca="1" si="233"/>
        <v>4</v>
      </c>
      <c r="H725" s="47">
        <f t="shared" ca="1" si="234"/>
        <v>92539.767113267531</v>
      </c>
      <c r="I725">
        <f ca="1">Inputs!B13+(Inputs!D13-Inputs!B13)*BETAINV(RAND(),Model!H7,Model!I7)</f>
        <v>2.9508582293724923</v>
      </c>
      <c r="J725">
        <f ca="1">Inputs!E13+(Inputs!G13-Inputs!E13)*BETAINV(RAND(),Model!J7,Model!K7)</f>
        <v>0.25885382080107627</v>
      </c>
      <c r="K725">
        <f ca="1">(Inputs!H13+(Inputs!J13-Inputs!H13)*BETAINV(RAND(),Model!L7,Model!M7))*Inputs!$C$6</f>
        <v>12856.189233471392</v>
      </c>
      <c r="L725">
        <f t="shared" ca="1" si="235"/>
        <v>0.76384092731536835</v>
      </c>
      <c r="M725">
        <f t="shared" ca="1" si="236"/>
        <v>1.8713122215491262E-2</v>
      </c>
      <c r="N725">
        <f t="shared" ca="1" si="237"/>
        <v>0</v>
      </c>
      <c r="O725" s="47">
        <f t="shared" ca="1" si="238"/>
        <v>0</v>
      </c>
      <c r="P725">
        <f ca="1">Inputs!B14+(Inputs!D14-Inputs!B14)*BETAINV(RAND(),Model!H8,Model!I8)</f>
        <v>0.16593605352500224</v>
      </c>
      <c r="Q725">
        <f ca="1">Inputs!E14+(Inputs!G14-Inputs!E14)*BETAINV(RAND(),Model!J8,Model!K8)</f>
        <v>0.86014392752795876</v>
      </c>
      <c r="R725">
        <f ca="1">(Inputs!H14+(Inputs!J14-Inputs!H14)*BETAINV(RAND(),Model!L8,Model!M8))*Inputs!$C$6</f>
        <v>430936.03448511573</v>
      </c>
      <c r="S725">
        <f t="shared" ca="1" si="239"/>
        <v>0.14272888879748502</v>
      </c>
      <c r="T725">
        <f t="shared" ca="1" si="240"/>
        <v>0.33270568070209761</v>
      </c>
      <c r="U725">
        <f t="shared" ca="1" si="241"/>
        <v>0</v>
      </c>
      <c r="V725" s="47">
        <f t="shared" ca="1" si="242"/>
        <v>0</v>
      </c>
      <c r="W725">
        <f ca="1">Inputs!B15+(Inputs!D15-Inputs!B15)*BETAINV(RAND(),Model!H9,Model!I9)</f>
        <v>0.79384517346621442</v>
      </c>
      <c r="X725">
        <f ca="1">Inputs!E15+(Inputs!G15-Inputs!E15)*BETAINV(RAND(),Model!J9,Model!K9)</f>
        <v>0.53623646249182344</v>
      </c>
      <c r="Y725">
        <f ca="1">(Inputs!H15+(Inputs!J15-Inputs!H15)*BETAINV(RAND(),Model!L9,Model!M9))*Inputs!$C$6</f>
        <v>54651.267549461445</v>
      </c>
      <c r="Z725">
        <f t="shared" ca="1" si="243"/>
        <v>0.42568872758573079</v>
      </c>
      <c r="AA725">
        <f t="shared" ca="1" si="244"/>
        <v>0.92983098003896292</v>
      </c>
      <c r="AB725">
        <f t="shared" ca="1" si="245"/>
        <v>1</v>
      </c>
      <c r="AC725" s="47">
        <f t="shared" ca="1" si="246"/>
        <v>54651.267549461445</v>
      </c>
      <c r="AD725">
        <f ca="1">Inputs!B16+(Inputs!D16-Inputs!B16)*BETAINV(RAND(),Model!H10,Model!I10)</f>
        <v>0.64099652904876658</v>
      </c>
      <c r="AE725">
        <f ca="1">Inputs!E16+(Inputs!G16-Inputs!E16)*BETAINV(RAND(),Model!J10,Model!K10)</f>
        <v>0.54094391987595747</v>
      </c>
      <c r="AF725">
        <f ca="1">(Inputs!H16+(Inputs!J16-Inputs!H16)*BETAINV(RAND(),Model!L10,Model!M10))*Inputs!$C$6</f>
        <v>75188.839660274316</v>
      </c>
      <c r="AG725">
        <f t="shared" ca="1" si="247"/>
        <v>0.34674317505052282</v>
      </c>
      <c r="AH725">
        <f t="shared" ca="1" si="248"/>
        <v>0.64771523446847168</v>
      </c>
      <c r="AI725">
        <f t="shared" ca="1" si="249"/>
        <v>0</v>
      </c>
      <c r="AJ725" s="47">
        <f t="shared" ca="1" si="250"/>
        <v>0</v>
      </c>
      <c r="AK725">
        <f t="shared" ca="1" si="251"/>
        <v>147191.03466272898</v>
      </c>
    </row>
    <row r="726" spans="2:37" x14ac:dyDescent="0.2">
      <c r="B726">
        <f ca="1">Inputs!B12+(Inputs!D12-Inputs!B12)*BETAINV(RAND(),Model!H6,Model!I6)</f>
        <v>3.9126523740571164</v>
      </c>
      <c r="C726">
        <f ca="1">Inputs!E12+(Inputs!G12-Inputs!E12)*BETAINV(RAND(),Model!J6,Model!K6)</f>
        <v>0.34672077880389696</v>
      </c>
      <c r="D726">
        <f ca="1">(Inputs!H12+(Inputs!J12-Inputs!H12)*BETAINV(RAND(),Model!L6,Model!M6))*Inputs!$C$6</f>
        <v>23456.026246173999</v>
      </c>
      <c r="E726">
        <f t="shared" ca="1" si="231"/>
        <v>1.3565978783219999</v>
      </c>
      <c r="F726">
        <f t="shared" ca="1" si="232"/>
        <v>2.7064376987848693E-3</v>
      </c>
      <c r="G726">
        <f t="shared" ca="1" si="233"/>
        <v>0</v>
      </c>
      <c r="H726" s="47">
        <f t="shared" ca="1" si="234"/>
        <v>0</v>
      </c>
      <c r="I726">
        <f ca="1">Inputs!B13+(Inputs!D13-Inputs!B13)*BETAINV(RAND(),Model!H7,Model!I7)</f>
        <v>2.8371497223156079</v>
      </c>
      <c r="J726">
        <f ca="1">Inputs!E13+(Inputs!G13-Inputs!E13)*BETAINV(RAND(),Model!J7,Model!K7)</f>
        <v>0.15545556178152437</v>
      </c>
      <c r="K726">
        <f ca="1">(Inputs!H13+(Inputs!J13-Inputs!H13)*BETAINV(RAND(),Model!L7,Model!M7))*Inputs!$C$6</f>
        <v>28726.910021691365</v>
      </c>
      <c r="L726">
        <f t="shared" ca="1" si="235"/>
        <v>0.4410507039408687</v>
      </c>
      <c r="M726">
        <f t="shared" ca="1" si="236"/>
        <v>1.9583310493527573E-2</v>
      </c>
      <c r="N726">
        <f t="shared" ca="1" si="237"/>
        <v>0</v>
      </c>
      <c r="O726" s="47">
        <f t="shared" ca="1" si="238"/>
        <v>0</v>
      </c>
      <c r="P726">
        <f ca="1">Inputs!B14+(Inputs!D14-Inputs!B14)*BETAINV(RAND(),Model!H8,Model!I8)</f>
        <v>0.24503372697921028</v>
      </c>
      <c r="Q726">
        <f ca="1">Inputs!E14+(Inputs!G14-Inputs!E14)*BETAINV(RAND(),Model!J8,Model!K8)</f>
        <v>0.77352815573477685</v>
      </c>
      <c r="R726">
        <f ca="1">(Inputs!H14+(Inputs!J14-Inputs!H14)*BETAINV(RAND(),Model!L8,Model!M8))*Inputs!$C$6</f>
        <v>379921.36977320508</v>
      </c>
      <c r="S726">
        <f t="shared" ca="1" si="239"/>
        <v>0.18954048692304737</v>
      </c>
      <c r="T726">
        <f t="shared" ca="1" si="240"/>
        <v>0.87564481883681544</v>
      </c>
      <c r="U726">
        <f t="shared" ca="1" si="241"/>
        <v>1</v>
      </c>
      <c r="V726" s="47">
        <f t="shared" ca="1" si="242"/>
        <v>379921.36977320508</v>
      </c>
      <c r="W726">
        <f ca="1">Inputs!B15+(Inputs!D15-Inputs!B15)*BETAINV(RAND(),Model!H9,Model!I9)</f>
        <v>1.6175211171764825</v>
      </c>
      <c r="X726">
        <f ca="1">Inputs!E15+(Inputs!G15-Inputs!E15)*BETAINV(RAND(),Model!J9,Model!K9)</f>
        <v>0.46072160069746582</v>
      </c>
      <c r="Y726">
        <f ca="1">(Inputs!H15+(Inputs!J15-Inputs!H15)*BETAINV(RAND(),Model!L9,Model!M9))*Inputs!$C$6</f>
        <v>7376.3575966124617</v>
      </c>
      <c r="Z726">
        <f t="shared" ca="1" si="243"/>
        <v>0.7452269182675022</v>
      </c>
      <c r="AA726">
        <f t="shared" ca="1" si="244"/>
        <v>0.16954936352114003</v>
      </c>
      <c r="AB726">
        <f t="shared" ca="1" si="245"/>
        <v>0</v>
      </c>
      <c r="AC726" s="47">
        <f t="shared" ca="1" si="246"/>
        <v>0</v>
      </c>
      <c r="AD726">
        <f ca="1">Inputs!B16+(Inputs!D16-Inputs!B16)*BETAINV(RAND(),Model!H10,Model!I10)</f>
        <v>0.33453903745746288</v>
      </c>
      <c r="AE726">
        <f ca="1">Inputs!E16+(Inputs!G16-Inputs!E16)*BETAINV(RAND(),Model!J10,Model!K10)</f>
        <v>0.66667871529365708</v>
      </c>
      <c r="AF726">
        <f ca="1">(Inputs!H16+(Inputs!J16-Inputs!H16)*BETAINV(RAND(),Model!L10,Model!M10))*Inputs!$C$6</f>
        <v>108979.58085703659</v>
      </c>
      <c r="AG726">
        <f t="shared" ca="1" si="247"/>
        <v>0.22303005570771797</v>
      </c>
      <c r="AH726">
        <f t="shared" ca="1" si="248"/>
        <v>0.10107587950818353</v>
      </c>
      <c r="AI726">
        <f t="shared" ca="1" si="249"/>
        <v>0</v>
      </c>
      <c r="AJ726" s="47">
        <f t="shared" ca="1" si="250"/>
        <v>0</v>
      </c>
      <c r="AK726">
        <f t="shared" ca="1" si="251"/>
        <v>379921.36977320508</v>
      </c>
    </row>
    <row r="727" spans="2:37" x14ac:dyDescent="0.2">
      <c r="B727">
        <f ca="1">Inputs!B12+(Inputs!D12-Inputs!B12)*BETAINV(RAND(),Model!H6,Model!I6)</f>
        <v>4.3232110117799145</v>
      </c>
      <c r="C727">
        <f ca="1">Inputs!E12+(Inputs!G12-Inputs!E12)*BETAINV(RAND(),Model!J6,Model!K6)</f>
        <v>0.19948511484515383</v>
      </c>
      <c r="D727">
        <f ca="1">(Inputs!H12+(Inputs!J12-Inputs!H12)*BETAINV(RAND(),Model!L6,Model!M6))*Inputs!$C$6</f>
        <v>19174.48227728028</v>
      </c>
      <c r="E727">
        <f t="shared" ca="1" si="231"/>
        <v>0.86241624518474991</v>
      </c>
      <c r="F727">
        <f t="shared" ca="1" si="232"/>
        <v>0.66951497682794914</v>
      </c>
      <c r="G727">
        <f t="shared" ca="1" si="233"/>
        <v>1</v>
      </c>
      <c r="H727" s="47">
        <f t="shared" ca="1" si="234"/>
        <v>19174.48227728028</v>
      </c>
      <c r="I727">
        <f ca="1">Inputs!B13+(Inputs!D13-Inputs!B13)*BETAINV(RAND(),Model!H7,Model!I7)</f>
        <v>1.4958711644569482</v>
      </c>
      <c r="J727">
        <f ca="1">Inputs!E13+(Inputs!G13-Inputs!E13)*BETAINV(RAND(),Model!J7,Model!K7)</f>
        <v>0.32325830294209668</v>
      </c>
      <c r="K727">
        <f ca="1">(Inputs!H13+(Inputs!J13-Inputs!H13)*BETAINV(RAND(),Model!L7,Model!M7))*Inputs!$C$6</f>
        <v>39648.149435383326</v>
      </c>
      <c r="L727">
        <f t="shared" ca="1" si="235"/>
        <v>0.48355277404237107</v>
      </c>
      <c r="M727">
        <f t="shared" ca="1" si="236"/>
        <v>0.29708622887879699</v>
      </c>
      <c r="N727">
        <f t="shared" ca="1" si="237"/>
        <v>0</v>
      </c>
      <c r="O727" s="47">
        <f t="shared" ca="1" si="238"/>
        <v>0</v>
      </c>
      <c r="P727">
        <f ca="1">Inputs!B14+(Inputs!D14-Inputs!B14)*BETAINV(RAND(),Model!H8,Model!I8)</f>
        <v>0.13182574705293154</v>
      </c>
      <c r="Q727">
        <f ca="1">Inputs!E14+(Inputs!G14-Inputs!E14)*BETAINV(RAND(),Model!J8,Model!K8)</f>
        <v>0.66825704741594194</v>
      </c>
      <c r="R727">
        <f ca="1">(Inputs!H14+(Inputs!J14-Inputs!H14)*BETAINV(RAND(),Model!L8,Model!M8))*Inputs!$C$6</f>
        <v>280133.12290372571</v>
      </c>
      <c r="S727">
        <f t="shared" ca="1" si="239"/>
        <v>8.8093484498992847E-2</v>
      </c>
      <c r="T727">
        <f t="shared" ca="1" si="240"/>
        <v>0.53723096047161678</v>
      </c>
      <c r="U727">
        <f t="shared" ca="1" si="241"/>
        <v>0</v>
      </c>
      <c r="V727" s="47">
        <f t="shared" ca="1" si="242"/>
        <v>0</v>
      </c>
      <c r="W727">
        <f ca="1">Inputs!B15+(Inputs!D15-Inputs!B15)*BETAINV(RAND(),Model!H9,Model!I9)</f>
        <v>1.5808546330339868</v>
      </c>
      <c r="X727">
        <f ca="1">Inputs!E15+(Inputs!G15-Inputs!E15)*BETAINV(RAND(),Model!J9,Model!K9)</f>
        <v>0.4108080860198951</v>
      </c>
      <c r="Y727">
        <f ca="1">(Inputs!H15+(Inputs!J15-Inputs!H15)*BETAINV(RAND(),Model!L9,Model!M9))*Inputs!$C$6</f>
        <v>40543.420225983165</v>
      </c>
      <c r="Z727">
        <f t="shared" ca="1" si="243"/>
        <v>0.64942786607237579</v>
      </c>
      <c r="AA727">
        <f t="shared" ca="1" si="244"/>
        <v>0.13799950577525877</v>
      </c>
      <c r="AB727">
        <f t="shared" ca="1" si="245"/>
        <v>0</v>
      </c>
      <c r="AC727" s="47">
        <f t="shared" ca="1" si="246"/>
        <v>0</v>
      </c>
      <c r="AD727">
        <f ca="1">Inputs!B16+(Inputs!D16-Inputs!B16)*BETAINV(RAND(),Model!H10,Model!I10)</f>
        <v>0.60284101734375728</v>
      </c>
      <c r="AE727">
        <f ca="1">Inputs!E16+(Inputs!G16-Inputs!E16)*BETAINV(RAND(),Model!J10,Model!K10)</f>
        <v>0.7881536802565613</v>
      </c>
      <c r="AF727">
        <f ca="1">(Inputs!H16+(Inputs!J16-Inputs!H16)*BETAINV(RAND(),Model!L10,Model!M10))*Inputs!$C$6</f>
        <v>99966.125375047559</v>
      </c>
      <c r="AG727">
        <f t="shared" ca="1" si="247"/>
        <v>0.47513136642909182</v>
      </c>
      <c r="AH727">
        <f t="shared" ca="1" si="248"/>
        <v>0.40770797066428377</v>
      </c>
      <c r="AI727">
        <f t="shared" ca="1" si="249"/>
        <v>0</v>
      </c>
      <c r="AJ727" s="47">
        <f t="shared" ca="1" si="250"/>
        <v>0</v>
      </c>
      <c r="AK727">
        <f t="shared" ca="1" si="251"/>
        <v>19174.48227728028</v>
      </c>
    </row>
    <row r="728" spans="2:37" x14ac:dyDescent="0.2">
      <c r="B728">
        <f ca="1">Inputs!B12+(Inputs!D12-Inputs!B12)*BETAINV(RAND(),Model!H6,Model!I6)</f>
        <v>4.3994024382146675</v>
      </c>
      <c r="C728">
        <f ca="1">Inputs!E12+(Inputs!G12-Inputs!E12)*BETAINV(RAND(),Model!J6,Model!K6)</f>
        <v>0.24475478577831153</v>
      </c>
      <c r="D728">
        <f ca="1">(Inputs!H12+(Inputs!J12-Inputs!H12)*BETAINV(RAND(),Model!L6,Model!M6))*Inputs!$C$6</f>
        <v>38892.358536794709</v>
      </c>
      <c r="E728">
        <f t="shared" ca="1" si="231"/>
        <v>1.0767748013178124</v>
      </c>
      <c r="F728">
        <f t="shared" ca="1" si="232"/>
        <v>0.25028275679081902</v>
      </c>
      <c r="G728">
        <f t="shared" ca="1" si="233"/>
        <v>0</v>
      </c>
      <c r="H728" s="47">
        <f t="shared" ca="1" si="234"/>
        <v>0</v>
      </c>
      <c r="I728">
        <f ca="1">Inputs!B13+(Inputs!D13-Inputs!B13)*BETAINV(RAND(),Model!H7,Model!I7)</f>
        <v>1.3319670079531818</v>
      </c>
      <c r="J728">
        <f ca="1">Inputs!E13+(Inputs!G13-Inputs!E13)*BETAINV(RAND(),Model!J7,Model!K7)</f>
        <v>0.17945035702612347</v>
      </c>
      <c r="K728">
        <f ca="1">(Inputs!H13+(Inputs!J13-Inputs!H13)*BETAINV(RAND(),Model!L7,Model!M7))*Inputs!$C$6</f>
        <v>42217.733144468802</v>
      </c>
      <c r="L728">
        <f t="shared" ca="1" si="235"/>
        <v>0.23902195512421592</v>
      </c>
      <c r="M728">
        <f t="shared" ca="1" si="236"/>
        <v>5.9937186525863217E-2</v>
      </c>
      <c r="N728">
        <f t="shared" ca="1" si="237"/>
        <v>0</v>
      </c>
      <c r="O728" s="47">
        <f t="shared" ca="1" si="238"/>
        <v>0</v>
      </c>
      <c r="P728">
        <f ca="1">Inputs!B14+(Inputs!D14-Inputs!B14)*BETAINV(RAND(),Model!H8,Model!I8)</f>
        <v>0.29924557461466644</v>
      </c>
      <c r="Q728">
        <f ca="1">Inputs!E14+(Inputs!G14-Inputs!E14)*BETAINV(RAND(),Model!J8,Model!K8)</f>
        <v>0.75626454346532768</v>
      </c>
      <c r="R728">
        <f ca="1">(Inputs!H14+(Inputs!J14-Inputs!H14)*BETAINV(RAND(),Model!L8,Model!M8))*Inputs!$C$6</f>
        <v>535489.71351393522</v>
      </c>
      <c r="S728">
        <f t="shared" ca="1" si="239"/>
        <v>0.22630881786998036</v>
      </c>
      <c r="T728">
        <f t="shared" ca="1" si="240"/>
        <v>0.3712811197374003</v>
      </c>
      <c r="U728">
        <f t="shared" ca="1" si="241"/>
        <v>0</v>
      </c>
      <c r="V728" s="47">
        <f t="shared" ca="1" si="242"/>
        <v>0</v>
      </c>
      <c r="W728">
        <f ca="1">Inputs!B15+(Inputs!D15-Inputs!B15)*BETAINV(RAND(),Model!H9,Model!I9)</f>
        <v>0.43955774311846174</v>
      </c>
      <c r="X728">
        <f ca="1">Inputs!E15+(Inputs!G15-Inputs!E15)*BETAINV(RAND(),Model!J9,Model!K9)</f>
        <v>0.57418998151365519</v>
      </c>
      <c r="Y728">
        <f ca="1">(Inputs!H15+(Inputs!J15-Inputs!H15)*BETAINV(RAND(),Model!L9,Model!M9))*Inputs!$C$6</f>
        <v>41207.48186264684</v>
      </c>
      <c r="Z728">
        <f t="shared" ca="1" si="243"/>
        <v>0.25238965239537353</v>
      </c>
      <c r="AA728">
        <f t="shared" ca="1" si="244"/>
        <v>0.33587285355455665</v>
      </c>
      <c r="AB728">
        <f t="shared" ca="1" si="245"/>
        <v>0</v>
      </c>
      <c r="AC728" s="47">
        <f t="shared" ca="1" si="246"/>
        <v>0</v>
      </c>
      <c r="AD728">
        <f ca="1">Inputs!B16+(Inputs!D16-Inputs!B16)*BETAINV(RAND(),Model!H10,Model!I10)</f>
        <v>0.68663835498047576</v>
      </c>
      <c r="AE728">
        <f ca="1">Inputs!E16+(Inputs!G16-Inputs!E16)*BETAINV(RAND(),Model!J10,Model!K10)</f>
        <v>0.51448391956603845</v>
      </c>
      <c r="AF728">
        <f ca="1">(Inputs!H16+(Inputs!J16-Inputs!H16)*BETAINV(RAND(),Model!L10,Model!M10))*Inputs!$C$6</f>
        <v>87572.885333117825</v>
      </c>
      <c r="AG728">
        <f t="shared" ca="1" si="247"/>
        <v>0.35326439219473205</v>
      </c>
      <c r="AH728">
        <f t="shared" ca="1" si="248"/>
        <v>8.9138369486197577E-2</v>
      </c>
      <c r="AI728">
        <f t="shared" ca="1" si="249"/>
        <v>0</v>
      </c>
      <c r="AJ728" s="47">
        <f t="shared" ca="1" si="250"/>
        <v>0</v>
      </c>
      <c r="AK728">
        <f t="shared" ca="1" si="251"/>
        <v>0</v>
      </c>
    </row>
    <row r="729" spans="2:37" x14ac:dyDescent="0.2">
      <c r="B729">
        <f ca="1">Inputs!B12+(Inputs!D12-Inputs!B12)*BETAINV(RAND(),Model!H6,Model!I6)</f>
        <v>2.5277206048852316</v>
      </c>
      <c r="C729">
        <f ca="1">Inputs!E12+(Inputs!G12-Inputs!E12)*BETAINV(RAND(),Model!J6,Model!K6)</f>
        <v>0.2425045103708274</v>
      </c>
      <c r="D729">
        <f ca="1">(Inputs!H12+(Inputs!J12-Inputs!H12)*BETAINV(RAND(),Model!L6,Model!M6))*Inputs!$C$6</f>
        <v>22544.199998591776</v>
      </c>
      <c r="E729">
        <f t="shared" ca="1" si="231"/>
        <v>0.6129836476419448</v>
      </c>
      <c r="F729">
        <f t="shared" ca="1" si="232"/>
        <v>4.9885279638531621E-2</v>
      </c>
      <c r="G729">
        <f t="shared" ca="1" si="233"/>
        <v>0</v>
      </c>
      <c r="H729" s="47">
        <f t="shared" ca="1" si="234"/>
        <v>0</v>
      </c>
      <c r="I729">
        <f ca="1">Inputs!B13+(Inputs!D13-Inputs!B13)*BETAINV(RAND(),Model!H7,Model!I7)</f>
        <v>2.9763272859898624</v>
      </c>
      <c r="J729">
        <f ca="1">Inputs!E13+(Inputs!G13-Inputs!E13)*BETAINV(RAND(),Model!J7,Model!K7)</f>
        <v>0.37564821901179124</v>
      </c>
      <c r="K729">
        <f ca="1">(Inputs!H13+(Inputs!J13-Inputs!H13)*BETAINV(RAND(),Model!L7,Model!M7))*Inputs!$C$6</f>
        <v>80873.921901892201</v>
      </c>
      <c r="L729">
        <f t="shared" ca="1" si="235"/>
        <v>1.11805204417829</v>
      </c>
      <c r="M729">
        <f t="shared" ca="1" si="236"/>
        <v>0.8706597834349048</v>
      </c>
      <c r="N729">
        <f t="shared" ca="1" si="237"/>
        <v>2</v>
      </c>
      <c r="O729" s="47">
        <f t="shared" ca="1" si="238"/>
        <v>161747.8438037844</v>
      </c>
      <c r="P729">
        <f ca="1">Inputs!B14+(Inputs!D14-Inputs!B14)*BETAINV(RAND(),Model!H8,Model!I8)</f>
        <v>0.1877867681694475</v>
      </c>
      <c r="Q729">
        <f ca="1">Inputs!E14+(Inputs!G14-Inputs!E14)*BETAINV(RAND(),Model!J8,Model!K8)</f>
        <v>0.82954780915605641</v>
      </c>
      <c r="R729">
        <f ca="1">(Inputs!H14+(Inputs!J14-Inputs!H14)*BETAINV(RAND(),Model!L8,Model!M8))*Inputs!$C$6</f>
        <v>397934.30287777819</v>
      </c>
      <c r="S729">
        <f t="shared" ca="1" si="239"/>
        <v>0.15577810212346144</v>
      </c>
      <c r="T729">
        <f t="shared" ca="1" si="240"/>
        <v>0.15158859342610553</v>
      </c>
      <c r="U729">
        <f t="shared" ca="1" si="241"/>
        <v>0</v>
      </c>
      <c r="V729" s="47">
        <f t="shared" ca="1" si="242"/>
        <v>0</v>
      </c>
      <c r="W729">
        <f ca="1">Inputs!B15+(Inputs!D15-Inputs!B15)*BETAINV(RAND(),Model!H9,Model!I9)</f>
        <v>1.2679281830042406</v>
      </c>
      <c r="X729">
        <f ca="1">Inputs!E15+(Inputs!G15-Inputs!E15)*BETAINV(RAND(),Model!J9,Model!K9)</f>
        <v>0.28760408301303741</v>
      </c>
      <c r="Y729">
        <f ca="1">(Inputs!H15+(Inputs!J15-Inputs!H15)*BETAINV(RAND(),Model!L9,Model!M9))*Inputs!$C$6</f>
        <v>43620.623334073927</v>
      </c>
      <c r="Z729">
        <f t="shared" ca="1" si="243"/>
        <v>0.36466132239932131</v>
      </c>
      <c r="AA729">
        <f t="shared" ca="1" si="244"/>
        <v>0.51746495635988976</v>
      </c>
      <c r="AB729">
        <f t="shared" ca="1" si="245"/>
        <v>0</v>
      </c>
      <c r="AC729" s="47">
        <f t="shared" ca="1" si="246"/>
        <v>0</v>
      </c>
      <c r="AD729">
        <f ca="1">Inputs!B16+(Inputs!D16-Inputs!B16)*BETAINV(RAND(),Model!H10,Model!I10)</f>
        <v>0.47061828397263267</v>
      </c>
      <c r="AE729">
        <f ca="1">Inputs!E16+(Inputs!G16-Inputs!E16)*BETAINV(RAND(),Model!J10,Model!K10)</f>
        <v>0.52141953121189755</v>
      </c>
      <c r="AF729">
        <f ca="1">(Inputs!H16+(Inputs!J16-Inputs!H16)*BETAINV(RAND(),Model!L10,Model!M10))*Inputs!$C$6</f>
        <v>101205.1153026992</v>
      </c>
      <c r="AG729">
        <f t="shared" ca="1" si="247"/>
        <v>0.2453895650087578</v>
      </c>
      <c r="AH729">
        <f t="shared" ca="1" si="248"/>
        <v>0.63911250649895424</v>
      </c>
      <c r="AI729">
        <f t="shared" ca="1" si="249"/>
        <v>0</v>
      </c>
      <c r="AJ729" s="47">
        <f t="shared" ca="1" si="250"/>
        <v>0</v>
      </c>
      <c r="AK729">
        <f t="shared" ca="1" si="251"/>
        <v>161747.8438037844</v>
      </c>
    </row>
    <row r="730" spans="2:37" x14ac:dyDescent="0.2">
      <c r="B730">
        <f ca="1">Inputs!B12+(Inputs!D12-Inputs!B12)*BETAINV(RAND(),Model!H6,Model!I6)</f>
        <v>5.6166755444055738</v>
      </c>
      <c r="C730">
        <f ca="1">Inputs!E12+(Inputs!G12-Inputs!E12)*BETAINV(RAND(),Model!J6,Model!K6)</f>
        <v>0.36307416472642401</v>
      </c>
      <c r="D730">
        <f ca="1">(Inputs!H12+(Inputs!J12-Inputs!H12)*BETAINV(RAND(),Model!L6,Model!M6))*Inputs!$C$6</f>
        <v>18669.747459931252</v>
      </c>
      <c r="E730">
        <f t="shared" ca="1" si="231"/>
        <v>2.0392697818243866</v>
      </c>
      <c r="F730">
        <f t="shared" ca="1" si="232"/>
        <v>0.86098316810963904</v>
      </c>
      <c r="G730">
        <f t="shared" ca="1" si="233"/>
        <v>4</v>
      </c>
      <c r="H730" s="47">
        <f t="shared" ca="1" si="234"/>
        <v>74678.989839725007</v>
      </c>
      <c r="I730">
        <f ca="1">Inputs!B13+(Inputs!D13-Inputs!B13)*BETAINV(RAND(),Model!H7,Model!I7)</f>
        <v>1.4467771651900265</v>
      </c>
      <c r="J730">
        <f ca="1">Inputs!E13+(Inputs!G13-Inputs!E13)*BETAINV(RAND(),Model!J7,Model!K7)</f>
        <v>0.2704814092827626</v>
      </c>
      <c r="K730">
        <f ca="1">(Inputs!H13+(Inputs!J13-Inputs!H13)*BETAINV(RAND(),Model!L7,Model!M7))*Inputs!$C$6</f>
        <v>11421.548777424383</v>
      </c>
      <c r="L730">
        <f t="shared" ca="1" si="235"/>
        <v>0.39132632655871857</v>
      </c>
      <c r="M730">
        <f t="shared" ca="1" si="236"/>
        <v>0.69601044078401042</v>
      </c>
      <c r="N730">
        <f t="shared" ca="1" si="237"/>
        <v>1</v>
      </c>
      <c r="O730" s="47">
        <f t="shared" ca="1" si="238"/>
        <v>11421.548777424383</v>
      </c>
      <c r="P730">
        <f ca="1">Inputs!B14+(Inputs!D14-Inputs!B14)*BETAINV(RAND(),Model!H8,Model!I8)</f>
        <v>0.18200498672796167</v>
      </c>
      <c r="Q730">
        <f ca="1">Inputs!E14+(Inputs!G14-Inputs!E14)*BETAINV(RAND(),Model!J8,Model!K8)</f>
        <v>0.5960854557541525</v>
      </c>
      <c r="R730">
        <f ca="1">(Inputs!H14+(Inputs!J14-Inputs!H14)*BETAINV(RAND(),Model!L8,Model!M8))*Inputs!$C$6</f>
        <v>255887.93487213465</v>
      </c>
      <c r="S730">
        <f t="shared" ca="1" si="239"/>
        <v>0.10849052546326551</v>
      </c>
      <c r="T730">
        <f t="shared" ca="1" si="240"/>
        <v>0.26212584701509378</v>
      </c>
      <c r="U730">
        <f t="shared" ca="1" si="241"/>
        <v>0</v>
      </c>
      <c r="V730" s="47">
        <f t="shared" ca="1" si="242"/>
        <v>0</v>
      </c>
      <c r="W730">
        <f ca="1">Inputs!B15+(Inputs!D15-Inputs!B15)*BETAINV(RAND(),Model!H9,Model!I9)</f>
        <v>1.5836498225173632</v>
      </c>
      <c r="X730">
        <f ca="1">Inputs!E15+(Inputs!G15-Inputs!E15)*BETAINV(RAND(),Model!J9,Model!K9)</f>
        <v>0.27066199196917562</v>
      </c>
      <c r="Y730">
        <f ca="1">(Inputs!H15+(Inputs!J15-Inputs!H15)*BETAINV(RAND(),Model!L9,Model!M9))*Inputs!$C$6</f>
        <v>49124.414335848174</v>
      </c>
      <c r="Z730">
        <f t="shared" ca="1" si="243"/>
        <v>0.42863381554418095</v>
      </c>
      <c r="AA730">
        <f t="shared" ca="1" si="244"/>
        <v>0.25021796455843948</v>
      </c>
      <c r="AB730">
        <f t="shared" ca="1" si="245"/>
        <v>0</v>
      </c>
      <c r="AC730" s="47">
        <f t="shared" ca="1" si="246"/>
        <v>0</v>
      </c>
      <c r="AD730">
        <f ca="1">Inputs!B16+(Inputs!D16-Inputs!B16)*BETAINV(RAND(),Model!H10,Model!I10)</f>
        <v>0.3129248440906901</v>
      </c>
      <c r="AE730">
        <f ca="1">Inputs!E16+(Inputs!G16-Inputs!E16)*BETAINV(RAND(),Model!J10,Model!K10)</f>
        <v>0.63585338125796798</v>
      </c>
      <c r="AF730">
        <f ca="1">(Inputs!H16+(Inputs!J16-Inputs!H16)*BETAINV(RAND(),Model!L10,Model!M10))*Inputs!$C$6</f>
        <v>67583.454302920596</v>
      </c>
      <c r="AG730">
        <f t="shared" ca="1" si="247"/>
        <v>0.19897432019468775</v>
      </c>
      <c r="AH730">
        <f t="shared" ca="1" si="248"/>
        <v>0.13958920131678598</v>
      </c>
      <c r="AI730">
        <f t="shared" ca="1" si="249"/>
        <v>0</v>
      </c>
      <c r="AJ730" s="47">
        <f t="shared" ca="1" si="250"/>
        <v>0</v>
      </c>
      <c r="AK730">
        <f t="shared" ca="1" si="251"/>
        <v>86100.538617149388</v>
      </c>
    </row>
    <row r="731" spans="2:37" x14ac:dyDescent="0.2">
      <c r="B731">
        <f ca="1">Inputs!B12+(Inputs!D12-Inputs!B12)*BETAINV(RAND(),Model!H6,Model!I6)</f>
        <v>2.7495414499036541</v>
      </c>
      <c r="C731">
        <f ca="1">Inputs!E12+(Inputs!G12-Inputs!E12)*BETAINV(RAND(),Model!J6,Model!K6)</f>
        <v>0.38472794865736937</v>
      </c>
      <c r="D731">
        <f ca="1">(Inputs!H12+(Inputs!J12-Inputs!H12)*BETAINV(RAND(),Model!L6,Model!M6))*Inputs!$C$6</f>
        <v>8341.6393053746924</v>
      </c>
      <c r="E731">
        <f t="shared" ca="1" si="231"/>
        <v>1.0578254417698421</v>
      </c>
      <c r="F731">
        <f t="shared" ca="1" si="232"/>
        <v>0.83702875728115012</v>
      </c>
      <c r="G731">
        <f t="shared" ca="1" si="233"/>
        <v>2</v>
      </c>
      <c r="H731" s="47">
        <f t="shared" ca="1" si="234"/>
        <v>16683.278610749385</v>
      </c>
      <c r="I731">
        <f ca="1">Inputs!B13+(Inputs!D13-Inputs!B13)*BETAINV(RAND(),Model!H7,Model!I7)</f>
        <v>2.8457180782163234</v>
      </c>
      <c r="J731">
        <f ca="1">Inputs!E13+(Inputs!G13-Inputs!E13)*BETAINV(RAND(),Model!J7,Model!K7)</f>
        <v>0.28495710891892057</v>
      </c>
      <c r="K731">
        <f ca="1">(Inputs!H13+(Inputs!J13-Inputs!H13)*BETAINV(RAND(),Model!L7,Model!M7))*Inputs!$C$6</f>
        <v>75181.475262542226</v>
      </c>
      <c r="L731">
        <f t="shared" ca="1" si="235"/>
        <v>0.81090759636683019</v>
      </c>
      <c r="M731">
        <f t="shared" ca="1" si="236"/>
        <v>0.19533280692787969</v>
      </c>
      <c r="N731">
        <f t="shared" ca="1" si="237"/>
        <v>0</v>
      </c>
      <c r="O731" s="47">
        <f t="shared" ca="1" si="238"/>
        <v>0</v>
      </c>
      <c r="P731">
        <f ca="1">Inputs!B14+(Inputs!D14-Inputs!B14)*BETAINV(RAND(),Model!H8,Model!I8)</f>
        <v>0.23283743785960859</v>
      </c>
      <c r="Q731">
        <f ca="1">Inputs!E14+(Inputs!G14-Inputs!E14)*BETAINV(RAND(),Model!J8,Model!K8)</f>
        <v>0.65200385710785236</v>
      </c>
      <c r="R731">
        <f ca="1">(Inputs!H14+(Inputs!J14-Inputs!H14)*BETAINV(RAND(),Model!L8,Model!M8))*Inputs!$C$6</f>
        <v>419624.83302540571</v>
      </c>
      <c r="S731">
        <f t="shared" ca="1" si="239"/>
        <v>0.15181090756357468</v>
      </c>
      <c r="T731">
        <f t="shared" ca="1" si="240"/>
        <v>0.40303298015058631</v>
      </c>
      <c r="U731">
        <f t="shared" ca="1" si="241"/>
        <v>0</v>
      </c>
      <c r="V731" s="47">
        <f t="shared" ca="1" si="242"/>
        <v>0</v>
      </c>
      <c r="W731">
        <f ca="1">Inputs!B15+(Inputs!D15-Inputs!B15)*BETAINV(RAND(),Model!H9,Model!I9)</f>
        <v>1.6470333613151544</v>
      </c>
      <c r="X731">
        <f ca="1">Inputs!E15+(Inputs!G15-Inputs!E15)*BETAINV(RAND(),Model!J9,Model!K9)</f>
        <v>0.34573720860644785</v>
      </c>
      <c r="Y731">
        <f ca="1">(Inputs!H15+(Inputs!J15-Inputs!H15)*BETAINV(RAND(),Model!L9,Model!M9))*Inputs!$C$6</f>
        <v>23475.889720087667</v>
      </c>
      <c r="Z731">
        <f t="shared" ca="1" si="243"/>
        <v>0.56944071682279651</v>
      </c>
      <c r="AA731">
        <f t="shared" ca="1" si="244"/>
        <v>0.97126742656219345</v>
      </c>
      <c r="AB731">
        <f t="shared" ca="1" si="245"/>
        <v>2</v>
      </c>
      <c r="AC731" s="47">
        <f t="shared" ca="1" si="246"/>
        <v>46951.779440175334</v>
      </c>
      <c r="AD731">
        <f ca="1">Inputs!B16+(Inputs!D16-Inputs!B16)*BETAINV(RAND(),Model!H10,Model!I10)</f>
        <v>0.45698195266764974</v>
      </c>
      <c r="AE731">
        <f ca="1">Inputs!E16+(Inputs!G16-Inputs!E16)*BETAINV(RAND(),Model!J10,Model!K10)</f>
        <v>0.62469816727692051</v>
      </c>
      <c r="AF731">
        <f ca="1">(Inputs!H16+(Inputs!J16-Inputs!H16)*BETAINV(RAND(),Model!L10,Model!M10))*Inputs!$C$6</f>
        <v>121165.74404186715</v>
      </c>
      <c r="AG731">
        <f t="shared" ca="1" si="247"/>
        <v>0.28547578831010922</v>
      </c>
      <c r="AH731">
        <f t="shared" ca="1" si="248"/>
        <v>7.1338435849428561E-2</v>
      </c>
      <c r="AI731">
        <f t="shared" ca="1" si="249"/>
        <v>0</v>
      </c>
      <c r="AJ731" s="47">
        <f t="shared" ca="1" si="250"/>
        <v>0</v>
      </c>
      <c r="AK731">
        <f t="shared" ca="1" si="251"/>
        <v>63635.058050924723</v>
      </c>
    </row>
    <row r="732" spans="2:37" x14ac:dyDescent="0.2">
      <c r="B732">
        <f ca="1">Inputs!B12+(Inputs!D12-Inputs!B12)*BETAINV(RAND(),Model!H6,Model!I6)</f>
        <v>3.0005246492805515</v>
      </c>
      <c r="C732">
        <f ca="1">Inputs!E12+(Inputs!G12-Inputs!E12)*BETAINV(RAND(),Model!J6,Model!K6)</f>
        <v>0.47213213048616953</v>
      </c>
      <c r="D732">
        <f ca="1">(Inputs!H12+(Inputs!J12-Inputs!H12)*BETAINV(RAND(),Model!L6,Model!M6))*Inputs!$C$6</f>
        <v>22348.186263994638</v>
      </c>
      <c r="E732">
        <f t="shared" ca="1" si="231"/>
        <v>1.4166440952410935</v>
      </c>
      <c r="F732">
        <f t="shared" ca="1" si="232"/>
        <v>0.85127283439717083</v>
      </c>
      <c r="G732">
        <f t="shared" ca="1" si="233"/>
        <v>3</v>
      </c>
      <c r="H732" s="47">
        <f t="shared" ca="1" si="234"/>
        <v>67044.558791983916</v>
      </c>
      <c r="I732">
        <f ca="1">Inputs!B13+(Inputs!D13-Inputs!B13)*BETAINV(RAND(),Model!H7,Model!I7)</f>
        <v>3.1909147001825371</v>
      </c>
      <c r="J732">
        <f ca="1">Inputs!E13+(Inputs!G13-Inputs!E13)*BETAINV(RAND(),Model!J7,Model!K7)</f>
        <v>0.25388471528409884</v>
      </c>
      <c r="K732">
        <f ca="1">(Inputs!H13+(Inputs!J13-Inputs!H13)*BETAINV(RAND(),Model!L7,Model!M7))*Inputs!$C$6</f>
        <v>36370.623169151128</v>
      </c>
      <c r="L732">
        <f t="shared" ca="1" si="235"/>
        <v>0.81012447015168909</v>
      </c>
      <c r="M732">
        <f t="shared" ca="1" si="236"/>
        <v>0.73712886926028276</v>
      </c>
      <c r="N732">
        <f t="shared" ca="1" si="237"/>
        <v>1</v>
      </c>
      <c r="O732" s="47">
        <f t="shared" ca="1" si="238"/>
        <v>36370.623169151128</v>
      </c>
      <c r="P732">
        <f ca="1">Inputs!B14+(Inputs!D14-Inputs!B14)*BETAINV(RAND(),Model!H8,Model!I8)</f>
        <v>0.13475507466398742</v>
      </c>
      <c r="Q732">
        <f ca="1">Inputs!E14+(Inputs!G14-Inputs!E14)*BETAINV(RAND(),Model!J8,Model!K8)</f>
        <v>0.79825596435090151</v>
      </c>
      <c r="R732">
        <f ca="1">(Inputs!H14+(Inputs!J14-Inputs!H14)*BETAINV(RAND(),Model!L8,Model!M8))*Inputs!$C$6</f>
        <v>290616.05268398888</v>
      </c>
      <c r="S732">
        <f t="shared" ca="1" si="239"/>
        <v>0.10756904207707901</v>
      </c>
      <c r="T732">
        <f t="shared" ca="1" si="240"/>
        <v>0.9788346127989509</v>
      </c>
      <c r="U732">
        <f t="shared" ca="1" si="241"/>
        <v>1</v>
      </c>
      <c r="V732" s="47">
        <f t="shared" ca="1" si="242"/>
        <v>290616.05268398888</v>
      </c>
      <c r="W732">
        <f ca="1">Inputs!B15+(Inputs!D15-Inputs!B15)*BETAINV(RAND(),Model!H9,Model!I9)</f>
        <v>0.57703002945264148</v>
      </c>
      <c r="X732">
        <f ca="1">Inputs!E15+(Inputs!G15-Inputs!E15)*BETAINV(RAND(),Model!J9,Model!K9)</f>
        <v>0.48252100033426076</v>
      </c>
      <c r="Y732">
        <f ca="1">(Inputs!H15+(Inputs!J15-Inputs!H15)*BETAINV(RAND(),Model!L9,Model!M9))*Inputs!$C$6</f>
        <v>29025.417398537302</v>
      </c>
      <c r="Z732">
        <f t="shared" ca="1" si="243"/>
        <v>0.27842910703439649</v>
      </c>
      <c r="AA732">
        <f t="shared" ca="1" si="244"/>
        <v>0.57856916294309324</v>
      </c>
      <c r="AB732">
        <f t="shared" ca="1" si="245"/>
        <v>0</v>
      </c>
      <c r="AC732" s="47">
        <f t="shared" ca="1" si="246"/>
        <v>0</v>
      </c>
      <c r="AD732">
        <f ca="1">Inputs!B16+(Inputs!D16-Inputs!B16)*BETAINV(RAND(),Model!H10,Model!I10)</f>
        <v>0.29747429758392829</v>
      </c>
      <c r="AE732">
        <f ca="1">Inputs!E16+(Inputs!G16-Inputs!E16)*BETAINV(RAND(),Model!J10,Model!K10)</f>
        <v>0.74105767640156772</v>
      </c>
      <c r="AF732">
        <f ca="1">(Inputs!H16+(Inputs!J16-Inputs!H16)*BETAINV(RAND(),Model!L10,Model!M10))*Inputs!$C$6</f>
        <v>44289.015160414441</v>
      </c>
      <c r="AG732">
        <f t="shared" ca="1" si="247"/>
        <v>0.22044561175673438</v>
      </c>
      <c r="AH732">
        <f t="shared" ca="1" si="248"/>
        <v>0.54176874368256422</v>
      </c>
      <c r="AI732">
        <f t="shared" ca="1" si="249"/>
        <v>0</v>
      </c>
      <c r="AJ732" s="47">
        <f t="shared" ca="1" si="250"/>
        <v>0</v>
      </c>
      <c r="AK732">
        <f t="shared" ca="1" si="251"/>
        <v>394031.23464512394</v>
      </c>
    </row>
    <row r="733" spans="2:37" x14ac:dyDescent="0.2">
      <c r="B733">
        <f ca="1">Inputs!B12+(Inputs!D12-Inputs!B12)*BETAINV(RAND(),Model!H6,Model!I6)</f>
        <v>4.4183339170390576</v>
      </c>
      <c r="C733">
        <f ca="1">Inputs!E12+(Inputs!G12-Inputs!E12)*BETAINV(RAND(),Model!J6,Model!K6)</f>
        <v>0.29525422257394551</v>
      </c>
      <c r="D733">
        <f ca="1">(Inputs!H12+(Inputs!J12-Inputs!H12)*BETAINV(RAND(),Model!L6,Model!M6))*Inputs!$C$6</f>
        <v>21960.701086215431</v>
      </c>
      <c r="E733">
        <f t="shared" ca="1" si="231"/>
        <v>1.3045317457474623</v>
      </c>
      <c r="F733">
        <f t="shared" ca="1" si="232"/>
        <v>0.96509608702170779</v>
      </c>
      <c r="G733">
        <f t="shared" ca="1" si="233"/>
        <v>4</v>
      </c>
      <c r="H733" s="47">
        <f t="shared" ca="1" si="234"/>
        <v>87842.804344861725</v>
      </c>
      <c r="I733">
        <f ca="1">Inputs!B13+(Inputs!D13-Inputs!B13)*BETAINV(RAND(),Model!H7,Model!I7)</f>
        <v>1.9689286237558656</v>
      </c>
      <c r="J733">
        <f ca="1">Inputs!E13+(Inputs!G13-Inputs!E13)*BETAINV(RAND(),Model!J7,Model!K7)</f>
        <v>0.25714117115399271</v>
      </c>
      <c r="K733">
        <f ca="1">(Inputs!H13+(Inputs!J13-Inputs!H13)*BETAINV(RAND(),Model!L7,Model!M7))*Inputs!$C$6</f>
        <v>42276.348079170086</v>
      </c>
      <c r="L733">
        <f t="shared" ca="1" si="235"/>
        <v>0.50629261223120237</v>
      </c>
      <c r="M733">
        <f t="shared" ca="1" si="236"/>
        <v>0.91559853347057363</v>
      </c>
      <c r="N733">
        <f t="shared" ca="1" si="237"/>
        <v>2</v>
      </c>
      <c r="O733" s="47">
        <f t="shared" ca="1" si="238"/>
        <v>84552.696158340172</v>
      </c>
      <c r="P733">
        <f ca="1">Inputs!B14+(Inputs!D14-Inputs!B14)*BETAINV(RAND(),Model!H8,Model!I8)</f>
        <v>0.41249573968927056</v>
      </c>
      <c r="Q733">
        <f ca="1">Inputs!E14+(Inputs!G14-Inputs!E14)*BETAINV(RAND(),Model!J8,Model!K8)</f>
        <v>0.50054906651255526</v>
      </c>
      <c r="R733">
        <f ca="1">(Inputs!H14+(Inputs!J14-Inputs!H14)*BETAINV(RAND(),Model!L8,Model!M8))*Inputs!$C$6</f>
        <v>467655.23899352632</v>
      </c>
      <c r="S733">
        <f t="shared" ca="1" si="239"/>
        <v>0.20647435744187037</v>
      </c>
      <c r="T733">
        <f t="shared" ca="1" si="240"/>
        <v>0.24517643118892918</v>
      </c>
      <c r="U733">
        <f t="shared" ca="1" si="241"/>
        <v>0</v>
      </c>
      <c r="V733" s="47">
        <f t="shared" ca="1" si="242"/>
        <v>0</v>
      </c>
      <c r="W733">
        <f ca="1">Inputs!B15+(Inputs!D15-Inputs!B15)*BETAINV(RAND(),Model!H9,Model!I9)</f>
        <v>1.068725205656295</v>
      </c>
      <c r="X733">
        <f ca="1">Inputs!E15+(Inputs!G15-Inputs!E15)*BETAINV(RAND(),Model!J9,Model!K9)</f>
        <v>0.54434051431793296</v>
      </c>
      <c r="Y733">
        <f ca="1">(Inputs!H15+(Inputs!J15-Inputs!H15)*BETAINV(RAND(),Model!L9,Model!M9))*Inputs!$C$6</f>
        <v>28575.904075278144</v>
      </c>
      <c r="Z733">
        <f t="shared" ca="1" si="243"/>
        <v>0.58175042811148636</v>
      </c>
      <c r="AA733">
        <f t="shared" ca="1" si="244"/>
        <v>0.93705703262991891</v>
      </c>
      <c r="AB733">
        <f t="shared" ca="1" si="245"/>
        <v>2</v>
      </c>
      <c r="AC733" s="47">
        <f t="shared" ca="1" si="246"/>
        <v>57151.808150556288</v>
      </c>
      <c r="AD733">
        <f ca="1">Inputs!B16+(Inputs!D16-Inputs!B16)*BETAINV(RAND(),Model!H10,Model!I10)</f>
        <v>0.66084047752553121</v>
      </c>
      <c r="AE733">
        <f ca="1">Inputs!E16+(Inputs!G16-Inputs!E16)*BETAINV(RAND(),Model!J10,Model!K10)</f>
        <v>0.49489022209059125</v>
      </c>
      <c r="AF733">
        <f ca="1">(Inputs!H16+(Inputs!J16-Inputs!H16)*BETAINV(RAND(),Model!L10,Model!M10))*Inputs!$C$6</f>
        <v>52217.307169791646</v>
      </c>
      <c r="AG733">
        <f t="shared" ca="1" si="247"/>
        <v>0.32704349068906252</v>
      </c>
      <c r="AH733">
        <f t="shared" ca="1" si="248"/>
        <v>0.14393298088816298</v>
      </c>
      <c r="AI733">
        <f t="shared" ca="1" si="249"/>
        <v>0</v>
      </c>
      <c r="AJ733" s="47">
        <f t="shared" ca="1" si="250"/>
        <v>0</v>
      </c>
      <c r="AK733">
        <f t="shared" ca="1" si="251"/>
        <v>229547.3086537582</v>
      </c>
    </row>
    <row r="734" spans="2:37" x14ac:dyDescent="0.2">
      <c r="B734">
        <f ca="1">Inputs!B12+(Inputs!D12-Inputs!B12)*BETAINV(RAND(),Model!H6,Model!I6)</f>
        <v>4.4273835380099378</v>
      </c>
      <c r="C734">
        <f ca="1">Inputs!E12+(Inputs!G12-Inputs!E12)*BETAINV(RAND(),Model!J6,Model!K6)</f>
        <v>0.31519621691487859</v>
      </c>
      <c r="D734">
        <f ca="1">(Inputs!H12+(Inputs!J12-Inputs!H12)*BETAINV(RAND(),Model!L6,Model!M6))*Inputs!$C$6</f>
        <v>28340.020285859126</v>
      </c>
      <c r="E734">
        <f t="shared" ca="1" si="231"/>
        <v>1.3954945420119429</v>
      </c>
      <c r="F734">
        <f t="shared" ca="1" si="232"/>
        <v>0.79130187814188901</v>
      </c>
      <c r="G734">
        <f t="shared" ca="1" si="233"/>
        <v>2</v>
      </c>
      <c r="H734" s="47">
        <f t="shared" ca="1" si="234"/>
        <v>56680.040571718251</v>
      </c>
      <c r="I734">
        <f ca="1">Inputs!B13+(Inputs!D13-Inputs!B13)*BETAINV(RAND(),Model!H7,Model!I7)</f>
        <v>3.8375104016836974</v>
      </c>
      <c r="J734">
        <f ca="1">Inputs!E13+(Inputs!G13-Inputs!E13)*BETAINV(RAND(),Model!J7,Model!K7)</f>
        <v>0.23839479197316188</v>
      </c>
      <c r="K734">
        <f ca="1">(Inputs!H13+(Inputs!J13-Inputs!H13)*BETAINV(RAND(),Model!L7,Model!M7))*Inputs!$C$6</f>
        <v>23605.812136473429</v>
      </c>
      <c r="L734">
        <f t="shared" ca="1" si="235"/>
        <v>0.91484249390422989</v>
      </c>
      <c r="M734">
        <f t="shared" ca="1" si="236"/>
        <v>0.5846883756807858</v>
      </c>
      <c r="N734">
        <f t="shared" ca="1" si="237"/>
        <v>1</v>
      </c>
      <c r="O734" s="47">
        <f t="shared" ca="1" si="238"/>
        <v>23605.812136473429</v>
      </c>
      <c r="P734">
        <f ca="1">Inputs!B14+(Inputs!D14-Inputs!B14)*BETAINV(RAND(),Model!H8,Model!I8)</f>
        <v>0.24962125700984897</v>
      </c>
      <c r="Q734">
        <f ca="1">Inputs!E14+(Inputs!G14-Inputs!E14)*BETAINV(RAND(),Model!J8,Model!K8)</f>
        <v>0.82378342844148644</v>
      </c>
      <c r="R734">
        <f ca="1">(Inputs!H14+(Inputs!J14-Inputs!H14)*BETAINV(RAND(),Model!L8,Model!M8))*Inputs!$C$6</f>
        <v>431657.45844986214</v>
      </c>
      <c r="S734">
        <f t="shared" ca="1" si="239"/>
        <v>0.20563385491144681</v>
      </c>
      <c r="T734">
        <f t="shared" ca="1" si="240"/>
        <v>9.0096753057306134E-2</v>
      </c>
      <c r="U734">
        <f t="shared" ca="1" si="241"/>
        <v>0</v>
      </c>
      <c r="V734" s="47">
        <f t="shared" ca="1" si="242"/>
        <v>0</v>
      </c>
      <c r="W734">
        <f ca="1">Inputs!B15+(Inputs!D15-Inputs!B15)*BETAINV(RAND(),Model!H9,Model!I9)</f>
        <v>1.8601993297018744</v>
      </c>
      <c r="X734">
        <f ca="1">Inputs!E15+(Inputs!G15-Inputs!E15)*BETAINV(RAND(),Model!J9,Model!K9)</f>
        <v>0.39174146618750194</v>
      </c>
      <c r="Y734">
        <f ca="1">(Inputs!H15+(Inputs!J15-Inputs!H15)*BETAINV(RAND(),Model!L9,Model!M9))*Inputs!$C$6</f>
        <v>25508.807244072159</v>
      </c>
      <c r="Z734">
        <f t="shared" ca="1" si="243"/>
        <v>0.72871721281842061</v>
      </c>
      <c r="AA734">
        <f t="shared" ca="1" si="244"/>
        <v>0.61440857895255374</v>
      </c>
      <c r="AB734">
        <f t="shared" ca="1" si="245"/>
        <v>1</v>
      </c>
      <c r="AC734" s="47">
        <f t="shared" ca="1" si="246"/>
        <v>25508.807244072159</v>
      </c>
      <c r="AD734">
        <f ca="1">Inputs!B16+(Inputs!D16-Inputs!B16)*BETAINV(RAND(),Model!H10,Model!I10)</f>
        <v>0.48328605050603857</v>
      </c>
      <c r="AE734">
        <f ca="1">Inputs!E16+(Inputs!G16-Inputs!E16)*BETAINV(RAND(),Model!J10,Model!K10)</f>
        <v>0.75079112827205274</v>
      </c>
      <c r="AF734">
        <f ca="1">(Inputs!H16+(Inputs!J16-Inputs!H16)*BETAINV(RAND(),Model!L10,Model!M10))*Inputs!$C$6</f>
        <v>95536.178016242746</v>
      </c>
      <c r="AG734">
        <f t="shared" ca="1" si="247"/>
        <v>0.36284687913757296</v>
      </c>
      <c r="AH734">
        <f t="shared" ca="1" si="248"/>
        <v>9.0842439813617726E-2</v>
      </c>
      <c r="AI734">
        <f t="shared" ca="1" si="249"/>
        <v>0</v>
      </c>
      <c r="AJ734" s="47">
        <f t="shared" ca="1" si="250"/>
        <v>0</v>
      </c>
      <c r="AK734">
        <f t="shared" ca="1" si="251"/>
        <v>105794.65995226384</v>
      </c>
    </row>
    <row r="735" spans="2:37" x14ac:dyDescent="0.2">
      <c r="B735">
        <f ca="1">Inputs!B12+(Inputs!D12-Inputs!B12)*BETAINV(RAND(),Model!H6,Model!I6)</f>
        <v>4.5308143832824559</v>
      </c>
      <c r="C735">
        <f ca="1">Inputs!E12+(Inputs!G12-Inputs!E12)*BETAINV(RAND(),Model!J6,Model!K6)</f>
        <v>0.20749091597597383</v>
      </c>
      <c r="D735">
        <f ca="1">(Inputs!H12+(Inputs!J12-Inputs!H12)*BETAINV(RAND(),Model!L6,Model!M6))*Inputs!$C$6</f>
        <v>43101.635050854056</v>
      </c>
      <c r="E735">
        <f t="shared" ca="1" si="231"/>
        <v>0.9401028265043937</v>
      </c>
      <c r="F735">
        <f t="shared" ca="1" si="232"/>
        <v>0.91650131422769199</v>
      </c>
      <c r="G735">
        <f t="shared" ca="1" si="233"/>
        <v>2</v>
      </c>
      <c r="H735" s="47">
        <f t="shared" ca="1" si="234"/>
        <v>86203.270101708113</v>
      </c>
      <c r="I735">
        <f ca="1">Inputs!B13+(Inputs!D13-Inputs!B13)*BETAINV(RAND(),Model!H7,Model!I7)</f>
        <v>4.0049142154580206</v>
      </c>
      <c r="J735">
        <f ca="1">Inputs!E13+(Inputs!G13-Inputs!E13)*BETAINV(RAND(),Model!J7,Model!K7)</f>
        <v>0.1297502732795392</v>
      </c>
      <c r="K735">
        <f ca="1">(Inputs!H13+(Inputs!J13-Inputs!H13)*BETAINV(RAND(),Model!L7,Model!M7))*Inputs!$C$6</f>
        <v>33710.216529889141</v>
      </c>
      <c r="L735">
        <f t="shared" ca="1" si="235"/>
        <v>0.51963871391678951</v>
      </c>
      <c r="M735">
        <f t="shared" ca="1" si="236"/>
        <v>8.6728257335706882E-2</v>
      </c>
      <c r="N735">
        <f t="shared" ca="1" si="237"/>
        <v>0</v>
      </c>
      <c r="O735" s="47">
        <f t="shared" ca="1" si="238"/>
        <v>0</v>
      </c>
      <c r="P735">
        <f ca="1">Inputs!B14+(Inputs!D14-Inputs!B14)*BETAINV(RAND(),Model!H8,Model!I8)</f>
        <v>0.49943368664288879</v>
      </c>
      <c r="Q735">
        <f ca="1">Inputs!E14+(Inputs!G14-Inputs!E14)*BETAINV(RAND(),Model!J8,Model!K8)</f>
        <v>0.43138119005700964</v>
      </c>
      <c r="R735">
        <f ca="1">(Inputs!H14+(Inputs!J14-Inputs!H14)*BETAINV(RAND(),Model!L8,Model!M8))*Inputs!$C$6</f>
        <v>363352.22976402316</v>
      </c>
      <c r="S735">
        <f t="shared" ca="1" si="239"/>
        <v>0.21544629809856899</v>
      </c>
      <c r="T735">
        <f t="shared" ca="1" si="240"/>
        <v>0.9077081017286267</v>
      </c>
      <c r="U735">
        <f t="shared" ca="1" si="241"/>
        <v>1</v>
      </c>
      <c r="V735" s="47">
        <f t="shared" ca="1" si="242"/>
        <v>363352.22976402316</v>
      </c>
      <c r="W735">
        <f ca="1">Inputs!B15+(Inputs!D15-Inputs!B15)*BETAINV(RAND(),Model!H9,Model!I9)</f>
        <v>0.80410906352755496</v>
      </c>
      <c r="X735">
        <f ca="1">Inputs!E15+(Inputs!G15-Inputs!E15)*BETAINV(RAND(),Model!J9,Model!K9)</f>
        <v>0.46018190161991379</v>
      </c>
      <c r="Y735">
        <f ca="1">(Inputs!H15+(Inputs!J15-Inputs!H15)*BETAINV(RAND(),Model!L9,Model!M9))*Inputs!$C$6</f>
        <v>13570.450875742561</v>
      </c>
      <c r="Z735">
        <f t="shared" ca="1" si="243"/>
        <v>0.37003643796391833</v>
      </c>
      <c r="AA735">
        <f t="shared" ca="1" si="244"/>
        <v>0.61936078119331783</v>
      </c>
      <c r="AB735">
        <f t="shared" ca="1" si="245"/>
        <v>0</v>
      </c>
      <c r="AC735" s="47">
        <f t="shared" ca="1" si="246"/>
        <v>0</v>
      </c>
      <c r="AD735">
        <f ca="1">Inputs!B16+(Inputs!D16-Inputs!B16)*BETAINV(RAND(),Model!H10,Model!I10)</f>
        <v>0.44119798372403563</v>
      </c>
      <c r="AE735">
        <f ca="1">Inputs!E16+(Inputs!G16-Inputs!E16)*BETAINV(RAND(),Model!J10,Model!K10)</f>
        <v>0.74793285276314991</v>
      </c>
      <c r="AF735">
        <f ca="1">(Inputs!H16+(Inputs!J16-Inputs!H16)*BETAINV(RAND(),Model!L10,Model!M10))*Inputs!$C$6</f>
        <v>40122.773245268232</v>
      </c>
      <c r="AG735">
        <f t="shared" ca="1" si="247"/>
        <v>0.32998646660006775</v>
      </c>
      <c r="AH735">
        <f t="shared" ca="1" si="248"/>
        <v>0.53260915946773624</v>
      </c>
      <c r="AI735">
        <f t="shared" ca="1" si="249"/>
        <v>0</v>
      </c>
      <c r="AJ735" s="47">
        <f t="shared" ca="1" si="250"/>
        <v>0</v>
      </c>
      <c r="AK735">
        <f t="shared" ca="1" si="251"/>
        <v>449555.49986573128</v>
      </c>
    </row>
    <row r="736" spans="2:37" x14ac:dyDescent="0.2">
      <c r="B736">
        <f ca="1">Inputs!B12+(Inputs!D12-Inputs!B12)*BETAINV(RAND(),Model!H6,Model!I6)</f>
        <v>3.1232592379522623</v>
      </c>
      <c r="C736">
        <f ca="1">Inputs!E12+(Inputs!G12-Inputs!E12)*BETAINV(RAND(),Model!J6,Model!K6)</f>
        <v>0.28656865595895759</v>
      </c>
      <c r="D736">
        <f ca="1">(Inputs!H12+(Inputs!J12-Inputs!H12)*BETAINV(RAND(),Model!L6,Model!M6))*Inputs!$C$6</f>
        <v>21173.390771792503</v>
      </c>
      <c r="E736">
        <f t="shared" ca="1" si="231"/>
        <v>0.8950282020313779</v>
      </c>
      <c r="F736">
        <f t="shared" ca="1" si="232"/>
        <v>4.2960592384518992E-2</v>
      </c>
      <c r="G736">
        <f t="shared" ca="1" si="233"/>
        <v>0</v>
      </c>
      <c r="H736" s="47">
        <f t="shared" ca="1" si="234"/>
        <v>0</v>
      </c>
      <c r="I736">
        <f ca="1">Inputs!B13+(Inputs!D13-Inputs!B13)*BETAINV(RAND(),Model!H7,Model!I7)</f>
        <v>3.8064445892775662</v>
      </c>
      <c r="J736">
        <f ca="1">Inputs!E13+(Inputs!G13-Inputs!E13)*BETAINV(RAND(),Model!J7,Model!K7)</f>
        <v>0.28163086334223714</v>
      </c>
      <c r="K736">
        <f ca="1">(Inputs!H13+(Inputs!J13-Inputs!H13)*BETAINV(RAND(),Model!L7,Model!M7))*Inputs!$C$6</f>
        <v>36561.440327467884</v>
      </c>
      <c r="L736">
        <f t="shared" ca="1" si="235"/>
        <v>1.0720122759426283</v>
      </c>
      <c r="M736">
        <f t="shared" ca="1" si="236"/>
        <v>0.11404879580506322</v>
      </c>
      <c r="N736">
        <f t="shared" ca="1" si="237"/>
        <v>0</v>
      </c>
      <c r="O736" s="47">
        <f t="shared" ca="1" si="238"/>
        <v>0</v>
      </c>
      <c r="P736">
        <f ca="1">Inputs!B14+(Inputs!D14-Inputs!B14)*BETAINV(RAND(),Model!H8,Model!I8)</f>
        <v>0.23467387192115896</v>
      </c>
      <c r="Q736">
        <f ca="1">Inputs!E14+(Inputs!G14-Inputs!E14)*BETAINV(RAND(),Model!J8,Model!K8)</f>
        <v>0.49690943526765374</v>
      </c>
      <c r="R736">
        <f ca="1">(Inputs!H14+(Inputs!J14-Inputs!H14)*BETAINV(RAND(),Model!L8,Model!M8))*Inputs!$C$6</f>
        <v>323639.38807538367</v>
      </c>
      <c r="S736">
        <f t="shared" ca="1" si="239"/>
        <v>0.1166116611684168</v>
      </c>
      <c r="T736">
        <f t="shared" ca="1" si="240"/>
        <v>0.51537906045623227</v>
      </c>
      <c r="U736">
        <f t="shared" ca="1" si="241"/>
        <v>0</v>
      </c>
      <c r="V736" s="47">
        <f t="shared" ca="1" si="242"/>
        <v>0</v>
      </c>
      <c r="W736">
        <f ca="1">Inputs!B15+(Inputs!D15-Inputs!B15)*BETAINV(RAND(),Model!H9,Model!I9)</f>
        <v>1.4401369278471809</v>
      </c>
      <c r="X736">
        <f ca="1">Inputs!E15+(Inputs!G15-Inputs!E15)*BETAINV(RAND(),Model!J9,Model!K9)</f>
        <v>0.51630128022937183</v>
      </c>
      <c r="Y736">
        <f ca="1">(Inputs!H15+(Inputs!J15-Inputs!H15)*BETAINV(RAND(),Model!L9,Model!M9))*Inputs!$C$6</f>
        <v>11669.65991772981</v>
      </c>
      <c r="Z736">
        <f t="shared" ca="1" si="243"/>
        <v>0.74354453955309396</v>
      </c>
      <c r="AA736">
        <f t="shared" ca="1" si="244"/>
        <v>0.40166691610030747</v>
      </c>
      <c r="AB736">
        <f t="shared" ca="1" si="245"/>
        <v>0</v>
      </c>
      <c r="AC736" s="47">
        <f t="shared" ca="1" si="246"/>
        <v>0</v>
      </c>
      <c r="AD736">
        <f ca="1">Inputs!B16+(Inputs!D16-Inputs!B16)*BETAINV(RAND(),Model!H10,Model!I10)</f>
        <v>0.48575699020697422</v>
      </c>
      <c r="AE736">
        <f ca="1">Inputs!E16+(Inputs!G16-Inputs!E16)*BETAINV(RAND(),Model!J10,Model!K10)</f>
        <v>0.67076097389600364</v>
      </c>
      <c r="AF736">
        <f ca="1">(Inputs!H16+(Inputs!J16-Inputs!H16)*BETAINV(RAND(),Model!L10,Model!M10))*Inputs!$C$6</f>
        <v>63567.204915395028</v>
      </c>
      <c r="AG736">
        <f t="shared" ca="1" si="247"/>
        <v>0.32582683182802152</v>
      </c>
      <c r="AH736">
        <f t="shared" ca="1" si="248"/>
        <v>0.80226364284540008</v>
      </c>
      <c r="AI736">
        <f t="shared" ca="1" si="249"/>
        <v>1</v>
      </c>
      <c r="AJ736" s="47">
        <f t="shared" ca="1" si="250"/>
        <v>63567.204915395028</v>
      </c>
      <c r="AK736">
        <f t="shared" ca="1" si="251"/>
        <v>63567.204915395028</v>
      </c>
    </row>
    <row r="737" spans="2:37" x14ac:dyDescent="0.2">
      <c r="B737">
        <f ca="1">Inputs!B12+(Inputs!D12-Inputs!B12)*BETAINV(RAND(),Model!H6,Model!I6)</f>
        <v>4.2689271870994538</v>
      </c>
      <c r="C737">
        <f ca="1">Inputs!E12+(Inputs!G12-Inputs!E12)*BETAINV(RAND(),Model!J6,Model!K6)</f>
        <v>0.31085266047607757</v>
      </c>
      <c r="D737">
        <f ca="1">(Inputs!H12+(Inputs!J12-Inputs!H12)*BETAINV(RAND(),Model!L6,Model!M6))*Inputs!$C$6</f>
        <v>35963.95446439644</v>
      </c>
      <c r="E737">
        <f t="shared" ca="1" si="231"/>
        <v>1.3270073734885235</v>
      </c>
      <c r="F737">
        <f t="shared" ca="1" si="232"/>
        <v>0.52984015572942023</v>
      </c>
      <c r="G737">
        <f t="shared" ca="1" si="233"/>
        <v>1</v>
      </c>
      <c r="H737" s="47">
        <f t="shared" ca="1" si="234"/>
        <v>35963.95446439644</v>
      </c>
      <c r="I737">
        <f ca="1">Inputs!B13+(Inputs!D13-Inputs!B13)*BETAINV(RAND(),Model!H7,Model!I7)</f>
        <v>2.3341234668387347</v>
      </c>
      <c r="J737">
        <f ca="1">Inputs!E13+(Inputs!G13-Inputs!E13)*BETAINV(RAND(),Model!J7,Model!K7)</f>
        <v>0.33686927927831656</v>
      </c>
      <c r="K737">
        <f ca="1">(Inputs!H13+(Inputs!J13-Inputs!H13)*BETAINV(RAND(),Model!L7,Model!M7))*Inputs!$C$6</f>
        <v>22269.210200517926</v>
      </c>
      <c r="L737">
        <f t="shared" ca="1" si="235"/>
        <v>0.78629449002057017</v>
      </c>
      <c r="M737">
        <f t="shared" ca="1" si="236"/>
        <v>9.7453039100994454E-2</v>
      </c>
      <c r="N737">
        <f t="shared" ca="1" si="237"/>
        <v>0</v>
      </c>
      <c r="O737" s="47">
        <f t="shared" ca="1" si="238"/>
        <v>0</v>
      </c>
      <c r="P737">
        <f ca="1">Inputs!B14+(Inputs!D14-Inputs!B14)*BETAINV(RAND(),Model!H8,Model!I8)</f>
        <v>0.17739389268822414</v>
      </c>
      <c r="Q737">
        <f ca="1">Inputs!E14+(Inputs!G14-Inputs!E14)*BETAINV(RAND(),Model!J8,Model!K8)</f>
        <v>0.60672134616230278</v>
      </c>
      <c r="R737">
        <f ca="1">(Inputs!H14+(Inputs!J14-Inputs!H14)*BETAINV(RAND(),Model!L8,Model!M8))*Inputs!$C$6</f>
        <v>314443.97747283697</v>
      </c>
      <c r="S737">
        <f t="shared" ca="1" si="239"/>
        <v>0.10762866137277043</v>
      </c>
      <c r="T737">
        <f t="shared" ca="1" si="240"/>
        <v>0.41209379195944418</v>
      </c>
      <c r="U737">
        <f t="shared" ca="1" si="241"/>
        <v>0</v>
      </c>
      <c r="V737" s="47">
        <f t="shared" ca="1" si="242"/>
        <v>0</v>
      </c>
      <c r="W737">
        <f ca="1">Inputs!B15+(Inputs!D15-Inputs!B15)*BETAINV(RAND(),Model!H9,Model!I9)</f>
        <v>1.1053501544636979</v>
      </c>
      <c r="X737">
        <f ca="1">Inputs!E15+(Inputs!G15-Inputs!E15)*BETAINV(RAND(),Model!J9,Model!K9)</f>
        <v>0.50636135445937669</v>
      </c>
      <c r="Y737">
        <f ca="1">(Inputs!H15+(Inputs!J15-Inputs!H15)*BETAINV(RAND(),Model!L9,Model!M9))*Inputs!$C$6</f>
        <v>26878.972403306059</v>
      </c>
      <c r="Z737">
        <f t="shared" ca="1" si="243"/>
        <v>0.55970660136611927</v>
      </c>
      <c r="AA737">
        <f t="shared" ca="1" si="244"/>
        <v>6.1637120399994361E-2</v>
      </c>
      <c r="AB737">
        <f t="shared" ca="1" si="245"/>
        <v>0</v>
      </c>
      <c r="AC737" s="47">
        <f t="shared" ca="1" si="246"/>
        <v>0</v>
      </c>
      <c r="AD737">
        <f ca="1">Inputs!B16+(Inputs!D16-Inputs!B16)*BETAINV(RAND(),Model!H10,Model!I10)</f>
        <v>0.66901495737797334</v>
      </c>
      <c r="AE737">
        <f ca="1">Inputs!E16+(Inputs!G16-Inputs!E16)*BETAINV(RAND(),Model!J10,Model!K10)</f>
        <v>0.54081756239127621</v>
      </c>
      <c r="AF737">
        <f ca="1">(Inputs!H16+(Inputs!J16-Inputs!H16)*BETAINV(RAND(),Model!L10,Model!M10))*Inputs!$C$6</f>
        <v>65975.559986133856</v>
      </c>
      <c r="AG737">
        <f t="shared" ca="1" si="247"/>
        <v>0.3618150384524591</v>
      </c>
      <c r="AH737">
        <f t="shared" ca="1" si="248"/>
        <v>0.44903530167807182</v>
      </c>
      <c r="AI737">
        <f t="shared" ca="1" si="249"/>
        <v>0</v>
      </c>
      <c r="AJ737" s="47">
        <f t="shared" ca="1" si="250"/>
        <v>0</v>
      </c>
      <c r="AK737">
        <f t="shared" ca="1" si="251"/>
        <v>35963.95446439644</v>
      </c>
    </row>
    <row r="738" spans="2:37" x14ac:dyDescent="0.2">
      <c r="B738">
        <f ca="1">Inputs!B12+(Inputs!D12-Inputs!B12)*BETAINV(RAND(),Model!H6,Model!I6)</f>
        <v>2.1170106693355022</v>
      </c>
      <c r="C738">
        <f ca="1">Inputs!E12+(Inputs!G12-Inputs!E12)*BETAINV(RAND(),Model!J6,Model!K6)</f>
        <v>0.3605817796659373</v>
      </c>
      <c r="D738">
        <f ca="1">(Inputs!H12+(Inputs!J12-Inputs!H12)*BETAINV(RAND(),Model!L6,Model!M6))*Inputs!$C$6</f>
        <v>10328.229356940044</v>
      </c>
      <c r="E738">
        <f t="shared" ca="1" si="231"/>
        <v>0.76335547472077248</v>
      </c>
      <c r="F738">
        <f t="shared" ca="1" si="232"/>
        <v>0.28703394090703938</v>
      </c>
      <c r="G738">
        <f t="shared" ca="1" si="233"/>
        <v>0</v>
      </c>
      <c r="H738" s="47">
        <f t="shared" ca="1" si="234"/>
        <v>0</v>
      </c>
      <c r="I738">
        <f ca="1">Inputs!B13+(Inputs!D13-Inputs!B13)*BETAINV(RAND(),Model!H7,Model!I7)</f>
        <v>3.2926446070503785</v>
      </c>
      <c r="J738">
        <f ca="1">Inputs!E13+(Inputs!G13-Inputs!E13)*BETAINV(RAND(),Model!J7,Model!K7)</f>
        <v>0.27981052738329609</v>
      </c>
      <c r="K738">
        <f ca="1">(Inputs!H13+(Inputs!J13-Inputs!H13)*BETAINV(RAND(),Model!L7,Model!M7))*Inputs!$C$6</f>
        <v>31516.990995857177</v>
      </c>
      <c r="L738">
        <f t="shared" ca="1" si="235"/>
        <v>0.92131662398453218</v>
      </c>
      <c r="M738">
        <f t="shared" ca="1" si="236"/>
        <v>0.21259293147192193</v>
      </c>
      <c r="N738">
        <f t="shared" ca="1" si="237"/>
        <v>0</v>
      </c>
      <c r="O738" s="47">
        <f t="shared" ca="1" si="238"/>
        <v>0</v>
      </c>
      <c r="P738">
        <f ca="1">Inputs!B14+(Inputs!D14-Inputs!B14)*BETAINV(RAND(),Model!H8,Model!I8)</f>
        <v>0.20927968317507475</v>
      </c>
      <c r="Q738">
        <f ca="1">Inputs!E14+(Inputs!G14-Inputs!E14)*BETAINV(RAND(),Model!J8,Model!K8)</f>
        <v>0.65426467659253351</v>
      </c>
      <c r="R738">
        <f ca="1">(Inputs!H14+(Inputs!J14-Inputs!H14)*BETAINV(RAND(),Model!L8,Model!M8))*Inputs!$C$6</f>
        <v>199791.4174530633</v>
      </c>
      <c r="S738">
        <f t="shared" ca="1" si="239"/>
        <v>0.13692430422992816</v>
      </c>
      <c r="T738">
        <f t="shared" ca="1" si="240"/>
        <v>0.96262798427055629</v>
      </c>
      <c r="U738">
        <f t="shared" ca="1" si="241"/>
        <v>1</v>
      </c>
      <c r="V738" s="47">
        <f t="shared" ca="1" si="242"/>
        <v>199791.4174530633</v>
      </c>
      <c r="W738">
        <f ca="1">Inputs!B15+(Inputs!D15-Inputs!B15)*BETAINV(RAND(),Model!H9,Model!I9)</f>
        <v>2.1058176467461203</v>
      </c>
      <c r="X738">
        <f ca="1">Inputs!E15+(Inputs!G15-Inputs!E15)*BETAINV(RAND(),Model!J9,Model!K9)</f>
        <v>0.29031345049565321</v>
      </c>
      <c r="Y738">
        <f ca="1">(Inputs!H15+(Inputs!J15-Inputs!H15)*BETAINV(RAND(),Model!L9,Model!M9))*Inputs!$C$6</f>
        <v>45254.259112871216</v>
      </c>
      <c r="Z738">
        <f t="shared" ca="1" si="243"/>
        <v>0.61134718714150271</v>
      </c>
      <c r="AA738">
        <f t="shared" ca="1" si="244"/>
        <v>0.27667860134934286</v>
      </c>
      <c r="AB738">
        <f t="shared" ca="1" si="245"/>
        <v>0</v>
      </c>
      <c r="AC738" s="47">
        <f t="shared" ca="1" si="246"/>
        <v>0</v>
      </c>
      <c r="AD738">
        <f ca="1">Inputs!B16+(Inputs!D16-Inputs!B16)*BETAINV(RAND(),Model!H10,Model!I10)</f>
        <v>0.72479213951618338</v>
      </c>
      <c r="AE738">
        <f ca="1">Inputs!E16+(Inputs!G16-Inputs!E16)*BETAINV(RAND(),Model!J10,Model!K10)</f>
        <v>0.72939384647188477</v>
      </c>
      <c r="AF738">
        <f ca="1">(Inputs!H16+(Inputs!J16-Inputs!H16)*BETAINV(RAND(),Model!L10,Model!M10))*Inputs!$C$6</f>
        <v>55017.392258049607</v>
      </c>
      <c r="AG738">
        <f t="shared" ca="1" si="247"/>
        <v>0.52865892653429591</v>
      </c>
      <c r="AH738">
        <f t="shared" ca="1" si="248"/>
        <v>0.48676603397404949</v>
      </c>
      <c r="AI738">
        <f t="shared" ca="1" si="249"/>
        <v>0</v>
      </c>
      <c r="AJ738" s="47">
        <f t="shared" ca="1" si="250"/>
        <v>0</v>
      </c>
      <c r="AK738">
        <f t="shared" ca="1" si="251"/>
        <v>199791.4174530633</v>
      </c>
    </row>
    <row r="739" spans="2:37" x14ac:dyDescent="0.2">
      <c r="B739">
        <f ca="1">Inputs!B12+(Inputs!D12-Inputs!B12)*BETAINV(RAND(),Model!H6,Model!I6)</f>
        <v>3.0786236931543698</v>
      </c>
      <c r="C739">
        <f ca="1">Inputs!E12+(Inputs!G12-Inputs!E12)*BETAINV(RAND(),Model!J6,Model!K6)</f>
        <v>0.26164386507863652</v>
      </c>
      <c r="D739">
        <f ca="1">(Inputs!H12+(Inputs!J12-Inputs!H12)*BETAINV(RAND(),Model!L6,Model!M6))*Inputs!$C$6</f>
        <v>25414.176409971664</v>
      </c>
      <c r="E739">
        <f t="shared" ca="1" si="231"/>
        <v>0.8055030021995756</v>
      </c>
      <c r="F739">
        <f t="shared" ca="1" si="232"/>
        <v>0.21117594380190774</v>
      </c>
      <c r="G739">
        <f t="shared" ca="1" si="233"/>
        <v>0</v>
      </c>
      <c r="H739" s="47">
        <f t="shared" ca="1" si="234"/>
        <v>0</v>
      </c>
      <c r="I739">
        <f ca="1">Inputs!B13+(Inputs!D13-Inputs!B13)*BETAINV(RAND(),Model!H7,Model!I7)</f>
        <v>2.7899763373779916</v>
      </c>
      <c r="J739">
        <f ca="1">Inputs!E13+(Inputs!G13-Inputs!E13)*BETAINV(RAND(),Model!J7,Model!K7)</f>
        <v>0.33924467475670483</v>
      </c>
      <c r="K739">
        <f ca="1">(Inputs!H13+(Inputs!J13-Inputs!H13)*BETAINV(RAND(),Model!L7,Model!M7))*Inputs!$C$6</f>
        <v>21271.112174880345</v>
      </c>
      <c r="L739">
        <f t="shared" ca="1" si="235"/>
        <v>0.94648461515269933</v>
      </c>
      <c r="M739">
        <f t="shared" ca="1" si="236"/>
        <v>0.55522874393201094</v>
      </c>
      <c r="N739">
        <f t="shared" ca="1" si="237"/>
        <v>1</v>
      </c>
      <c r="O739" s="47">
        <f t="shared" ca="1" si="238"/>
        <v>21271.112174880345</v>
      </c>
      <c r="P739">
        <f ca="1">Inputs!B14+(Inputs!D14-Inputs!B14)*BETAINV(RAND(),Model!H8,Model!I8)</f>
        <v>0.16465875989200754</v>
      </c>
      <c r="Q739">
        <f ca="1">Inputs!E14+(Inputs!G14-Inputs!E14)*BETAINV(RAND(),Model!J8,Model!K8)</f>
        <v>0.39943543032528361</v>
      </c>
      <c r="R739">
        <f ca="1">(Inputs!H14+(Inputs!J14-Inputs!H14)*BETAINV(RAND(),Model!L8,Model!M8))*Inputs!$C$6</f>
        <v>352522.69369188434</v>
      </c>
      <c r="S739">
        <f t="shared" ca="1" si="239"/>
        <v>6.5770542614291577E-2</v>
      </c>
      <c r="T739">
        <f t="shared" ca="1" si="240"/>
        <v>6.7405235600741853E-2</v>
      </c>
      <c r="U739">
        <f t="shared" ca="1" si="241"/>
        <v>0</v>
      </c>
      <c r="V739" s="47">
        <f t="shared" ca="1" si="242"/>
        <v>0</v>
      </c>
      <c r="W739">
        <f ca="1">Inputs!B15+(Inputs!D15-Inputs!B15)*BETAINV(RAND(),Model!H9,Model!I9)</f>
        <v>1.4863497611302992</v>
      </c>
      <c r="X739">
        <f ca="1">Inputs!E15+(Inputs!G15-Inputs!E15)*BETAINV(RAND(),Model!J9,Model!K9)</f>
        <v>0.30886213234975585</v>
      </c>
      <c r="Y739">
        <f ca="1">(Inputs!H15+(Inputs!J15-Inputs!H15)*BETAINV(RAND(),Model!L9,Model!M9))*Inputs!$C$6</f>
        <v>44107.923187090295</v>
      </c>
      <c r="Z739">
        <f t="shared" ca="1" si="243"/>
        <v>0.45907715664025445</v>
      </c>
      <c r="AA739">
        <f t="shared" ca="1" si="244"/>
        <v>3.3704114729254608E-2</v>
      </c>
      <c r="AB739">
        <f t="shared" ca="1" si="245"/>
        <v>0</v>
      </c>
      <c r="AC739" s="47">
        <f t="shared" ca="1" si="246"/>
        <v>0</v>
      </c>
      <c r="AD739">
        <f ca="1">Inputs!B16+(Inputs!D16-Inputs!B16)*BETAINV(RAND(),Model!H10,Model!I10)</f>
        <v>0.81585107255394407</v>
      </c>
      <c r="AE739">
        <f ca="1">Inputs!E16+(Inputs!G16-Inputs!E16)*BETAINV(RAND(),Model!J10,Model!K10)</f>
        <v>0.45821234153330481</v>
      </c>
      <c r="AF739">
        <f ca="1">(Inputs!H16+(Inputs!J16-Inputs!H16)*BETAINV(RAND(),Model!L10,Model!M10))*Inputs!$C$6</f>
        <v>48677.122063775998</v>
      </c>
      <c r="AG739">
        <f t="shared" ca="1" si="247"/>
        <v>0.37383303029740084</v>
      </c>
      <c r="AH739">
        <f t="shared" ca="1" si="248"/>
        <v>0.43033795010526954</v>
      </c>
      <c r="AI739">
        <f t="shared" ca="1" si="249"/>
        <v>0</v>
      </c>
      <c r="AJ739" s="47">
        <f t="shared" ca="1" si="250"/>
        <v>0</v>
      </c>
      <c r="AK739">
        <f t="shared" ca="1" si="251"/>
        <v>21271.112174880345</v>
      </c>
    </row>
    <row r="740" spans="2:37" x14ac:dyDescent="0.2">
      <c r="B740">
        <f ca="1">Inputs!B12+(Inputs!D12-Inputs!B12)*BETAINV(RAND(),Model!H6,Model!I6)</f>
        <v>3.8218860673766408</v>
      </c>
      <c r="C740">
        <f ca="1">Inputs!E12+(Inputs!G12-Inputs!E12)*BETAINV(RAND(),Model!J6,Model!K6)</f>
        <v>0.35318231124699051</v>
      </c>
      <c r="D740">
        <f ca="1">(Inputs!H12+(Inputs!J12-Inputs!H12)*BETAINV(RAND(),Model!L6,Model!M6))*Inputs!$C$6</f>
        <v>11790.455316249216</v>
      </c>
      <c r="E740">
        <f t="shared" ca="1" si="231"/>
        <v>1.3498225545987532</v>
      </c>
      <c r="F740">
        <f t="shared" ca="1" si="232"/>
        <v>0.67124540021261347</v>
      </c>
      <c r="G740">
        <f t="shared" ca="1" si="233"/>
        <v>2</v>
      </c>
      <c r="H740" s="47">
        <f t="shared" ca="1" si="234"/>
        <v>23580.910632498431</v>
      </c>
      <c r="I740">
        <f ca="1">Inputs!B13+(Inputs!D13-Inputs!B13)*BETAINV(RAND(),Model!H7,Model!I7)</f>
        <v>1.7484412749947116</v>
      </c>
      <c r="J740">
        <f ca="1">Inputs!E13+(Inputs!G13-Inputs!E13)*BETAINV(RAND(),Model!J7,Model!K7)</f>
        <v>0.27803591014395274</v>
      </c>
      <c r="K740">
        <f ca="1">(Inputs!H13+(Inputs!J13-Inputs!H13)*BETAINV(RAND(),Model!L7,Model!M7))*Inputs!$C$6</f>
        <v>21931.372670425095</v>
      </c>
      <c r="L740">
        <f t="shared" ca="1" si="235"/>
        <v>0.48612946122640777</v>
      </c>
      <c r="M740">
        <f t="shared" ca="1" si="236"/>
        <v>0.60505874385471625</v>
      </c>
      <c r="N740">
        <f t="shared" ca="1" si="237"/>
        <v>0</v>
      </c>
      <c r="O740" s="47">
        <f t="shared" ca="1" si="238"/>
        <v>0</v>
      </c>
      <c r="P740">
        <f ca="1">Inputs!B14+(Inputs!D14-Inputs!B14)*BETAINV(RAND(),Model!H8,Model!I8)</f>
        <v>0.24497139354622471</v>
      </c>
      <c r="Q740">
        <f ca="1">Inputs!E14+(Inputs!G14-Inputs!E14)*BETAINV(RAND(),Model!J8,Model!K8)</f>
        <v>0.37468506026012571</v>
      </c>
      <c r="R740">
        <f ca="1">(Inputs!H14+(Inputs!J14-Inputs!H14)*BETAINV(RAND(),Model!L8,Model!M8))*Inputs!$C$6</f>
        <v>348087.49811498751</v>
      </c>
      <c r="S740">
        <f t="shared" ca="1" si="239"/>
        <v>9.1787121352874174E-2</v>
      </c>
      <c r="T740">
        <f t="shared" ca="1" si="240"/>
        <v>5.4883510907477451E-2</v>
      </c>
      <c r="U740">
        <f t="shared" ca="1" si="241"/>
        <v>0</v>
      </c>
      <c r="V740" s="47">
        <f t="shared" ca="1" si="242"/>
        <v>0</v>
      </c>
      <c r="W740">
        <f ca="1">Inputs!B15+(Inputs!D15-Inputs!B15)*BETAINV(RAND(),Model!H9,Model!I9)</f>
        <v>1.190430442651343</v>
      </c>
      <c r="X740">
        <f ca="1">Inputs!E15+(Inputs!G15-Inputs!E15)*BETAINV(RAND(),Model!J9,Model!K9)</f>
        <v>0.51328407860397163</v>
      </c>
      <c r="Y740">
        <f ca="1">(Inputs!H15+(Inputs!J15-Inputs!H15)*BETAINV(RAND(),Model!L9,Model!M9))*Inputs!$C$6</f>
        <v>53925.93397424381</v>
      </c>
      <c r="Z740">
        <f t="shared" ca="1" si="243"/>
        <v>0.61102899289841273</v>
      </c>
      <c r="AA740">
        <f t="shared" ca="1" si="244"/>
        <v>1.1051030879966395E-2</v>
      </c>
      <c r="AB740">
        <f t="shared" ca="1" si="245"/>
        <v>0</v>
      </c>
      <c r="AC740" s="47">
        <f t="shared" ca="1" si="246"/>
        <v>0</v>
      </c>
      <c r="AD740">
        <f ca="1">Inputs!B16+(Inputs!D16-Inputs!B16)*BETAINV(RAND(),Model!H10,Model!I10)</f>
        <v>0.49200297030796797</v>
      </c>
      <c r="AE740">
        <f ca="1">Inputs!E16+(Inputs!G16-Inputs!E16)*BETAINV(RAND(),Model!J10,Model!K10)</f>
        <v>0.66785438930304641</v>
      </c>
      <c r="AF740">
        <f ca="1">(Inputs!H16+(Inputs!J16-Inputs!H16)*BETAINV(RAND(),Model!L10,Model!M10))*Inputs!$C$6</f>
        <v>78298.564146243967</v>
      </c>
      <c r="AG740">
        <f t="shared" ca="1" si="247"/>
        <v>0.32858634327031283</v>
      </c>
      <c r="AH740">
        <f t="shared" ca="1" si="248"/>
        <v>0.16218935333414308</v>
      </c>
      <c r="AI740">
        <f t="shared" ca="1" si="249"/>
        <v>0</v>
      </c>
      <c r="AJ740" s="47">
        <f t="shared" ca="1" si="250"/>
        <v>0</v>
      </c>
      <c r="AK740">
        <f t="shared" ca="1" si="251"/>
        <v>23580.910632498431</v>
      </c>
    </row>
    <row r="741" spans="2:37" x14ac:dyDescent="0.2">
      <c r="B741">
        <f ca="1">Inputs!B12+(Inputs!D12-Inputs!B12)*BETAINV(RAND(),Model!H6,Model!I6)</f>
        <v>4.7282222229978279</v>
      </c>
      <c r="C741">
        <f ca="1">Inputs!E12+(Inputs!G12-Inputs!E12)*BETAINV(RAND(),Model!J6,Model!K6)</f>
        <v>0.30934837221876066</v>
      </c>
      <c r="D741">
        <f ca="1">(Inputs!H12+(Inputs!J12-Inputs!H12)*BETAINV(RAND(),Model!L6,Model!M6))*Inputs!$C$6</f>
        <v>31748.710269702657</v>
      </c>
      <c r="E741">
        <f t="shared" ca="1" si="231"/>
        <v>1.462667848172948</v>
      </c>
      <c r="F741">
        <f t="shared" ca="1" si="232"/>
        <v>0.22521340844053872</v>
      </c>
      <c r="G741">
        <f t="shared" ca="1" si="233"/>
        <v>0</v>
      </c>
      <c r="H741" s="47">
        <f t="shared" ca="1" si="234"/>
        <v>0</v>
      </c>
      <c r="I741">
        <f ca="1">Inputs!B13+(Inputs!D13-Inputs!B13)*BETAINV(RAND(),Model!H7,Model!I7)</f>
        <v>1.6541217526055709</v>
      </c>
      <c r="J741">
        <f ca="1">Inputs!E13+(Inputs!G13-Inputs!E13)*BETAINV(RAND(),Model!J7,Model!K7)</f>
        <v>0.15835172519394433</v>
      </c>
      <c r="K741">
        <f ca="1">(Inputs!H13+(Inputs!J13-Inputs!H13)*BETAINV(RAND(),Model!L7,Model!M7))*Inputs!$C$6</f>
        <v>17268.948624463512</v>
      </c>
      <c r="L741">
        <f t="shared" ca="1" si="235"/>
        <v>0.26193303320592293</v>
      </c>
      <c r="M741">
        <f t="shared" ca="1" si="236"/>
        <v>0.60099912974382974</v>
      </c>
      <c r="N741">
        <f t="shared" ca="1" si="237"/>
        <v>0</v>
      </c>
      <c r="O741" s="47">
        <f t="shared" ca="1" si="238"/>
        <v>0</v>
      </c>
      <c r="P741">
        <f ca="1">Inputs!B14+(Inputs!D14-Inputs!B14)*BETAINV(RAND(),Model!H8,Model!I8)</f>
        <v>0.34263705378754095</v>
      </c>
      <c r="Q741">
        <f ca="1">Inputs!E14+(Inputs!G14-Inputs!E14)*BETAINV(RAND(),Model!J8,Model!K8)</f>
        <v>0.73052551396611565</v>
      </c>
      <c r="R741">
        <f ca="1">(Inputs!H14+(Inputs!J14-Inputs!H14)*BETAINV(RAND(),Model!L8,Model!M8))*Inputs!$C$6</f>
        <v>227395.16813584574</v>
      </c>
      <c r="S741">
        <f t="shared" ca="1" si="239"/>
        <v>0.25030510982197895</v>
      </c>
      <c r="T741">
        <f t="shared" ca="1" si="240"/>
        <v>8.1903906475740973E-3</v>
      </c>
      <c r="U741">
        <f t="shared" ca="1" si="241"/>
        <v>0</v>
      </c>
      <c r="V741" s="47">
        <f t="shared" ca="1" si="242"/>
        <v>0</v>
      </c>
      <c r="W741">
        <f ca="1">Inputs!B15+(Inputs!D15-Inputs!B15)*BETAINV(RAND(),Model!H9,Model!I9)</f>
        <v>1.1860782183768825</v>
      </c>
      <c r="X741">
        <f ca="1">Inputs!E15+(Inputs!G15-Inputs!E15)*BETAINV(RAND(),Model!J9,Model!K9)</f>
        <v>0.39516777800240988</v>
      </c>
      <c r="Y741">
        <f ca="1">(Inputs!H15+(Inputs!J15-Inputs!H15)*BETAINV(RAND(),Model!L9,Model!M9))*Inputs!$C$6</f>
        <v>28945.935102444033</v>
      </c>
      <c r="Z741">
        <f t="shared" ca="1" si="243"/>
        <v>0.46869989409304974</v>
      </c>
      <c r="AA741">
        <f t="shared" ca="1" si="244"/>
        <v>0.39190392322923318</v>
      </c>
      <c r="AB741">
        <f t="shared" ca="1" si="245"/>
        <v>0</v>
      </c>
      <c r="AC741" s="47">
        <f t="shared" ca="1" si="246"/>
        <v>0</v>
      </c>
      <c r="AD741">
        <f ca="1">Inputs!B16+(Inputs!D16-Inputs!B16)*BETAINV(RAND(),Model!H10,Model!I10)</f>
        <v>0.6627356946500147</v>
      </c>
      <c r="AE741">
        <f ca="1">Inputs!E16+(Inputs!G16-Inputs!E16)*BETAINV(RAND(),Model!J10,Model!K10)</f>
        <v>0.49572108618862731</v>
      </c>
      <c r="AF741">
        <f ca="1">(Inputs!H16+(Inputs!J16-Inputs!H16)*BETAINV(RAND(),Model!L10,Model!M10))*Inputs!$C$6</f>
        <v>90260.696187271518</v>
      </c>
      <c r="AG741">
        <f t="shared" ca="1" si="247"/>
        <v>0.32853205840787975</v>
      </c>
      <c r="AH741">
        <f t="shared" ca="1" si="248"/>
        <v>6.0338521040048554E-2</v>
      </c>
      <c r="AI741">
        <f t="shared" ca="1" si="249"/>
        <v>0</v>
      </c>
      <c r="AJ741" s="47">
        <f t="shared" ca="1" si="250"/>
        <v>0</v>
      </c>
      <c r="AK741">
        <f t="shared" ca="1" si="251"/>
        <v>0</v>
      </c>
    </row>
    <row r="742" spans="2:37" x14ac:dyDescent="0.2">
      <c r="B742">
        <f ca="1">Inputs!B12+(Inputs!D12-Inputs!B12)*BETAINV(RAND(),Model!H6,Model!I6)</f>
        <v>4.825419262757543</v>
      </c>
      <c r="C742">
        <f ca="1">Inputs!E12+(Inputs!G12-Inputs!E12)*BETAINV(RAND(),Model!J6,Model!K6)</f>
        <v>0.27935807016874925</v>
      </c>
      <c r="D742">
        <f ca="1">(Inputs!H12+(Inputs!J12-Inputs!H12)*BETAINV(RAND(),Model!L6,Model!M6))*Inputs!$C$6</f>
        <v>27622.586133331228</v>
      </c>
      <c r="E742">
        <f t="shared" ca="1" si="231"/>
        <v>1.3480198129990559</v>
      </c>
      <c r="F742">
        <f t="shared" ca="1" si="232"/>
        <v>0.3756150214572791</v>
      </c>
      <c r="G742">
        <f t="shared" ca="1" si="233"/>
        <v>1</v>
      </c>
      <c r="H742" s="47">
        <f t="shared" ca="1" si="234"/>
        <v>27622.586133331228</v>
      </c>
      <c r="I742">
        <f ca="1">Inputs!B13+(Inputs!D13-Inputs!B13)*BETAINV(RAND(),Model!H7,Model!I7)</f>
        <v>1.1918245621226378</v>
      </c>
      <c r="J742">
        <f ca="1">Inputs!E13+(Inputs!G13-Inputs!E13)*BETAINV(RAND(),Model!J7,Model!K7)</f>
        <v>0.21798524764754795</v>
      </c>
      <c r="K742">
        <f ca="1">(Inputs!H13+(Inputs!J13-Inputs!H13)*BETAINV(RAND(),Model!L7,Model!M7))*Inputs!$C$6</f>
        <v>50202.267655759628</v>
      </c>
      <c r="L742">
        <f t="shared" ca="1" si="235"/>
        <v>0.25980017232673358</v>
      </c>
      <c r="M742">
        <f t="shared" ca="1" si="236"/>
        <v>0.4646467719782279</v>
      </c>
      <c r="N742">
        <f t="shared" ca="1" si="237"/>
        <v>0</v>
      </c>
      <c r="O742" s="47">
        <f t="shared" ca="1" si="238"/>
        <v>0</v>
      </c>
      <c r="P742">
        <f ca="1">Inputs!B14+(Inputs!D14-Inputs!B14)*BETAINV(RAND(),Model!H8,Model!I8)</f>
        <v>0.43111709524867681</v>
      </c>
      <c r="Q742">
        <f ca="1">Inputs!E14+(Inputs!G14-Inputs!E14)*BETAINV(RAND(),Model!J8,Model!K8)</f>
        <v>0.42007711949683985</v>
      </c>
      <c r="R742">
        <f ca="1">(Inputs!H14+(Inputs!J14-Inputs!H14)*BETAINV(RAND(),Model!L8,Model!M8))*Inputs!$C$6</f>
        <v>210269.46488759329</v>
      </c>
      <c r="S742">
        <f t="shared" ca="1" si="239"/>
        <v>0.18110242753790889</v>
      </c>
      <c r="T742">
        <f t="shared" ca="1" si="240"/>
        <v>0.94484633352999436</v>
      </c>
      <c r="U742">
        <f t="shared" ca="1" si="241"/>
        <v>1</v>
      </c>
      <c r="V742" s="47">
        <f t="shared" ca="1" si="242"/>
        <v>210269.46488759329</v>
      </c>
      <c r="W742">
        <f ca="1">Inputs!B15+(Inputs!D15-Inputs!B15)*BETAINV(RAND(),Model!H9,Model!I9)</f>
        <v>1.0808796463512576</v>
      </c>
      <c r="X742">
        <f ca="1">Inputs!E15+(Inputs!G15-Inputs!E15)*BETAINV(RAND(),Model!J9,Model!K9)</f>
        <v>0.39935336431566981</v>
      </c>
      <c r="Y742">
        <f ca="1">(Inputs!H15+(Inputs!J15-Inputs!H15)*BETAINV(RAND(),Model!L9,Model!M9))*Inputs!$C$6</f>
        <v>15481.110477306162</v>
      </c>
      <c r="Z742">
        <f t="shared" ca="1" si="243"/>
        <v>0.43165292319070608</v>
      </c>
      <c r="AA742">
        <f t="shared" ca="1" si="244"/>
        <v>0.762037228044259</v>
      </c>
      <c r="AB742">
        <f t="shared" ca="1" si="245"/>
        <v>1</v>
      </c>
      <c r="AC742" s="47">
        <f t="shared" ca="1" si="246"/>
        <v>15481.110477306162</v>
      </c>
      <c r="AD742">
        <f ca="1">Inputs!B16+(Inputs!D16-Inputs!B16)*BETAINV(RAND(),Model!H10,Model!I10)</f>
        <v>0.68827914384096656</v>
      </c>
      <c r="AE742">
        <f ca="1">Inputs!E16+(Inputs!G16-Inputs!E16)*BETAINV(RAND(),Model!J10,Model!K10)</f>
        <v>0.6665823382072571</v>
      </c>
      <c r="AF742">
        <f ca="1">(Inputs!H16+(Inputs!J16-Inputs!H16)*BETAINV(RAND(),Model!L10,Model!M10))*Inputs!$C$6</f>
        <v>72707.842197819467</v>
      </c>
      <c r="AG742">
        <f t="shared" ca="1" si="247"/>
        <v>0.45879472104080055</v>
      </c>
      <c r="AH742">
        <f t="shared" ca="1" si="248"/>
        <v>0.32752423666103625</v>
      </c>
      <c r="AI742">
        <f t="shared" ca="1" si="249"/>
        <v>0</v>
      </c>
      <c r="AJ742" s="47">
        <f t="shared" ca="1" si="250"/>
        <v>0</v>
      </c>
      <c r="AK742">
        <f t="shared" ca="1" si="251"/>
        <v>253373.16149823068</v>
      </c>
    </row>
    <row r="743" spans="2:37" x14ac:dyDescent="0.2">
      <c r="B743">
        <f ca="1">Inputs!B12+(Inputs!D12-Inputs!B12)*BETAINV(RAND(),Model!H6,Model!I6)</f>
        <v>4.6832609293902889</v>
      </c>
      <c r="C743">
        <f ca="1">Inputs!E12+(Inputs!G12-Inputs!E12)*BETAINV(RAND(),Model!J6,Model!K6)</f>
        <v>0.30446104847135025</v>
      </c>
      <c r="D743">
        <f ca="1">(Inputs!H12+(Inputs!J12-Inputs!H12)*BETAINV(RAND(),Model!L6,Model!M6))*Inputs!$C$6</f>
        <v>49356.275052836601</v>
      </c>
      <c r="E743">
        <f t="shared" ca="1" si="231"/>
        <v>1.4258705328270775</v>
      </c>
      <c r="F743">
        <f t="shared" ca="1" si="232"/>
        <v>0.20827895083136583</v>
      </c>
      <c r="G743">
        <f t="shared" ca="1" si="233"/>
        <v>0</v>
      </c>
      <c r="H743" s="47">
        <f t="shared" ca="1" si="234"/>
        <v>0</v>
      </c>
      <c r="I743">
        <f ca="1">Inputs!B13+(Inputs!D13-Inputs!B13)*BETAINV(RAND(),Model!H7,Model!I7)</f>
        <v>1.8247509479443464</v>
      </c>
      <c r="J743">
        <f ca="1">Inputs!E13+(Inputs!G13-Inputs!E13)*BETAINV(RAND(),Model!J7,Model!K7)</f>
        <v>0.30408577696130801</v>
      </c>
      <c r="K743">
        <f ca="1">(Inputs!H13+(Inputs!J13-Inputs!H13)*BETAINV(RAND(),Model!L7,Model!M7))*Inputs!$C$6</f>
        <v>18929.035037179343</v>
      </c>
      <c r="L743">
        <f t="shared" ca="1" si="235"/>
        <v>0.55488080976653986</v>
      </c>
      <c r="M743">
        <f t="shared" ca="1" si="236"/>
        <v>0.40247466290679068</v>
      </c>
      <c r="N743">
        <f t="shared" ca="1" si="237"/>
        <v>0</v>
      </c>
      <c r="O743" s="47">
        <f t="shared" ca="1" si="238"/>
        <v>0</v>
      </c>
      <c r="P743">
        <f ca="1">Inputs!B14+(Inputs!D14-Inputs!B14)*BETAINV(RAND(),Model!H8,Model!I8)</f>
        <v>0.49840188375659789</v>
      </c>
      <c r="Q743">
        <f ca="1">Inputs!E14+(Inputs!G14-Inputs!E14)*BETAINV(RAND(),Model!J8,Model!K8)</f>
        <v>0.64794262502818956</v>
      </c>
      <c r="R743">
        <f ca="1">(Inputs!H14+(Inputs!J14-Inputs!H14)*BETAINV(RAND(),Model!L8,Model!M8))*Inputs!$C$6</f>
        <v>425372.07532936212</v>
      </c>
      <c r="S743">
        <f t="shared" ca="1" si="239"/>
        <v>0.32293582488024464</v>
      </c>
      <c r="T743">
        <f t="shared" ca="1" si="240"/>
        <v>0.82495404521124283</v>
      </c>
      <c r="U743">
        <f t="shared" ca="1" si="241"/>
        <v>1</v>
      </c>
      <c r="V743" s="47">
        <f t="shared" ca="1" si="242"/>
        <v>425372.07532936212</v>
      </c>
      <c r="W743">
        <f ca="1">Inputs!B15+(Inputs!D15-Inputs!B15)*BETAINV(RAND(),Model!H9,Model!I9)</f>
        <v>0.39039910812365541</v>
      </c>
      <c r="X743">
        <f ca="1">Inputs!E15+(Inputs!G15-Inputs!E15)*BETAINV(RAND(),Model!J9,Model!K9)</f>
        <v>0.34901452930295851</v>
      </c>
      <c r="Y743">
        <f ca="1">(Inputs!H15+(Inputs!J15-Inputs!H15)*BETAINV(RAND(),Model!L9,Model!M9))*Inputs!$C$6</f>
        <v>32223.738414426647</v>
      </c>
      <c r="Z743">
        <f t="shared" ca="1" si="243"/>
        <v>0.1362549609620724</v>
      </c>
      <c r="AA743">
        <f t="shared" ca="1" si="244"/>
        <v>0.57458268127461387</v>
      </c>
      <c r="AB743">
        <f t="shared" ca="1" si="245"/>
        <v>0</v>
      </c>
      <c r="AC743" s="47">
        <f t="shared" ca="1" si="246"/>
        <v>0</v>
      </c>
      <c r="AD743">
        <f ca="1">Inputs!B16+(Inputs!D16-Inputs!B16)*BETAINV(RAND(),Model!H10,Model!I10)</f>
        <v>0.65279753664561491</v>
      </c>
      <c r="AE743">
        <f ca="1">Inputs!E16+(Inputs!G16-Inputs!E16)*BETAINV(RAND(),Model!J10,Model!K10)</f>
        <v>0.57897217857530126</v>
      </c>
      <c r="AF743">
        <f ca="1">(Inputs!H16+(Inputs!J16-Inputs!H16)*BETAINV(RAND(),Model!L10,Model!M10))*Inputs!$C$6</f>
        <v>136903.4851942214</v>
      </c>
      <c r="AG743">
        <f t="shared" ca="1" si="247"/>
        <v>0.37795161196030169</v>
      </c>
      <c r="AH743">
        <f t="shared" ca="1" si="248"/>
        <v>0.82283669280892802</v>
      </c>
      <c r="AI743">
        <f t="shared" ca="1" si="249"/>
        <v>1</v>
      </c>
      <c r="AJ743" s="47">
        <f t="shared" ca="1" si="250"/>
        <v>136903.4851942214</v>
      </c>
      <c r="AK743">
        <f t="shared" ca="1" si="251"/>
        <v>562275.56052358355</v>
      </c>
    </row>
    <row r="744" spans="2:37" x14ac:dyDescent="0.2">
      <c r="B744">
        <f ca="1">Inputs!B12+(Inputs!D12-Inputs!B12)*BETAINV(RAND(),Model!H6,Model!I6)</f>
        <v>3.2620114339761788</v>
      </c>
      <c r="C744">
        <f ca="1">Inputs!E12+(Inputs!G12-Inputs!E12)*BETAINV(RAND(),Model!J6,Model!K6)</f>
        <v>0.30142630718686231</v>
      </c>
      <c r="D744">
        <f ca="1">(Inputs!H12+(Inputs!J12-Inputs!H12)*BETAINV(RAND(),Model!L6,Model!M6))*Inputs!$C$6</f>
        <v>13642.335587664373</v>
      </c>
      <c r="E744">
        <f t="shared" ca="1" si="231"/>
        <v>0.98325606054476089</v>
      </c>
      <c r="F744">
        <f t="shared" ca="1" si="232"/>
        <v>0.48374204924609143</v>
      </c>
      <c r="G744">
        <f t="shared" ca="1" si="233"/>
        <v>1</v>
      </c>
      <c r="H744" s="47">
        <f t="shared" ca="1" si="234"/>
        <v>13642.335587664373</v>
      </c>
      <c r="I744">
        <f ca="1">Inputs!B13+(Inputs!D13-Inputs!B13)*BETAINV(RAND(),Model!H7,Model!I7)</f>
        <v>1.5758123625826426</v>
      </c>
      <c r="J744">
        <f ca="1">Inputs!E13+(Inputs!G13-Inputs!E13)*BETAINV(RAND(),Model!J7,Model!K7)</f>
        <v>0.19196668348075219</v>
      </c>
      <c r="K744">
        <f ca="1">(Inputs!H13+(Inputs!J13-Inputs!H13)*BETAINV(RAND(),Model!L7,Model!M7))*Inputs!$C$6</f>
        <v>19735.29878337264</v>
      </c>
      <c r="L744">
        <f t="shared" ca="1" si="235"/>
        <v>0.30250347303295844</v>
      </c>
      <c r="M744">
        <f t="shared" ca="1" si="236"/>
        <v>0.17586243520321343</v>
      </c>
      <c r="N744">
        <f t="shared" ca="1" si="237"/>
        <v>0</v>
      </c>
      <c r="O744" s="47">
        <f t="shared" ca="1" si="238"/>
        <v>0</v>
      </c>
      <c r="P744">
        <f ca="1">Inputs!B14+(Inputs!D14-Inputs!B14)*BETAINV(RAND(),Model!H8,Model!I8)</f>
        <v>0.21050691054194143</v>
      </c>
      <c r="Q744">
        <f ca="1">Inputs!E14+(Inputs!G14-Inputs!E14)*BETAINV(RAND(),Model!J8,Model!K8)</f>
        <v>0.47794392082280007</v>
      </c>
      <c r="R744">
        <f ca="1">(Inputs!H14+(Inputs!J14-Inputs!H14)*BETAINV(RAND(),Model!L8,Model!M8))*Inputs!$C$6</f>
        <v>255008.39147714968</v>
      </c>
      <c r="S744">
        <f t="shared" ca="1" si="239"/>
        <v>0.10061049818470991</v>
      </c>
      <c r="T744">
        <f t="shared" ca="1" si="240"/>
        <v>0.54800678008327519</v>
      </c>
      <c r="U744">
        <f t="shared" ca="1" si="241"/>
        <v>0</v>
      </c>
      <c r="V744" s="47">
        <f t="shared" ca="1" si="242"/>
        <v>0</v>
      </c>
      <c r="W744">
        <f ca="1">Inputs!B15+(Inputs!D15-Inputs!B15)*BETAINV(RAND(),Model!H9,Model!I9)</f>
        <v>0.64854469855449814</v>
      </c>
      <c r="X744">
        <f ca="1">Inputs!E15+(Inputs!G15-Inputs!E15)*BETAINV(RAND(),Model!J9,Model!K9)</f>
        <v>0.34040142846731164</v>
      </c>
      <c r="Y744">
        <f ca="1">(Inputs!H15+(Inputs!J15-Inputs!H15)*BETAINV(RAND(),Model!L9,Model!M9))*Inputs!$C$6</f>
        <v>34011.78065462708</v>
      </c>
      <c r="Z744">
        <f t="shared" ca="1" si="243"/>
        <v>0.22076554181285318</v>
      </c>
      <c r="AA744">
        <f t="shared" ca="1" si="244"/>
        <v>0.66496604154273342</v>
      </c>
      <c r="AB744">
        <f t="shared" ca="1" si="245"/>
        <v>0</v>
      </c>
      <c r="AC744" s="47">
        <f t="shared" ca="1" si="246"/>
        <v>0</v>
      </c>
      <c r="AD744">
        <f ca="1">Inputs!B16+(Inputs!D16-Inputs!B16)*BETAINV(RAND(),Model!H10,Model!I10)</f>
        <v>0.65688505789672136</v>
      </c>
      <c r="AE744">
        <f ca="1">Inputs!E16+(Inputs!G16-Inputs!E16)*BETAINV(RAND(),Model!J10,Model!K10)</f>
        <v>0.60720859292125595</v>
      </c>
      <c r="AF744">
        <f ca="1">(Inputs!H16+(Inputs!J16-Inputs!H16)*BETAINV(RAND(),Model!L10,Model!M10))*Inputs!$C$6</f>
        <v>60159.33027880919</v>
      </c>
      <c r="AG744">
        <f t="shared" ca="1" si="247"/>
        <v>0.39886625171646595</v>
      </c>
      <c r="AH744">
        <f t="shared" ca="1" si="248"/>
        <v>0.70979430005372712</v>
      </c>
      <c r="AI744">
        <f t="shared" ca="1" si="249"/>
        <v>1</v>
      </c>
      <c r="AJ744" s="47">
        <f t="shared" ca="1" si="250"/>
        <v>60159.33027880919</v>
      </c>
      <c r="AK744">
        <f t="shared" ca="1" si="251"/>
        <v>73801.665866473559</v>
      </c>
    </row>
    <row r="745" spans="2:37" x14ac:dyDescent="0.2">
      <c r="B745">
        <f ca="1">Inputs!B12+(Inputs!D12-Inputs!B12)*BETAINV(RAND(),Model!H6,Model!I6)</f>
        <v>4.1641156145276055</v>
      </c>
      <c r="C745">
        <f ca="1">Inputs!E12+(Inputs!G12-Inputs!E12)*BETAINV(RAND(),Model!J6,Model!K6)</f>
        <v>0.30276624747233083</v>
      </c>
      <c r="D745">
        <f ca="1">(Inputs!H12+(Inputs!J12-Inputs!H12)*BETAINV(RAND(),Model!L6,Model!M6))*Inputs!$C$6</f>
        <v>13867.601215824287</v>
      </c>
      <c r="E745">
        <f t="shared" ca="1" si="231"/>
        <v>1.2607536586514621</v>
      </c>
      <c r="F745">
        <f t="shared" ca="1" si="232"/>
        <v>0.41413845470813904</v>
      </c>
      <c r="G745">
        <f t="shared" ca="1" si="233"/>
        <v>1</v>
      </c>
      <c r="H745" s="47">
        <f t="shared" ca="1" si="234"/>
        <v>13867.601215824287</v>
      </c>
      <c r="I745">
        <f ca="1">Inputs!B13+(Inputs!D13-Inputs!B13)*BETAINV(RAND(),Model!H7,Model!I7)</f>
        <v>2.0890323876488415</v>
      </c>
      <c r="J745">
        <f ca="1">Inputs!E13+(Inputs!G13-Inputs!E13)*BETAINV(RAND(),Model!J7,Model!K7)</f>
        <v>0.16967782683770982</v>
      </c>
      <c r="K745">
        <f ca="1">(Inputs!H13+(Inputs!J13-Inputs!H13)*BETAINV(RAND(),Model!L7,Model!M7))*Inputs!$C$6</f>
        <v>38966.911446658807</v>
      </c>
      <c r="L745">
        <f t="shared" ca="1" si="235"/>
        <v>0.35446247572984763</v>
      </c>
      <c r="M745">
        <f t="shared" ca="1" si="236"/>
        <v>0.58077212609869211</v>
      </c>
      <c r="N745">
        <f t="shared" ca="1" si="237"/>
        <v>0</v>
      </c>
      <c r="O745" s="47">
        <f t="shared" ca="1" si="238"/>
        <v>0</v>
      </c>
      <c r="P745">
        <f ca="1">Inputs!B14+(Inputs!D14-Inputs!B14)*BETAINV(RAND(),Model!H8,Model!I8)</f>
        <v>0.4696624776115591</v>
      </c>
      <c r="Q745">
        <f ca="1">Inputs!E14+(Inputs!G14-Inputs!E14)*BETAINV(RAND(),Model!J8,Model!K8)</f>
        <v>0.53445686753884647</v>
      </c>
      <c r="R745">
        <f ca="1">(Inputs!H14+(Inputs!J14-Inputs!H14)*BETAINV(RAND(),Model!L8,Model!M8))*Inputs!$C$6</f>
        <v>331064.30089459853</v>
      </c>
      <c r="S745">
        <f t="shared" ca="1" si="239"/>
        <v>0.25101433658480748</v>
      </c>
      <c r="T745">
        <f t="shared" ca="1" si="240"/>
        <v>0.77731089117516416</v>
      </c>
      <c r="U745">
        <f t="shared" ca="1" si="241"/>
        <v>0</v>
      </c>
      <c r="V745" s="47">
        <f t="shared" ca="1" si="242"/>
        <v>0</v>
      </c>
      <c r="W745">
        <f ca="1">Inputs!B15+(Inputs!D15-Inputs!B15)*BETAINV(RAND(),Model!H9,Model!I9)</f>
        <v>0.84566636424458341</v>
      </c>
      <c r="X745">
        <f ca="1">Inputs!E15+(Inputs!G15-Inputs!E15)*BETAINV(RAND(),Model!J9,Model!K9)</f>
        <v>0.30409419311931013</v>
      </c>
      <c r="Y745">
        <f ca="1">(Inputs!H15+(Inputs!J15-Inputs!H15)*BETAINV(RAND(),Model!L9,Model!M9))*Inputs!$C$6</f>
        <v>47790.278225415306</v>
      </c>
      <c r="Z745">
        <f t="shared" ca="1" si="243"/>
        <v>0.25716223068309724</v>
      </c>
      <c r="AA745">
        <f t="shared" ca="1" si="244"/>
        <v>0.74980641024851324</v>
      </c>
      <c r="AB745">
        <f t="shared" ca="1" si="245"/>
        <v>0</v>
      </c>
      <c r="AC745" s="47">
        <f t="shared" ca="1" si="246"/>
        <v>0</v>
      </c>
      <c r="AD745">
        <f ca="1">Inputs!B16+(Inputs!D16-Inputs!B16)*BETAINV(RAND(),Model!H10,Model!I10)</f>
        <v>0.57153418166268244</v>
      </c>
      <c r="AE745">
        <f ca="1">Inputs!E16+(Inputs!G16-Inputs!E16)*BETAINV(RAND(),Model!J10,Model!K10)</f>
        <v>0.54351200206256878</v>
      </c>
      <c r="AF745">
        <f ca="1">(Inputs!H16+(Inputs!J16-Inputs!H16)*BETAINV(RAND(),Model!L10,Model!M10))*Inputs!$C$6</f>
        <v>75529.940535841495</v>
      </c>
      <c r="AG745">
        <f t="shared" ca="1" si="247"/>
        <v>0.31063568732267643</v>
      </c>
      <c r="AH745">
        <f t="shared" ca="1" si="248"/>
        <v>0.77848191282324997</v>
      </c>
      <c r="AI745">
        <f t="shared" ca="1" si="249"/>
        <v>1</v>
      </c>
      <c r="AJ745" s="47">
        <f t="shared" ca="1" si="250"/>
        <v>75529.940535841495</v>
      </c>
      <c r="AK745">
        <f t="shared" ca="1" si="251"/>
        <v>89397.541751665776</v>
      </c>
    </row>
    <row r="746" spans="2:37" x14ac:dyDescent="0.2">
      <c r="B746">
        <f ca="1">Inputs!B12+(Inputs!D12-Inputs!B12)*BETAINV(RAND(),Model!H6,Model!I6)</f>
        <v>4.461066235904827</v>
      </c>
      <c r="C746">
        <f ca="1">Inputs!E12+(Inputs!G12-Inputs!E12)*BETAINV(RAND(),Model!J6,Model!K6)</f>
        <v>0.27200338596625856</v>
      </c>
      <c r="D746">
        <f ca="1">(Inputs!H12+(Inputs!J12-Inputs!H12)*BETAINV(RAND(),Model!L6,Model!M6))*Inputs!$C$6</f>
        <v>29426.59210636565</v>
      </c>
      <c r="E746">
        <f t="shared" ca="1" si="231"/>
        <v>1.2134251211858649</v>
      </c>
      <c r="F746">
        <f t="shared" ca="1" si="232"/>
        <v>0.79344320840384996</v>
      </c>
      <c r="G746">
        <f t="shared" ca="1" si="233"/>
        <v>2</v>
      </c>
      <c r="H746" s="47">
        <f t="shared" ca="1" si="234"/>
        <v>58853.184212731299</v>
      </c>
      <c r="I746">
        <f ca="1">Inputs!B13+(Inputs!D13-Inputs!B13)*BETAINV(RAND(),Model!H7,Model!I7)</f>
        <v>1.4287057025540517</v>
      </c>
      <c r="J746">
        <f ca="1">Inputs!E13+(Inputs!G13-Inputs!E13)*BETAINV(RAND(),Model!J7,Model!K7)</f>
        <v>0.16146256776081033</v>
      </c>
      <c r="K746">
        <f ca="1">(Inputs!H13+(Inputs!J13-Inputs!H13)*BETAINV(RAND(),Model!L7,Model!M7))*Inputs!$C$6</f>
        <v>27785.206198235846</v>
      </c>
      <c r="L746">
        <f t="shared" ca="1" si="235"/>
        <v>0.23068249130888971</v>
      </c>
      <c r="M746">
        <f t="shared" ca="1" si="236"/>
        <v>0.60852040912209582</v>
      </c>
      <c r="N746">
        <f t="shared" ca="1" si="237"/>
        <v>0</v>
      </c>
      <c r="O746" s="47">
        <f t="shared" ca="1" si="238"/>
        <v>0</v>
      </c>
      <c r="P746">
        <f ca="1">Inputs!B14+(Inputs!D14-Inputs!B14)*BETAINV(RAND(),Model!H8,Model!I8)</f>
        <v>0.41556599303049901</v>
      </c>
      <c r="Q746">
        <f ca="1">Inputs!E14+(Inputs!G14-Inputs!E14)*BETAINV(RAND(),Model!J8,Model!K8)</f>
        <v>0.6187621981212208</v>
      </c>
      <c r="R746">
        <f ca="1">(Inputs!H14+(Inputs!J14-Inputs!H14)*BETAINV(RAND(),Model!L8,Model!M8))*Inputs!$C$6</f>
        <v>409758.69626821822</v>
      </c>
      <c r="S746">
        <f t="shared" ca="1" si="239"/>
        <v>0.2571365273119795</v>
      </c>
      <c r="T746">
        <f t="shared" ca="1" si="240"/>
        <v>0.15804539513442961</v>
      </c>
      <c r="U746">
        <f t="shared" ca="1" si="241"/>
        <v>0</v>
      </c>
      <c r="V746" s="47">
        <f t="shared" ca="1" si="242"/>
        <v>0</v>
      </c>
      <c r="W746">
        <f ca="1">Inputs!B15+(Inputs!D15-Inputs!B15)*BETAINV(RAND(),Model!H9,Model!I9)</f>
        <v>0.78344832370776962</v>
      </c>
      <c r="X746">
        <f ca="1">Inputs!E15+(Inputs!G15-Inputs!E15)*BETAINV(RAND(),Model!J9,Model!K9)</f>
        <v>0.49169721968579766</v>
      </c>
      <c r="Y746">
        <f ca="1">(Inputs!H15+(Inputs!J15-Inputs!H15)*BETAINV(RAND(),Model!L9,Model!M9))*Inputs!$C$6</f>
        <v>38113.876628695121</v>
      </c>
      <c r="Z746">
        <f t="shared" ca="1" si="243"/>
        <v>0.38521936253460914</v>
      </c>
      <c r="AA746">
        <f t="shared" ca="1" si="244"/>
        <v>0.54328427130090629</v>
      </c>
      <c r="AB746">
        <f t="shared" ca="1" si="245"/>
        <v>0</v>
      </c>
      <c r="AC746" s="47">
        <f t="shared" ca="1" si="246"/>
        <v>0</v>
      </c>
      <c r="AD746">
        <f ca="1">Inputs!B16+(Inputs!D16-Inputs!B16)*BETAINV(RAND(),Model!H10,Model!I10)</f>
        <v>0.73119435320504245</v>
      </c>
      <c r="AE746">
        <f ca="1">Inputs!E16+(Inputs!G16-Inputs!E16)*BETAINV(RAND(),Model!J10,Model!K10)</f>
        <v>0.71752595804911967</v>
      </c>
      <c r="AF746">
        <f ca="1">(Inputs!H16+(Inputs!J16-Inputs!H16)*BETAINV(RAND(),Model!L10,Model!M10))*Inputs!$C$6</f>
        <v>66742.378818007914</v>
      </c>
      <c r="AG746">
        <f t="shared" ca="1" si="247"/>
        <v>0.52465092880355446</v>
      </c>
      <c r="AH746">
        <f t="shared" ca="1" si="248"/>
        <v>0.15772775681038798</v>
      </c>
      <c r="AI746">
        <f t="shared" ca="1" si="249"/>
        <v>0</v>
      </c>
      <c r="AJ746" s="47">
        <f t="shared" ca="1" si="250"/>
        <v>0</v>
      </c>
      <c r="AK746">
        <f t="shared" ca="1" si="251"/>
        <v>58853.184212731299</v>
      </c>
    </row>
    <row r="747" spans="2:37" x14ac:dyDescent="0.2">
      <c r="B747">
        <f ca="1">Inputs!B12+(Inputs!D12-Inputs!B12)*BETAINV(RAND(),Model!H6,Model!I6)</f>
        <v>5.3735511541945318</v>
      </c>
      <c r="C747">
        <f ca="1">Inputs!E12+(Inputs!G12-Inputs!E12)*BETAINV(RAND(),Model!J6,Model!K6)</f>
        <v>0.30339932751584281</v>
      </c>
      <c r="D747">
        <f ca="1">(Inputs!H12+(Inputs!J12-Inputs!H12)*BETAINV(RAND(),Model!L6,Model!M6))*Inputs!$C$6</f>
        <v>29810.042699395261</v>
      </c>
      <c r="E747">
        <f t="shared" ca="1" si="231"/>
        <v>1.630331806554602</v>
      </c>
      <c r="F747">
        <f t="shared" ca="1" si="232"/>
        <v>0.77328741882488394</v>
      </c>
      <c r="G747">
        <f t="shared" ca="1" si="233"/>
        <v>2</v>
      </c>
      <c r="H747" s="47">
        <f t="shared" ca="1" si="234"/>
        <v>59620.085398790521</v>
      </c>
      <c r="I747">
        <f ca="1">Inputs!B13+(Inputs!D13-Inputs!B13)*BETAINV(RAND(),Model!H7,Model!I7)</f>
        <v>2.2826916105666744</v>
      </c>
      <c r="J747">
        <f ca="1">Inputs!E13+(Inputs!G13-Inputs!E13)*BETAINV(RAND(),Model!J7,Model!K7)</f>
        <v>0.30535904780162804</v>
      </c>
      <c r="K747">
        <f ca="1">(Inputs!H13+(Inputs!J13-Inputs!H13)*BETAINV(RAND(),Model!L7,Model!M7))*Inputs!$C$6</f>
        <v>84256.177255997405</v>
      </c>
      <c r="L747">
        <f t="shared" ca="1" si="235"/>
        <v>0.69704053662740439</v>
      </c>
      <c r="M747">
        <f t="shared" ca="1" si="236"/>
        <v>0.32934467542065093</v>
      </c>
      <c r="N747">
        <f t="shared" ca="1" si="237"/>
        <v>0</v>
      </c>
      <c r="O747" s="47">
        <f t="shared" ca="1" si="238"/>
        <v>0</v>
      </c>
      <c r="P747">
        <f ca="1">Inputs!B14+(Inputs!D14-Inputs!B14)*BETAINV(RAND(),Model!H8,Model!I8)</f>
        <v>0.35701808178263761</v>
      </c>
      <c r="Q747">
        <f ca="1">Inputs!E14+(Inputs!G14-Inputs!E14)*BETAINV(RAND(),Model!J8,Model!K8)</f>
        <v>0.79190894012343949</v>
      </c>
      <c r="R747">
        <f ca="1">(Inputs!H14+(Inputs!J14-Inputs!H14)*BETAINV(RAND(),Model!L8,Model!M8))*Inputs!$C$6</f>
        <v>420206.71135808178</v>
      </c>
      <c r="S747">
        <f t="shared" ca="1" si="239"/>
        <v>0.28272581074939201</v>
      </c>
      <c r="T747">
        <f t="shared" ca="1" si="240"/>
        <v>0.27719669699011196</v>
      </c>
      <c r="U747">
        <f t="shared" ca="1" si="241"/>
        <v>0</v>
      </c>
      <c r="V747" s="47">
        <f t="shared" ca="1" si="242"/>
        <v>0</v>
      </c>
      <c r="W747">
        <f ca="1">Inputs!B15+(Inputs!D15-Inputs!B15)*BETAINV(RAND(),Model!H9,Model!I9)</f>
        <v>0.43483583319828684</v>
      </c>
      <c r="X747">
        <f ca="1">Inputs!E15+(Inputs!G15-Inputs!E15)*BETAINV(RAND(),Model!J9,Model!K9)</f>
        <v>0.29706977683299707</v>
      </c>
      <c r="Y747">
        <f ca="1">(Inputs!H15+(Inputs!J15-Inputs!H15)*BETAINV(RAND(),Model!L9,Model!M9))*Inputs!$C$6</f>
        <v>28516.780877677382</v>
      </c>
      <c r="Z747">
        <f t="shared" ca="1" si="243"/>
        <v>0.12917658392720541</v>
      </c>
      <c r="AA747">
        <f t="shared" ca="1" si="244"/>
        <v>8.0121250917744802E-2</v>
      </c>
      <c r="AB747">
        <f t="shared" ca="1" si="245"/>
        <v>0</v>
      </c>
      <c r="AC747" s="47">
        <f t="shared" ca="1" si="246"/>
        <v>0</v>
      </c>
      <c r="AD747">
        <f ca="1">Inputs!B16+(Inputs!D16-Inputs!B16)*BETAINV(RAND(),Model!H10,Model!I10)</f>
        <v>0.54020878922567628</v>
      </c>
      <c r="AE747">
        <f ca="1">Inputs!E16+(Inputs!G16-Inputs!E16)*BETAINV(RAND(),Model!J10,Model!K10)</f>
        <v>0.52851128858421437</v>
      </c>
      <c r="AF747">
        <f ca="1">(Inputs!H16+(Inputs!J16-Inputs!H16)*BETAINV(RAND(),Model!L10,Model!M10))*Inputs!$C$6</f>
        <v>56596.397822254105</v>
      </c>
      <c r="AG747">
        <f t="shared" ca="1" si="247"/>
        <v>0.28550644329818042</v>
      </c>
      <c r="AH747">
        <f t="shared" ca="1" si="248"/>
        <v>0.96073332714309401</v>
      </c>
      <c r="AI747">
        <f t="shared" ca="1" si="249"/>
        <v>1</v>
      </c>
      <c r="AJ747" s="47">
        <f t="shared" ca="1" si="250"/>
        <v>56596.397822254105</v>
      </c>
      <c r="AK747">
        <f t="shared" ca="1" si="251"/>
        <v>116216.48322104462</v>
      </c>
    </row>
    <row r="748" spans="2:37" x14ac:dyDescent="0.2">
      <c r="B748">
        <f ca="1">Inputs!B12+(Inputs!D12-Inputs!B12)*BETAINV(RAND(),Model!H6,Model!I6)</f>
        <v>2.1013223799035554</v>
      </c>
      <c r="C748">
        <f ca="1">Inputs!E12+(Inputs!G12-Inputs!E12)*BETAINV(RAND(),Model!J6,Model!K6)</f>
        <v>0.20241885367673701</v>
      </c>
      <c r="D748">
        <f ca="1">(Inputs!H12+(Inputs!J12-Inputs!H12)*BETAINV(RAND(),Model!L6,Model!M6))*Inputs!$C$6</f>
        <v>13846.547275568997</v>
      </c>
      <c r="E748">
        <f t="shared" ca="1" si="231"/>
        <v>0.42534726734535055</v>
      </c>
      <c r="F748">
        <f t="shared" ca="1" si="232"/>
        <v>0.51432939653057475</v>
      </c>
      <c r="G748">
        <f t="shared" ca="1" si="233"/>
        <v>0</v>
      </c>
      <c r="H748" s="47">
        <f t="shared" ca="1" si="234"/>
        <v>0</v>
      </c>
      <c r="I748">
        <f ca="1">Inputs!B13+(Inputs!D13-Inputs!B13)*BETAINV(RAND(),Model!H7,Model!I7)</f>
        <v>1.4876625379921848</v>
      </c>
      <c r="J748">
        <f ca="1">Inputs!E13+(Inputs!G13-Inputs!E13)*BETAINV(RAND(),Model!J7,Model!K7)</f>
        <v>0.23633546367256558</v>
      </c>
      <c r="K748">
        <f ca="1">(Inputs!H13+(Inputs!J13-Inputs!H13)*BETAINV(RAND(),Model!L7,Model!M7))*Inputs!$C$6</f>
        <v>18318.200893590234</v>
      </c>
      <c r="L748">
        <f t="shared" ca="1" si="235"/>
        <v>0.35158741570468871</v>
      </c>
      <c r="M748">
        <f t="shared" ca="1" si="236"/>
        <v>0.72592193282170481</v>
      </c>
      <c r="N748">
        <f t="shared" ca="1" si="237"/>
        <v>1</v>
      </c>
      <c r="O748" s="47">
        <f t="shared" ca="1" si="238"/>
        <v>18318.200893590234</v>
      </c>
      <c r="P748">
        <f ca="1">Inputs!B14+(Inputs!D14-Inputs!B14)*BETAINV(RAND(),Model!H8,Model!I8)</f>
        <v>0.1792904643187952</v>
      </c>
      <c r="Q748">
        <f ca="1">Inputs!E14+(Inputs!G14-Inputs!E14)*BETAINV(RAND(),Model!J8,Model!K8)</f>
        <v>0.41338641758145461</v>
      </c>
      <c r="R748">
        <f ca="1">(Inputs!H14+(Inputs!J14-Inputs!H14)*BETAINV(RAND(),Model!L8,Model!M8))*Inputs!$C$6</f>
        <v>448976.20453818864</v>
      </c>
      <c r="S748">
        <f t="shared" ca="1" si="239"/>
        <v>7.4116242751262357E-2</v>
      </c>
      <c r="T748">
        <f t="shared" ca="1" si="240"/>
        <v>0.79170219773121964</v>
      </c>
      <c r="U748">
        <f t="shared" ca="1" si="241"/>
        <v>0</v>
      </c>
      <c r="V748" s="47">
        <f t="shared" ca="1" si="242"/>
        <v>0</v>
      </c>
      <c r="W748">
        <f ca="1">Inputs!B15+(Inputs!D15-Inputs!B15)*BETAINV(RAND(),Model!H9,Model!I9)</f>
        <v>0.6008267358060706</v>
      </c>
      <c r="X748">
        <f ca="1">Inputs!E15+(Inputs!G15-Inputs!E15)*BETAINV(RAND(),Model!J9,Model!K9)</f>
        <v>0.36214921017076707</v>
      </c>
      <c r="Y748">
        <f ca="1">(Inputs!H15+(Inputs!J15-Inputs!H15)*BETAINV(RAND(),Model!L9,Model!M9))*Inputs!$C$6</f>
        <v>29784.377159334224</v>
      </c>
      <c r="Z748">
        <f t="shared" ca="1" si="243"/>
        <v>0.2175889278216486</v>
      </c>
      <c r="AA748">
        <f t="shared" ca="1" si="244"/>
        <v>0.77293381222909663</v>
      </c>
      <c r="AB748">
        <f t="shared" ca="1" si="245"/>
        <v>0</v>
      </c>
      <c r="AC748" s="47">
        <f t="shared" ca="1" si="246"/>
        <v>0</v>
      </c>
      <c r="AD748">
        <f ca="1">Inputs!B16+(Inputs!D16-Inputs!B16)*BETAINV(RAND(),Model!H10,Model!I10)</f>
        <v>0.47473888129609543</v>
      </c>
      <c r="AE748">
        <f ca="1">Inputs!E16+(Inputs!G16-Inputs!E16)*BETAINV(RAND(),Model!J10,Model!K10)</f>
        <v>0.6798669470922547</v>
      </c>
      <c r="AF748">
        <f ca="1">(Inputs!H16+(Inputs!J16-Inputs!H16)*BETAINV(RAND(),Model!L10,Model!M10))*Inputs!$C$6</f>
        <v>46262.955888897777</v>
      </c>
      <c r="AG748">
        <f t="shared" ca="1" si="247"/>
        <v>0.32275927389276871</v>
      </c>
      <c r="AH748">
        <f t="shared" ca="1" si="248"/>
        <v>0.24458637593839661</v>
      </c>
      <c r="AI748">
        <f t="shared" ca="1" si="249"/>
        <v>0</v>
      </c>
      <c r="AJ748" s="47">
        <f t="shared" ca="1" si="250"/>
        <v>0</v>
      </c>
      <c r="AK748">
        <f t="shared" ca="1" si="251"/>
        <v>18318.200893590234</v>
      </c>
    </row>
    <row r="749" spans="2:37" x14ac:dyDescent="0.2">
      <c r="B749">
        <f ca="1">Inputs!B12+(Inputs!D12-Inputs!B12)*BETAINV(RAND(),Model!H6,Model!I6)</f>
        <v>7.1470773902591986</v>
      </c>
      <c r="C749">
        <f ca="1">Inputs!E12+(Inputs!G12-Inputs!E12)*BETAINV(RAND(),Model!J6,Model!K6)</f>
        <v>0.30928864673219136</v>
      </c>
      <c r="D749">
        <f ca="1">(Inputs!H12+(Inputs!J12-Inputs!H12)*BETAINV(RAND(),Model!L6,Model!M6))*Inputs!$C$6</f>
        <v>12459.977945027162</v>
      </c>
      <c r="E749">
        <f t="shared" ca="1" si="231"/>
        <v>2.2105098941235095</v>
      </c>
      <c r="F749">
        <f t="shared" ca="1" si="232"/>
        <v>3.8386672264133503E-3</v>
      </c>
      <c r="G749">
        <f t="shared" ca="1" si="233"/>
        <v>0</v>
      </c>
      <c r="H749" s="47">
        <f t="shared" ca="1" si="234"/>
        <v>0</v>
      </c>
      <c r="I749">
        <f ca="1">Inputs!B13+(Inputs!D13-Inputs!B13)*BETAINV(RAND(),Model!H7,Model!I7)</f>
        <v>1.3686128411028518</v>
      </c>
      <c r="J749">
        <f ca="1">Inputs!E13+(Inputs!G13-Inputs!E13)*BETAINV(RAND(),Model!J7,Model!K7)</f>
        <v>0.29342249983523028</v>
      </c>
      <c r="K749">
        <f ca="1">(Inputs!H13+(Inputs!J13-Inputs!H13)*BETAINV(RAND(),Model!L7,Model!M7))*Inputs!$C$6</f>
        <v>60935.573690782665</v>
      </c>
      <c r="L749">
        <f t="shared" ca="1" si="235"/>
        <v>0.40158180114299558</v>
      </c>
      <c r="M749">
        <f t="shared" ca="1" si="236"/>
        <v>0.87050683226148184</v>
      </c>
      <c r="N749">
        <f t="shared" ca="1" si="237"/>
        <v>1</v>
      </c>
      <c r="O749" s="47">
        <f t="shared" ca="1" si="238"/>
        <v>60935.573690782665</v>
      </c>
      <c r="P749">
        <f ca="1">Inputs!B14+(Inputs!D14-Inputs!B14)*BETAINV(RAND(),Model!H8,Model!I8)</f>
        <v>0.48675868222298435</v>
      </c>
      <c r="Q749">
        <f ca="1">Inputs!E14+(Inputs!G14-Inputs!E14)*BETAINV(RAND(),Model!J8,Model!K8)</f>
        <v>0.60052538074924944</v>
      </c>
      <c r="R749">
        <f ca="1">(Inputs!H14+(Inputs!J14-Inputs!H14)*BETAINV(RAND(),Model!L8,Model!M8))*Inputs!$C$6</f>
        <v>455781.45411624975</v>
      </c>
      <c r="S749">
        <f t="shared" ca="1" si="239"/>
        <v>0.29231094297496057</v>
      </c>
      <c r="T749">
        <f t="shared" ca="1" si="240"/>
        <v>0.52298194233857076</v>
      </c>
      <c r="U749">
        <f t="shared" ca="1" si="241"/>
        <v>0</v>
      </c>
      <c r="V749" s="47">
        <f t="shared" ca="1" si="242"/>
        <v>0</v>
      </c>
      <c r="W749">
        <f ca="1">Inputs!B15+(Inputs!D15-Inputs!B15)*BETAINV(RAND(),Model!H9,Model!I9)</f>
        <v>0.68676269995697559</v>
      </c>
      <c r="X749">
        <f ca="1">Inputs!E15+(Inputs!G15-Inputs!E15)*BETAINV(RAND(),Model!J9,Model!K9)</f>
        <v>0.49006561570187024</v>
      </c>
      <c r="Y749">
        <f ca="1">(Inputs!H15+(Inputs!J15-Inputs!H15)*BETAINV(RAND(),Model!L9,Model!M9))*Inputs!$C$6</f>
        <v>49092.298765195243</v>
      </c>
      <c r="Z749">
        <f t="shared" ca="1" si="243"/>
        <v>0.336558785395494</v>
      </c>
      <c r="AA749">
        <f t="shared" ca="1" si="244"/>
        <v>2.5810483834383113E-3</v>
      </c>
      <c r="AB749">
        <f t="shared" ca="1" si="245"/>
        <v>0</v>
      </c>
      <c r="AC749" s="47">
        <f t="shared" ca="1" si="246"/>
        <v>0</v>
      </c>
      <c r="AD749">
        <f ca="1">Inputs!B16+(Inputs!D16-Inputs!B16)*BETAINV(RAND(),Model!H10,Model!I10)</f>
        <v>0.61325196804409821</v>
      </c>
      <c r="AE749">
        <f ca="1">Inputs!E16+(Inputs!G16-Inputs!E16)*BETAINV(RAND(),Model!J10,Model!K10)</f>
        <v>0.5582043138822721</v>
      </c>
      <c r="AF749">
        <f ca="1">(Inputs!H16+(Inputs!J16-Inputs!H16)*BETAINV(RAND(),Model!L10,Model!M10))*Inputs!$C$6</f>
        <v>95207.986775247453</v>
      </c>
      <c r="AG749">
        <f t="shared" ca="1" si="247"/>
        <v>0.34231989405900887</v>
      </c>
      <c r="AH749">
        <f t="shared" ca="1" si="248"/>
        <v>0.1159081903378929</v>
      </c>
      <c r="AI749">
        <f t="shared" ca="1" si="249"/>
        <v>0</v>
      </c>
      <c r="AJ749" s="47">
        <f t="shared" ca="1" si="250"/>
        <v>0</v>
      </c>
      <c r="AK749">
        <f t="shared" ca="1" si="251"/>
        <v>60935.573690782665</v>
      </c>
    </row>
    <row r="750" spans="2:37" x14ac:dyDescent="0.2">
      <c r="B750">
        <f ca="1">Inputs!B12+(Inputs!D12-Inputs!B12)*BETAINV(RAND(),Model!H6,Model!I6)</f>
        <v>1.817636070775722</v>
      </c>
      <c r="C750">
        <f ca="1">Inputs!E12+(Inputs!G12-Inputs!E12)*BETAINV(RAND(),Model!J6,Model!K6)</f>
        <v>0.35343048785841391</v>
      </c>
      <c r="D750">
        <f ca="1">(Inputs!H12+(Inputs!J12-Inputs!H12)*BETAINV(RAND(),Model!L6,Model!M6))*Inputs!$C$6</f>
        <v>21982.46953503252</v>
      </c>
      <c r="E750">
        <f t="shared" ca="1" si="231"/>
        <v>0.64240800324331393</v>
      </c>
      <c r="F750">
        <f t="shared" ca="1" si="232"/>
        <v>0.94057397440448398</v>
      </c>
      <c r="G750">
        <f t="shared" ca="1" si="233"/>
        <v>2</v>
      </c>
      <c r="H750" s="47">
        <f t="shared" ca="1" si="234"/>
        <v>43964.93907006504</v>
      </c>
      <c r="I750">
        <f ca="1">Inputs!B13+(Inputs!D13-Inputs!B13)*BETAINV(RAND(),Model!H7,Model!I7)</f>
        <v>1.7002764065151075</v>
      </c>
      <c r="J750">
        <f ca="1">Inputs!E13+(Inputs!G13-Inputs!E13)*BETAINV(RAND(),Model!J7,Model!K7)</f>
        <v>0.261153549287088</v>
      </c>
      <c r="K750">
        <f ca="1">(Inputs!H13+(Inputs!J13-Inputs!H13)*BETAINV(RAND(),Model!L7,Model!M7))*Inputs!$C$6</f>
        <v>32501.642043041535</v>
      </c>
      <c r="L750">
        <f t="shared" ca="1" si="235"/>
        <v>0.44403321833051601</v>
      </c>
      <c r="M750">
        <f t="shared" ca="1" si="236"/>
        <v>0.67444696400357851</v>
      </c>
      <c r="N750">
        <f t="shared" ca="1" si="237"/>
        <v>1</v>
      </c>
      <c r="O750" s="47">
        <f t="shared" ca="1" si="238"/>
        <v>32501.642043041535</v>
      </c>
      <c r="P750">
        <f ca="1">Inputs!B14+(Inputs!D14-Inputs!B14)*BETAINV(RAND(),Model!H8,Model!I8)</f>
        <v>0.32493646616824767</v>
      </c>
      <c r="Q750">
        <f ca="1">Inputs!E14+(Inputs!G14-Inputs!E14)*BETAINV(RAND(),Model!J8,Model!K8)</f>
        <v>0.72631866603007555</v>
      </c>
      <c r="R750">
        <f ca="1">(Inputs!H14+(Inputs!J14-Inputs!H14)*BETAINV(RAND(),Model!L8,Model!M8))*Inputs!$C$6</f>
        <v>307653.22731404082</v>
      </c>
      <c r="S750">
        <f t="shared" ca="1" si="239"/>
        <v>0.23600742065184843</v>
      </c>
      <c r="T750">
        <f t="shared" ca="1" si="240"/>
        <v>0.25668854903119354</v>
      </c>
      <c r="U750">
        <f t="shared" ca="1" si="241"/>
        <v>0</v>
      </c>
      <c r="V750" s="47">
        <f t="shared" ca="1" si="242"/>
        <v>0</v>
      </c>
      <c r="W750">
        <f ca="1">Inputs!B15+(Inputs!D15-Inputs!B15)*BETAINV(RAND(),Model!H9,Model!I9)</f>
        <v>1.1182519478030406</v>
      </c>
      <c r="X750">
        <f ca="1">Inputs!E15+(Inputs!G15-Inputs!E15)*BETAINV(RAND(),Model!J9,Model!K9)</f>
        <v>0.55192732425128732</v>
      </c>
      <c r="Y750">
        <f ca="1">(Inputs!H15+(Inputs!J15-Inputs!H15)*BETAINV(RAND(),Model!L9,Model!M9))*Inputs!$C$6</f>
        <v>16663.174345182873</v>
      </c>
      <c r="Z750">
        <f t="shared" ca="1" si="243"/>
        <v>0.61719380538972246</v>
      </c>
      <c r="AA750">
        <f t="shared" ca="1" si="244"/>
        <v>0.56568931665256961</v>
      </c>
      <c r="AB750">
        <f t="shared" ca="1" si="245"/>
        <v>1</v>
      </c>
      <c r="AC750" s="47">
        <f t="shared" ca="1" si="246"/>
        <v>16663.174345182873</v>
      </c>
      <c r="AD750">
        <f ca="1">Inputs!B16+(Inputs!D16-Inputs!B16)*BETAINV(RAND(),Model!H10,Model!I10)</f>
        <v>0.68781327562129213</v>
      </c>
      <c r="AE750">
        <f ca="1">Inputs!E16+(Inputs!G16-Inputs!E16)*BETAINV(RAND(),Model!J10,Model!K10)</f>
        <v>0.64444773958149137</v>
      </c>
      <c r="AF750">
        <f ca="1">(Inputs!H16+(Inputs!J16-Inputs!H16)*BETAINV(RAND(),Model!L10,Model!M10))*Inputs!$C$6</f>
        <v>42135.967965896401</v>
      </c>
      <c r="AG750">
        <f t="shared" ca="1" si="247"/>
        <v>0.44325971072828302</v>
      </c>
      <c r="AH750">
        <f t="shared" ca="1" si="248"/>
        <v>0.5662774380840877</v>
      </c>
      <c r="AI750">
        <f t="shared" ca="1" si="249"/>
        <v>0</v>
      </c>
      <c r="AJ750" s="47">
        <f t="shared" ca="1" si="250"/>
        <v>0</v>
      </c>
      <c r="AK750">
        <f t="shared" ca="1" si="251"/>
        <v>93129.755458289437</v>
      </c>
    </row>
    <row r="751" spans="2:37" x14ac:dyDescent="0.2">
      <c r="B751">
        <f ca="1">Inputs!B12+(Inputs!D12-Inputs!B12)*BETAINV(RAND(),Model!H6,Model!I6)</f>
        <v>3.8099660336673087</v>
      </c>
      <c r="C751">
        <f ca="1">Inputs!E12+(Inputs!G12-Inputs!E12)*BETAINV(RAND(),Model!J6,Model!K6)</f>
        <v>0.25373611490961101</v>
      </c>
      <c r="D751">
        <f ca="1">(Inputs!H12+(Inputs!J12-Inputs!H12)*BETAINV(RAND(),Model!L6,Model!M6))*Inputs!$C$6</f>
        <v>43264.5179262112</v>
      </c>
      <c r="E751">
        <f t="shared" ca="1" si="231"/>
        <v>0.96672597932032311</v>
      </c>
      <c r="F751">
        <f t="shared" ca="1" si="232"/>
        <v>0.90583998871341276</v>
      </c>
      <c r="G751">
        <f t="shared" ca="1" si="233"/>
        <v>2</v>
      </c>
      <c r="H751" s="47">
        <f t="shared" ca="1" si="234"/>
        <v>86529.035852422399</v>
      </c>
      <c r="I751">
        <f ca="1">Inputs!B13+(Inputs!D13-Inputs!B13)*BETAINV(RAND(),Model!H7,Model!I7)</f>
        <v>3.419692228971841</v>
      </c>
      <c r="J751">
        <f ca="1">Inputs!E13+(Inputs!G13-Inputs!E13)*BETAINV(RAND(),Model!J7,Model!K7)</f>
        <v>0.40593045500239677</v>
      </c>
      <c r="K751">
        <f ca="1">(Inputs!H13+(Inputs!J13-Inputs!H13)*BETAINV(RAND(),Model!L7,Model!M7))*Inputs!$C$6</f>
        <v>38910.935635849346</v>
      </c>
      <c r="L751">
        <f t="shared" ca="1" si="235"/>
        <v>1.3881572224746999</v>
      </c>
      <c r="M751">
        <f t="shared" ca="1" si="236"/>
        <v>0.49424549746029389</v>
      </c>
      <c r="N751">
        <f t="shared" ca="1" si="237"/>
        <v>1</v>
      </c>
      <c r="O751" s="47">
        <f t="shared" ca="1" si="238"/>
        <v>38910.935635849346</v>
      </c>
      <c r="P751">
        <f ca="1">Inputs!B14+(Inputs!D14-Inputs!B14)*BETAINV(RAND(),Model!H8,Model!I8)</f>
        <v>0.11603001871757099</v>
      </c>
      <c r="Q751">
        <f ca="1">Inputs!E14+(Inputs!G14-Inputs!E14)*BETAINV(RAND(),Model!J8,Model!K8)</f>
        <v>0.57733183443298475</v>
      </c>
      <c r="R751">
        <f ca="1">(Inputs!H14+(Inputs!J14-Inputs!H14)*BETAINV(RAND(),Model!L8,Model!M8))*Inputs!$C$6</f>
        <v>348916.17429529107</v>
      </c>
      <c r="S751">
        <f t="shared" ca="1" si="239"/>
        <v>6.6987823555508821E-2</v>
      </c>
      <c r="T751">
        <f t="shared" ca="1" si="240"/>
        <v>0.34288463059034091</v>
      </c>
      <c r="U751">
        <f t="shared" ca="1" si="241"/>
        <v>0</v>
      </c>
      <c r="V751" s="47">
        <f t="shared" ca="1" si="242"/>
        <v>0</v>
      </c>
      <c r="W751">
        <f ca="1">Inputs!B15+(Inputs!D15-Inputs!B15)*BETAINV(RAND(),Model!H9,Model!I9)</f>
        <v>1.5650477285491624</v>
      </c>
      <c r="X751">
        <f ca="1">Inputs!E15+(Inputs!G15-Inputs!E15)*BETAINV(RAND(),Model!J9,Model!K9)</f>
        <v>0.21504617964850539</v>
      </c>
      <c r="Y751">
        <f ca="1">(Inputs!H15+(Inputs!J15-Inputs!H15)*BETAINV(RAND(),Model!L9,Model!M9))*Inputs!$C$6</f>
        <v>33176.879831730934</v>
      </c>
      <c r="Z751">
        <f t="shared" ca="1" si="243"/>
        <v>0.33655753499206847</v>
      </c>
      <c r="AA751">
        <f t="shared" ca="1" si="244"/>
        <v>0.45103228706717868</v>
      </c>
      <c r="AB751">
        <f t="shared" ca="1" si="245"/>
        <v>0</v>
      </c>
      <c r="AC751" s="47">
        <f t="shared" ca="1" si="246"/>
        <v>0</v>
      </c>
      <c r="AD751">
        <f ca="1">Inputs!B16+(Inputs!D16-Inputs!B16)*BETAINV(RAND(),Model!H10,Model!I10)</f>
        <v>0.77824735767713782</v>
      </c>
      <c r="AE751">
        <f ca="1">Inputs!E16+(Inputs!G16-Inputs!E16)*BETAINV(RAND(),Model!J10,Model!K10)</f>
        <v>0.6159407542011317</v>
      </c>
      <c r="AF751">
        <f ca="1">(Inputs!H16+(Inputs!J16-Inputs!H16)*BETAINV(RAND(),Model!L10,Model!M10))*Inputs!$C$6</f>
        <v>126142.04314873347</v>
      </c>
      <c r="AG751">
        <f t="shared" ca="1" si="247"/>
        <v>0.47935426444269419</v>
      </c>
      <c r="AH751">
        <f t="shared" ca="1" si="248"/>
        <v>0.29080869225057526</v>
      </c>
      <c r="AI751">
        <f t="shared" ca="1" si="249"/>
        <v>0</v>
      </c>
      <c r="AJ751" s="47">
        <f t="shared" ca="1" si="250"/>
        <v>0</v>
      </c>
      <c r="AK751">
        <f t="shared" ca="1" si="251"/>
        <v>125439.97148827175</v>
      </c>
    </row>
    <row r="752" spans="2:37" x14ac:dyDescent="0.2">
      <c r="B752">
        <f ca="1">Inputs!B12+(Inputs!D12-Inputs!B12)*BETAINV(RAND(),Model!H6,Model!I6)</f>
        <v>2.7516050137428794</v>
      </c>
      <c r="C752">
        <f ca="1">Inputs!E12+(Inputs!G12-Inputs!E12)*BETAINV(RAND(),Model!J6,Model!K6)</f>
        <v>0.40189800283791344</v>
      </c>
      <c r="D752">
        <f ca="1">(Inputs!H12+(Inputs!J12-Inputs!H12)*BETAINV(RAND(),Model!L6,Model!M6))*Inputs!$C$6</f>
        <v>28091.11963006575</v>
      </c>
      <c r="E752">
        <f t="shared" ca="1" si="231"/>
        <v>1.1058645596220527</v>
      </c>
      <c r="F752">
        <f t="shared" ca="1" si="232"/>
        <v>0.26594698355074431</v>
      </c>
      <c r="G752">
        <f t="shared" ca="1" si="233"/>
        <v>0</v>
      </c>
      <c r="H752" s="47">
        <f t="shared" ca="1" si="234"/>
        <v>0</v>
      </c>
      <c r="I752">
        <f ca="1">Inputs!B13+(Inputs!D13-Inputs!B13)*BETAINV(RAND(),Model!H7,Model!I7)</f>
        <v>3.1233614655525392</v>
      </c>
      <c r="J752">
        <f ca="1">Inputs!E13+(Inputs!G13-Inputs!E13)*BETAINV(RAND(),Model!J7,Model!K7)</f>
        <v>0.20101367881993154</v>
      </c>
      <c r="K752">
        <f ca="1">(Inputs!H13+(Inputs!J13-Inputs!H13)*BETAINV(RAND(),Model!L7,Model!M7))*Inputs!$C$6</f>
        <v>18945.146209416449</v>
      </c>
      <c r="L752">
        <f t="shared" ca="1" si="235"/>
        <v>0.6278383784751288</v>
      </c>
      <c r="M752">
        <f t="shared" ca="1" si="236"/>
        <v>7.568933908614861E-2</v>
      </c>
      <c r="N752">
        <f t="shared" ca="1" si="237"/>
        <v>0</v>
      </c>
      <c r="O752" s="47">
        <f t="shared" ca="1" si="238"/>
        <v>0</v>
      </c>
      <c r="P752">
        <f ca="1">Inputs!B14+(Inputs!D14-Inputs!B14)*BETAINV(RAND(),Model!H8,Model!I8)</f>
        <v>0.25254087390994762</v>
      </c>
      <c r="Q752">
        <f ca="1">Inputs!E14+(Inputs!G14-Inputs!E14)*BETAINV(RAND(),Model!J8,Model!K8)</f>
        <v>0.69538828488491022</v>
      </c>
      <c r="R752">
        <f ca="1">(Inputs!H14+(Inputs!J14-Inputs!H14)*BETAINV(RAND(),Model!L8,Model!M8))*Inputs!$C$6</f>
        <v>448747.82343642943</v>
      </c>
      <c r="S752">
        <f t="shared" ca="1" si="239"/>
        <v>0.17561396517157485</v>
      </c>
      <c r="T752">
        <f t="shared" ca="1" si="240"/>
        <v>8.2786193712523937E-2</v>
      </c>
      <c r="U752">
        <f t="shared" ca="1" si="241"/>
        <v>0</v>
      </c>
      <c r="V752" s="47">
        <f t="shared" ca="1" si="242"/>
        <v>0</v>
      </c>
      <c r="W752">
        <f ca="1">Inputs!B15+(Inputs!D15-Inputs!B15)*BETAINV(RAND(),Model!H9,Model!I9)</f>
        <v>1.2520067346438915</v>
      </c>
      <c r="X752">
        <f ca="1">Inputs!E15+(Inputs!G15-Inputs!E15)*BETAINV(RAND(),Model!J9,Model!K9)</f>
        <v>0.40388307719781497</v>
      </c>
      <c r="Y752">
        <f ca="1">(Inputs!H15+(Inputs!J15-Inputs!H15)*BETAINV(RAND(),Model!L9,Model!M9))*Inputs!$C$6</f>
        <v>41244.303921858387</v>
      </c>
      <c r="Z752">
        <f t="shared" ca="1" si="243"/>
        <v>0.50566433266036304</v>
      </c>
      <c r="AA752">
        <f t="shared" ca="1" si="244"/>
        <v>0.9386790153161978</v>
      </c>
      <c r="AB752">
        <f t="shared" ca="1" si="245"/>
        <v>2</v>
      </c>
      <c r="AC752" s="47">
        <f t="shared" ca="1" si="246"/>
        <v>82488.607843716774</v>
      </c>
      <c r="AD752">
        <f ca="1">Inputs!B16+(Inputs!D16-Inputs!B16)*BETAINV(RAND(),Model!H10,Model!I10)</f>
        <v>0.67743563028957943</v>
      </c>
      <c r="AE752">
        <f ca="1">Inputs!E16+(Inputs!G16-Inputs!E16)*BETAINV(RAND(),Model!J10,Model!K10)</f>
        <v>0.75756116955682051</v>
      </c>
      <c r="AF752">
        <f ca="1">(Inputs!H16+(Inputs!J16-Inputs!H16)*BETAINV(RAND(),Model!L10,Model!M10))*Inputs!$C$6</f>
        <v>49335.545377796188</v>
      </c>
      <c r="AG752">
        <f t="shared" ca="1" si="247"/>
        <v>0.51319892838163561</v>
      </c>
      <c r="AH752">
        <f t="shared" ca="1" si="248"/>
        <v>5.5523179369075137E-2</v>
      </c>
      <c r="AI752">
        <f t="shared" ca="1" si="249"/>
        <v>0</v>
      </c>
      <c r="AJ752" s="47">
        <f t="shared" ca="1" si="250"/>
        <v>0</v>
      </c>
      <c r="AK752">
        <f t="shared" ca="1" si="251"/>
        <v>82488.607843716774</v>
      </c>
    </row>
    <row r="753" spans="2:37" x14ac:dyDescent="0.2">
      <c r="B753">
        <f ca="1">Inputs!B12+(Inputs!D12-Inputs!B12)*BETAINV(RAND(),Model!H6,Model!I6)</f>
        <v>2.0007150558017068</v>
      </c>
      <c r="C753">
        <f ca="1">Inputs!E12+(Inputs!G12-Inputs!E12)*BETAINV(RAND(),Model!J6,Model!K6)</f>
        <v>0.25492635939946112</v>
      </c>
      <c r="D753">
        <f ca="1">(Inputs!H12+(Inputs!J12-Inputs!H12)*BETAINV(RAND(),Model!L6,Model!M6))*Inputs!$C$6</f>
        <v>28629.957846000962</v>
      </c>
      <c r="E753">
        <f t="shared" ca="1" si="231"/>
        <v>0.51003500537121882</v>
      </c>
      <c r="F753">
        <f t="shared" ca="1" si="232"/>
        <v>0.70587174201567893</v>
      </c>
      <c r="G753">
        <f t="shared" ca="1" si="233"/>
        <v>1</v>
      </c>
      <c r="H753" s="47">
        <f t="shared" ca="1" si="234"/>
        <v>28629.957846000962</v>
      </c>
      <c r="I753">
        <f ca="1">Inputs!B13+(Inputs!D13-Inputs!B13)*BETAINV(RAND(),Model!H7,Model!I7)</f>
        <v>1.1824985254278912</v>
      </c>
      <c r="J753">
        <f ca="1">Inputs!E13+(Inputs!G13-Inputs!E13)*BETAINV(RAND(),Model!J7,Model!K7)</f>
        <v>0.43099237272894453</v>
      </c>
      <c r="K753">
        <f ca="1">(Inputs!H13+(Inputs!J13-Inputs!H13)*BETAINV(RAND(),Model!L7,Model!M7))*Inputs!$C$6</f>
        <v>32126.286374156338</v>
      </c>
      <c r="L753">
        <f t="shared" ca="1" si="235"/>
        <v>0.50964784522264495</v>
      </c>
      <c r="M753">
        <f t="shared" ca="1" si="236"/>
        <v>3.6185401021478159E-2</v>
      </c>
      <c r="N753">
        <f t="shared" ca="1" si="237"/>
        <v>0</v>
      </c>
      <c r="O753" s="47">
        <f t="shared" ca="1" si="238"/>
        <v>0</v>
      </c>
      <c r="P753">
        <f ca="1">Inputs!B14+(Inputs!D14-Inputs!B14)*BETAINV(RAND(),Model!H8,Model!I8)</f>
        <v>0.24965953469974944</v>
      </c>
      <c r="Q753">
        <f ca="1">Inputs!E14+(Inputs!G14-Inputs!E14)*BETAINV(RAND(),Model!J8,Model!K8)</f>
        <v>0.47811703703210107</v>
      </c>
      <c r="R753">
        <f ca="1">(Inputs!H14+(Inputs!J14-Inputs!H14)*BETAINV(RAND(),Model!L8,Model!M8))*Inputs!$C$6</f>
        <v>511755.31064292561</v>
      </c>
      <c r="S753">
        <f t="shared" ca="1" si="239"/>
        <v>0.11936647699745723</v>
      </c>
      <c r="T753">
        <f t="shared" ca="1" si="240"/>
        <v>0.60926236576638559</v>
      </c>
      <c r="U753">
        <f t="shared" ca="1" si="241"/>
        <v>0</v>
      </c>
      <c r="V753" s="47">
        <f t="shared" ca="1" si="242"/>
        <v>0</v>
      </c>
      <c r="W753">
        <f ca="1">Inputs!B15+(Inputs!D15-Inputs!B15)*BETAINV(RAND(),Model!H9,Model!I9)</f>
        <v>1.5518890594626464</v>
      </c>
      <c r="X753">
        <f ca="1">Inputs!E15+(Inputs!G15-Inputs!E15)*BETAINV(RAND(),Model!J9,Model!K9)</f>
        <v>0.36628605339326986</v>
      </c>
      <c r="Y753">
        <f ca="1">(Inputs!H15+(Inputs!J15-Inputs!H15)*BETAINV(RAND(),Model!L9,Model!M9))*Inputs!$C$6</f>
        <v>16554.269282844896</v>
      </c>
      <c r="Z753">
        <f t="shared" ca="1" si="243"/>
        <v>0.56843531889476628</v>
      </c>
      <c r="AA753">
        <f t="shared" ca="1" si="244"/>
        <v>0.32925316727596532</v>
      </c>
      <c r="AB753">
        <f t="shared" ca="1" si="245"/>
        <v>0</v>
      </c>
      <c r="AC753" s="47">
        <f t="shared" ca="1" si="246"/>
        <v>0</v>
      </c>
      <c r="AD753">
        <f ca="1">Inputs!B16+(Inputs!D16-Inputs!B16)*BETAINV(RAND(),Model!H10,Model!I10)</f>
        <v>1.2241936544130088</v>
      </c>
      <c r="AE753">
        <f ca="1">Inputs!E16+(Inputs!G16-Inputs!E16)*BETAINV(RAND(),Model!J10,Model!K10)</f>
        <v>0.60624626102712165</v>
      </c>
      <c r="AF753">
        <f ca="1">(Inputs!H16+(Inputs!J16-Inputs!H16)*BETAINV(RAND(),Model!L10,Model!M10))*Inputs!$C$6</f>
        <v>63525.925556415132</v>
      </c>
      <c r="AG753">
        <f t="shared" ca="1" si="247"/>
        <v>0.74216282576101489</v>
      </c>
      <c r="AH753">
        <f t="shared" ca="1" si="248"/>
        <v>0.34580825757316225</v>
      </c>
      <c r="AI753">
        <f t="shared" ca="1" si="249"/>
        <v>0</v>
      </c>
      <c r="AJ753" s="47">
        <f t="shared" ca="1" si="250"/>
        <v>0</v>
      </c>
      <c r="AK753">
        <f t="shared" ca="1" si="251"/>
        <v>28629.957846000962</v>
      </c>
    </row>
    <row r="754" spans="2:37" x14ac:dyDescent="0.2">
      <c r="B754">
        <f ca="1">Inputs!B12+(Inputs!D12-Inputs!B12)*BETAINV(RAND(),Model!H6,Model!I6)</f>
        <v>1.9840057595588858</v>
      </c>
      <c r="C754">
        <f ca="1">Inputs!E12+(Inputs!G12-Inputs!E12)*BETAINV(RAND(),Model!J6,Model!K6)</f>
        <v>0.33925540097256413</v>
      </c>
      <c r="D754">
        <f ca="1">(Inputs!H12+(Inputs!J12-Inputs!H12)*BETAINV(RAND(),Model!L6,Model!M6))*Inputs!$C$6</f>
        <v>39762.96265540563</v>
      </c>
      <c r="E754">
        <f t="shared" ca="1" si="231"/>
        <v>0.67308466949102641</v>
      </c>
      <c r="F754">
        <f t="shared" ca="1" si="232"/>
        <v>4.5968995834228865E-2</v>
      </c>
      <c r="G754">
        <f t="shared" ca="1" si="233"/>
        <v>0</v>
      </c>
      <c r="H754" s="47">
        <f t="shared" ca="1" si="234"/>
        <v>0</v>
      </c>
      <c r="I754">
        <f ca="1">Inputs!B13+(Inputs!D13-Inputs!B13)*BETAINV(RAND(),Model!H7,Model!I7)</f>
        <v>0.94086676114250745</v>
      </c>
      <c r="J754">
        <f ca="1">Inputs!E13+(Inputs!G13-Inputs!E13)*BETAINV(RAND(),Model!J7,Model!K7)</f>
        <v>0.31942581247037427</v>
      </c>
      <c r="K754">
        <f ca="1">(Inputs!H13+(Inputs!J13-Inputs!H13)*BETAINV(RAND(),Model!L7,Model!M7))*Inputs!$C$6</f>
        <v>22886.244597348956</v>
      </c>
      <c r="L754">
        <f t="shared" ca="1" si="235"/>
        <v>0.300537129604315</v>
      </c>
      <c r="M754">
        <f t="shared" ca="1" si="236"/>
        <v>0.71653554162887145</v>
      </c>
      <c r="N754">
        <f t="shared" ca="1" si="237"/>
        <v>0</v>
      </c>
      <c r="O754" s="47">
        <f t="shared" ca="1" si="238"/>
        <v>0</v>
      </c>
      <c r="P754">
        <f ca="1">Inputs!B14+(Inputs!D14-Inputs!B14)*BETAINV(RAND(),Model!H8,Model!I8)</f>
        <v>0.23706598786294122</v>
      </c>
      <c r="Q754">
        <f ca="1">Inputs!E14+(Inputs!G14-Inputs!E14)*BETAINV(RAND(),Model!J8,Model!K8)</f>
        <v>0.72131144421291549</v>
      </c>
      <c r="R754">
        <f ca="1">(Inputs!H14+(Inputs!J14-Inputs!H14)*BETAINV(RAND(),Model!L8,Model!M8))*Inputs!$C$6</f>
        <v>218818.87751679355</v>
      </c>
      <c r="S754">
        <f t="shared" ca="1" si="239"/>
        <v>0.17099841007917962</v>
      </c>
      <c r="T754">
        <f t="shared" ca="1" si="240"/>
        <v>0.58008503124833277</v>
      </c>
      <c r="U754">
        <f t="shared" ca="1" si="241"/>
        <v>0</v>
      </c>
      <c r="V754" s="47">
        <f t="shared" ca="1" si="242"/>
        <v>0</v>
      </c>
      <c r="W754">
        <f ca="1">Inputs!B15+(Inputs!D15-Inputs!B15)*BETAINV(RAND(),Model!H9,Model!I9)</f>
        <v>0.9757433272702416</v>
      </c>
      <c r="X754">
        <f ca="1">Inputs!E15+(Inputs!G15-Inputs!E15)*BETAINV(RAND(),Model!J9,Model!K9)</f>
        <v>0.38206423410847135</v>
      </c>
      <c r="Y754">
        <f ca="1">(Inputs!H15+(Inputs!J15-Inputs!H15)*BETAINV(RAND(),Model!L9,Model!M9))*Inputs!$C$6</f>
        <v>23375.687650940563</v>
      </c>
      <c r="Z754">
        <f t="shared" ca="1" si="243"/>
        <v>0.37279662701995636</v>
      </c>
      <c r="AA754">
        <f t="shared" ca="1" si="244"/>
        <v>0.78811187400502003</v>
      </c>
      <c r="AB754">
        <f t="shared" ca="1" si="245"/>
        <v>1</v>
      </c>
      <c r="AC754" s="47">
        <f t="shared" ca="1" si="246"/>
        <v>23375.687650940563</v>
      </c>
      <c r="AD754">
        <f ca="1">Inputs!B16+(Inputs!D16-Inputs!B16)*BETAINV(RAND(),Model!H10,Model!I10)</f>
        <v>0.9565300505414629</v>
      </c>
      <c r="AE754">
        <f ca="1">Inputs!E16+(Inputs!G16-Inputs!E16)*BETAINV(RAND(),Model!J10,Model!K10)</f>
        <v>0.63241069640633052</v>
      </c>
      <c r="AF754">
        <f ca="1">(Inputs!H16+(Inputs!J16-Inputs!H16)*BETAINV(RAND(),Model!L10,Model!M10))*Inputs!$C$6</f>
        <v>72953.2905957607</v>
      </c>
      <c r="AG754">
        <f t="shared" ca="1" si="247"/>
        <v>0.60491983539650906</v>
      </c>
      <c r="AH754">
        <f t="shared" ca="1" si="248"/>
        <v>0.62626251080435347</v>
      </c>
      <c r="AI754">
        <f t="shared" ca="1" si="249"/>
        <v>1</v>
      </c>
      <c r="AJ754" s="47">
        <f t="shared" ca="1" si="250"/>
        <v>72953.2905957607</v>
      </c>
      <c r="AK754">
        <f t="shared" ca="1" si="251"/>
        <v>96328.97824670127</v>
      </c>
    </row>
    <row r="755" spans="2:37" x14ac:dyDescent="0.2">
      <c r="B755">
        <f ca="1">Inputs!B12+(Inputs!D12-Inputs!B12)*BETAINV(RAND(),Model!H6,Model!I6)</f>
        <v>5.8653649404269732</v>
      </c>
      <c r="C755">
        <f ca="1">Inputs!E12+(Inputs!G12-Inputs!E12)*BETAINV(RAND(),Model!J6,Model!K6)</f>
        <v>0.47324598784222116</v>
      </c>
      <c r="D755">
        <f ca="1">(Inputs!H12+(Inputs!J12-Inputs!H12)*BETAINV(RAND(),Model!L6,Model!M6))*Inputs!$C$6</f>
        <v>28286.000111958816</v>
      </c>
      <c r="E755">
        <f t="shared" ca="1" si="231"/>
        <v>2.7757604252874937</v>
      </c>
      <c r="F755">
        <f t="shared" ca="1" si="232"/>
        <v>0.46443680001177912</v>
      </c>
      <c r="G755">
        <f t="shared" ca="1" si="233"/>
        <v>2</v>
      </c>
      <c r="H755" s="47">
        <f t="shared" ca="1" si="234"/>
        <v>56572.000223917632</v>
      </c>
      <c r="I755">
        <f ca="1">Inputs!B13+(Inputs!D13-Inputs!B13)*BETAINV(RAND(),Model!H7,Model!I7)</f>
        <v>1.7052607991676476</v>
      </c>
      <c r="J755">
        <f ca="1">Inputs!E13+(Inputs!G13-Inputs!E13)*BETAINV(RAND(),Model!J7,Model!K7)</f>
        <v>0.40154888535576738</v>
      </c>
      <c r="K755">
        <f ca="1">(Inputs!H13+(Inputs!J13-Inputs!H13)*BETAINV(RAND(),Model!L7,Model!M7))*Inputs!$C$6</f>
        <v>23708.060577351462</v>
      </c>
      <c r="L755">
        <f t="shared" ca="1" si="235"/>
        <v>0.68474557314665396</v>
      </c>
      <c r="M755">
        <f t="shared" ca="1" si="236"/>
        <v>6.0712927488927759E-2</v>
      </c>
      <c r="N755">
        <f t="shared" ca="1" si="237"/>
        <v>0</v>
      </c>
      <c r="O755" s="47">
        <f t="shared" ca="1" si="238"/>
        <v>0</v>
      </c>
      <c r="P755">
        <f ca="1">Inputs!B14+(Inputs!D14-Inputs!B14)*BETAINV(RAND(),Model!H8,Model!I8)</f>
        <v>0.14681347452724028</v>
      </c>
      <c r="Q755">
        <f ca="1">Inputs!E14+(Inputs!G14-Inputs!E14)*BETAINV(RAND(),Model!J8,Model!K8)</f>
        <v>0.56620092017397017</v>
      </c>
      <c r="R755">
        <f ca="1">(Inputs!H14+(Inputs!J14-Inputs!H14)*BETAINV(RAND(),Model!L8,Model!M8))*Inputs!$C$6</f>
        <v>469695.01316167222</v>
      </c>
      <c r="S755">
        <f t="shared" ca="1" si="239"/>
        <v>8.3125924371261178E-2</v>
      </c>
      <c r="T755">
        <f t="shared" ca="1" si="240"/>
        <v>0.94110531390082597</v>
      </c>
      <c r="U755">
        <f t="shared" ca="1" si="241"/>
        <v>1</v>
      </c>
      <c r="V755" s="47">
        <f t="shared" ca="1" si="242"/>
        <v>469695.01316167222</v>
      </c>
      <c r="W755">
        <f ca="1">Inputs!B15+(Inputs!D15-Inputs!B15)*BETAINV(RAND(),Model!H9,Model!I9)</f>
        <v>1.5971229618267258</v>
      </c>
      <c r="X755">
        <f ca="1">Inputs!E15+(Inputs!G15-Inputs!E15)*BETAINV(RAND(),Model!J9,Model!K9)</f>
        <v>0.28944265537333552</v>
      </c>
      <c r="Y755">
        <f ca="1">(Inputs!H15+(Inputs!J15-Inputs!H15)*BETAINV(RAND(),Model!L9,Model!M9))*Inputs!$C$6</f>
        <v>49238.160345149736</v>
      </c>
      <c r="Z755">
        <f t="shared" ca="1" si="243"/>
        <v>0.46227551102885389</v>
      </c>
      <c r="AA755">
        <f t="shared" ca="1" si="244"/>
        <v>3.1710458379866857E-2</v>
      </c>
      <c r="AB755">
        <f t="shared" ca="1" si="245"/>
        <v>0</v>
      </c>
      <c r="AC755" s="47">
        <f t="shared" ca="1" si="246"/>
        <v>0</v>
      </c>
      <c r="AD755">
        <f ca="1">Inputs!B16+(Inputs!D16-Inputs!B16)*BETAINV(RAND(),Model!H10,Model!I10)</f>
        <v>1.1584808088948193</v>
      </c>
      <c r="AE755">
        <f ca="1">Inputs!E16+(Inputs!G16-Inputs!E16)*BETAINV(RAND(),Model!J10,Model!K10)</f>
        <v>0.53152999879018981</v>
      </c>
      <c r="AF755">
        <f ca="1">(Inputs!H16+(Inputs!J16-Inputs!H16)*BETAINV(RAND(),Model!L10,Model!M10))*Inputs!$C$6</f>
        <v>64214.652006952339</v>
      </c>
      <c r="AG755">
        <f t="shared" ca="1" si="247"/>
        <v>0.61576730295032145</v>
      </c>
      <c r="AH755">
        <f t="shared" ca="1" si="248"/>
        <v>0.43027089254388795</v>
      </c>
      <c r="AI755">
        <f t="shared" ca="1" si="249"/>
        <v>0</v>
      </c>
      <c r="AJ755" s="47">
        <f t="shared" ca="1" si="250"/>
        <v>0</v>
      </c>
      <c r="AK755">
        <f t="shared" ca="1" si="251"/>
        <v>526267.01338558982</v>
      </c>
    </row>
    <row r="756" spans="2:37" x14ac:dyDescent="0.2">
      <c r="B756">
        <f ca="1">Inputs!B12+(Inputs!D12-Inputs!B12)*BETAINV(RAND(),Model!H6,Model!I6)</f>
        <v>2.7845197871269827</v>
      </c>
      <c r="C756">
        <f ca="1">Inputs!E12+(Inputs!G12-Inputs!E12)*BETAINV(RAND(),Model!J6,Model!K6)</f>
        <v>0.40622314034083151</v>
      </c>
      <c r="D756">
        <f ca="1">(Inputs!H12+(Inputs!J12-Inputs!H12)*BETAINV(RAND(),Model!L6,Model!M6))*Inputs!$C$6</f>
        <v>26245.847890720528</v>
      </c>
      <c r="E756">
        <f t="shared" ca="1" si="231"/>
        <v>1.1311363722679066</v>
      </c>
      <c r="F756">
        <f t="shared" ca="1" si="232"/>
        <v>0.81466929167132951</v>
      </c>
      <c r="G756">
        <f t="shared" ca="1" si="233"/>
        <v>2</v>
      </c>
      <c r="H756" s="47">
        <f t="shared" ca="1" si="234"/>
        <v>52491.695781441056</v>
      </c>
      <c r="I756">
        <f ca="1">Inputs!B13+(Inputs!D13-Inputs!B13)*BETAINV(RAND(),Model!H7,Model!I7)</f>
        <v>1.2267969370864664</v>
      </c>
      <c r="J756">
        <f ca="1">Inputs!E13+(Inputs!G13-Inputs!E13)*BETAINV(RAND(),Model!J7,Model!K7)</f>
        <v>0.34089579790209634</v>
      </c>
      <c r="K756">
        <f ca="1">(Inputs!H13+(Inputs!J13-Inputs!H13)*BETAINV(RAND(),Model!L7,Model!M7))*Inputs!$C$6</f>
        <v>20972.143892701253</v>
      </c>
      <c r="L756">
        <f t="shared" ca="1" si="235"/>
        <v>0.41820992073193886</v>
      </c>
      <c r="M756">
        <f t="shared" ca="1" si="236"/>
        <v>0.28729389354543966</v>
      </c>
      <c r="N756">
        <f t="shared" ca="1" si="237"/>
        <v>0</v>
      </c>
      <c r="O756" s="47">
        <f t="shared" ca="1" si="238"/>
        <v>0</v>
      </c>
      <c r="P756">
        <f ca="1">Inputs!B14+(Inputs!D14-Inputs!B14)*BETAINV(RAND(),Model!H8,Model!I8)</f>
        <v>0.21151785552295127</v>
      </c>
      <c r="Q756">
        <f ca="1">Inputs!E14+(Inputs!G14-Inputs!E14)*BETAINV(RAND(),Model!J8,Model!K8)</f>
        <v>0.67325219493477961</v>
      </c>
      <c r="R756">
        <f ca="1">(Inputs!H14+(Inputs!J14-Inputs!H14)*BETAINV(RAND(),Model!L8,Model!M8))*Inputs!$C$6</f>
        <v>223687.62729397413</v>
      </c>
      <c r="S756">
        <f t="shared" ca="1" si="239"/>
        <v>0.14240486049872453</v>
      </c>
      <c r="T756">
        <f t="shared" ca="1" si="240"/>
        <v>0.67239073958231155</v>
      </c>
      <c r="U756">
        <f t="shared" ca="1" si="241"/>
        <v>0</v>
      </c>
      <c r="V756" s="47">
        <f t="shared" ca="1" si="242"/>
        <v>0</v>
      </c>
      <c r="W756">
        <f ca="1">Inputs!B15+(Inputs!D15-Inputs!B15)*BETAINV(RAND(),Model!H9,Model!I9)</f>
        <v>0.92064724605828441</v>
      </c>
      <c r="X756">
        <f ca="1">Inputs!E15+(Inputs!G15-Inputs!E15)*BETAINV(RAND(),Model!J9,Model!K9)</f>
        <v>0.47599763651895288</v>
      </c>
      <c r="Y756">
        <f ca="1">(Inputs!H15+(Inputs!J15-Inputs!H15)*BETAINV(RAND(),Model!L9,Model!M9))*Inputs!$C$6</f>
        <v>44378.970114461052</v>
      </c>
      <c r="Z756">
        <f t="shared" ca="1" si="243"/>
        <v>0.43822591319142623</v>
      </c>
      <c r="AA756">
        <f t="shared" ca="1" si="244"/>
        <v>0.9438966125258248</v>
      </c>
      <c r="AB756">
        <f t="shared" ca="1" si="245"/>
        <v>2</v>
      </c>
      <c r="AC756" s="47">
        <f t="shared" ca="1" si="246"/>
        <v>88757.940228922103</v>
      </c>
      <c r="AD756">
        <f ca="1">Inputs!B16+(Inputs!D16-Inputs!B16)*BETAINV(RAND(),Model!H10,Model!I10)</f>
        <v>0.48270412127227619</v>
      </c>
      <c r="AE756">
        <f ca="1">Inputs!E16+(Inputs!G16-Inputs!E16)*BETAINV(RAND(),Model!J10,Model!K10)</f>
        <v>0.58506779397858211</v>
      </c>
      <c r="AF756">
        <f ca="1">(Inputs!H16+(Inputs!J16-Inputs!H16)*BETAINV(RAND(),Model!L10,Model!M10))*Inputs!$C$6</f>
        <v>160926.15336724411</v>
      </c>
      <c r="AG756">
        <f t="shared" ca="1" si="247"/>
        <v>0.28241463537714062</v>
      </c>
      <c r="AH756">
        <f t="shared" ca="1" si="248"/>
        <v>0.993966044228067</v>
      </c>
      <c r="AI756">
        <f t="shared" ca="1" si="249"/>
        <v>2</v>
      </c>
      <c r="AJ756" s="47">
        <f t="shared" ca="1" si="250"/>
        <v>321852.30673448823</v>
      </c>
      <c r="AK756">
        <f t="shared" ca="1" si="251"/>
        <v>463101.9427448514</v>
      </c>
    </row>
    <row r="757" spans="2:37" x14ac:dyDescent="0.2">
      <c r="B757">
        <f ca="1">Inputs!B12+(Inputs!D12-Inputs!B12)*BETAINV(RAND(),Model!H6,Model!I6)</f>
        <v>3.8678853790065983</v>
      </c>
      <c r="C757">
        <f ca="1">Inputs!E12+(Inputs!G12-Inputs!E12)*BETAINV(RAND(),Model!J6,Model!K6)</f>
        <v>0.22330973348539834</v>
      </c>
      <c r="D757">
        <f ca="1">(Inputs!H12+(Inputs!J12-Inputs!H12)*BETAINV(RAND(),Model!L6,Model!M6))*Inputs!$C$6</f>
        <v>38453.086766910455</v>
      </c>
      <c r="E757">
        <f t="shared" ca="1" si="231"/>
        <v>0.86373645313803249</v>
      </c>
      <c r="F757">
        <f t="shared" ca="1" si="232"/>
        <v>0.6128286009786168</v>
      </c>
      <c r="G757">
        <f t="shared" ca="1" si="233"/>
        <v>1</v>
      </c>
      <c r="H757" s="47">
        <f t="shared" ca="1" si="234"/>
        <v>38453.086766910455</v>
      </c>
      <c r="I757">
        <f ca="1">Inputs!B13+(Inputs!D13-Inputs!B13)*BETAINV(RAND(),Model!H7,Model!I7)</f>
        <v>2.1005336538928487</v>
      </c>
      <c r="J757">
        <f ca="1">Inputs!E13+(Inputs!G13-Inputs!E13)*BETAINV(RAND(),Model!J7,Model!K7)</f>
        <v>0.24977078223042481</v>
      </c>
      <c r="K757">
        <f ca="1">(Inputs!H13+(Inputs!J13-Inputs!H13)*BETAINV(RAND(),Model!L7,Model!M7))*Inputs!$C$6</f>
        <v>16363.586227185733</v>
      </c>
      <c r="L757">
        <f t="shared" ca="1" si="235"/>
        <v>0.52465193383414921</v>
      </c>
      <c r="M757">
        <f t="shared" ca="1" si="236"/>
        <v>0.37228212545213824</v>
      </c>
      <c r="N757">
        <f t="shared" ca="1" si="237"/>
        <v>0</v>
      </c>
      <c r="O757" s="47">
        <f t="shared" ca="1" si="238"/>
        <v>0</v>
      </c>
      <c r="P757">
        <f ca="1">Inputs!B14+(Inputs!D14-Inputs!B14)*BETAINV(RAND(),Model!H8,Model!I8)</f>
        <v>0.25121656955866972</v>
      </c>
      <c r="Q757">
        <f ca="1">Inputs!E14+(Inputs!G14-Inputs!E14)*BETAINV(RAND(),Model!J8,Model!K8)</f>
        <v>0.5461551986660691</v>
      </c>
      <c r="R757">
        <f ca="1">(Inputs!H14+(Inputs!J14-Inputs!H14)*BETAINV(RAND(),Model!L8,Model!M8))*Inputs!$C$6</f>
        <v>350316.53843410924</v>
      </c>
      <c r="S757">
        <f t="shared" ca="1" si="239"/>
        <v>0.13720323545552363</v>
      </c>
      <c r="T757">
        <f t="shared" ca="1" si="240"/>
        <v>0.72319144730963014</v>
      </c>
      <c r="U757">
        <f t="shared" ca="1" si="241"/>
        <v>0</v>
      </c>
      <c r="V757" s="47">
        <f t="shared" ca="1" si="242"/>
        <v>0</v>
      </c>
      <c r="W757">
        <f ca="1">Inputs!B15+(Inputs!D15-Inputs!B15)*BETAINV(RAND(),Model!H9,Model!I9)</f>
        <v>1.2585512991497585</v>
      </c>
      <c r="X757">
        <f ca="1">Inputs!E15+(Inputs!G15-Inputs!E15)*BETAINV(RAND(),Model!J9,Model!K9)</f>
        <v>0.54390151400515496</v>
      </c>
      <c r="Y757">
        <f ca="1">(Inputs!H15+(Inputs!J15-Inputs!H15)*BETAINV(RAND(),Model!L9,Model!M9))*Inputs!$C$6</f>
        <v>63214.395238775527</v>
      </c>
      <c r="Z757">
        <f t="shared" ca="1" si="243"/>
        <v>0.68452795706070835</v>
      </c>
      <c r="AA757">
        <f t="shared" ca="1" si="244"/>
        <v>0.83925117667902949</v>
      </c>
      <c r="AB757">
        <f t="shared" ca="1" si="245"/>
        <v>1</v>
      </c>
      <c r="AC757" s="47">
        <f t="shared" ca="1" si="246"/>
        <v>63214.395238775527</v>
      </c>
      <c r="AD757">
        <f ca="1">Inputs!B16+(Inputs!D16-Inputs!B16)*BETAINV(RAND(),Model!H10,Model!I10)</f>
        <v>0.36972374338725555</v>
      </c>
      <c r="AE757">
        <f ca="1">Inputs!E16+(Inputs!G16-Inputs!E16)*BETAINV(RAND(),Model!J10,Model!K10)</f>
        <v>0.66672081707732722</v>
      </c>
      <c r="AF757">
        <f ca="1">(Inputs!H16+(Inputs!J16-Inputs!H16)*BETAINV(RAND(),Model!L10,Model!M10))*Inputs!$C$6</f>
        <v>104193.61558350681</v>
      </c>
      <c r="AG757">
        <f t="shared" ca="1" si="247"/>
        <v>0.24650251628403907</v>
      </c>
      <c r="AH757">
        <f t="shared" ca="1" si="248"/>
        <v>0.81266671128219414</v>
      </c>
      <c r="AI757">
        <f t="shared" ca="1" si="249"/>
        <v>1</v>
      </c>
      <c r="AJ757" s="47">
        <f t="shared" ca="1" si="250"/>
        <v>104193.61558350681</v>
      </c>
      <c r="AK757">
        <f t="shared" ca="1" si="251"/>
        <v>205861.0975891928</v>
      </c>
    </row>
    <row r="758" spans="2:37" x14ac:dyDescent="0.2">
      <c r="B758">
        <f ca="1">Inputs!B12+(Inputs!D12-Inputs!B12)*BETAINV(RAND(),Model!H6,Model!I6)</f>
        <v>4.0733860709772705</v>
      </c>
      <c r="C758">
        <f ca="1">Inputs!E12+(Inputs!G12-Inputs!E12)*BETAINV(RAND(),Model!J6,Model!K6)</f>
        <v>0.30588746776779863</v>
      </c>
      <c r="D758">
        <f ca="1">(Inputs!H12+(Inputs!J12-Inputs!H12)*BETAINV(RAND(),Model!L6,Model!M6))*Inputs!$C$6</f>
        <v>18151.266908999813</v>
      </c>
      <c r="E758">
        <f t="shared" ca="1" si="231"/>
        <v>1.2459977504918598</v>
      </c>
      <c r="F758">
        <f t="shared" ca="1" si="232"/>
        <v>9.909422435320836E-2</v>
      </c>
      <c r="G758">
        <f t="shared" ca="1" si="233"/>
        <v>0</v>
      </c>
      <c r="H758" s="47">
        <f t="shared" ca="1" si="234"/>
        <v>0</v>
      </c>
      <c r="I758">
        <f ca="1">Inputs!B13+(Inputs!D13-Inputs!B13)*BETAINV(RAND(),Model!H7,Model!I7)</f>
        <v>1.9987412020857829</v>
      </c>
      <c r="J758">
        <f ca="1">Inputs!E13+(Inputs!G13-Inputs!E13)*BETAINV(RAND(),Model!J7,Model!K7)</f>
        <v>0.17693881427046779</v>
      </c>
      <c r="K758">
        <f ca="1">(Inputs!H13+(Inputs!J13-Inputs!H13)*BETAINV(RAND(),Model!L7,Model!M7))*Inputs!$C$6</f>
        <v>8068.7216338301769</v>
      </c>
      <c r="L758">
        <f t="shared" ca="1" si="235"/>
        <v>0.35365489833058783</v>
      </c>
      <c r="M758">
        <f t="shared" ca="1" si="236"/>
        <v>0.51339790322825929</v>
      </c>
      <c r="N758">
        <f t="shared" ca="1" si="237"/>
        <v>0</v>
      </c>
      <c r="O758" s="47">
        <f t="shared" ca="1" si="238"/>
        <v>0</v>
      </c>
      <c r="P758">
        <f ca="1">Inputs!B14+(Inputs!D14-Inputs!B14)*BETAINV(RAND(),Model!H8,Model!I8)</f>
        <v>0.1900804009328107</v>
      </c>
      <c r="Q758">
        <f ca="1">Inputs!E14+(Inputs!G14-Inputs!E14)*BETAINV(RAND(),Model!J8,Model!K8)</f>
        <v>0.81312057249211356</v>
      </c>
      <c r="R758">
        <f ca="1">(Inputs!H14+(Inputs!J14-Inputs!H14)*BETAINV(RAND(),Model!L8,Model!M8))*Inputs!$C$6</f>
        <v>486217.59181233932</v>
      </c>
      <c r="S758">
        <f t="shared" ca="1" si="239"/>
        <v>0.15455828442601752</v>
      </c>
      <c r="T758">
        <f t="shared" ca="1" si="240"/>
        <v>0.83184441003684007</v>
      </c>
      <c r="U758">
        <f t="shared" ca="1" si="241"/>
        <v>0</v>
      </c>
      <c r="V758" s="47">
        <f t="shared" ca="1" si="242"/>
        <v>0</v>
      </c>
      <c r="W758">
        <f ca="1">Inputs!B15+(Inputs!D15-Inputs!B15)*BETAINV(RAND(),Model!H9,Model!I9)</f>
        <v>1.3885697943906505</v>
      </c>
      <c r="X758">
        <f ca="1">Inputs!E15+(Inputs!G15-Inputs!E15)*BETAINV(RAND(),Model!J9,Model!K9)</f>
        <v>0.6196174523039788</v>
      </c>
      <c r="Y758">
        <f ca="1">(Inputs!H15+(Inputs!J15-Inputs!H15)*BETAINV(RAND(),Model!L9,Model!M9))*Inputs!$C$6</f>
        <v>32886.346424655858</v>
      </c>
      <c r="Z758">
        <f t="shared" ca="1" si="243"/>
        <v>0.86038207834659453</v>
      </c>
      <c r="AA758">
        <f t="shared" ca="1" si="244"/>
        <v>0.44288717788517773</v>
      </c>
      <c r="AB758">
        <f t="shared" ca="1" si="245"/>
        <v>1</v>
      </c>
      <c r="AC758" s="47">
        <f t="shared" ca="1" si="246"/>
        <v>32886.346424655858</v>
      </c>
      <c r="AD758">
        <f ca="1">Inputs!B16+(Inputs!D16-Inputs!B16)*BETAINV(RAND(),Model!H10,Model!I10)</f>
        <v>0.98489279378458017</v>
      </c>
      <c r="AE758">
        <f ca="1">Inputs!E16+(Inputs!G16-Inputs!E16)*BETAINV(RAND(),Model!J10,Model!K10)</f>
        <v>0.57386855608420817</v>
      </c>
      <c r="AF758">
        <f ca="1">(Inputs!H16+(Inputs!J16-Inputs!H16)*BETAINV(RAND(),Model!L10,Model!M10))*Inputs!$C$6</f>
        <v>89016.9905209313</v>
      </c>
      <c r="AG758">
        <f t="shared" ca="1" si="247"/>
        <v>0.56519900546689883</v>
      </c>
      <c r="AH758">
        <f t="shared" ca="1" si="248"/>
        <v>0.73125930285508778</v>
      </c>
      <c r="AI758">
        <f t="shared" ca="1" si="249"/>
        <v>1</v>
      </c>
      <c r="AJ758" s="47">
        <f t="shared" ca="1" si="250"/>
        <v>89016.9905209313</v>
      </c>
      <c r="AK758">
        <f t="shared" ca="1" si="251"/>
        <v>121903.33694558716</v>
      </c>
    </row>
    <row r="759" spans="2:37" x14ac:dyDescent="0.2">
      <c r="B759">
        <f ca="1">Inputs!B12+(Inputs!D12-Inputs!B12)*BETAINV(RAND(),Model!H6,Model!I6)</f>
        <v>4.4833505164741503</v>
      </c>
      <c r="C759">
        <f ca="1">Inputs!E12+(Inputs!G12-Inputs!E12)*BETAINV(RAND(),Model!J6,Model!K6)</f>
        <v>0.31816591267902483</v>
      </c>
      <c r="D759">
        <f ca="1">(Inputs!H12+(Inputs!J12-Inputs!H12)*BETAINV(RAND(),Model!L6,Model!M6))*Inputs!$C$6</f>
        <v>31569.246646599204</v>
      </c>
      <c r="E759">
        <f t="shared" ca="1" si="231"/>
        <v>1.4264493089339754</v>
      </c>
      <c r="F759">
        <f t="shared" ca="1" si="232"/>
        <v>0.8646503181146149</v>
      </c>
      <c r="G759">
        <f t="shared" ca="1" si="233"/>
        <v>3</v>
      </c>
      <c r="H759" s="47">
        <f t="shared" ca="1" si="234"/>
        <v>94707.739939797611</v>
      </c>
      <c r="I759">
        <f ca="1">Inputs!B13+(Inputs!D13-Inputs!B13)*BETAINV(RAND(),Model!H7,Model!I7)</f>
        <v>2.4967276716457647</v>
      </c>
      <c r="J759">
        <f ca="1">Inputs!E13+(Inputs!G13-Inputs!E13)*BETAINV(RAND(),Model!J7,Model!K7)</f>
        <v>0.28778975704680848</v>
      </c>
      <c r="K759">
        <f ca="1">(Inputs!H13+(Inputs!J13-Inputs!H13)*BETAINV(RAND(),Model!L7,Model!M7))*Inputs!$C$6</f>
        <v>64341.387676868522</v>
      </c>
      <c r="L759">
        <f t="shared" ca="1" si="235"/>
        <v>0.71853265003497846</v>
      </c>
      <c r="M759">
        <f t="shared" ca="1" si="236"/>
        <v>0.52614485863319049</v>
      </c>
      <c r="N759">
        <f t="shared" ca="1" si="237"/>
        <v>1</v>
      </c>
      <c r="O759" s="47">
        <f t="shared" ca="1" si="238"/>
        <v>64341.387676868522</v>
      </c>
      <c r="P759">
        <f ca="1">Inputs!B14+(Inputs!D14-Inputs!B14)*BETAINV(RAND(),Model!H8,Model!I8)</f>
        <v>0.39912516881462501</v>
      </c>
      <c r="Q759">
        <f ca="1">Inputs!E14+(Inputs!G14-Inputs!E14)*BETAINV(RAND(),Model!J8,Model!K8)</f>
        <v>0.52460633585425254</v>
      </c>
      <c r="R759">
        <f ca="1">(Inputs!H14+(Inputs!J14-Inputs!H14)*BETAINV(RAND(),Model!L8,Model!M8))*Inputs!$C$6</f>
        <v>357644.85333115613</v>
      </c>
      <c r="S759">
        <f t="shared" ca="1" si="239"/>
        <v>0.20938359235905041</v>
      </c>
      <c r="T759">
        <f t="shared" ca="1" si="240"/>
        <v>0.91641352422664402</v>
      </c>
      <c r="U759">
        <f t="shared" ca="1" si="241"/>
        <v>1</v>
      </c>
      <c r="V759" s="47">
        <f t="shared" ca="1" si="242"/>
        <v>357644.85333115613</v>
      </c>
      <c r="W759">
        <f ca="1">Inputs!B15+(Inputs!D15-Inputs!B15)*BETAINV(RAND(),Model!H9,Model!I9)</f>
        <v>1.4608214540022952</v>
      </c>
      <c r="X759">
        <f ca="1">Inputs!E15+(Inputs!G15-Inputs!E15)*BETAINV(RAND(),Model!J9,Model!K9)</f>
        <v>0.3702135351561967</v>
      </c>
      <c r="Y759">
        <f ca="1">(Inputs!H15+(Inputs!J15-Inputs!H15)*BETAINV(RAND(),Model!L9,Model!M9))*Inputs!$C$6</f>
        <v>45777.891671279467</v>
      </c>
      <c r="Z759">
        <f t="shared" ca="1" si="243"/>
        <v>0.54081587471820514</v>
      </c>
      <c r="AA759">
        <f t="shared" ca="1" si="244"/>
        <v>0.43773580081162144</v>
      </c>
      <c r="AB759">
        <f t="shared" ca="1" si="245"/>
        <v>0</v>
      </c>
      <c r="AC759" s="47">
        <f t="shared" ca="1" si="246"/>
        <v>0</v>
      </c>
      <c r="AD759">
        <f ca="1">Inputs!B16+(Inputs!D16-Inputs!B16)*BETAINV(RAND(),Model!H10,Model!I10)</f>
        <v>0.55191581130275902</v>
      </c>
      <c r="AE759">
        <f ca="1">Inputs!E16+(Inputs!G16-Inputs!E16)*BETAINV(RAND(),Model!J10,Model!K10)</f>
        <v>0.75504680632498178</v>
      </c>
      <c r="AF759">
        <f ca="1">(Inputs!H16+(Inputs!J16-Inputs!H16)*BETAINV(RAND(),Model!L10,Model!M10))*Inputs!$C$6</f>
        <v>67832.539578495445</v>
      </c>
      <c r="AG759">
        <f t="shared" ca="1" si="247"/>
        <v>0.41672227068440948</v>
      </c>
      <c r="AH759">
        <f t="shared" ca="1" si="248"/>
        <v>0.74548370872269376</v>
      </c>
      <c r="AI759">
        <f t="shared" ca="1" si="249"/>
        <v>1</v>
      </c>
      <c r="AJ759" s="47">
        <f t="shared" ca="1" si="250"/>
        <v>67832.539578495445</v>
      </c>
      <c r="AK759">
        <f t="shared" ca="1" si="251"/>
        <v>584526.52052631776</v>
      </c>
    </row>
    <row r="760" spans="2:37" x14ac:dyDescent="0.2">
      <c r="B760">
        <f ca="1">Inputs!B12+(Inputs!D12-Inputs!B12)*BETAINV(RAND(),Model!H6,Model!I6)</f>
        <v>4.543705353628134</v>
      </c>
      <c r="C760">
        <f ca="1">Inputs!E12+(Inputs!G12-Inputs!E12)*BETAINV(RAND(),Model!J6,Model!K6)</f>
        <v>0.42915223054985907</v>
      </c>
      <c r="D760">
        <f ca="1">(Inputs!H12+(Inputs!J12-Inputs!H12)*BETAINV(RAND(),Model!L6,Model!M6))*Inputs!$C$6</f>
        <v>15942.653042894693</v>
      </c>
      <c r="E760">
        <f t="shared" ca="1" si="231"/>
        <v>1.9499412874708499</v>
      </c>
      <c r="F760">
        <f t="shared" ca="1" si="232"/>
        <v>0.88897266265545227</v>
      </c>
      <c r="G760">
        <f t="shared" ca="1" si="233"/>
        <v>4</v>
      </c>
      <c r="H760" s="47">
        <f t="shared" ca="1" si="234"/>
        <v>63770.612171578774</v>
      </c>
      <c r="I760">
        <f ca="1">Inputs!B13+(Inputs!D13-Inputs!B13)*BETAINV(RAND(),Model!H7,Model!I7)</f>
        <v>3.0544457201298263</v>
      </c>
      <c r="J760">
        <f ca="1">Inputs!E13+(Inputs!G13-Inputs!E13)*BETAINV(RAND(),Model!J7,Model!K7)</f>
        <v>0.18935352463677418</v>
      </c>
      <c r="K760">
        <f ca="1">(Inputs!H13+(Inputs!J13-Inputs!H13)*BETAINV(RAND(),Model!L7,Model!M7))*Inputs!$C$6</f>
        <v>27572.567561051936</v>
      </c>
      <c r="L760">
        <f t="shared" ca="1" si="235"/>
        <v>0.57837006291829252</v>
      </c>
      <c r="M760">
        <f t="shared" ca="1" si="236"/>
        <v>0.33084859765000951</v>
      </c>
      <c r="N760">
        <f t="shared" ca="1" si="237"/>
        <v>0</v>
      </c>
      <c r="O760" s="47">
        <f t="shared" ca="1" si="238"/>
        <v>0</v>
      </c>
      <c r="P760">
        <f ca="1">Inputs!B14+(Inputs!D14-Inputs!B14)*BETAINV(RAND(),Model!H8,Model!I8)</f>
        <v>0.16089144978198333</v>
      </c>
      <c r="Q760">
        <f ca="1">Inputs!E14+(Inputs!G14-Inputs!E14)*BETAINV(RAND(),Model!J8,Model!K8)</f>
        <v>0.50924560816173092</v>
      </c>
      <c r="R760">
        <f ca="1">(Inputs!H14+(Inputs!J14-Inputs!H14)*BETAINV(RAND(),Model!L8,Model!M8))*Inputs!$C$6</f>
        <v>428399.45385742607</v>
      </c>
      <c r="S760">
        <f t="shared" ca="1" si="239"/>
        <v>8.1933264192248695E-2</v>
      </c>
      <c r="T760">
        <f t="shared" ca="1" si="240"/>
        <v>0.50383666180415887</v>
      </c>
      <c r="U760">
        <f t="shared" ca="1" si="241"/>
        <v>0</v>
      </c>
      <c r="V760" s="47">
        <f t="shared" ca="1" si="242"/>
        <v>0</v>
      </c>
      <c r="W760">
        <f ca="1">Inputs!B15+(Inputs!D15-Inputs!B15)*BETAINV(RAND(),Model!H9,Model!I9)</f>
        <v>1.1425882651260173</v>
      </c>
      <c r="X760">
        <f ca="1">Inputs!E15+(Inputs!G15-Inputs!E15)*BETAINV(RAND(),Model!J9,Model!K9)</f>
        <v>0.32988218654784301</v>
      </c>
      <c r="Y760">
        <f ca="1">(Inputs!H15+(Inputs!J15-Inputs!H15)*BETAINV(RAND(),Model!L9,Model!M9))*Inputs!$C$6</f>
        <v>16831.239942026106</v>
      </c>
      <c r="Z760">
        <f t="shared" ca="1" si="243"/>
        <v>0.37691951522367717</v>
      </c>
      <c r="AA760">
        <f t="shared" ca="1" si="244"/>
        <v>0.33903572584195429</v>
      </c>
      <c r="AB760">
        <f t="shared" ca="1" si="245"/>
        <v>0</v>
      </c>
      <c r="AC760" s="47">
        <f t="shared" ca="1" si="246"/>
        <v>0</v>
      </c>
      <c r="AD760">
        <f ca="1">Inputs!B16+(Inputs!D16-Inputs!B16)*BETAINV(RAND(),Model!H10,Model!I10)</f>
        <v>0.42183686024596495</v>
      </c>
      <c r="AE760">
        <f ca="1">Inputs!E16+(Inputs!G16-Inputs!E16)*BETAINV(RAND(),Model!J10,Model!K10)</f>
        <v>0.78686018261707913</v>
      </c>
      <c r="AF760">
        <f ca="1">(Inputs!H16+(Inputs!J16-Inputs!H16)*BETAINV(RAND(),Model!L10,Model!M10))*Inputs!$C$6</f>
        <v>78560.296726604662</v>
      </c>
      <c r="AG760">
        <f t="shared" ca="1" si="247"/>
        <v>0.33192662888775526</v>
      </c>
      <c r="AH760">
        <f t="shared" ca="1" si="248"/>
        <v>0.71614400233199371</v>
      </c>
      <c r="AI760">
        <f t="shared" ca="1" si="249"/>
        <v>0</v>
      </c>
      <c r="AJ760" s="47">
        <f t="shared" ca="1" si="250"/>
        <v>0</v>
      </c>
      <c r="AK760">
        <f t="shared" ca="1" si="251"/>
        <v>63770.612171578774</v>
      </c>
    </row>
    <row r="761" spans="2:37" x14ac:dyDescent="0.2">
      <c r="B761">
        <f ca="1">Inputs!B12+(Inputs!D12-Inputs!B12)*BETAINV(RAND(),Model!H6,Model!I6)</f>
        <v>3.18877966137938</v>
      </c>
      <c r="C761">
        <f ca="1">Inputs!E12+(Inputs!G12-Inputs!E12)*BETAINV(RAND(),Model!J6,Model!K6)</f>
        <v>0.43037072770202089</v>
      </c>
      <c r="D761">
        <f ca="1">(Inputs!H12+(Inputs!J12-Inputs!H12)*BETAINV(RAND(),Model!L6,Model!M6))*Inputs!$C$6</f>
        <v>25410.374072582104</v>
      </c>
      <c r="E761">
        <f t="shared" ca="1" si="231"/>
        <v>1.3723574233492475</v>
      </c>
      <c r="F761">
        <f t="shared" ca="1" si="232"/>
        <v>0.94872831944620695</v>
      </c>
      <c r="G761">
        <f t="shared" ca="1" si="233"/>
        <v>3</v>
      </c>
      <c r="H761" s="47">
        <f t="shared" ca="1" si="234"/>
        <v>76231.122217746306</v>
      </c>
      <c r="I761">
        <f ca="1">Inputs!B13+(Inputs!D13-Inputs!B13)*BETAINV(RAND(),Model!H7,Model!I7)</f>
        <v>2.1099232577889824</v>
      </c>
      <c r="J761">
        <f ca="1">Inputs!E13+(Inputs!G13-Inputs!E13)*BETAINV(RAND(),Model!J7,Model!K7)</f>
        <v>0.24708712607403144</v>
      </c>
      <c r="K761">
        <f ca="1">(Inputs!H13+(Inputs!J13-Inputs!H13)*BETAINV(RAND(),Model!L7,Model!M7))*Inputs!$C$6</f>
        <v>21659.223651275966</v>
      </c>
      <c r="L761">
        <f t="shared" ca="1" si="235"/>
        <v>0.52133487400383738</v>
      </c>
      <c r="M761">
        <f t="shared" ca="1" si="236"/>
        <v>0.99918437110232827</v>
      </c>
      <c r="N761">
        <f t="shared" ca="1" si="237"/>
        <v>4</v>
      </c>
      <c r="O761" s="47">
        <f t="shared" ca="1" si="238"/>
        <v>86636.894605103866</v>
      </c>
      <c r="P761">
        <f ca="1">Inputs!B14+(Inputs!D14-Inputs!B14)*BETAINV(RAND(),Model!H8,Model!I8)</f>
        <v>0.28637338623782493</v>
      </c>
      <c r="Q761">
        <f ca="1">Inputs!E14+(Inputs!G14-Inputs!E14)*BETAINV(RAND(),Model!J8,Model!K8)</f>
        <v>0.41882808548922401</v>
      </c>
      <c r="R761">
        <f ca="1">(Inputs!H14+(Inputs!J14-Inputs!H14)*BETAINV(RAND(),Model!L8,Model!M8))*Inputs!$C$6</f>
        <v>450462.14310956059</v>
      </c>
      <c r="S761">
        <f t="shared" ca="1" si="239"/>
        <v>0.1199412170930543</v>
      </c>
      <c r="T761">
        <f t="shared" ca="1" si="240"/>
        <v>0.76990437169073644</v>
      </c>
      <c r="U761">
        <f t="shared" ca="1" si="241"/>
        <v>0</v>
      </c>
      <c r="V761" s="47">
        <f t="shared" ca="1" si="242"/>
        <v>0</v>
      </c>
      <c r="W761">
        <f ca="1">Inputs!B15+(Inputs!D15-Inputs!B15)*BETAINV(RAND(),Model!H9,Model!I9)</f>
        <v>1.5494496471905996</v>
      </c>
      <c r="X761">
        <f ca="1">Inputs!E15+(Inputs!G15-Inputs!E15)*BETAINV(RAND(),Model!J9,Model!K9)</f>
        <v>0.46723062235173224</v>
      </c>
      <c r="Y761">
        <f ca="1">(Inputs!H15+(Inputs!J15-Inputs!H15)*BETAINV(RAND(),Model!L9,Model!M9))*Inputs!$C$6</f>
        <v>55592.533381878238</v>
      </c>
      <c r="Z761">
        <f t="shared" ca="1" si="243"/>
        <v>0.72395032295953576</v>
      </c>
      <c r="AA761">
        <f t="shared" ca="1" si="244"/>
        <v>0.62367466290343909</v>
      </c>
      <c r="AB761">
        <f t="shared" ca="1" si="245"/>
        <v>1</v>
      </c>
      <c r="AC761" s="47">
        <f t="shared" ca="1" si="246"/>
        <v>55592.533381878238</v>
      </c>
      <c r="AD761">
        <f ca="1">Inputs!B16+(Inputs!D16-Inputs!B16)*BETAINV(RAND(),Model!H10,Model!I10)</f>
        <v>0.44944122253116414</v>
      </c>
      <c r="AE761">
        <f ca="1">Inputs!E16+(Inputs!G16-Inputs!E16)*BETAINV(RAND(),Model!J10,Model!K10)</f>
        <v>0.6486976904349655</v>
      </c>
      <c r="AF761">
        <f ca="1">(Inputs!H16+(Inputs!J16-Inputs!H16)*BETAINV(RAND(),Model!L10,Model!M10))*Inputs!$C$6</f>
        <v>58308.343674098032</v>
      </c>
      <c r="AG761">
        <f t="shared" ca="1" si="247"/>
        <v>0.29155148304223355</v>
      </c>
      <c r="AH761">
        <f t="shared" ca="1" si="248"/>
        <v>0.48808969081388986</v>
      </c>
      <c r="AI761">
        <f t="shared" ca="1" si="249"/>
        <v>0</v>
      </c>
      <c r="AJ761" s="47">
        <f t="shared" ca="1" si="250"/>
        <v>0</v>
      </c>
      <c r="AK761">
        <f t="shared" ca="1" si="251"/>
        <v>218460.55020472838</v>
      </c>
    </row>
    <row r="762" spans="2:37" x14ac:dyDescent="0.2">
      <c r="B762">
        <f ca="1">Inputs!B12+(Inputs!D12-Inputs!B12)*BETAINV(RAND(),Model!H6,Model!I6)</f>
        <v>3.5991783271060029</v>
      </c>
      <c r="C762">
        <f ca="1">Inputs!E12+(Inputs!G12-Inputs!E12)*BETAINV(RAND(),Model!J6,Model!K6)</f>
        <v>0.2943298988623701</v>
      </c>
      <c r="D762">
        <f ca="1">(Inputs!H12+(Inputs!J12-Inputs!H12)*BETAINV(RAND(),Model!L6,Model!M6))*Inputs!$C$6</f>
        <v>17974.71184416319</v>
      </c>
      <c r="E762">
        <f t="shared" ca="1" si="231"/>
        <v>1.0593457930047443</v>
      </c>
      <c r="F762">
        <f t="shared" ca="1" si="232"/>
        <v>0.77471417906166073</v>
      </c>
      <c r="G762">
        <f t="shared" ca="1" si="233"/>
        <v>2</v>
      </c>
      <c r="H762" s="47">
        <f t="shared" ca="1" si="234"/>
        <v>35949.42368832638</v>
      </c>
      <c r="I762">
        <f ca="1">Inputs!B13+(Inputs!D13-Inputs!B13)*BETAINV(RAND(),Model!H7,Model!I7)</f>
        <v>3.1119065490501567</v>
      </c>
      <c r="J762">
        <f ca="1">Inputs!E13+(Inputs!G13-Inputs!E13)*BETAINV(RAND(),Model!J7,Model!K7)</f>
        <v>0.23171519070983085</v>
      </c>
      <c r="K762">
        <f ca="1">(Inputs!H13+(Inputs!J13-Inputs!H13)*BETAINV(RAND(),Model!L7,Model!M7))*Inputs!$C$6</f>
        <v>37627.099680039435</v>
      </c>
      <c r="L762">
        <f t="shared" ca="1" si="235"/>
        <v>0.72107601948432865</v>
      </c>
      <c r="M762">
        <f t="shared" ca="1" si="236"/>
        <v>0.38471880205626741</v>
      </c>
      <c r="N762">
        <f t="shared" ca="1" si="237"/>
        <v>0</v>
      </c>
      <c r="O762" s="47">
        <f t="shared" ca="1" si="238"/>
        <v>0</v>
      </c>
      <c r="P762">
        <f ca="1">Inputs!B14+(Inputs!D14-Inputs!B14)*BETAINV(RAND(),Model!H8,Model!I8)</f>
        <v>0.5921554875953059</v>
      </c>
      <c r="Q762">
        <f ca="1">Inputs!E14+(Inputs!G14-Inputs!E14)*BETAINV(RAND(),Model!J8,Model!K8)</f>
        <v>0.56969071718837527</v>
      </c>
      <c r="R762">
        <f ca="1">(Inputs!H14+(Inputs!J14-Inputs!H14)*BETAINV(RAND(),Model!L8,Model!M8))*Inputs!$C$6</f>
        <v>302222.61223129672</v>
      </c>
      <c r="S762">
        <f t="shared" ca="1" si="239"/>
        <v>0.33734548441520185</v>
      </c>
      <c r="T762">
        <f t="shared" ca="1" si="240"/>
        <v>0.27743655058338201</v>
      </c>
      <c r="U762">
        <f t="shared" ca="1" si="241"/>
        <v>0</v>
      </c>
      <c r="V762" s="47">
        <f t="shared" ca="1" si="242"/>
        <v>0</v>
      </c>
      <c r="W762">
        <f ca="1">Inputs!B15+(Inputs!D15-Inputs!B15)*BETAINV(RAND(),Model!H9,Model!I9)</f>
        <v>1.2161825983651775</v>
      </c>
      <c r="X762">
        <f ca="1">Inputs!E15+(Inputs!G15-Inputs!E15)*BETAINV(RAND(),Model!J9,Model!K9)</f>
        <v>0.48834187764049536</v>
      </c>
      <c r="Y762">
        <f ca="1">(Inputs!H15+(Inputs!J15-Inputs!H15)*BETAINV(RAND(),Model!L9,Model!M9))*Inputs!$C$6</f>
        <v>12820.091620435405</v>
      </c>
      <c r="Z762">
        <f t="shared" ca="1" si="243"/>
        <v>0.59391289363934718</v>
      </c>
      <c r="AA762">
        <f t="shared" ca="1" si="244"/>
        <v>0.7930431528369033</v>
      </c>
      <c r="AB762">
        <f t="shared" ca="1" si="245"/>
        <v>1</v>
      </c>
      <c r="AC762" s="47">
        <f t="shared" ca="1" si="246"/>
        <v>12820.091620435405</v>
      </c>
      <c r="AD762">
        <f ca="1">Inputs!B16+(Inputs!D16-Inputs!B16)*BETAINV(RAND(),Model!H10,Model!I10)</f>
        <v>0.5034389568556964</v>
      </c>
      <c r="AE762">
        <f ca="1">Inputs!E16+(Inputs!G16-Inputs!E16)*BETAINV(RAND(),Model!J10,Model!K10)</f>
        <v>0.48518929871918604</v>
      </c>
      <c r="AF762">
        <f ca="1">(Inputs!H16+(Inputs!J16-Inputs!H16)*BETAINV(RAND(),Model!L10,Model!M10))*Inputs!$C$6</f>
        <v>111821.40413251762</v>
      </c>
      <c r="AG762">
        <f t="shared" ca="1" si="247"/>
        <v>0.24426319442473388</v>
      </c>
      <c r="AH762">
        <f t="shared" ca="1" si="248"/>
        <v>0.97407106832475743</v>
      </c>
      <c r="AI762">
        <f t="shared" ca="1" si="249"/>
        <v>1</v>
      </c>
      <c r="AJ762" s="47">
        <f t="shared" ca="1" si="250"/>
        <v>111821.40413251762</v>
      </c>
      <c r="AK762">
        <f t="shared" ca="1" si="251"/>
        <v>160590.9194412794</v>
      </c>
    </row>
    <row r="763" spans="2:37" x14ac:dyDescent="0.2">
      <c r="B763">
        <f ca="1">Inputs!B12+(Inputs!D12-Inputs!B12)*BETAINV(RAND(),Model!H6,Model!I6)</f>
        <v>3.1018525508683372</v>
      </c>
      <c r="C763">
        <f ca="1">Inputs!E12+(Inputs!G12-Inputs!E12)*BETAINV(RAND(),Model!J6,Model!K6)</f>
        <v>0.19617218252106913</v>
      </c>
      <c r="D763">
        <f ca="1">(Inputs!H12+(Inputs!J12-Inputs!H12)*BETAINV(RAND(),Model!L6,Model!M6))*Inputs!$C$6</f>
        <v>23115.175694185546</v>
      </c>
      <c r="E763">
        <f t="shared" ca="1" si="231"/>
        <v>0.60849718476238734</v>
      </c>
      <c r="F763">
        <f t="shared" ca="1" si="232"/>
        <v>0.75106197957747944</v>
      </c>
      <c r="G763">
        <f t="shared" ca="1" si="233"/>
        <v>1</v>
      </c>
      <c r="H763" s="47">
        <f t="shared" ca="1" si="234"/>
        <v>23115.175694185546</v>
      </c>
      <c r="I763">
        <f ca="1">Inputs!B13+(Inputs!D13-Inputs!B13)*BETAINV(RAND(),Model!H7,Model!I7)</f>
        <v>4.0358598118354134</v>
      </c>
      <c r="J763">
        <f ca="1">Inputs!E13+(Inputs!G13-Inputs!E13)*BETAINV(RAND(),Model!J7,Model!K7)</f>
        <v>0.36753111799240956</v>
      </c>
      <c r="K763">
        <f ca="1">(Inputs!H13+(Inputs!J13-Inputs!H13)*BETAINV(RAND(),Model!L7,Model!M7))*Inputs!$C$6</f>
        <v>32680.142230532485</v>
      </c>
      <c r="L763">
        <f t="shared" ca="1" si="235"/>
        <v>1.4833040687045052</v>
      </c>
      <c r="M763">
        <f t="shared" ca="1" si="236"/>
        <v>0.20303579981476749</v>
      </c>
      <c r="N763">
        <f t="shared" ca="1" si="237"/>
        <v>0</v>
      </c>
      <c r="O763" s="47">
        <f t="shared" ca="1" si="238"/>
        <v>0</v>
      </c>
      <c r="P763">
        <f ca="1">Inputs!B14+(Inputs!D14-Inputs!B14)*BETAINV(RAND(),Model!H8,Model!I8)</f>
        <v>0.33717035844238663</v>
      </c>
      <c r="Q763">
        <f ca="1">Inputs!E14+(Inputs!G14-Inputs!E14)*BETAINV(RAND(),Model!J8,Model!K8)</f>
        <v>0.48632686619715282</v>
      </c>
      <c r="R763">
        <f ca="1">(Inputs!H14+(Inputs!J14-Inputs!H14)*BETAINV(RAND(),Model!L8,Model!M8))*Inputs!$C$6</f>
        <v>520082.60675003903</v>
      </c>
      <c r="S763">
        <f t="shared" ca="1" si="239"/>
        <v>0.16397500379585661</v>
      </c>
      <c r="T763">
        <f t="shared" ca="1" si="240"/>
        <v>0.85713472982105099</v>
      </c>
      <c r="U763">
        <f t="shared" ca="1" si="241"/>
        <v>1</v>
      </c>
      <c r="V763" s="47">
        <f t="shared" ca="1" si="242"/>
        <v>520082.60675003903</v>
      </c>
      <c r="W763">
        <f ca="1">Inputs!B15+(Inputs!D15-Inputs!B15)*BETAINV(RAND(),Model!H9,Model!I9)</f>
        <v>0.77012345123208448</v>
      </c>
      <c r="X763">
        <f ca="1">Inputs!E15+(Inputs!G15-Inputs!E15)*BETAINV(RAND(),Model!J9,Model!K9)</f>
        <v>0.46354535642732042</v>
      </c>
      <c r="Y763">
        <f ca="1">(Inputs!H15+(Inputs!J15-Inputs!H15)*BETAINV(RAND(),Model!L9,Model!M9))*Inputs!$C$6</f>
        <v>14325.750764237997</v>
      </c>
      <c r="Z763">
        <f t="shared" ca="1" si="243"/>
        <v>0.3569871496944147</v>
      </c>
      <c r="AA763">
        <f t="shared" ca="1" si="244"/>
        <v>3.4758879633534634E-2</v>
      </c>
      <c r="AB763">
        <f t="shared" ca="1" si="245"/>
        <v>0</v>
      </c>
      <c r="AC763" s="47">
        <f t="shared" ca="1" si="246"/>
        <v>0</v>
      </c>
      <c r="AD763">
        <f ca="1">Inputs!B16+(Inputs!D16-Inputs!B16)*BETAINV(RAND(),Model!H10,Model!I10)</f>
        <v>0.67999449911298804</v>
      </c>
      <c r="AE763">
        <f ca="1">Inputs!E16+(Inputs!G16-Inputs!E16)*BETAINV(RAND(),Model!J10,Model!K10)</f>
        <v>0.67997076271787149</v>
      </c>
      <c r="AF763">
        <f ca="1">(Inputs!H16+(Inputs!J16-Inputs!H16)*BETAINV(RAND(),Model!L10,Model!M10))*Inputs!$C$6</f>
        <v>69183.039971934835</v>
      </c>
      <c r="AG763">
        <f t="shared" ca="1" si="247"/>
        <v>0.46237637820581545</v>
      </c>
      <c r="AH763">
        <f t="shared" ca="1" si="248"/>
        <v>0.8101339712037704</v>
      </c>
      <c r="AI763">
        <f t="shared" ca="1" si="249"/>
        <v>1</v>
      </c>
      <c r="AJ763" s="47">
        <f t="shared" ca="1" si="250"/>
        <v>69183.039971934835</v>
      </c>
      <c r="AK763">
        <f t="shared" ca="1" si="251"/>
        <v>612380.82241615944</v>
      </c>
    </row>
    <row r="764" spans="2:37" x14ac:dyDescent="0.2">
      <c r="B764">
        <f ca="1">Inputs!B12+(Inputs!D12-Inputs!B12)*BETAINV(RAND(),Model!H6,Model!I6)</f>
        <v>5.5445741083510036</v>
      </c>
      <c r="C764">
        <f ca="1">Inputs!E12+(Inputs!G12-Inputs!E12)*BETAINV(RAND(),Model!J6,Model!K6)</f>
        <v>0.28178794779601302</v>
      </c>
      <c r="D764">
        <f ca="1">(Inputs!H12+(Inputs!J12-Inputs!H12)*BETAINV(RAND(),Model!L6,Model!M6))*Inputs!$C$6</f>
        <v>40744.432153273046</v>
      </c>
      <c r="E764">
        <f t="shared" ca="1" si="231"/>
        <v>1.562394159395138</v>
      </c>
      <c r="F764">
        <f t="shared" ca="1" si="232"/>
        <v>0.60606374948522868</v>
      </c>
      <c r="G764">
        <f t="shared" ca="1" si="233"/>
        <v>2</v>
      </c>
      <c r="H764" s="47">
        <f t="shared" ca="1" si="234"/>
        <v>81488.864306546093</v>
      </c>
      <c r="I764">
        <f ca="1">Inputs!B13+(Inputs!D13-Inputs!B13)*BETAINV(RAND(),Model!H7,Model!I7)</f>
        <v>1.113939356068308</v>
      </c>
      <c r="J764">
        <f ca="1">Inputs!E13+(Inputs!G13-Inputs!E13)*BETAINV(RAND(),Model!J7,Model!K7)</f>
        <v>0.2202922728408761</v>
      </c>
      <c r="K764">
        <f ca="1">(Inputs!H13+(Inputs!J13-Inputs!H13)*BETAINV(RAND(),Model!L7,Model!M7))*Inputs!$C$6</f>
        <v>27288.193377676507</v>
      </c>
      <c r="L764">
        <f t="shared" ca="1" si="235"/>
        <v>0.24539223255518952</v>
      </c>
      <c r="M764">
        <f t="shared" ca="1" si="236"/>
        <v>6.4508144195275507E-2</v>
      </c>
      <c r="N764">
        <f t="shared" ca="1" si="237"/>
        <v>0</v>
      </c>
      <c r="O764" s="47">
        <f t="shared" ca="1" si="238"/>
        <v>0</v>
      </c>
      <c r="P764">
        <f ca="1">Inputs!B14+(Inputs!D14-Inputs!B14)*BETAINV(RAND(),Model!H8,Model!I8)</f>
        <v>0.22063781642537011</v>
      </c>
      <c r="Q764">
        <f ca="1">Inputs!E14+(Inputs!G14-Inputs!E14)*BETAINV(RAND(),Model!J8,Model!K8)</f>
        <v>0.6081076944335545</v>
      </c>
      <c r="R764">
        <f ca="1">(Inputs!H14+(Inputs!J14-Inputs!H14)*BETAINV(RAND(),Model!L8,Model!M8))*Inputs!$C$6</f>
        <v>472358.57756244554</v>
      </c>
      <c r="S764">
        <f t="shared" ca="1" si="239"/>
        <v>0.13417155385128565</v>
      </c>
      <c r="T764">
        <f t="shared" ca="1" si="240"/>
        <v>0.2604532003164729</v>
      </c>
      <c r="U764">
        <f t="shared" ca="1" si="241"/>
        <v>0</v>
      </c>
      <c r="V764" s="47">
        <f t="shared" ca="1" si="242"/>
        <v>0</v>
      </c>
      <c r="W764">
        <f ca="1">Inputs!B15+(Inputs!D15-Inputs!B15)*BETAINV(RAND(),Model!H9,Model!I9)</f>
        <v>0.9144620567335553</v>
      </c>
      <c r="X764">
        <f ca="1">Inputs!E15+(Inputs!G15-Inputs!E15)*BETAINV(RAND(),Model!J9,Model!K9)</f>
        <v>0.48416429441202047</v>
      </c>
      <c r="Y764">
        <f ca="1">(Inputs!H15+(Inputs!J15-Inputs!H15)*BETAINV(RAND(),Model!L9,Model!M9))*Inputs!$C$6</f>
        <v>42394.445239183682</v>
      </c>
      <c r="Z764">
        <f t="shared" ca="1" si="243"/>
        <v>0.44274987646496683</v>
      </c>
      <c r="AA764">
        <f t="shared" ca="1" si="244"/>
        <v>0.31079360184634397</v>
      </c>
      <c r="AB764">
        <f t="shared" ca="1" si="245"/>
        <v>0</v>
      </c>
      <c r="AC764" s="47">
        <f t="shared" ca="1" si="246"/>
        <v>0</v>
      </c>
      <c r="AD764">
        <f ca="1">Inputs!B16+(Inputs!D16-Inputs!B16)*BETAINV(RAND(),Model!H10,Model!I10)</f>
        <v>0.94416242565176156</v>
      </c>
      <c r="AE764">
        <f ca="1">Inputs!E16+(Inputs!G16-Inputs!E16)*BETAINV(RAND(),Model!J10,Model!K10)</f>
        <v>0.63186441024338624</v>
      </c>
      <c r="AF764">
        <f ca="1">(Inputs!H16+(Inputs!J16-Inputs!H16)*BETAINV(RAND(),Model!L10,Model!M10))*Inputs!$C$6</f>
        <v>101339.65938145205</v>
      </c>
      <c r="AG764">
        <f t="shared" ca="1" si="247"/>
        <v>0.59658263425841529</v>
      </c>
      <c r="AH764">
        <f t="shared" ca="1" si="248"/>
        <v>0.42905993433054823</v>
      </c>
      <c r="AI764">
        <f t="shared" ca="1" si="249"/>
        <v>0</v>
      </c>
      <c r="AJ764" s="47">
        <f t="shared" ca="1" si="250"/>
        <v>0</v>
      </c>
      <c r="AK764">
        <f t="shared" ca="1" si="251"/>
        <v>81488.864306546093</v>
      </c>
    </row>
    <row r="765" spans="2:37" x14ac:dyDescent="0.2">
      <c r="B765">
        <f ca="1">Inputs!B12+(Inputs!D12-Inputs!B12)*BETAINV(RAND(),Model!H6,Model!I6)</f>
        <v>2.5924773773808543</v>
      </c>
      <c r="C765">
        <f ca="1">Inputs!E12+(Inputs!G12-Inputs!E12)*BETAINV(RAND(),Model!J6,Model!K6)</f>
        <v>0.26357724530089144</v>
      </c>
      <c r="D765">
        <f ca="1">(Inputs!H12+(Inputs!J12-Inputs!H12)*BETAINV(RAND(),Model!L6,Model!M6))*Inputs!$C$6</f>
        <v>29952.425476168475</v>
      </c>
      <c r="E765">
        <f t="shared" ca="1" si="231"/>
        <v>0.68331804563492515</v>
      </c>
      <c r="F765">
        <f t="shared" ca="1" si="232"/>
        <v>0.26955814469421902</v>
      </c>
      <c r="G765">
        <f t="shared" ca="1" si="233"/>
        <v>0</v>
      </c>
      <c r="H765" s="47">
        <f t="shared" ca="1" si="234"/>
        <v>0</v>
      </c>
      <c r="I765">
        <f ca="1">Inputs!B13+(Inputs!D13-Inputs!B13)*BETAINV(RAND(),Model!H7,Model!I7)</f>
        <v>1.7650498140846456</v>
      </c>
      <c r="J765">
        <f ca="1">Inputs!E13+(Inputs!G13-Inputs!E13)*BETAINV(RAND(),Model!J7,Model!K7)</f>
        <v>0.15464920956570932</v>
      </c>
      <c r="K765">
        <f ca="1">(Inputs!H13+(Inputs!J13-Inputs!H13)*BETAINV(RAND(),Model!L7,Model!M7))*Inputs!$C$6</f>
        <v>22328.978178744677</v>
      </c>
      <c r="L765">
        <f t="shared" ca="1" si="235"/>
        <v>0.27296355859229265</v>
      </c>
      <c r="M765">
        <f t="shared" ca="1" si="236"/>
        <v>0.50726869766676763</v>
      </c>
      <c r="N765">
        <f t="shared" ca="1" si="237"/>
        <v>0</v>
      </c>
      <c r="O765" s="47">
        <f t="shared" ca="1" si="238"/>
        <v>0</v>
      </c>
      <c r="P765">
        <f ca="1">Inputs!B14+(Inputs!D14-Inputs!B14)*BETAINV(RAND(),Model!H8,Model!I8)</f>
        <v>0.27845469246023791</v>
      </c>
      <c r="Q765">
        <f ca="1">Inputs!E14+(Inputs!G14-Inputs!E14)*BETAINV(RAND(),Model!J8,Model!K8)</f>
        <v>0.72586708418552859</v>
      </c>
      <c r="R765">
        <f ca="1">(Inputs!H14+(Inputs!J14-Inputs!H14)*BETAINV(RAND(),Model!L8,Model!M8))*Inputs!$C$6</f>
        <v>324293.00149022898</v>
      </c>
      <c r="S765">
        <f t="shared" ca="1" si="239"/>
        <v>0.20212109569389097</v>
      </c>
      <c r="T765">
        <f t="shared" ca="1" si="240"/>
        <v>2.9904067867291939E-2</v>
      </c>
      <c r="U765">
        <f t="shared" ca="1" si="241"/>
        <v>0</v>
      </c>
      <c r="V765" s="47">
        <f t="shared" ca="1" si="242"/>
        <v>0</v>
      </c>
      <c r="W765">
        <f ca="1">Inputs!B15+(Inputs!D15-Inputs!B15)*BETAINV(RAND(),Model!H9,Model!I9)</f>
        <v>1.151388475647676</v>
      </c>
      <c r="X765">
        <f ca="1">Inputs!E15+(Inputs!G15-Inputs!E15)*BETAINV(RAND(),Model!J9,Model!K9)</f>
        <v>0.35825634187684152</v>
      </c>
      <c r="Y765">
        <f ca="1">(Inputs!H15+(Inputs!J15-Inputs!H15)*BETAINV(RAND(),Model!L9,Model!M9))*Inputs!$C$6</f>
        <v>35025.693282052482</v>
      </c>
      <c r="Z765">
        <f t="shared" ca="1" si="243"/>
        <v>0.41249222336468921</v>
      </c>
      <c r="AA765">
        <f t="shared" ca="1" si="244"/>
        <v>0.76555820808984087</v>
      </c>
      <c r="AB765">
        <f t="shared" ca="1" si="245"/>
        <v>1</v>
      </c>
      <c r="AC765" s="47">
        <f t="shared" ca="1" si="246"/>
        <v>35025.693282052482</v>
      </c>
      <c r="AD765">
        <f ca="1">Inputs!B16+(Inputs!D16-Inputs!B16)*BETAINV(RAND(),Model!H10,Model!I10)</f>
        <v>0.69225739955113141</v>
      </c>
      <c r="AE765">
        <f ca="1">Inputs!E16+(Inputs!G16-Inputs!E16)*BETAINV(RAND(),Model!J10,Model!K10)</f>
        <v>0.63291665941440045</v>
      </c>
      <c r="AF765">
        <f ca="1">(Inputs!H16+(Inputs!J16-Inputs!H16)*BETAINV(RAND(),Model!L10,Model!M10))*Inputs!$C$6</f>
        <v>78687.404394252924</v>
      </c>
      <c r="AG765">
        <f t="shared" ca="1" si="247"/>
        <v>0.43814124077880195</v>
      </c>
      <c r="AH765">
        <f t="shared" ca="1" si="248"/>
        <v>0.64770842955703101</v>
      </c>
      <c r="AI765">
        <f t="shared" ca="1" si="249"/>
        <v>1</v>
      </c>
      <c r="AJ765" s="47">
        <f t="shared" ca="1" si="250"/>
        <v>78687.404394252924</v>
      </c>
      <c r="AK765">
        <f t="shared" ca="1" si="251"/>
        <v>113713.09767630541</v>
      </c>
    </row>
    <row r="766" spans="2:37" x14ac:dyDescent="0.2">
      <c r="B766">
        <f ca="1">Inputs!B12+(Inputs!D12-Inputs!B12)*BETAINV(RAND(),Model!H6,Model!I6)</f>
        <v>4.1250300419513524</v>
      </c>
      <c r="C766">
        <f ca="1">Inputs!E12+(Inputs!G12-Inputs!E12)*BETAINV(RAND(),Model!J6,Model!K6)</f>
        <v>0.43171923573603543</v>
      </c>
      <c r="D766">
        <f ca="1">(Inputs!H12+(Inputs!J12-Inputs!H12)*BETAINV(RAND(),Model!L6,Model!M6))*Inputs!$C$6</f>
        <v>18194.975947224237</v>
      </c>
      <c r="E766">
        <f t="shared" ca="1" si="231"/>
        <v>1.7808548170994241</v>
      </c>
      <c r="F766">
        <f t="shared" ca="1" si="232"/>
        <v>0.76992030236816777</v>
      </c>
      <c r="G766">
        <f t="shared" ca="1" si="233"/>
        <v>3</v>
      </c>
      <c r="H766" s="47">
        <f t="shared" ca="1" si="234"/>
        <v>54584.92784167271</v>
      </c>
      <c r="I766">
        <f ca="1">Inputs!B13+(Inputs!D13-Inputs!B13)*BETAINV(RAND(),Model!H7,Model!I7)</f>
        <v>1.6776587826090563</v>
      </c>
      <c r="J766">
        <f ca="1">Inputs!E13+(Inputs!G13-Inputs!E13)*BETAINV(RAND(),Model!J7,Model!K7)</f>
        <v>0.30916148547960198</v>
      </c>
      <c r="K766">
        <f ca="1">(Inputs!H13+(Inputs!J13-Inputs!H13)*BETAINV(RAND(),Model!L7,Model!M7))*Inputs!$C$6</f>
        <v>34785.389951850288</v>
      </c>
      <c r="L766">
        <f t="shared" ca="1" si="235"/>
        <v>0.51866748135931651</v>
      </c>
      <c r="M766">
        <f t="shared" ca="1" si="236"/>
        <v>0.38974766520744808</v>
      </c>
      <c r="N766">
        <f t="shared" ca="1" si="237"/>
        <v>0</v>
      </c>
      <c r="O766" s="47">
        <f t="shared" ca="1" si="238"/>
        <v>0</v>
      </c>
      <c r="P766">
        <f ca="1">Inputs!B14+(Inputs!D14-Inputs!B14)*BETAINV(RAND(),Model!H8,Model!I8)</f>
        <v>0.23974810334598015</v>
      </c>
      <c r="Q766">
        <f ca="1">Inputs!E14+(Inputs!G14-Inputs!E14)*BETAINV(RAND(),Model!J8,Model!K8)</f>
        <v>0.57821496193722521</v>
      </c>
      <c r="R766">
        <f ca="1">(Inputs!H14+(Inputs!J14-Inputs!H14)*BETAINV(RAND(),Model!L8,Model!M8))*Inputs!$C$6</f>
        <v>414548.36675668549</v>
      </c>
      <c r="S766">
        <f t="shared" ca="1" si="239"/>
        <v>0.13862594045071785</v>
      </c>
      <c r="T766">
        <f t="shared" ca="1" si="240"/>
        <v>0.89339062202858155</v>
      </c>
      <c r="U766">
        <f t="shared" ca="1" si="241"/>
        <v>1</v>
      </c>
      <c r="V766" s="47">
        <f t="shared" ca="1" si="242"/>
        <v>414548.36675668549</v>
      </c>
      <c r="W766">
        <f ca="1">Inputs!B15+(Inputs!D15-Inputs!B15)*BETAINV(RAND(),Model!H9,Model!I9)</f>
        <v>1.5127259920180718</v>
      </c>
      <c r="X766">
        <f ca="1">Inputs!E15+(Inputs!G15-Inputs!E15)*BETAINV(RAND(),Model!J9,Model!K9)</f>
        <v>0.30194929529972758</v>
      </c>
      <c r="Y766">
        <f ca="1">(Inputs!H15+(Inputs!J15-Inputs!H15)*BETAINV(RAND(),Model!L9,Model!M9))*Inputs!$C$6</f>
        <v>30865.093803177489</v>
      </c>
      <c r="Z766">
        <f t="shared" ca="1" si="243"/>
        <v>0.45676654727143812</v>
      </c>
      <c r="AA766">
        <f t="shared" ca="1" si="244"/>
        <v>0.32089861862913105</v>
      </c>
      <c r="AB766">
        <f t="shared" ca="1" si="245"/>
        <v>0</v>
      </c>
      <c r="AC766" s="47">
        <f t="shared" ca="1" si="246"/>
        <v>0</v>
      </c>
      <c r="AD766">
        <f ca="1">Inputs!B16+(Inputs!D16-Inputs!B16)*BETAINV(RAND(),Model!H10,Model!I10)</f>
        <v>0.39172552840634822</v>
      </c>
      <c r="AE766">
        <f ca="1">Inputs!E16+(Inputs!G16-Inputs!E16)*BETAINV(RAND(),Model!J10,Model!K10)</f>
        <v>0.52832245038423697</v>
      </c>
      <c r="AF766">
        <f ca="1">(Inputs!H16+(Inputs!J16-Inputs!H16)*BETAINV(RAND(),Model!L10,Model!M10))*Inputs!$C$6</f>
        <v>71931.296854102548</v>
      </c>
      <c r="AG766">
        <f t="shared" ca="1" si="247"/>
        <v>0.20695739104570193</v>
      </c>
      <c r="AH766">
        <f t="shared" ca="1" si="248"/>
        <v>0.77781221391329558</v>
      </c>
      <c r="AI766">
        <f t="shared" ca="1" si="249"/>
        <v>0</v>
      </c>
      <c r="AJ766" s="47">
        <f t="shared" ca="1" si="250"/>
        <v>0</v>
      </c>
      <c r="AK766">
        <f t="shared" ca="1" si="251"/>
        <v>469133.29459835822</v>
      </c>
    </row>
    <row r="767" spans="2:37" x14ac:dyDescent="0.2">
      <c r="B767">
        <f ca="1">Inputs!B12+(Inputs!D12-Inputs!B12)*BETAINV(RAND(),Model!H6,Model!I6)</f>
        <v>5.9941859412652798</v>
      </c>
      <c r="C767">
        <f ca="1">Inputs!E12+(Inputs!G12-Inputs!E12)*BETAINV(RAND(),Model!J6,Model!K6)</f>
        <v>0.29168400015864515</v>
      </c>
      <c r="D767">
        <f ca="1">(Inputs!H12+(Inputs!J12-Inputs!H12)*BETAINV(RAND(),Model!L6,Model!M6))*Inputs!$C$6</f>
        <v>31857.434136168933</v>
      </c>
      <c r="E767">
        <f t="shared" ca="1" si="231"/>
        <v>1.7484081330429704</v>
      </c>
      <c r="F767">
        <f t="shared" ca="1" si="232"/>
        <v>0.22928228145365992</v>
      </c>
      <c r="G767">
        <f t="shared" ca="1" si="233"/>
        <v>1</v>
      </c>
      <c r="H767" s="47">
        <f t="shared" ca="1" si="234"/>
        <v>31857.434136168933</v>
      </c>
      <c r="I767">
        <f ca="1">Inputs!B13+(Inputs!D13-Inputs!B13)*BETAINV(RAND(),Model!H7,Model!I7)</f>
        <v>2.3390099623494143</v>
      </c>
      <c r="J767">
        <f ca="1">Inputs!E13+(Inputs!G13-Inputs!E13)*BETAINV(RAND(),Model!J7,Model!K7)</f>
        <v>0.1978796720461917</v>
      </c>
      <c r="K767">
        <f ca="1">(Inputs!H13+(Inputs!J13-Inputs!H13)*BETAINV(RAND(),Model!L7,Model!M7))*Inputs!$C$6</f>
        <v>38582.255427405602</v>
      </c>
      <c r="L767">
        <f t="shared" ca="1" si="235"/>
        <v>0.4628425242624773</v>
      </c>
      <c r="M767">
        <f t="shared" ca="1" si="236"/>
        <v>0.7880313678359766</v>
      </c>
      <c r="N767">
        <f t="shared" ca="1" si="237"/>
        <v>1</v>
      </c>
      <c r="O767" s="47">
        <f t="shared" ca="1" si="238"/>
        <v>38582.255427405602</v>
      </c>
      <c r="P767">
        <f ca="1">Inputs!B14+(Inputs!D14-Inputs!B14)*BETAINV(RAND(),Model!H8,Model!I8)</f>
        <v>0.30801192136856059</v>
      </c>
      <c r="Q767">
        <f ca="1">Inputs!E14+(Inputs!G14-Inputs!E14)*BETAINV(RAND(),Model!J8,Model!K8)</f>
        <v>0.52150833290878817</v>
      </c>
      <c r="R767">
        <f ca="1">(Inputs!H14+(Inputs!J14-Inputs!H14)*BETAINV(RAND(),Model!L8,Model!M8))*Inputs!$C$6</f>
        <v>208574.9616223535</v>
      </c>
      <c r="S767">
        <f t="shared" ca="1" si="239"/>
        <v>0.16063078362895078</v>
      </c>
      <c r="T767">
        <f t="shared" ca="1" si="240"/>
        <v>0.54233684998005305</v>
      </c>
      <c r="U767">
        <f t="shared" ca="1" si="241"/>
        <v>0</v>
      </c>
      <c r="V767" s="47">
        <f t="shared" ca="1" si="242"/>
        <v>0</v>
      </c>
      <c r="W767">
        <f ca="1">Inputs!B15+(Inputs!D15-Inputs!B15)*BETAINV(RAND(),Model!H9,Model!I9)</f>
        <v>0.87853617071371404</v>
      </c>
      <c r="X767">
        <f ca="1">Inputs!E15+(Inputs!G15-Inputs!E15)*BETAINV(RAND(),Model!J9,Model!K9)</f>
        <v>0.39055543773168921</v>
      </c>
      <c r="Y767">
        <f ca="1">(Inputs!H15+(Inputs!J15-Inputs!H15)*BETAINV(RAND(),Model!L9,Model!M9))*Inputs!$C$6</f>
        <v>45690.586605079116</v>
      </c>
      <c r="Z767">
        <f t="shared" ca="1" si="243"/>
        <v>0.34311707871621661</v>
      </c>
      <c r="AA767">
        <f t="shared" ca="1" si="244"/>
        <v>0.31449963333414421</v>
      </c>
      <c r="AB767">
        <f t="shared" ca="1" si="245"/>
        <v>0</v>
      </c>
      <c r="AC767" s="47">
        <f t="shared" ca="1" si="246"/>
        <v>0</v>
      </c>
      <c r="AD767">
        <f ca="1">Inputs!B16+(Inputs!D16-Inputs!B16)*BETAINV(RAND(),Model!H10,Model!I10)</f>
        <v>0.47298330594853383</v>
      </c>
      <c r="AE767">
        <f ca="1">Inputs!E16+(Inputs!G16-Inputs!E16)*BETAINV(RAND(),Model!J10,Model!K10)</f>
        <v>0.59269000186567511</v>
      </c>
      <c r="AF767">
        <f ca="1">(Inputs!H16+(Inputs!J16-Inputs!H16)*BETAINV(RAND(),Model!L10,Model!M10))*Inputs!$C$6</f>
        <v>130574.92097986401</v>
      </c>
      <c r="AG767">
        <f t="shared" ca="1" si="247"/>
        <v>0.2803324764850697</v>
      </c>
      <c r="AH767">
        <f t="shared" ca="1" si="248"/>
        <v>0.71985088873722602</v>
      </c>
      <c r="AI767">
        <f t="shared" ca="1" si="249"/>
        <v>0</v>
      </c>
      <c r="AJ767" s="47">
        <f t="shared" ca="1" si="250"/>
        <v>0</v>
      </c>
      <c r="AK767">
        <f t="shared" ca="1" si="251"/>
        <v>70439.689563574531</v>
      </c>
    </row>
    <row r="768" spans="2:37" x14ac:dyDescent="0.2">
      <c r="B768">
        <f ca="1">Inputs!B12+(Inputs!D12-Inputs!B12)*BETAINV(RAND(),Model!H6,Model!I6)</f>
        <v>2.9255178889674114</v>
      </c>
      <c r="C768">
        <f ca="1">Inputs!E12+(Inputs!G12-Inputs!E12)*BETAINV(RAND(),Model!J6,Model!K6)</f>
        <v>0.26163817638264958</v>
      </c>
      <c r="D768">
        <f ca="1">(Inputs!H12+(Inputs!J12-Inputs!H12)*BETAINV(RAND(),Model!L6,Model!M6))*Inputs!$C$6</f>
        <v>11835.644155996481</v>
      </c>
      <c r="E768">
        <f t="shared" ca="1" si="231"/>
        <v>0.76542716544425227</v>
      </c>
      <c r="F768">
        <f t="shared" ca="1" si="232"/>
        <v>0.6274507090569813</v>
      </c>
      <c r="G768">
        <f t="shared" ca="1" si="233"/>
        <v>1</v>
      </c>
      <c r="H768" s="47">
        <f t="shared" ca="1" si="234"/>
        <v>11835.644155996481</v>
      </c>
      <c r="I768">
        <f ca="1">Inputs!B13+(Inputs!D13-Inputs!B13)*BETAINV(RAND(),Model!H7,Model!I7)</f>
        <v>1.4489495777013297</v>
      </c>
      <c r="J768">
        <f ca="1">Inputs!E13+(Inputs!G13-Inputs!E13)*BETAINV(RAND(),Model!J7,Model!K7)</f>
        <v>0.13532881506652278</v>
      </c>
      <c r="K768">
        <f ca="1">(Inputs!H13+(Inputs!J13-Inputs!H13)*BETAINV(RAND(),Model!L7,Model!M7))*Inputs!$C$6</f>
        <v>30107.814287874262</v>
      </c>
      <c r="L768">
        <f t="shared" ca="1" si="235"/>
        <v>0.19608462944145952</v>
      </c>
      <c r="M768">
        <f t="shared" ca="1" si="236"/>
        <v>0.98841241467417995</v>
      </c>
      <c r="N768">
        <f t="shared" ca="1" si="237"/>
        <v>2</v>
      </c>
      <c r="O768" s="47">
        <f t="shared" ca="1" si="238"/>
        <v>60215.628575748524</v>
      </c>
      <c r="P768">
        <f ca="1">Inputs!B14+(Inputs!D14-Inputs!B14)*BETAINV(RAND(),Model!H8,Model!I8)</f>
        <v>0.45691430845881187</v>
      </c>
      <c r="Q768">
        <f ca="1">Inputs!E14+(Inputs!G14-Inputs!E14)*BETAINV(RAND(),Model!J8,Model!K8)</f>
        <v>0.8087852840629135</v>
      </c>
      <c r="R768">
        <f ca="1">(Inputs!H14+(Inputs!J14-Inputs!H14)*BETAINV(RAND(),Model!L8,Model!M8))*Inputs!$C$6</f>
        <v>508472.91745935136</v>
      </c>
      <c r="S768">
        <f t="shared" ca="1" si="239"/>
        <v>0.36954556875926986</v>
      </c>
      <c r="T768">
        <f t="shared" ca="1" si="240"/>
        <v>5.7582193612065846E-2</v>
      </c>
      <c r="U768">
        <f t="shared" ca="1" si="241"/>
        <v>0</v>
      </c>
      <c r="V768" s="47">
        <f t="shared" ca="1" si="242"/>
        <v>0</v>
      </c>
      <c r="W768">
        <f ca="1">Inputs!B15+(Inputs!D15-Inputs!B15)*BETAINV(RAND(),Model!H9,Model!I9)</f>
        <v>1.066024264835256</v>
      </c>
      <c r="X768">
        <f ca="1">Inputs!E15+(Inputs!G15-Inputs!E15)*BETAINV(RAND(),Model!J9,Model!K9)</f>
        <v>0.32950612736621565</v>
      </c>
      <c r="Y768">
        <f ca="1">(Inputs!H15+(Inputs!J15-Inputs!H15)*BETAINV(RAND(),Model!L9,Model!M9))*Inputs!$C$6</f>
        <v>60378.776964265388</v>
      </c>
      <c r="Z768">
        <f t="shared" ca="1" si="243"/>
        <v>0.35126152718428227</v>
      </c>
      <c r="AA768">
        <f t="shared" ca="1" si="244"/>
        <v>0.22303531786293895</v>
      </c>
      <c r="AB768">
        <f t="shared" ca="1" si="245"/>
        <v>0</v>
      </c>
      <c r="AC768" s="47">
        <f t="shared" ca="1" si="246"/>
        <v>0</v>
      </c>
      <c r="AD768">
        <f ca="1">Inputs!B16+(Inputs!D16-Inputs!B16)*BETAINV(RAND(),Model!H10,Model!I10)</f>
        <v>0.79714381588973549</v>
      </c>
      <c r="AE768">
        <f ca="1">Inputs!E16+(Inputs!G16-Inputs!E16)*BETAINV(RAND(),Model!J10,Model!K10)</f>
        <v>0.51081553662217671</v>
      </c>
      <c r="AF768">
        <f ca="1">(Inputs!H16+(Inputs!J16-Inputs!H16)*BETAINV(RAND(),Model!L10,Model!M10))*Inputs!$C$6</f>
        <v>122291.98917445673</v>
      </c>
      <c r="AG768">
        <f t="shared" ca="1" si="247"/>
        <v>0.40719344607876484</v>
      </c>
      <c r="AH768">
        <f t="shared" ca="1" si="248"/>
        <v>0.75426968026995067</v>
      </c>
      <c r="AI768">
        <f t="shared" ca="1" si="249"/>
        <v>1</v>
      </c>
      <c r="AJ768" s="47">
        <f t="shared" ca="1" si="250"/>
        <v>122291.98917445673</v>
      </c>
      <c r="AK768">
        <f t="shared" ca="1" si="251"/>
        <v>194343.26190620172</v>
      </c>
    </row>
    <row r="769" spans="2:37" x14ac:dyDescent="0.2">
      <c r="B769">
        <f ca="1">Inputs!B12+(Inputs!D12-Inputs!B12)*BETAINV(RAND(),Model!H6,Model!I6)</f>
        <v>2.685583028811739</v>
      </c>
      <c r="C769">
        <f ca="1">Inputs!E12+(Inputs!G12-Inputs!E12)*BETAINV(RAND(),Model!J6,Model!K6)</f>
        <v>0.33022970237669236</v>
      </c>
      <c r="D769">
        <f ca="1">(Inputs!H12+(Inputs!J12-Inputs!H12)*BETAINV(RAND(),Model!L6,Model!M6))*Inputs!$C$6</f>
        <v>17658.625970576031</v>
      </c>
      <c r="E769">
        <f t="shared" ca="1" si="231"/>
        <v>0.88685928431239658</v>
      </c>
      <c r="F769">
        <f t="shared" ca="1" si="232"/>
        <v>0.76125689670233077</v>
      </c>
      <c r="G769">
        <f t="shared" ca="1" si="233"/>
        <v>1</v>
      </c>
      <c r="H769" s="47">
        <f t="shared" ca="1" si="234"/>
        <v>17658.625970576031</v>
      </c>
      <c r="I769">
        <f ca="1">Inputs!B13+(Inputs!D13-Inputs!B13)*BETAINV(RAND(),Model!H7,Model!I7)</f>
        <v>3.5595805663579445</v>
      </c>
      <c r="J769">
        <f ca="1">Inputs!E13+(Inputs!G13-Inputs!E13)*BETAINV(RAND(),Model!J7,Model!K7)</f>
        <v>0.16485250589119804</v>
      </c>
      <c r="K769">
        <f ca="1">(Inputs!H13+(Inputs!J13-Inputs!H13)*BETAINV(RAND(),Model!L7,Model!M7))*Inputs!$C$6</f>
        <v>47327.587880394429</v>
      </c>
      <c r="L769">
        <f t="shared" ca="1" si="235"/>
        <v>0.58680577628571706</v>
      </c>
      <c r="M769">
        <f t="shared" ca="1" si="236"/>
        <v>0.77734963797764689</v>
      </c>
      <c r="N769">
        <f t="shared" ca="1" si="237"/>
        <v>1</v>
      </c>
      <c r="O769" s="47">
        <f t="shared" ca="1" si="238"/>
        <v>47327.587880394429</v>
      </c>
      <c r="P769">
        <f ca="1">Inputs!B14+(Inputs!D14-Inputs!B14)*BETAINV(RAND(),Model!H8,Model!I8)</f>
        <v>0.29792856285748653</v>
      </c>
      <c r="Q769">
        <f ca="1">Inputs!E14+(Inputs!G14-Inputs!E14)*BETAINV(RAND(),Model!J8,Model!K8)</f>
        <v>0.47404643413341102</v>
      </c>
      <c r="R769">
        <f ca="1">(Inputs!H14+(Inputs!J14-Inputs!H14)*BETAINV(RAND(),Model!L8,Model!M8))*Inputs!$C$6</f>
        <v>445275.90774977382</v>
      </c>
      <c r="S769">
        <f t="shared" ca="1" si="239"/>
        <v>0.14123197284908329</v>
      </c>
      <c r="T769">
        <f t="shared" ca="1" si="240"/>
        <v>0.66201724719630906</v>
      </c>
      <c r="U769">
        <f t="shared" ca="1" si="241"/>
        <v>0</v>
      </c>
      <c r="V769" s="47">
        <f t="shared" ca="1" si="242"/>
        <v>0</v>
      </c>
      <c r="W769">
        <f ca="1">Inputs!B15+(Inputs!D15-Inputs!B15)*BETAINV(RAND(),Model!H9,Model!I9)</f>
        <v>1.8966307506060629</v>
      </c>
      <c r="X769">
        <f ca="1">Inputs!E15+(Inputs!G15-Inputs!E15)*BETAINV(RAND(),Model!J9,Model!K9)</f>
        <v>0.40452765956620917</v>
      </c>
      <c r="Y769">
        <f ca="1">(Inputs!H15+(Inputs!J15-Inputs!H15)*BETAINV(RAND(),Model!L9,Model!M9))*Inputs!$C$6</f>
        <v>37107.045579614234</v>
      </c>
      <c r="Z769">
        <f t="shared" ca="1" si="243"/>
        <v>0.76723959860397317</v>
      </c>
      <c r="AA769">
        <f t="shared" ca="1" si="244"/>
        <v>0.18960620353835178</v>
      </c>
      <c r="AB769">
        <f t="shared" ca="1" si="245"/>
        <v>0</v>
      </c>
      <c r="AC769" s="47">
        <f t="shared" ca="1" si="246"/>
        <v>0</v>
      </c>
      <c r="AD769">
        <f ca="1">Inputs!B16+(Inputs!D16-Inputs!B16)*BETAINV(RAND(),Model!H10,Model!I10)</f>
        <v>0.98134910744256998</v>
      </c>
      <c r="AE769">
        <f ca="1">Inputs!E16+(Inputs!G16-Inputs!E16)*BETAINV(RAND(),Model!J10,Model!K10)</f>
        <v>0.65555542354701712</v>
      </c>
      <c r="AF769">
        <f ca="1">(Inputs!H16+(Inputs!J16-Inputs!H16)*BETAINV(RAND(),Model!L10,Model!M10))*Inputs!$C$6</f>
        <v>111105.90314319084</v>
      </c>
      <c r="AG769">
        <f t="shared" ca="1" si="247"/>
        <v>0.64332872977700117</v>
      </c>
      <c r="AH769">
        <f t="shared" ca="1" si="248"/>
        <v>0.59210474033304483</v>
      </c>
      <c r="AI769">
        <f t="shared" ca="1" si="249"/>
        <v>1</v>
      </c>
      <c r="AJ769" s="47">
        <f t="shared" ca="1" si="250"/>
        <v>111105.90314319084</v>
      </c>
      <c r="AK769">
        <f t="shared" ca="1" si="251"/>
        <v>176092.1169941613</v>
      </c>
    </row>
    <row r="770" spans="2:37" x14ac:dyDescent="0.2">
      <c r="B770">
        <f ca="1">Inputs!B12+(Inputs!D12-Inputs!B12)*BETAINV(RAND(),Model!H6,Model!I6)</f>
        <v>4.0083319801395803</v>
      </c>
      <c r="C770">
        <f ca="1">Inputs!E12+(Inputs!G12-Inputs!E12)*BETAINV(RAND(),Model!J6,Model!K6)</f>
        <v>0.27960808477995913</v>
      </c>
      <c r="D770">
        <f ca="1">(Inputs!H12+(Inputs!J12-Inputs!H12)*BETAINV(RAND(),Model!L6,Model!M6))*Inputs!$C$6</f>
        <v>38800.112138784039</v>
      </c>
      <c r="E770">
        <f t="shared" ca="1" si="231"/>
        <v>1.1207620281290893</v>
      </c>
      <c r="F770">
        <f t="shared" ca="1" si="232"/>
        <v>0.27750544965539015</v>
      </c>
      <c r="G770">
        <f t="shared" ca="1" si="233"/>
        <v>0</v>
      </c>
      <c r="H770" s="47">
        <f t="shared" ca="1" si="234"/>
        <v>0</v>
      </c>
      <c r="I770">
        <f ca="1">Inputs!B13+(Inputs!D13-Inputs!B13)*BETAINV(RAND(),Model!H7,Model!I7)</f>
        <v>1.1990157311506926</v>
      </c>
      <c r="J770">
        <f ca="1">Inputs!E13+(Inputs!G13-Inputs!E13)*BETAINV(RAND(),Model!J7,Model!K7)</f>
        <v>0.39718390800143299</v>
      </c>
      <c r="K770">
        <f ca="1">(Inputs!H13+(Inputs!J13-Inputs!H13)*BETAINV(RAND(),Model!L7,Model!M7))*Inputs!$C$6</f>
        <v>21286.132403819422</v>
      </c>
      <c r="L770">
        <f t="shared" ca="1" si="235"/>
        <v>0.47622975385362759</v>
      </c>
      <c r="M770">
        <f t="shared" ca="1" si="236"/>
        <v>0.91228543292055486</v>
      </c>
      <c r="N770">
        <f t="shared" ca="1" si="237"/>
        <v>1</v>
      </c>
      <c r="O770" s="47">
        <f t="shared" ca="1" si="238"/>
        <v>21286.132403819422</v>
      </c>
      <c r="P770">
        <f ca="1">Inputs!B14+(Inputs!D14-Inputs!B14)*BETAINV(RAND(),Model!H8,Model!I8)</f>
        <v>0.20969053400841631</v>
      </c>
      <c r="Q770">
        <f ca="1">Inputs!E14+(Inputs!G14-Inputs!E14)*BETAINV(RAND(),Model!J8,Model!K8)</f>
        <v>0.50981741369433253</v>
      </c>
      <c r="R770">
        <f ca="1">(Inputs!H14+(Inputs!J14-Inputs!H14)*BETAINV(RAND(),Model!L8,Model!M8))*Inputs!$C$6</f>
        <v>352211.82666786428</v>
      </c>
      <c r="S770">
        <f t="shared" ca="1" si="239"/>
        <v>0.10690388572435428</v>
      </c>
      <c r="T770">
        <f t="shared" ca="1" si="240"/>
        <v>0.21320457187343078</v>
      </c>
      <c r="U770">
        <f t="shared" ca="1" si="241"/>
        <v>0</v>
      </c>
      <c r="V770" s="47">
        <f t="shared" ca="1" si="242"/>
        <v>0</v>
      </c>
      <c r="W770">
        <f ca="1">Inputs!B15+(Inputs!D15-Inputs!B15)*BETAINV(RAND(),Model!H9,Model!I9)</f>
        <v>0.96430371892157707</v>
      </c>
      <c r="X770">
        <f ca="1">Inputs!E15+(Inputs!G15-Inputs!E15)*BETAINV(RAND(),Model!J9,Model!K9)</f>
        <v>0.46646676466876902</v>
      </c>
      <c r="Y770">
        <f ca="1">(Inputs!H15+(Inputs!J15-Inputs!H15)*BETAINV(RAND(),Model!L9,Model!M9))*Inputs!$C$6</f>
        <v>55220.242569048954</v>
      </c>
      <c r="Z770">
        <f t="shared" ca="1" si="243"/>
        <v>0.44981563592341006</v>
      </c>
      <c r="AA770">
        <f t="shared" ca="1" si="244"/>
        <v>0.8882083581224447</v>
      </c>
      <c r="AB770">
        <f t="shared" ca="1" si="245"/>
        <v>1</v>
      </c>
      <c r="AC770" s="47">
        <f t="shared" ca="1" si="246"/>
        <v>55220.242569048954</v>
      </c>
      <c r="AD770">
        <f ca="1">Inputs!B16+(Inputs!D16-Inputs!B16)*BETAINV(RAND(),Model!H10,Model!I10)</f>
        <v>0.76163701297356634</v>
      </c>
      <c r="AE770">
        <f ca="1">Inputs!E16+(Inputs!G16-Inputs!E16)*BETAINV(RAND(),Model!J10,Model!K10)</f>
        <v>0.69978163856689313</v>
      </c>
      <c r="AF770">
        <f ca="1">(Inputs!H16+(Inputs!J16-Inputs!H16)*BETAINV(RAND(),Model!L10,Model!M10))*Inputs!$C$6</f>
        <v>78414.231402483958</v>
      </c>
      <c r="AG770">
        <f t="shared" ca="1" si="247"/>
        <v>0.53297959693183627</v>
      </c>
      <c r="AH770">
        <f t="shared" ca="1" si="248"/>
        <v>1.4572579063961699E-3</v>
      </c>
      <c r="AI770">
        <f t="shared" ca="1" si="249"/>
        <v>0</v>
      </c>
      <c r="AJ770" s="47">
        <f t="shared" ca="1" si="250"/>
        <v>0</v>
      </c>
      <c r="AK770">
        <f t="shared" ca="1" si="251"/>
        <v>76506.374972868376</v>
      </c>
    </row>
    <row r="771" spans="2:37" x14ac:dyDescent="0.2">
      <c r="B771">
        <f ca="1">Inputs!B12+(Inputs!D12-Inputs!B12)*BETAINV(RAND(),Model!H6,Model!I6)</f>
        <v>2.9894916958721156</v>
      </c>
      <c r="C771">
        <f ca="1">Inputs!E12+(Inputs!G12-Inputs!E12)*BETAINV(RAND(),Model!J6,Model!K6)</f>
        <v>0.22034809509627598</v>
      </c>
      <c r="D771">
        <f ca="1">(Inputs!H12+(Inputs!J12-Inputs!H12)*BETAINV(RAND(),Model!L6,Model!M6))*Inputs!$C$6</f>
        <v>16722.619405649886</v>
      </c>
      <c r="E771">
        <f t="shared" ca="1" si="231"/>
        <v>0.65872880049155624</v>
      </c>
      <c r="F771">
        <f t="shared" ca="1" si="232"/>
        <v>2.0039483734940133E-2</v>
      </c>
      <c r="G771">
        <f t="shared" ca="1" si="233"/>
        <v>0</v>
      </c>
      <c r="H771" s="47">
        <f t="shared" ca="1" si="234"/>
        <v>0</v>
      </c>
      <c r="I771">
        <f ca="1">Inputs!B13+(Inputs!D13-Inputs!B13)*BETAINV(RAND(),Model!H7,Model!I7)</f>
        <v>1.8652287126103206</v>
      </c>
      <c r="J771">
        <f ca="1">Inputs!E13+(Inputs!G13-Inputs!E13)*BETAINV(RAND(),Model!J7,Model!K7)</f>
        <v>0.27609514137543634</v>
      </c>
      <c r="K771">
        <f ca="1">(Inputs!H13+(Inputs!J13-Inputs!H13)*BETAINV(RAND(),Model!L7,Model!M7))*Inputs!$C$6</f>
        <v>23222.970289547768</v>
      </c>
      <c r="L771">
        <f t="shared" ca="1" si="235"/>
        <v>0.51498058510566957</v>
      </c>
      <c r="M771">
        <f t="shared" ca="1" si="236"/>
        <v>0.93234871829420118</v>
      </c>
      <c r="N771">
        <f t="shared" ca="1" si="237"/>
        <v>2</v>
      </c>
      <c r="O771" s="47">
        <f t="shared" ca="1" si="238"/>
        <v>46445.940579095535</v>
      </c>
      <c r="P771">
        <f ca="1">Inputs!B14+(Inputs!D14-Inputs!B14)*BETAINV(RAND(),Model!H8,Model!I8)</f>
        <v>0.17879049230495897</v>
      </c>
      <c r="Q771">
        <f ca="1">Inputs!E14+(Inputs!G14-Inputs!E14)*BETAINV(RAND(),Model!J8,Model!K8)</f>
        <v>0.63104397002718293</v>
      </c>
      <c r="R771">
        <f ca="1">(Inputs!H14+(Inputs!J14-Inputs!H14)*BETAINV(RAND(),Model!L8,Model!M8))*Inputs!$C$6</f>
        <v>476760.40098114545</v>
      </c>
      <c r="S771">
        <f t="shared" ca="1" si="239"/>
        <v>0.11282466206723581</v>
      </c>
      <c r="T771">
        <f t="shared" ca="1" si="240"/>
        <v>0.19406980580399391</v>
      </c>
      <c r="U771">
        <f t="shared" ca="1" si="241"/>
        <v>0</v>
      </c>
      <c r="V771" s="47">
        <f t="shared" ca="1" si="242"/>
        <v>0</v>
      </c>
      <c r="W771">
        <f ca="1">Inputs!B15+(Inputs!D15-Inputs!B15)*BETAINV(RAND(),Model!H9,Model!I9)</f>
        <v>0.95547590828323159</v>
      </c>
      <c r="X771">
        <f ca="1">Inputs!E15+(Inputs!G15-Inputs!E15)*BETAINV(RAND(),Model!J9,Model!K9)</f>
        <v>0.45736153788809503</v>
      </c>
      <c r="Y771">
        <f ca="1">(Inputs!H15+(Inputs!J15-Inputs!H15)*BETAINV(RAND(),Model!L9,Model!M9))*Inputs!$C$6</f>
        <v>27969.646841914331</v>
      </c>
      <c r="Z771">
        <f t="shared" ca="1" si="243"/>
        <v>0.43699793082744326</v>
      </c>
      <c r="AA771">
        <f t="shared" ca="1" si="244"/>
        <v>0.1794492530929046</v>
      </c>
      <c r="AB771">
        <f t="shared" ca="1" si="245"/>
        <v>0</v>
      </c>
      <c r="AC771" s="47">
        <f t="shared" ca="1" si="246"/>
        <v>0</v>
      </c>
      <c r="AD771">
        <f ca="1">Inputs!B16+(Inputs!D16-Inputs!B16)*BETAINV(RAND(),Model!H10,Model!I10)</f>
        <v>0.7982461985628222</v>
      </c>
      <c r="AE771">
        <f ca="1">Inputs!E16+(Inputs!G16-Inputs!E16)*BETAINV(RAND(),Model!J10,Model!K10)</f>
        <v>0.57346577743178018</v>
      </c>
      <c r="AF771">
        <f ca="1">(Inputs!H16+(Inputs!J16-Inputs!H16)*BETAINV(RAND(),Model!L10,Model!M10))*Inputs!$C$6</f>
        <v>87219.830915574552</v>
      </c>
      <c r="AG771">
        <f t="shared" ca="1" si="247"/>
        <v>0.45776687684079198</v>
      </c>
      <c r="AH771">
        <f t="shared" ca="1" si="248"/>
        <v>0.87577510131153369</v>
      </c>
      <c r="AI771">
        <f t="shared" ca="1" si="249"/>
        <v>1</v>
      </c>
      <c r="AJ771" s="47">
        <f t="shared" ca="1" si="250"/>
        <v>87219.830915574552</v>
      </c>
      <c r="AK771">
        <f t="shared" ca="1" si="251"/>
        <v>133665.77149467007</v>
      </c>
    </row>
    <row r="772" spans="2:37" x14ac:dyDescent="0.2">
      <c r="B772">
        <f ca="1">Inputs!B12+(Inputs!D12-Inputs!B12)*BETAINV(RAND(),Model!H6,Model!I6)</f>
        <v>1.7707595941709764</v>
      </c>
      <c r="C772">
        <f ca="1">Inputs!E12+(Inputs!G12-Inputs!E12)*BETAINV(RAND(),Model!J6,Model!K6)</f>
        <v>0.39233843180849592</v>
      </c>
      <c r="D772">
        <f ca="1">(Inputs!H12+(Inputs!J12-Inputs!H12)*BETAINV(RAND(),Model!L6,Model!M6))*Inputs!$C$6</f>
        <v>47087.997622059447</v>
      </c>
      <c r="E772">
        <f t="shared" ca="1" si="231"/>
        <v>0.69473704228688948</v>
      </c>
      <c r="F772">
        <f t="shared" ca="1" si="232"/>
        <v>0.39811478196629291</v>
      </c>
      <c r="G772">
        <f t="shared" ca="1" si="233"/>
        <v>0</v>
      </c>
      <c r="H772" s="47">
        <f t="shared" ca="1" si="234"/>
        <v>0</v>
      </c>
      <c r="I772">
        <f ca="1">Inputs!B13+(Inputs!D13-Inputs!B13)*BETAINV(RAND(),Model!H7,Model!I7)</f>
        <v>1.8819706539219432</v>
      </c>
      <c r="J772">
        <f ca="1">Inputs!E13+(Inputs!G13-Inputs!E13)*BETAINV(RAND(),Model!J7,Model!K7)</f>
        <v>0.27486189751309653</v>
      </c>
      <c r="K772">
        <f ca="1">(Inputs!H13+(Inputs!J13-Inputs!H13)*BETAINV(RAND(),Model!L7,Model!M7))*Inputs!$C$6</f>
        <v>75010.326732706002</v>
      </c>
      <c r="L772">
        <f t="shared" ca="1" si="235"/>
        <v>0.51728202500094844</v>
      </c>
      <c r="M772">
        <f t="shared" ca="1" si="236"/>
        <v>0.8676689878219801</v>
      </c>
      <c r="N772">
        <f t="shared" ca="1" si="237"/>
        <v>1</v>
      </c>
      <c r="O772" s="47">
        <f t="shared" ca="1" si="238"/>
        <v>75010.326732706002</v>
      </c>
      <c r="P772">
        <f ca="1">Inputs!B14+(Inputs!D14-Inputs!B14)*BETAINV(RAND(),Model!H8,Model!I8)</f>
        <v>0.18124244029642589</v>
      </c>
      <c r="Q772">
        <f ca="1">Inputs!E14+(Inputs!G14-Inputs!E14)*BETAINV(RAND(),Model!J8,Model!K8)</f>
        <v>0.5884898630230827</v>
      </c>
      <c r="R772">
        <f ca="1">(Inputs!H14+(Inputs!J14-Inputs!H14)*BETAINV(RAND(),Model!L8,Model!M8))*Inputs!$C$6</f>
        <v>186325.13518724346</v>
      </c>
      <c r="S772">
        <f t="shared" ca="1" si="239"/>
        <v>0.10665933886401292</v>
      </c>
      <c r="T772">
        <f t="shared" ca="1" si="240"/>
        <v>0.79686807632367973</v>
      </c>
      <c r="U772">
        <f t="shared" ca="1" si="241"/>
        <v>0</v>
      </c>
      <c r="V772" s="47">
        <f t="shared" ca="1" si="242"/>
        <v>0</v>
      </c>
      <c r="W772">
        <f ca="1">Inputs!B15+(Inputs!D15-Inputs!B15)*BETAINV(RAND(),Model!H9,Model!I9)</f>
        <v>0.46587389510535893</v>
      </c>
      <c r="X772">
        <f ca="1">Inputs!E15+(Inputs!G15-Inputs!E15)*BETAINV(RAND(),Model!J9,Model!K9)</f>
        <v>0.53819719450510672</v>
      </c>
      <c r="Y772">
        <f ca="1">(Inputs!H15+(Inputs!J15-Inputs!H15)*BETAINV(RAND(),Model!L9,Model!M9))*Inputs!$C$6</f>
        <v>31261.455227142178</v>
      </c>
      <c r="Z772">
        <f t="shared" ca="1" si="243"/>
        <v>0.25073202333887057</v>
      </c>
      <c r="AA772">
        <f t="shared" ca="1" si="244"/>
        <v>0.75942647271928887</v>
      </c>
      <c r="AB772">
        <f t="shared" ca="1" si="245"/>
        <v>0</v>
      </c>
      <c r="AC772" s="47">
        <f t="shared" ca="1" si="246"/>
        <v>0</v>
      </c>
      <c r="AD772">
        <f ca="1">Inputs!B16+(Inputs!D16-Inputs!B16)*BETAINV(RAND(),Model!H10,Model!I10)</f>
        <v>0.48218436077049814</v>
      </c>
      <c r="AE772">
        <f ca="1">Inputs!E16+(Inputs!G16-Inputs!E16)*BETAINV(RAND(),Model!J10,Model!K10)</f>
        <v>0.64073951898677173</v>
      </c>
      <c r="AF772">
        <f ca="1">(Inputs!H16+(Inputs!J16-Inputs!H16)*BETAINV(RAND(),Model!L10,Model!M10))*Inputs!$C$6</f>
        <v>44233.805697029988</v>
      </c>
      <c r="AG772">
        <f t="shared" ca="1" si="247"/>
        <v>0.308954575383033</v>
      </c>
      <c r="AH772">
        <f t="shared" ca="1" si="248"/>
        <v>0.71799233493452563</v>
      </c>
      <c r="AI772">
        <f t="shared" ca="1" si="249"/>
        <v>0</v>
      </c>
      <c r="AJ772" s="47">
        <f t="shared" ca="1" si="250"/>
        <v>0</v>
      </c>
      <c r="AK772">
        <f t="shared" ca="1" si="251"/>
        <v>75010.326732706002</v>
      </c>
    </row>
    <row r="773" spans="2:37" x14ac:dyDescent="0.2">
      <c r="B773">
        <f ca="1">Inputs!B12+(Inputs!D12-Inputs!B12)*BETAINV(RAND(),Model!H6,Model!I6)</f>
        <v>5.6613129736172016</v>
      </c>
      <c r="C773">
        <f ca="1">Inputs!E12+(Inputs!G12-Inputs!E12)*BETAINV(RAND(),Model!J6,Model!K6)</f>
        <v>0.33676145349472286</v>
      </c>
      <c r="D773">
        <f ca="1">(Inputs!H12+(Inputs!J12-Inputs!H12)*BETAINV(RAND(),Model!L6,Model!M6))*Inputs!$C$6</f>
        <v>19519.071813506867</v>
      </c>
      <c r="E773">
        <f t="shared" ca="1" si="231"/>
        <v>1.9065119856838604</v>
      </c>
      <c r="F773">
        <f t="shared" ca="1" si="232"/>
        <v>7.7521229147674564E-2</v>
      </c>
      <c r="G773">
        <f t="shared" ca="1" si="233"/>
        <v>0</v>
      </c>
      <c r="H773" s="47">
        <f t="shared" ca="1" si="234"/>
        <v>0</v>
      </c>
      <c r="I773">
        <f ca="1">Inputs!B13+(Inputs!D13-Inputs!B13)*BETAINV(RAND(),Model!H7,Model!I7)</f>
        <v>0.93463978041250861</v>
      </c>
      <c r="J773">
        <f ca="1">Inputs!E13+(Inputs!G13-Inputs!E13)*BETAINV(RAND(),Model!J7,Model!K7)</f>
        <v>0.20600884459547908</v>
      </c>
      <c r="K773">
        <f ca="1">(Inputs!H13+(Inputs!J13-Inputs!H13)*BETAINV(RAND(),Model!L7,Model!M7))*Inputs!$C$6</f>
        <v>33839.53481999394</v>
      </c>
      <c r="L773">
        <f t="shared" ca="1" si="235"/>
        <v>0.19254406127575319</v>
      </c>
      <c r="M773">
        <f t="shared" ca="1" si="236"/>
        <v>0.36893206032462111</v>
      </c>
      <c r="N773">
        <f t="shared" ca="1" si="237"/>
        <v>0</v>
      </c>
      <c r="O773" s="47">
        <f t="shared" ca="1" si="238"/>
        <v>0</v>
      </c>
      <c r="P773">
        <f ca="1">Inputs!B14+(Inputs!D14-Inputs!B14)*BETAINV(RAND(),Model!H8,Model!I8)</f>
        <v>0.27562771166017946</v>
      </c>
      <c r="Q773">
        <f ca="1">Inputs!E14+(Inputs!G14-Inputs!E14)*BETAINV(RAND(),Model!J8,Model!K8)</f>
        <v>0.6655774275195222</v>
      </c>
      <c r="R773">
        <f ca="1">(Inputs!H14+(Inputs!J14-Inputs!H14)*BETAINV(RAND(),Model!L8,Model!M8))*Inputs!$C$6</f>
        <v>274498.89016807091</v>
      </c>
      <c r="S773">
        <f t="shared" ca="1" si="239"/>
        <v>0.18345158327987487</v>
      </c>
      <c r="T773">
        <f t="shared" ca="1" si="240"/>
        <v>0.17458547893460608</v>
      </c>
      <c r="U773">
        <f t="shared" ca="1" si="241"/>
        <v>0</v>
      </c>
      <c r="V773" s="47">
        <f t="shared" ca="1" si="242"/>
        <v>0</v>
      </c>
      <c r="W773">
        <f ca="1">Inputs!B15+(Inputs!D15-Inputs!B15)*BETAINV(RAND(),Model!H9,Model!I9)</f>
        <v>1.8862695580355511</v>
      </c>
      <c r="X773">
        <f ca="1">Inputs!E15+(Inputs!G15-Inputs!E15)*BETAINV(RAND(),Model!J9,Model!K9)</f>
        <v>0.36099049024948271</v>
      </c>
      <c r="Y773">
        <f ca="1">(Inputs!H15+(Inputs!J15-Inputs!H15)*BETAINV(RAND(),Model!L9,Model!M9))*Inputs!$C$6</f>
        <v>29495.059385099335</v>
      </c>
      <c r="Z773">
        <f t="shared" ca="1" si="243"/>
        <v>0.68092537249792862</v>
      </c>
      <c r="AA773">
        <f t="shared" ca="1" si="244"/>
        <v>0.22498753759229584</v>
      </c>
      <c r="AB773">
        <f t="shared" ca="1" si="245"/>
        <v>0</v>
      </c>
      <c r="AC773" s="47">
        <f t="shared" ca="1" si="246"/>
        <v>0</v>
      </c>
      <c r="AD773">
        <f ca="1">Inputs!B16+(Inputs!D16-Inputs!B16)*BETAINV(RAND(),Model!H10,Model!I10)</f>
        <v>0.69796824147539693</v>
      </c>
      <c r="AE773">
        <f ca="1">Inputs!E16+(Inputs!G16-Inputs!E16)*BETAINV(RAND(),Model!J10,Model!K10)</f>
        <v>0.65614361024934431</v>
      </c>
      <c r="AF773">
        <f ca="1">(Inputs!H16+(Inputs!J16-Inputs!H16)*BETAINV(RAND(),Model!L10,Model!M10))*Inputs!$C$6</f>
        <v>99623.108308122231</v>
      </c>
      <c r="AG773">
        <f t="shared" ca="1" si="247"/>
        <v>0.45796740180105305</v>
      </c>
      <c r="AH773">
        <f t="shared" ca="1" si="248"/>
        <v>0.16035019971938813</v>
      </c>
      <c r="AI773">
        <f t="shared" ca="1" si="249"/>
        <v>0</v>
      </c>
      <c r="AJ773" s="47">
        <f t="shared" ca="1" si="250"/>
        <v>0</v>
      </c>
      <c r="AK773">
        <f t="shared" ca="1" si="251"/>
        <v>0</v>
      </c>
    </row>
    <row r="774" spans="2:37" x14ac:dyDescent="0.2">
      <c r="B774">
        <f ca="1">Inputs!B12+(Inputs!D12-Inputs!B12)*BETAINV(RAND(),Model!H6,Model!I6)</f>
        <v>3.279591130953079</v>
      </c>
      <c r="C774">
        <f ca="1">Inputs!E12+(Inputs!G12-Inputs!E12)*BETAINV(RAND(),Model!J6,Model!K6)</f>
        <v>0.32166421942828161</v>
      </c>
      <c r="D774">
        <f ca="1">(Inputs!H12+(Inputs!J12-Inputs!H12)*BETAINV(RAND(),Model!L6,Model!M6))*Inputs!$C$6</f>
        <v>8193.9006719617573</v>
      </c>
      <c r="E774">
        <f t="shared" ca="1" si="231"/>
        <v>1.0549271211819373</v>
      </c>
      <c r="F774">
        <f t="shared" ca="1" si="232"/>
        <v>0.38953963763650723</v>
      </c>
      <c r="G774">
        <f t="shared" ca="1" si="233"/>
        <v>1</v>
      </c>
      <c r="H774" s="47">
        <f t="shared" ca="1" si="234"/>
        <v>8193.9006719617573</v>
      </c>
      <c r="I774">
        <f ca="1">Inputs!B13+(Inputs!D13-Inputs!B13)*BETAINV(RAND(),Model!H7,Model!I7)</f>
        <v>3.0761438368253211</v>
      </c>
      <c r="J774">
        <f ca="1">Inputs!E13+(Inputs!G13-Inputs!E13)*BETAINV(RAND(),Model!J7,Model!K7)</f>
        <v>0.19824669022227862</v>
      </c>
      <c r="K774">
        <f ca="1">(Inputs!H13+(Inputs!J13-Inputs!H13)*BETAINV(RAND(),Model!L7,Model!M7))*Inputs!$C$6</f>
        <v>51505.93605433144</v>
      </c>
      <c r="L774">
        <f t="shared" ca="1" si="235"/>
        <v>0.60983533429828096</v>
      </c>
      <c r="M774">
        <f t="shared" ca="1" si="236"/>
        <v>0.72278429393457599</v>
      </c>
      <c r="N774">
        <f t="shared" ca="1" si="237"/>
        <v>1</v>
      </c>
      <c r="O774" s="47">
        <f t="shared" ca="1" si="238"/>
        <v>51505.93605433144</v>
      </c>
      <c r="P774">
        <f ca="1">Inputs!B14+(Inputs!D14-Inputs!B14)*BETAINV(RAND(),Model!H8,Model!I8)</f>
        <v>0.1961712985511887</v>
      </c>
      <c r="Q774">
        <f ca="1">Inputs!E14+(Inputs!G14-Inputs!E14)*BETAINV(RAND(),Model!J8,Model!K8)</f>
        <v>0.63908300624886016</v>
      </c>
      <c r="R774">
        <f ca="1">(Inputs!H14+(Inputs!J14-Inputs!H14)*BETAINV(RAND(),Model!L8,Model!M8))*Inputs!$C$6</f>
        <v>576143.68873375456</v>
      </c>
      <c r="S774">
        <f t="shared" ca="1" si="239"/>
        <v>0.12536974321783634</v>
      </c>
      <c r="T774">
        <f t="shared" ca="1" si="240"/>
        <v>0.97794110120325839</v>
      </c>
      <c r="U774">
        <f t="shared" ca="1" si="241"/>
        <v>1</v>
      </c>
      <c r="V774" s="47">
        <f t="shared" ca="1" si="242"/>
        <v>576143.68873375456</v>
      </c>
      <c r="W774">
        <f ca="1">Inputs!B15+(Inputs!D15-Inputs!B15)*BETAINV(RAND(),Model!H9,Model!I9)</f>
        <v>0.98138820125644899</v>
      </c>
      <c r="X774">
        <f ca="1">Inputs!E15+(Inputs!G15-Inputs!E15)*BETAINV(RAND(),Model!J9,Model!K9)</f>
        <v>0.35065719709263626</v>
      </c>
      <c r="Y774">
        <f ca="1">(Inputs!H15+(Inputs!J15-Inputs!H15)*BETAINV(RAND(),Model!L9,Model!M9))*Inputs!$C$6</f>
        <v>27791.414169289925</v>
      </c>
      <c r="Z774">
        <f t="shared" ca="1" si="243"/>
        <v>0.34413083591237043</v>
      </c>
      <c r="AA774">
        <f t="shared" ca="1" si="244"/>
        <v>0.36780308915298365</v>
      </c>
      <c r="AB774">
        <f t="shared" ca="1" si="245"/>
        <v>0</v>
      </c>
      <c r="AC774" s="47">
        <f t="shared" ca="1" si="246"/>
        <v>0</v>
      </c>
      <c r="AD774">
        <f ca="1">Inputs!B16+(Inputs!D16-Inputs!B16)*BETAINV(RAND(),Model!H10,Model!I10)</f>
        <v>0.69343001152626238</v>
      </c>
      <c r="AE774">
        <f ca="1">Inputs!E16+(Inputs!G16-Inputs!E16)*BETAINV(RAND(),Model!J10,Model!K10)</f>
        <v>0.61036366743964354</v>
      </c>
      <c r="AF774">
        <f ca="1">(Inputs!H16+(Inputs!J16-Inputs!H16)*BETAINV(RAND(),Model!L10,Model!M10))*Inputs!$C$6</f>
        <v>108836.59799027262</v>
      </c>
      <c r="AG774">
        <f t="shared" ca="1" si="247"/>
        <v>0.4232444849478838</v>
      </c>
      <c r="AH774">
        <f t="shared" ca="1" si="248"/>
        <v>0.6806886236087526</v>
      </c>
      <c r="AI774">
        <f t="shared" ca="1" si="249"/>
        <v>1</v>
      </c>
      <c r="AJ774" s="47">
        <f t="shared" ca="1" si="250"/>
        <v>108836.59799027262</v>
      </c>
      <c r="AK774">
        <f t="shared" ca="1" si="251"/>
        <v>744680.12345032045</v>
      </c>
    </row>
    <row r="775" spans="2:37" x14ac:dyDescent="0.2">
      <c r="B775">
        <f ca="1">Inputs!B12+(Inputs!D12-Inputs!B12)*BETAINV(RAND(),Model!H6,Model!I6)</f>
        <v>2.3473702226271973</v>
      </c>
      <c r="C775">
        <f ca="1">Inputs!E12+(Inputs!G12-Inputs!E12)*BETAINV(RAND(),Model!J6,Model!K6)</f>
        <v>0.4146858317147718</v>
      </c>
      <c r="D775">
        <f ca="1">(Inputs!H12+(Inputs!J12-Inputs!H12)*BETAINV(RAND(),Model!L6,Model!M6))*Inputs!$C$6</f>
        <v>15669.187956268075</v>
      </c>
      <c r="E775">
        <f t="shared" ca="1" si="231"/>
        <v>0.97342117311264831</v>
      </c>
      <c r="F775">
        <f t="shared" ca="1" si="232"/>
        <v>9.4413879646707555E-3</v>
      </c>
      <c r="G775">
        <f t="shared" ca="1" si="233"/>
        <v>0</v>
      </c>
      <c r="H775" s="47">
        <f t="shared" ca="1" si="234"/>
        <v>0</v>
      </c>
      <c r="I775">
        <f ca="1">Inputs!B13+(Inputs!D13-Inputs!B13)*BETAINV(RAND(),Model!H7,Model!I7)</f>
        <v>2.0724913619245289</v>
      </c>
      <c r="J775">
        <f ca="1">Inputs!E13+(Inputs!G13-Inputs!E13)*BETAINV(RAND(),Model!J7,Model!K7)</f>
        <v>0.18266309364099265</v>
      </c>
      <c r="K775">
        <f ca="1">(Inputs!H13+(Inputs!J13-Inputs!H13)*BETAINV(RAND(),Model!L7,Model!M7))*Inputs!$C$6</f>
        <v>44111.048562473363</v>
      </c>
      <c r="L775">
        <f t="shared" ca="1" si="235"/>
        <v>0.37856768371336857</v>
      </c>
      <c r="M775">
        <f t="shared" ca="1" si="236"/>
        <v>0.85112265590051273</v>
      </c>
      <c r="N775">
        <f t="shared" ca="1" si="237"/>
        <v>1</v>
      </c>
      <c r="O775" s="47">
        <f t="shared" ca="1" si="238"/>
        <v>44111.048562473363</v>
      </c>
      <c r="P775">
        <f ca="1">Inputs!B14+(Inputs!D14-Inputs!B14)*BETAINV(RAND(),Model!H8,Model!I8)</f>
        <v>0.54380795169629725</v>
      </c>
      <c r="Q775">
        <f ca="1">Inputs!E14+(Inputs!G14-Inputs!E14)*BETAINV(RAND(),Model!J8,Model!K8)</f>
        <v>0.79552079494019545</v>
      </c>
      <c r="R775">
        <f ca="1">(Inputs!H14+(Inputs!J14-Inputs!H14)*BETAINV(RAND(),Model!L8,Model!M8))*Inputs!$C$6</f>
        <v>245110.48728430425</v>
      </c>
      <c r="S775">
        <f t="shared" ca="1" si="239"/>
        <v>0.43261053402823779</v>
      </c>
      <c r="T775">
        <f t="shared" ca="1" si="240"/>
        <v>0.64911339177023875</v>
      </c>
      <c r="U775">
        <f t="shared" ca="1" si="241"/>
        <v>1</v>
      </c>
      <c r="V775" s="47">
        <f t="shared" ca="1" si="242"/>
        <v>245110.48728430425</v>
      </c>
      <c r="W775">
        <f ca="1">Inputs!B15+(Inputs!D15-Inputs!B15)*BETAINV(RAND(),Model!H9,Model!I9)</f>
        <v>0.62148084366238576</v>
      </c>
      <c r="X775">
        <f ca="1">Inputs!E15+(Inputs!G15-Inputs!E15)*BETAINV(RAND(),Model!J9,Model!K9)</f>
        <v>0.5263438360260293</v>
      </c>
      <c r="Y775">
        <f ca="1">(Inputs!H15+(Inputs!J15-Inputs!H15)*BETAINV(RAND(),Model!L9,Model!M9))*Inputs!$C$6</f>
        <v>19592.045442837756</v>
      </c>
      <c r="Z775">
        <f t="shared" ca="1" si="243"/>
        <v>0.32711261126995311</v>
      </c>
      <c r="AA775">
        <f t="shared" ca="1" si="244"/>
        <v>0.4369143223847155</v>
      </c>
      <c r="AB775">
        <f t="shared" ca="1" si="245"/>
        <v>0</v>
      </c>
      <c r="AC775" s="47">
        <f t="shared" ca="1" si="246"/>
        <v>0</v>
      </c>
      <c r="AD775">
        <f ca="1">Inputs!B16+(Inputs!D16-Inputs!B16)*BETAINV(RAND(),Model!H10,Model!I10)</f>
        <v>0.93204467949025704</v>
      </c>
      <c r="AE775">
        <f ca="1">Inputs!E16+(Inputs!G16-Inputs!E16)*BETAINV(RAND(),Model!J10,Model!K10)</f>
        <v>0.52294090945695793</v>
      </c>
      <c r="AF775">
        <f ca="1">(Inputs!H16+(Inputs!J16-Inputs!H16)*BETAINV(RAND(),Model!L10,Model!M10))*Inputs!$C$6</f>
        <v>79472.547458594592</v>
      </c>
      <c r="AG775">
        <f t="shared" ca="1" si="247"/>
        <v>0.48740429234715388</v>
      </c>
      <c r="AH775">
        <f t="shared" ca="1" si="248"/>
        <v>0.2703036015326693</v>
      </c>
      <c r="AI775">
        <f t="shared" ca="1" si="249"/>
        <v>0</v>
      </c>
      <c r="AJ775" s="47">
        <f t="shared" ca="1" si="250"/>
        <v>0</v>
      </c>
      <c r="AK775">
        <f t="shared" ca="1" si="251"/>
        <v>289221.53584677761</v>
      </c>
    </row>
    <row r="776" spans="2:37" x14ac:dyDescent="0.2">
      <c r="B776">
        <f ca="1">Inputs!B12+(Inputs!D12-Inputs!B12)*BETAINV(RAND(),Model!H6,Model!I6)</f>
        <v>2.6179887992005613</v>
      </c>
      <c r="C776">
        <f ca="1">Inputs!E12+(Inputs!G12-Inputs!E12)*BETAINV(RAND(),Model!J6,Model!K6)</f>
        <v>0.37603654342773041</v>
      </c>
      <c r="D776">
        <f ca="1">(Inputs!H12+(Inputs!J12-Inputs!H12)*BETAINV(RAND(),Model!L6,Model!M6))*Inputs!$C$6</f>
        <v>14566.590608718634</v>
      </c>
      <c r="E776">
        <f t="shared" ca="1" si="231"/>
        <v>0.98445945878389363</v>
      </c>
      <c r="F776">
        <f t="shared" ca="1" si="232"/>
        <v>0.78377414578464033</v>
      </c>
      <c r="G776">
        <f t="shared" ca="1" si="233"/>
        <v>2</v>
      </c>
      <c r="H776" s="47">
        <f t="shared" ca="1" si="234"/>
        <v>29133.181217437268</v>
      </c>
      <c r="I776">
        <f ca="1">Inputs!B13+(Inputs!D13-Inputs!B13)*BETAINV(RAND(),Model!H7,Model!I7)</f>
        <v>2.1165317199351596</v>
      </c>
      <c r="J776">
        <f ca="1">Inputs!E13+(Inputs!G13-Inputs!E13)*BETAINV(RAND(),Model!J7,Model!K7)</f>
        <v>0.3096092725948339</v>
      </c>
      <c r="K776">
        <f ca="1">(Inputs!H13+(Inputs!J13-Inputs!H13)*BETAINV(RAND(),Model!L7,Model!M7))*Inputs!$C$6</f>
        <v>50821.619992123444</v>
      </c>
      <c r="L776">
        <f t="shared" ca="1" si="235"/>
        <v>0.65529784623301746</v>
      </c>
      <c r="M776">
        <f t="shared" ca="1" si="236"/>
        <v>0.82819917418152933</v>
      </c>
      <c r="N776">
        <f t="shared" ca="1" si="237"/>
        <v>1</v>
      </c>
      <c r="O776" s="47">
        <f t="shared" ca="1" si="238"/>
        <v>50821.619992123444</v>
      </c>
      <c r="P776">
        <f ca="1">Inputs!B14+(Inputs!D14-Inputs!B14)*BETAINV(RAND(),Model!H8,Model!I8)</f>
        <v>0.25804923102214272</v>
      </c>
      <c r="Q776">
        <f ca="1">Inputs!E14+(Inputs!G14-Inputs!E14)*BETAINV(RAND(),Model!J8,Model!K8)</f>
        <v>0.57301161009660506</v>
      </c>
      <c r="R776">
        <f ca="1">(Inputs!H14+(Inputs!J14-Inputs!H14)*BETAINV(RAND(),Model!L8,Model!M8))*Inputs!$C$6</f>
        <v>210440.85066282912</v>
      </c>
      <c r="S776">
        <f t="shared" ca="1" si="239"/>
        <v>0.14786520535218881</v>
      </c>
      <c r="T776">
        <f t="shared" ca="1" si="240"/>
        <v>0.89455222130531165</v>
      </c>
      <c r="U776">
        <f t="shared" ca="1" si="241"/>
        <v>1</v>
      </c>
      <c r="V776" s="47">
        <f t="shared" ca="1" si="242"/>
        <v>210440.85066282912</v>
      </c>
      <c r="W776">
        <f ca="1">Inputs!B15+(Inputs!D15-Inputs!B15)*BETAINV(RAND(),Model!H9,Model!I9)</f>
        <v>0.82048965496405701</v>
      </c>
      <c r="X776">
        <f ca="1">Inputs!E15+(Inputs!G15-Inputs!E15)*BETAINV(RAND(),Model!J9,Model!K9)</f>
        <v>0.48508056749739709</v>
      </c>
      <c r="Y776">
        <f ca="1">(Inputs!H15+(Inputs!J15-Inputs!H15)*BETAINV(RAND(),Model!L9,Model!M9))*Inputs!$C$6</f>
        <v>35820.380302896796</v>
      </c>
      <c r="Z776">
        <f t="shared" ca="1" si="243"/>
        <v>0.3980035874557083</v>
      </c>
      <c r="AA776">
        <f t="shared" ca="1" si="244"/>
        <v>0.46881052075750884</v>
      </c>
      <c r="AB776">
        <f t="shared" ca="1" si="245"/>
        <v>0</v>
      </c>
      <c r="AC776" s="47">
        <f t="shared" ca="1" si="246"/>
        <v>0</v>
      </c>
      <c r="AD776">
        <f ca="1">Inputs!B16+(Inputs!D16-Inputs!B16)*BETAINV(RAND(),Model!H10,Model!I10)</f>
        <v>0.43229276031141101</v>
      </c>
      <c r="AE776">
        <f ca="1">Inputs!E16+(Inputs!G16-Inputs!E16)*BETAINV(RAND(),Model!J10,Model!K10)</f>
        <v>0.59106198355489437</v>
      </c>
      <c r="AF776">
        <f ca="1">(Inputs!H16+(Inputs!J16-Inputs!H16)*BETAINV(RAND(),Model!L10,Model!M10))*Inputs!$C$6</f>
        <v>143313.68322233905</v>
      </c>
      <c r="AG776">
        <f t="shared" ca="1" si="247"/>
        <v>0.25551181638608311</v>
      </c>
      <c r="AH776">
        <f t="shared" ca="1" si="248"/>
        <v>2.6858163386531908E-2</v>
      </c>
      <c r="AI776">
        <f t="shared" ca="1" si="249"/>
        <v>0</v>
      </c>
      <c r="AJ776" s="47">
        <f t="shared" ca="1" si="250"/>
        <v>0</v>
      </c>
      <c r="AK776">
        <f t="shared" ca="1" si="251"/>
        <v>290395.65187238983</v>
      </c>
    </row>
    <row r="777" spans="2:37" x14ac:dyDescent="0.2">
      <c r="B777">
        <f ca="1">Inputs!B12+(Inputs!D12-Inputs!B12)*BETAINV(RAND(),Model!H6,Model!I6)</f>
        <v>2.0778158828157496</v>
      </c>
      <c r="C777">
        <f ca="1">Inputs!E12+(Inputs!G12-Inputs!E12)*BETAINV(RAND(),Model!J6,Model!K6)</f>
        <v>0.20459916066059458</v>
      </c>
      <c r="D777">
        <f ca="1">(Inputs!H12+(Inputs!J12-Inputs!H12)*BETAINV(RAND(),Model!L6,Model!M6))*Inputs!$C$6</f>
        <v>57276.156359851986</v>
      </c>
      <c r="E777">
        <f t="shared" ca="1" si="231"/>
        <v>0.42511938563135471</v>
      </c>
      <c r="F777">
        <f t="shared" ca="1" si="232"/>
        <v>0.51925352598434882</v>
      </c>
      <c r="G777">
        <f t="shared" ca="1" si="233"/>
        <v>0</v>
      </c>
      <c r="H777" s="47">
        <f t="shared" ca="1" si="234"/>
        <v>0</v>
      </c>
      <c r="I777">
        <f ca="1">Inputs!B13+(Inputs!D13-Inputs!B13)*BETAINV(RAND(),Model!H7,Model!I7)</f>
        <v>2.7871419484264397</v>
      </c>
      <c r="J777">
        <f ca="1">Inputs!E13+(Inputs!G13-Inputs!E13)*BETAINV(RAND(),Model!J7,Model!K7)</f>
        <v>0.24958028952640232</v>
      </c>
      <c r="K777">
        <f ca="1">(Inputs!H13+(Inputs!J13-Inputs!H13)*BETAINV(RAND(),Model!L7,Model!M7))*Inputs!$C$6</f>
        <v>19981.150418377525</v>
      </c>
      <c r="L777">
        <f t="shared" ca="1" si="235"/>
        <v>0.69561569443945193</v>
      </c>
      <c r="M777">
        <f t="shared" ca="1" si="236"/>
        <v>0.99004018032137653</v>
      </c>
      <c r="N777">
        <f t="shared" ca="1" si="237"/>
        <v>3</v>
      </c>
      <c r="O777" s="47">
        <f t="shared" ca="1" si="238"/>
        <v>59943.451255132575</v>
      </c>
      <c r="P777">
        <f ca="1">Inputs!B14+(Inputs!D14-Inputs!B14)*BETAINV(RAND(),Model!H8,Model!I8)</f>
        <v>0.18650407326945415</v>
      </c>
      <c r="Q777">
        <f ca="1">Inputs!E14+(Inputs!G14-Inputs!E14)*BETAINV(RAND(),Model!J8,Model!K8)</f>
        <v>0.76514188518109982</v>
      </c>
      <c r="R777">
        <f ca="1">(Inputs!H14+(Inputs!J14-Inputs!H14)*BETAINV(RAND(),Model!L8,Model!M8))*Inputs!$C$6</f>
        <v>317811.42599808291</v>
      </c>
      <c r="S777">
        <f t="shared" ca="1" si="239"/>
        <v>0.14270207821534411</v>
      </c>
      <c r="T777">
        <f t="shared" ca="1" si="240"/>
        <v>0.36123965595162233</v>
      </c>
      <c r="U777">
        <f t="shared" ca="1" si="241"/>
        <v>0</v>
      </c>
      <c r="V777" s="47">
        <f t="shared" ca="1" si="242"/>
        <v>0</v>
      </c>
      <c r="W777">
        <f ca="1">Inputs!B15+(Inputs!D15-Inputs!B15)*BETAINV(RAND(),Model!H9,Model!I9)</f>
        <v>1.1410620683591106</v>
      </c>
      <c r="X777">
        <f ca="1">Inputs!E15+(Inputs!G15-Inputs!E15)*BETAINV(RAND(),Model!J9,Model!K9)</f>
        <v>0.38407282416209138</v>
      </c>
      <c r="Y777">
        <f ca="1">(Inputs!H15+(Inputs!J15-Inputs!H15)*BETAINV(RAND(),Model!L9,Model!M9))*Inputs!$C$6</f>
        <v>26247.697057898135</v>
      </c>
      <c r="Z777">
        <f t="shared" ca="1" si="243"/>
        <v>0.438250931138921</v>
      </c>
      <c r="AA777">
        <f t="shared" ca="1" si="244"/>
        <v>0.21802644460378939</v>
      </c>
      <c r="AB777">
        <f t="shared" ca="1" si="245"/>
        <v>0</v>
      </c>
      <c r="AC777" s="47">
        <f t="shared" ca="1" si="246"/>
        <v>0</v>
      </c>
      <c r="AD777">
        <f ca="1">Inputs!B16+(Inputs!D16-Inputs!B16)*BETAINV(RAND(),Model!H10,Model!I10)</f>
        <v>0.47729840923018174</v>
      </c>
      <c r="AE777">
        <f ca="1">Inputs!E16+(Inputs!G16-Inputs!E16)*BETAINV(RAND(),Model!J10,Model!K10)</f>
        <v>0.54359625556753299</v>
      </c>
      <c r="AF777">
        <f ca="1">(Inputs!H16+(Inputs!J16-Inputs!H16)*BETAINV(RAND(),Model!L10,Model!M10))*Inputs!$C$6</f>
        <v>116651.77958251367</v>
      </c>
      <c r="AG777">
        <f t="shared" ca="1" si="247"/>
        <v>0.25945762804586681</v>
      </c>
      <c r="AH777">
        <f t="shared" ca="1" si="248"/>
        <v>0.67192471155265554</v>
      </c>
      <c r="AI777">
        <f t="shared" ca="1" si="249"/>
        <v>0</v>
      </c>
      <c r="AJ777" s="47">
        <f t="shared" ca="1" si="250"/>
        <v>0</v>
      </c>
      <c r="AK777">
        <f t="shared" ca="1" si="251"/>
        <v>59943.451255132575</v>
      </c>
    </row>
    <row r="778" spans="2:37" x14ac:dyDescent="0.2">
      <c r="B778">
        <f ca="1">Inputs!B12+(Inputs!D12-Inputs!B12)*BETAINV(RAND(),Model!H6,Model!I6)</f>
        <v>5.6582781228367001</v>
      </c>
      <c r="C778">
        <f ca="1">Inputs!E12+(Inputs!G12-Inputs!E12)*BETAINV(RAND(),Model!J6,Model!K6)</f>
        <v>0.38537218122571282</v>
      </c>
      <c r="D778">
        <f ca="1">(Inputs!H12+(Inputs!J12-Inputs!H12)*BETAINV(RAND(),Model!L6,Model!M6))*Inputs!$C$6</f>
        <v>43269.794831364146</v>
      </c>
      <c r="E778">
        <f t="shared" ca="1" si="231"/>
        <v>2.1805429821793108</v>
      </c>
      <c r="F778">
        <f t="shared" ca="1" si="232"/>
        <v>0.88948273319788196</v>
      </c>
      <c r="G778">
        <f t="shared" ca="1" si="233"/>
        <v>4</v>
      </c>
      <c r="H778" s="47">
        <f t="shared" ca="1" si="234"/>
        <v>173079.17932545659</v>
      </c>
      <c r="I778">
        <f ca="1">Inputs!B13+(Inputs!D13-Inputs!B13)*BETAINV(RAND(),Model!H7,Model!I7)</f>
        <v>3.8183836299212714</v>
      </c>
      <c r="J778">
        <f ca="1">Inputs!E13+(Inputs!G13-Inputs!E13)*BETAINV(RAND(),Model!J7,Model!K7)</f>
        <v>0.1718007103367738</v>
      </c>
      <c r="K778">
        <f ca="1">(Inputs!H13+(Inputs!J13-Inputs!H13)*BETAINV(RAND(),Model!L7,Model!M7))*Inputs!$C$6</f>
        <v>49289.793831946758</v>
      </c>
      <c r="L778">
        <f t="shared" ca="1" si="235"/>
        <v>0.65600101995878324</v>
      </c>
      <c r="M778">
        <f t="shared" ca="1" si="236"/>
        <v>0.47491241293071884</v>
      </c>
      <c r="N778">
        <f t="shared" ca="1" si="237"/>
        <v>0</v>
      </c>
      <c r="O778" s="47">
        <f t="shared" ca="1" si="238"/>
        <v>0</v>
      </c>
      <c r="P778">
        <f ca="1">Inputs!B14+(Inputs!D14-Inputs!B14)*BETAINV(RAND(),Model!H8,Model!I8)</f>
        <v>0.19119490025259223</v>
      </c>
      <c r="Q778">
        <f ca="1">Inputs!E14+(Inputs!G14-Inputs!E14)*BETAINV(RAND(),Model!J8,Model!K8)</f>
        <v>0.63664517488550354</v>
      </c>
      <c r="R778">
        <f ca="1">(Inputs!H14+(Inputs!J14-Inputs!H14)*BETAINV(RAND(),Model!L8,Model!M8))*Inputs!$C$6</f>
        <v>461969.31374243635</v>
      </c>
      <c r="S778">
        <f t="shared" ca="1" si="239"/>
        <v>0.12172331070852799</v>
      </c>
      <c r="T778">
        <f t="shared" ca="1" si="240"/>
        <v>9.297796895052779E-2</v>
      </c>
      <c r="U778">
        <f t="shared" ca="1" si="241"/>
        <v>0</v>
      </c>
      <c r="V778" s="47">
        <f t="shared" ca="1" si="242"/>
        <v>0</v>
      </c>
      <c r="W778">
        <f ca="1">Inputs!B15+(Inputs!D15-Inputs!B15)*BETAINV(RAND(),Model!H9,Model!I9)</f>
        <v>1.1336861964355416</v>
      </c>
      <c r="X778">
        <f ca="1">Inputs!E15+(Inputs!G15-Inputs!E15)*BETAINV(RAND(),Model!J9,Model!K9)</f>
        <v>0.32522811929568074</v>
      </c>
      <c r="Y778">
        <f ca="1">(Inputs!H15+(Inputs!J15-Inputs!H15)*BETAINV(RAND(),Model!L9,Model!M9))*Inputs!$C$6</f>
        <v>17351.873984090576</v>
      </c>
      <c r="Z778">
        <f t="shared" ca="1" si="243"/>
        <v>0.36870662953820488</v>
      </c>
      <c r="AA778">
        <f t="shared" ca="1" si="244"/>
        <v>0.39343955028840061</v>
      </c>
      <c r="AB778">
        <f t="shared" ca="1" si="245"/>
        <v>0</v>
      </c>
      <c r="AC778" s="47">
        <f t="shared" ca="1" si="246"/>
        <v>0</v>
      </c>
      <c r="AD778">
        <f ca="1">Inputs!B16+(Inputs!D16-Inputs!B16)*BETAINV(RAND(),Model!H10,Model!I10)</f>
        <v>0.42304108190520157</v>
      </c>
      <c r="AE778">
        <f ca="1">Inputs!E16+(Inputs!G16-Inputs!E16)*BETAINV(RAND(),Model!J10,Model!K10)</f>
        <v>0.50333820764209014</v>
      </c>
      <c r="AF778">
        <f ca="1">(Inputs!H16+(Inputs!J16-Inputs!H16)*BETAINV(RAND(),Model!L10,Model!M10))*Inputs!$C$6</f>
        <v>51698.579477299223</v>
      </c>
      <c r="AG778">
        <f t="shared" ca="1" si="247"/>
        <v>0.21293273992513481</v>
      </c>
      <c r="AH778">
        <f t="shared" ca="1" si="248"/>
        <v>0.50769814968605076</v>
      </c>
      <c r="AI778">
        <f t="shared" ca="1" si="249"/>
        <v>0</v>
      </c>
      <c r="AJ778" s="47">
        <f t="shared" ca="1" si="250"/>
        <v>0</v>
      </c>
      <c r="AK778">
        <f t="shared" ca="1" si="251"/>
        <v>173079.17932545659</v>
      </c>
    </row>
    <row r="779" spans="2:37" x14ac:dyDescent="0.2">
      <c r="B779">
        <f ca="1">Inputs!B12+(Inputs!D12-Inputs!B12)*BETAINV(RAND(),Model!H6,Model!I6)</f>
        <v>4.9184474635681177</v>
      </c>
      <c r="C779">
        <f ca="1">Inputs!E12+(Inputs!G12-Inputs!E12)*BETAINV(RAND(),Model!J6,Model!K6)</f>
        <v>0.37268793003915324</v>
      </c>
      <c r="D779">
        <f ca="1">(Inputs!H12+(Inputs!J12-Inputs!H12)*BETAINV(RAND(),Model!L6,Model!M6))*Inputs!$C$6</f>
        <v>16923.476968367282</v>
      </c>
      <c r="E779">
        <f t="shared" ca="1" si="231"/>
        <v>1.8330460042035253</v>
      </c>
      <c r="F779">
        <f t="shared" ca="1" si="232"/>
        <v>0.36153011032727067</v>
      </c>
      <c r="G779">
        <f t="shared" ca="1" si="233"/>
        <v>1</v>
      </c>
      <c r="H779" s="47">
        <f t="shared" ca="1" si="234"/>
        <v>16923.476968367282</v>
      </c>
      <c r="I779">
        <f ca="1">Inputs!B13+(Inputs!D13-Inputs!B13)*BETAINV(RAND(),Model!H7,Model!I7)</f>
        <v>3.335733530599919</v>
      </c>
      <c r="J779">
        <f ca="1">Inputs!E13+(Inputs!G13-Inputs!E13)*BETAINV(RAND(),Model!J7,Model!K7)</f>
        <v>0.32101382650577248</v>
      </c>
      <c r="K779">
        <f ca="1">(Inputs!H13+(Inputs!J13-Inputs!H13)*BETAINV(RAND(),Model!L7,Model!M7))*Inputs!$C$6</f>
        <v>30534.559976434659</v>
      </c>
      <c r="L779">
        <f t="shared" ca="1" si="235"/>
        <v>1.0708165848614903</v>
      </c>
      <c r="M779">
        <f t="shared" ca="1" si="236"/>
        <v>0.11090401122203541</v>
      </c>
      <c r="N779">
        <f t="shared" ca="1" si="237"/>
        <v>0</v>
      </c>
      <c r="O779" s="47">
        <f t="shared" ca="1" si="238"/>
        <v>0</v>
      </c>
      <c r="P779">
        <f ca="1">Inputs!B14+(Inputs!D14-Inputs!B14)*BETAINV(RAND(),Model!H8,Model!I8)</f>
        <v>0.2748883052976695</v>
      </c>
      <c r="Q779">
        <f ca="1">Inputs!E14+(Inputs!G14-Inputs!E14)*BETAINV(RAND(),Model!J8,Model!K8)</f>
        <v>0.64783277484445034</v>
      </c>
      <c r="R779">
        <f ca="1">(Inputs!H14+(Inputs!J14-Inputs!H14)*BETAINV(RAND(),Model!L8,Model!M8))*Inputs!$C$6</f>
        <v>488315.68859857862</v>
      </c>
      <c r="S779">
        <f t="shared" ca="1" si="239"/>
        <v>0.17808165359327766</v>
      </c>
      <c r="T779">
        <f t="shared" ca="1" si="240"/>
        <v>0.24680601933610158</v>
      </c>
      <c r="U779">
        <f t="shared" ca="1" si="241"/>
        <v>0</v>
      </c>
      <c r="V779" s="47">
        <f t="shared" ca="1" si="242"/>
        <v>0</v>
      </c>
      <c r="W779">
        <f ca="1">Inputs!B15+(Inputs!D15-Inputs!B15)*BETAINV(RAND(),Model!H9,Model!I9)</f>
        <v>1.7717726073123301</v>
      </c>
      <c r="X779">
        <f ca="1">Inputs!E15+(Inputs!G15-Inputs!E15)*BETAINV(RAND(),Model!J9,Model!K9)</f>
        <v>0.39299155492833709</v>
      </c>
      <c r="Y779">
        <f ca="1">(Inputs!H15+(Inputs!J15-Inputs!H15)*BETAINV(RAND(),Model!L9,Model!M9))*Inputs!$C$6</f>
        <v>28158.296335832776</v>
      </c>
      <c r="Z779">
        <f t="shared" ca="1" si="243"/>
        <v>0.69629167192710661</v>
      </c>
      <c r="AA779">
        <f t="shared" ca="1" si="244"/>
        <v>0.83992878996358666</v>
      </c>
      <c r="AB779">
        <f t="shared" ca="1" si="245"/>
        <v>1</v>
      </c>
      <c r="AC779" s="47">
        <f t="shared" ca="1" si="246"/>
        <v>28158.296335832776</v>
      </c>
      <c r="AD779">
        <f ca="1">Inputs!B16+(Inputs!D16-Inputs!B16)*BETAINV(RAND(),Model!H10,Model!I10)</f>
        <v>0.45544011708324028</v>
      </c>
      <c r="AE779">
        <f ca="1">Inputs!E16+(Inputs!G16-Inputs!E16)*BETAINV(RAND(),Model!J10,Model!K10)</f>
        <v>0.74055522643443106</v>
      </c>
      <c r="AF779">
        <f ca="1">(Inputs!H16+(Inputs!J16-Inputs!H16)*BETAINV(RAND(),Model!L10,Model!M10))*Inputs!$C$6</f>
        <v>51195.959283805343</v>
      </c>
      <c r="AG779">
        <f t="shared" ca="1" si="247"/>
        <v>0.3372785590339028</v>
      </c>
      <c r="AH779">
        <f t="shared" ca="1" si="248"/>
        <v>0.43090082599048951</v>
      </c>
      <c r="AI779">
        <f t="shared" ca="1" si="249"/>
        <v>0</v>
      </c>
      <c r="AJ779" s="47">
        <f t="shared" ca="1" si="250"/>
        <v>0</v>
      </c>
      <c r="AK779">
        <f t="shared" ca="1" si="251"/>
        <v>45081.773304200062</v>
      </c>
    </row>
    <row r="780" spans="2:37" x14ac:dyDescent="0.2">
      <c r="B780">
        <f ca="1">Inputs!B12+(Inputs!D12-Inputs!B12)*BETAINV(RAND(),Model!H6,Model!I6)</f>
        <v>5.2962385331764583</v>
      </c>
      <c r="C780">
        <f ca="1">Inputs!E12+(Inputs!G12-Inputs!E12)*BETAINV(RAND(),Model!J6,Model!K6)</f>
        <v>0.38310018442749327</v>
      </c>
      <c r="D780">
        <f ca="1">(Inputs!H12+(Inputs!J12-Inputs!H12)*BETAINV(RAND(),Model!L6,Model!M6))*Inputs!$C$6</f>
        <v>47592.971671387633</v>
      </c>
      <c r="E780">
        <f t="shared" ref="E780:E843" ca="1" si="252">B780*C780</f>
        <v>2.0289899588318976</v>
      </c>
      <c r="F780">
        <f t="shared" ref="F780:F843" ca="1" si="253">RAND()</f>
        <v>0.14826307741852307</v>
      </c>
      <c r="G780">
        <f t="shared" ref="G780:G843" ca="1" si="254">IF(F780&lt;EXP(-E780),0,IF(F780&lt;EXP(-E780)*(1+E780),1,IF(F780&lt;EXP(-E780)*(1+E780+E780^2/2),2,IF(F780&lt;EXP(-E780)*(1+E780+E780^2/2+E780^3/6),3,4))))</f>
        <v>1</v>
      </c>
      <c r="H780" s="47">
        <f t="shared" ref="H780:H843" ca="1" si="255">G780*D780</f>
        <v>47592.971671387633</v>
      </c>
      <c r="I780">
        <f ca="1">Inputs!B13+(Inputs!D13-Inputs!B13)*BETAINV(RAND(),Model!H7,Model!I7)</f>
        <v>2.0873116854602225</v>
      </c>
      <c r="J780">
        <f ca="1">Inputs!E13+(Inputs!G13-Inputs!E13)*BETAINV(RAND(),Model!J7,Model!K7)</f>
        <v>0.30477952913108997</v>
      </c>
      <c r="K780">
        <f ca="1">(Inputs!H13+(Inputs!J13-Inputs!H13)*BETAINV(RAND(),Model!L7,Model!M7))*Inputs!$C$6</f>
        <v>37137.720723079765</v>
      </c>
      <c r="L780">
        <f t="shared" ref="L780:L843" ca="1" si="256">I780*J780</f>
        <v>0.6361698726443884</v>
      </c>
      <c r="M780">
        <f t="shared" ref="M780:M843" ca="1" si="257">RAND()</f>
        <v>0.66948186185130665</v>
      </c>
      <c r="N780">
        <f t="shared" ref="N780:N843" ca="1" si="258">IF(M780&lt;EXP(-L780),0,IF(M780&lt;EXP(-L780)*(1+L780),1,IF(M780&lt;EXP(-L780)*(1+L780+L780^2/2),2,IF(M780&lt;EXP(-L780)*(1+L780+L780^2/2+L780^3/6),3,4))))</f>
        <v>1</v>
      </c>
      <c r="O780" s="47">
        <f t="shared" ref="O780:O843" ca="1" si="259">N780*K780</f>
        <v>37137.720723079765</v>
      </c>
      <c r="P780">
        <f ca="1">Inputs!B14+(Inputs!D14-Inputs!B14)*BETAINV(RAND(),Model!H8,Model!I8)</f>
        <v>0.31425521513470145</v>
      </c>
      <c r="Q780">
        <f ca="1">Inputs!E14+(Inputs!G14-Inputs!E14)*BETAINV(RAND(),Model!J8,Model!K8)</f>
        <v>0.63390860523377723</v>
      </c>
      <c r="R780">
        <f ca="1">(Inputs!H14+(Inputs!J14-Inputs!H14)*BETAINV(RAND(),Model!L8,Model!M8))*Inputs!$C$6</f>
        <v>467179.09295401681</v>
      </c>
      <c r="S780">
        <f t="shared" ref="S780:S843" ca="1" si="260">P780*Q780</f>
        <v>0.19920908511347921</v>
      </c>
      <c r="T780">
        <f t="shared" ref="T780:T843" ca="1" si="261">RAND()</f>
        <v>0.29597869930674381</v>
      </c>
      <c r="U780">
        <f t="shared" ref="U780:U843" ca="1" si="262">IF(T780&lt;EXP(-S780),0,IF(T780&lt;EXP(-S780)*(1+S780),1,IF(T780&lt;EXP(-S780)*(1+S780+S780^2/2),2,IF(T780&lt;EXP(-S780)*(1+S780+S780^2/2+S780^3/6),3,4))))</f>
        <v>0</v>
      </c>
      <c r="V780" s="47">
        <f t="shared" ref="V780:V843" ca="1" si="263">U780*R780</f>
        <v>0</v>
      </c>
      <c r="W780">
        <f ca="1">Inputs!B15+(Inputs!D15-Inputs!B15)*BETAINV(RAND(),Model!H9,Model!I9)</f>
        <v>1.0028114005678834</v>
      </c>
      <c r="X780">
        <f ca="1">Inputs!E15+(Inputs!G15-Inputs!E15)*BETAINV(RAND(),Model!J9,Model!K9)</f>
        <v>0.29216791417294602</v>
      </c>
      <c r="Y780">
        <f ca="1">(Inputs!H15+(Inputs!J15-Inputs!H15)*BETAINV(RAND(),Model!L9,Model!M9))*Inputs!$C$6</f>
        <v>17278.644247329234</v>
      </c>
      <c r="Z780">
        <f t="shared" ref="Z780:Z843" ca="1" si="264">W780*X780</f>
        <v>0.29298931521276916</v>
      </c>
      <c r="AA780">
        <f t="shared" ref="AA780:AA843" ca="1" si="265">RAND()</f>
        <v>0.14444778513132361</v>
      </c>
      <c r="AB780">
        <f t="shared" ref="AB780:AB843" ca="1" si="266">IF(AA780&lt;EXP(-Z780),0,IF(AA780&lt;EXP(-Z780)*(1+Z780),1,IF(AA780&lt;EXP(-Z780)*(1+Z780+Z780^2/2),2,IF(AA780&lt;EXP(-Z780)*(1+Z780+Z780^2/2+Z780^3/6),3,4))))</f>
        <v>0</v>
      </c>
      <c r="AC780" s="47">
        <f t="shared" ref="AC780:AC843" ca="1" si="267">AB780*Y780</f>
        <v>0</v>
      </c>
      <c r="AD780">
        <f ca="1">Inputs!B16+(Inputs!D16-Inputs!B16)*BETAINV(RAND(),Model!H10,Model!I10)</f>
        <v>0.51176440232720444</v>
      </c>
      <c r="AE780">
        <f ca="1">Inputs!E16+(Inputs!G16-Inputs!E16)*BETAINV(RAND(),Model!J10,Model!K10)</f>
        <v>0.50313035271102502</v>
      </c>
      <c r="AF780">
        <f ca="1">(Inputs!H16+(Inputs!J16-Inputs!H16)*BETAINV(RAND(),Model!L10,Model!M10))*Inputs!$C$6</f>
        <v>98149.487105551132</v>
      </c>
      <c r="AG780">
        <f t="shared" ref="AG780:AG843" ca="1" si="268">AD780*AE780</f>
        <v>0.2574842042478333</v>
      </c>
      <c r="AH780">
        <f t="shared" ref="AH780:AH843" ca="1" si="269">RAND()</f>
        <v>0.37242147046553953</v>
      </c>
      <c r="AI780">
        <f t="shared" ref="AI780:AI843" ca="1" si="270">IF(AH780&lt;EXP(-AG780),0,IF(AH780&lt;EXP(-AG780)*(1+AG780),1,IF(AH780&lt;EXP(-AG780)*(1+AG780+AG780^2/2),2,IF(AH780&lt;EXP(-AG780)*(1+AG780+AG780^2/2+AG780^3/6),3,4))))</f>
        <v>0</v>
      </c>
      <c r="AJ780" s="47">
        <f t="shared" ref="AJ780:AJ843" ca="1" si="271">AI780*AF780</f>
        <v>0</v>
      </c>
      <c r="AK780">
        <f t="shared" ref="AK780:AK843" ca="1" si="272">H780+O780+V780+AC780+AJ780</f>
        <v>84730.692394467391</v>
      </c>
    </row>
    <row r="781" spans="2:37" x14ac:dyDescent="0.2">
      <c r="B781">
        <f ca="1">Inputs!B12+(Inputs!D12-Inputs!B12)*BETAINV(RAND(),Model!H6,Model!I6)</f>
        <v>2.2244347883718802</v>
      </c>
      <c r="C781">
        <f ca="1">Inputs!E12+(Inputs!G12-Inputs!E12)*BETAINV(RAND(),Model!J6,Model!K6)</f>
        <v>0.27905893347709038</v>
      </c>
      <c r="D781">
        <f ca="1">(Inputs!H12+(Inputs!J12-Inputs!H12)*BETAINV(RAND(),Model!L6,Model!M6))*Inputs!$C$6</f>
        <v>9422.6809586838008</v>
      </c>
      <c r="E781">
        <f t="shared" ca="1" si="252"/>
        <v>0.62074839963239414</v>
      </c>
      <c r="F781">
        <f t="shared" ca="1" si="253"/>
        <v>0.79028895137400423</v>
      </c>
      <c r="G781">
        <f t="shared" ca="1" si="254"/>
        <v>1</v>
      </c>
      <c r="H781" s="47">
        <f t="shared" ca="1" si="255"/>
        <v>9422.6809586838008</v>
      </c>
      <c r="I781">
        <f ca="1">Inputs!B13+(Inputs!D13-Inputs!B13)*BETAINV(RAND(),Model!H7,Model!I7)</f>
        <v>1.633661095813171</v>
      </c>
      <c r="J781">
        <f ca="1">Inputs!E13+(Inputs!G13-Inputs!E13)*BETAINV(RAND(),Model!J7,Model!K7)</f>
        <v>0.38291785396562983</v>
      </c>
      <c r="K781">
        <f ca="1">(Inputs!H13+(Inputs!J13-Inputs!H13)*BETAINV(RAND(),Model!L7,Model!M7))*Inputs!$C$6</f>
        <v>58429.42602555301</v>
      </c>
      <c r="L781">
        <f t="shared" ca="1" si="256"/>
        <v>0.62555800091591862</v>
      </c>
      <c r="M781">
        <f t="shared" ca="1" si="257"/>
        <v>0.74375732103411241</v>
      </c>
      <c r="N781">
        <f t="shared" ca="1" si="258"/>
        <v>1</v>
      </c>
      <c r="O781" s="47">
        <f t="shared" ca="1" si="259"/>
        <v>58429.42602555301</v>
      </c>
      <c r="P781">
        <f ca="1">Inputs!B14+(Inputs!D14-Inputs!B14)*BETAINV(RAND(),Model!H8,Model!I8)</f>
        <v>0.49864666496354193</v>
      </c>
      <c r="Q781">
        <f ca="1">Inputs!E14+(Inputs!G14-Inputs!E14)*BETAINV(RAND(),Model!J8,Model!K8)</f>
        <v>0.57880301428824188</v>
      </c>
      <c r="R781">
        <f ca="1">(Inputs!H14+(Inputs!J14-Inputs!H14)*BETAINV(RAND(),Model!L8,Model!M8))*Inputs!$C$6</f>
        <v>381168.01050853427</v>
      </c>
      <c r="S781">
        <f t="shared" ca="1" si="260"/>
        <v>0.28861819274567713</v>
      </c>
      <c r="T781">
        <f t="shared" ca="1" si="261"/>
        <v>9.3516039063499368E-2</v>
      </c>
      <c r="U781">
        <f t="shared" ca="1" si="262"/>
        <v>0</v>
      </c>
      <c r="V781" s="47">
        <f t="shared" ca="1" si="263"/>
        <v>0</v>
      </c>
      <c r="W781">
        <f ca="1">Inputs!B15+(Inputs!D15-Inputs!B15)*BETAINV(RAND(),Model!H9,Model!I9)</f>
        <v>0.79549432497622796</v>
      </c>
      <c r="X781">
        <f ca="1">Inputs!E15+(Inputs!G15-Inputs!E15)*BETAINV(RAND(),Model!J9,Model!K9)</f>
        <v>0.46047847422857136</v>
      </c>
      <c r="Y781">
        <f ca="1">(Inputs!H15+(Inputs!J15-Inputs!H15)*BETAINV(RAND(),Model!L9,Model!M9))*Inputs!$C$6</f>
        <v>19816.386601273793</v>
      </c>
      <c r="Z781">
        <f t="shared" ca="1" si="264"/>
        <v>0.36630801302254073</v>
      </c>
      <c r="AA781">
        <f t="shared" ca="1" si="265"/>
        <v>0.53308358330454608</v>
      </c>
      <c r="AB781">
        <f t="shared" ca="1" si="266"/>
        <v>0</v>
      </c>
      <c r="AC781" s="47">
        <f t="shared" ca="1" si="267"/>
        <v>0</v>
      </c>
      <c r="AD781">
        <f ca="1">Inputs!B16+(Inputs!D16-Inputs!B16)*BETAINV(RAND(),Model!H10,Model!I10)</f>
        <v>0.2825686671687595</v>
      </c>
      <c r="AE781">
        <f ca="1">Inputs!E16+(Inputs!G16-Inputs!E16)*BETAINV(RAND(),Model!J10,Model!K10)</f>
        <v>0.52114884175991072</v>
      </c>
      <c r="AF781">
        <f ca="1">(Inputs!H16+(Inputs!J16-Inputs!H16)*BETAINV(RAND(),Model!L10,Model!M10))*Inputs!$C$6</f>
        <v>123969.08091052854</v>
      </c>
      <c r="AG781">
        <f t="shared" ca="1" si="268"/>
        <v>0.14726033361264074</v>
      </c>
      <c r="AH781">
        <f t="shared" ca="1" si="269"/>
        <v>0.93869670654746529</v>
      </c>
      <c r="AI781">
        <f t="shared" ca="1" si="270"/>
        <v>1</v>
      </c>
      <c r="AJ781" s="47">
        <f t="shared" ca="1" si="271"/>
        <v>123969.08091052854</v>
      </c>
      <c r="AK781">
        <f t="shared" ca="1" si="272"/>
        <v>191821.18789476535</v>
      </c>
    </row>
    <row r="782" spans="2:37" x14ac:dyDescent="0.2">
      <c r="B782">
        <f ca="1">Inputs!B12+(Inputs!D12-Inputs!B12)*BETAINV(RAND(),Model!H6,Model!I6)</f>
        <v>1.1872642755790539</v>
      </c>
      <c r="C782">
        <f ca="1">Inputs!E12+(Inputs!G12-Inputs!E12)*BETAINV(RAND(),Model!J6,Model!K6)</f>
        <v>0.28195551697662402</v>
      </c>
      <c r="D782">
        <f ca="1">(Inputs!H12+(Inputs!J12-Inputs!H12)*BETAINV(RAND(),Model!L6,Model!M6))*Inputs!$C$6</f>
        <v>18305.793407221587</v>
      </c>
      <c r="E782">
        <f t="shared" ca="1" si="252"/>
        <v>0.33475571260876913</v>
      </c>
      <c r="F782">
        <f t="shared" ca="1" si="253"/>
        <v>0.51189863364284705</v>
      </c>
      <c r="G782">
        <f t="shared" ca="1" si="254"/>
        <v>0</v>
      </c>
      <c r="H782" s="47">
        <f t="shared" ca="1" si="255"/>
        <v>0</v>
      </c>
      <c r="I782">
        <f ca="1">Inputs!B13+(Inputs!D13-Inputs!B13)*BETAINV(RAND(),Model!H7,Model!I7)</f>
        <v>2.1248123036465705</v>
      </c>
      <c r="J782">
        <f ca="1">Inputs!E13+(Inputs!G13-Inputs!E13)*BETAINV(RAND(),Model!J7,Model!K7)</f>
        <v>0.21817124121293624</v>
      </c>
      <c r="K782">
        <f ca="1">(Inputs!H13+(Inputs!J13-Inputs!H13)*BETAINV(RAND(),Model!L7,Model!M7))*Inputs!$C$6</f>
        <v>55129.494842975982</v>
      </c>
      <c r="L782">
        <f t="shared" ca="1" si="256"/>
        <v>0.46357293763109064</v>
      </c>
      <c r="M782">
        <f t="shared" ca="1" si="257"/>
        <v>0.70058399420608097</v>
      </c>
      <c r="N782">
        <f t="shared" ca="1" si="258"/>
        <v>1</v>
      </c>
      <c r="O782" s="47">
        <f t="shared" ca="1" si="259"/>
        <v>55129.494842975982</v>
      </c>
      <c r="P782">
        <f ca="1">Inputs!B14+(Inputs!D14-Inputs!B14)*BETAINV(RAND(),Model!H8,Model!I8)</f>
        <v>0.18770550911760037</v>
      </c>
      <c r="Q782">
        <f ca="1">Inputs!E14+(Inputs!G14-Inputs!E14)*BETAINV(RAND(),Model!J8,Model!K8)</f>
        <v>0.52854932380803032</v>
      </c>
      <c r="R782">
        <f ca="1">(Inputs!H14+(Inputs!J14-Inputs!H14)*BETAINV(RAND(),Model!L8,Model!M8))*Inputs!$C$6</f>
        <v>391121.15458399354</v>
      </c>
      <c r="S782">
        <f t="shared" ca="1" si="260"/>
        <v>9.9211619919149743E-2</v>
      </c>
      <c r="T782">
        <f t="shared" ca="1" si="261"/>
        <v>0.86595677197627041</v>
      </c>
      <c r="U782">
        <f t="shared" ca="1" si="262"/>
        <v>0</v>
      </c>
      <c r="V782" s="47">
        <f t="shared" ca="1" si="263"/>
        <v>0</v>
      </c>
      <c r="W782">
        <f ca="1">Inputs!B15+(Inputs!D15-Inputs!B15)*BETAINV(RAND(),Model!H9,Model!I9)</f>
        <v>2.2478976833488074</v>
      </c>
      <c r="X782">
        <f ca="1">Inputs!E15+(Inputs!G15-Inputs!E15)*BETAINV(RAND(),Model!J9,Model!K9)</f>
        <v>0.32115123156859904</v>
      </c>
      <c r="Y782">
        <f ca="1">(Inputs!H15+(Inputs!J15-Inputs!H15)*BETAINV(RAND(),Model!L9,Model!M9))*Inputs!$C$6</f>
        <v>56251.987226553872</v>
      </c>
      <c r="Z782">
        <f t="shared" ca="1" si="264"/>
        <v>0.72191510944767012</v>
      </c>
      <c r="AA782">
        <f t="shared" ca="1" si="265"/>
        <v>0.98788973307044003</v>
      </c>
      <c r="AB782">
        <f t="shared" ca="1" si="266"/>
        <v>3</v>
      </c>
      <c r="AC782" s="47">
        <f t="shared" ca="1" si="267"/>
        <v>168755.96167966162</v>
      </c>
      <c r="AD782">
        <f ca="1">Inputs!B16+(Inputs!D16-Inputs!B16)*BETAINV(RAND(),Model!H10,Model!I10)</f>
        <v>0.77482498943871581</v>
      </c>
      <c r="AE782">
        <f ca="1">Inputs!E16+(Inputs!G16-Inputs!E16)*BETAINV(RAND(),Model!J10,Model!K10)</f>
        <v>0.59642811380940253</v>
      </c>
      <c r="AF782">
        <f ca="1">(Inputs!H16+(Inputs!J16-Inputs!H16)*BETAINV(RAND(),Model!L10,Model!M10))*Inputs!$C$6</f>
        <v>69282.951213437409</v>
      </c>
      <c r="AG782">
        <f t="shared" ca="1" si="268"/>
        <v>0.4621274069833235</v>
      </c>
      <c r="AH782">
        <f t="shared" ca="1" si="269"/>
        <v>9.9925175568794655E-3</v>
      </c>
      <c r="AI782">
        <f t="shared" ca="1" si="270"/>
        <v>0</v>
      </c>
      <c r="AJ782" s="47">
        <f t="shared" ca="1" si="271"/>
        <v>0</v>
      </c>
      <c r="AK782">
        <f t="shared" ca="1" si="272"/>
        <v>223885.4565226376</v>
      </c>
    </row>
    <row r="783" spans="2:37" x14ac:dyDescent="0.2">
      <c r="B783">
        <f ca="1">Inputs!B12+(Inputs!D12-Inputs!B12)*BETAINV(RAND(),Model!H6,Model!I6)</f>
        <v>4.027318131695834</v>
      </c>
      <c r="C783">
        <f ca="1">Inputs!E12+(Inputs!G12-Inputs!E12)*BETAINV(RAND(),Model!J6,Model!K6)</f>
        <v>0.27210576479290854</v>
      </c>
      <c r="D783">
        <f ca="1">(Inputs!H12+(Inputs!J12-Inputs!H12)*BETAINV(RAND(),Model!L6,Model!M6))*Inputs!$C$6</f>
        <v>12207.294162736738</v>
      </c>
      <c r="E783">
        <f t="shared" ca="1" si="252"/>
        <v>1.0958564802894424</v>
      </c>
      <c r="F783">
        <f t="shared" ca="1" si="253"/>
        <v>0.26974143790449301</v>
      </c>
      <c r="G783">
        <f t="shared" ca="1" si="254"/>
        <v>0</v>
      </c>
      <c r="H783" s="47">
        <f t="shared" ca="1" si="255"/>
        <v>0</v>
      </c>
      <c r="I783">
        <f ca="1">Inputs!B13+(Inputs!D13-Inputs!B13)*BETAINV(RAND(),Model!H7,Model!I7)</f>
        <v>1.9855090071033015</v>
      </c>
      <c r="J783">
        <f ca="1">Inputs!E13+(Inputs!G13-Inputs!E13)*BETAINV(RAND(),Model!J7,Model!K7)</f>
        <v>0.32776493358485381</v>
      </c>
      <c r="K783">
        <f ca="1">(Inputs!H13+(Inputs!J13-Inputs!H13)*BETAINV(RAND(),Model!L7,Model!M7))*Inputs!$C$6</f>
        <v>42045.494707007339</v>
      </c>
      <c r="L783">
        <f t="shared" ca="1" si="256"/>
        <v>0.65078022784534262</v>
      </c>
      <c r="M783">
        <f t="shared" ca="1" si="257"/>
        <v>0.9415055829643747</v>
      </c>
      <c r="N783">
        <f t="shared" ca="1" si="258"/>
        <v>2</v>
      </c>
      <c r="O783" s="47">
        <f t="shared" ca="1" si="259"/>
        <v>84090.989414014679</v>
      </c>
      <c r="P783">
        <f ca="1">Inputs!B14+(Inputs!D14-Inputs!B14)*BETAINV(RAND(),Model!H8,Model!I8)</f>
        <v>0.45342089745565795</v>
      </c>
      <c r="Q783">
        <f ca="1">Inputs!E14+(Inputs!G14-Inputs!E14)*BETAINV(RAND(),Model!J8,Model!K8)</f>
        <v>0.55242900618567392</v>
      </c>
      <c r="R783">
        <f ca="1">(Inputs!H14+(Inputs!J14-Inputs!H14)*BETAINV(RAND(),Model!L8,Model!M8))*Inputs!$C$6</f>
        <v>533285.73955076479</v>
      </c>
      <c r="S783">
        <f t="shared" ca="1" si="260"/>
        <v>0.25048285576524548</v>
      </c>
      <c r="T783">
        <f t="shared" ca="1" si="261"/>
        <v>0.67505092538743117</v>
      </c>
      <c r="U783">
        <f t="shared" ca="1" si="262"/>
        <v>0</v>
      </c>
      <c r="V783" s="47">
        <f t="shared" ca="1" si="263"/>
        <v>0</v>
      </c>
      <c r="W783">
        <f ca="1">Inputs!B15+(Inputs!D15-Inputs!B15)*BETAINV(RAND(),Model!H9,Model!I9)</f>
        <v>0.69996811774335044</v>
      </c>
      <c r="X783">
        <f ca="1">Inputs!E15+(Inputs!G15-Inputs!E15)*BETAINV(RAND(),Model!J9,Model!K9)</f>
        <v>0.38530292843317004</v>
      </c>
      <c r="Y783">
        <f ca="1">(Inputs!H15+(Inputs!J15-Inputs!H15)*BETAINV(RAND(),Model!L9,Model!M9))*Inputs!$C$6</f>
        <v>12349.011282798108</v>
      </c>
      <c r="Z783">
        <f t="shared" ca="1" si="264"/>
        <v>0.26969976557636688</v>
      </c>
      <c r="AA783">
        <f t="shared" ca="1" si="265"/>
        <v>0.92147304643155659</v>
      </c>
      <c r="AB783">
        <f t="shared" ca="1" si="266"/>
        <v>1</v>
      </c>
      <c r="AC783" s="47">
        <f t="shared" ca="1" si="267"/>
        <v>12349.011282798108</v>
      </c>
      <c r="AD783">
        <f ca="1">Inputs!B16+(Inputs!D16-Inputs!B16)*BETAINV(RAND(),Model!H10,Model!I10)</f>
        <v>0.45653852640047843</v>
      </c>
      <c r="AE783">
        <f ca="1">Inputs!E16+(Inputs!G16-Inputs!E16)*BETAINV(RAND(),Model!J10,Model!K10)</f>
        <v>0.57956465858730444</v>
      </c>
      <c r="AF783">
        <f ca="1">(Inputs!H16+(Inputs!J16-Inputs!H16)*BETAINV(RAND(),Model!L10,Model!M10))*Inputs!$C$6</f>
        <v>125801.41093808597</v>
      </c>
      <c r="AG783">
        <f t="shared" ca="1" si="268"/>
        <v>0.26459359518524433</v>
      </c>
      <c r="AH783">
        <f t="shared" ca="1" si="269"/>
        <v>0.2906069417467565</v>
      </c>
      <c r="AI783">
        <f t="shared" ca="1" si="270"/>
        <v>0</v>
      </c>
      <c r="AJ783" s="47">
        <f t="shared" ca="1" si="271"/>
        <v>0</v>
      </c>
      <c r="AK783">
        <f t="shared" ca="1" si="272"/>
        <v>96440.000696812785</v>
      </c>
    </row>
    <row r="784" spans="2:37" x14ac:dyDescent="0.2">
      <c r="B784">
        <f ca="1">Inputs!B12+(Inputs!D12-Inputs!B12)*BETAINV(RAND(),Model!H6,Model!I6)</f>
        <v>1.8988001964606445</v>
      </c>
      <c r="C784">
        <f ca="1">Inputs!E12+(Inputs!G12-Inputs!E12)*BETAINV(RAND(),Model!J6,Model!K6)</f>
        <v>0.24877192765515871</v>
      </c>
      <c r="D784">
        <f ca="1">(Inputs!H12+(Inputs!J12-Inputs!H12)*BETAINV(RAND(),Model!L6,Model!M6))*Inputs!$C$6</f>
        <v>29902.864940402564</v>
      </c>
      <c r="E784">
        <f t="shared" ca="1" si="252"/>
        <v>0.4723681851055086</v>
      </c>
      <c r="F784">
        <f t="shared" ca="1" si="253"/>
        <v>0.54439144028750375</v>
      </c>
      <c r="G784">
        <f t="shared" ca="1" si="254"/>
        <v>0</v>
      </c>
      <c r="H784" s="47">
        <f t="shared" ca="1" si="255"/>
        <v>0</v>
      </c>
      <c r="I784">
        <f ca="1">Inputs!B13+(Inputs!D13-Inputs!B13)*BETAINV(RAND(),Model!H7,Model!I7)</f>
        <v>1.7389545623434042</v>
      </c>
      <c r="J784">
        <f ca="1">Inputs!E13+(Inputs!G13-Inputs!E13)*BETAINV(RAND(),Model!J7,Model!K7)</f>
        <v>0.25297951043538014</v>
      </c>
      <c r="K784">
        <f ca="1">(Inputs!H13+(Inputs!J13-Inputs!H13)*BETAINV(RAND(),Model!L7,Model!M7))*Inputs!$C$6</f>
        <v>20135.549899557609</v>
      </c>
      <c r="L784">
        <f t="shared" ca="1" si="256"/>
        <v>0.43991987385100512</v>
      </c>
      <c r="M784">
        <f t="shared" ca="1" si="257"/>
        <v>0.94526971420034978</v>
      </c>
      <c r="N784">
        <f t="shared" ca="1" si="258"/>
        <v>2</v>
      </c>
      <c r="O784" s="47">
        <f t="shared" ca="1" si="259"/>
        <v>40271.099799115218</v>
      </c>
      <c r="P784">
        <f ca="1">Inputs!B14+(Inputs!D14-Inputs!B14)*BETAINV(RAND(),Model!H8,Model!I8)</f>
        <v>0.39544763167126007</v>
      </c>
      <c r="Q784">
        <f ca="1">Inputs!E14+(Inputs!G14-Inputs!E14)*BETAINV(RAND(),Model!J8,Model!K8)</f>
        <v>0.46855752191241584</v>
      </c>
      <c r="R784">
        <f ca="1">(Inputs!H14+(Inputs!J14-Inputs!H14)*BETAINV(RAND(),Model!L8,Model!M8))*Inputs!$C$6</f>
        <v>471231.02276123664</v>
      </c>
      <c r="S784">
        <f t="shared" ca="1" si="260"/>
        <v>0.18528996234201939</v>
      </c>
      <c r="T784">
        <f t="shared" ca="1" si="261"/>
        <v>0.58913963387471435</v>
      </c>
      <c r="U784">
        <f t="shared" ca="1" si="262"/>
        <v>0</v>
      </c>
      <c r="V784" s="47">
        <f t="shared" ca="1" si="263"/>
        <v>0</v>
      </c>
      <c r="W784">
        <f ca="1">Inputs!B15+(Inputs!D15-Inputs!B15)*BETAINV(RAND(),Model!H9,Model!I9)</f>
        <v>1.6539025664303504</v>
      </c>
      <c r="X784">
        <f ca="1">Inputs!E15+(Inputs!G15-Inputs!E15)*BETAINV(RAND(),Model!J9,Model!K9)</f>
        <v>0.44431470279933294</v>
      </c>
      <c r="Y784">
        <f ca="1">(Inputs!H15+(Inputs!J15-Inputs!H15)*BETAINV(RAND(),Model!L9,Model!M9))*Inputs!$C$6</f>
        <v>48142.55517865203</v>
      </c>
      <c r="Z784">
        <f t="shared" ca="1" si="264"/>
        <v>0.73485322726255509</v>
      </c>
      <c r="AA784">
        <f t="shared" ca="1" si="265"/>
        <v>0.91718353657455121</v>
      </c>
      <c r="AB784">
        <f t="shared" ca="1" si="266"/>
        <v>2</v>
      </c>
      <c r="AC784" s="47">
        <f t="shared" ca="1" si="267"/>
        <v>96285.11035730406</v>
      </c>
      <c r="AD784">
        <f ca="1">Inputs!B16+(Inputs!D16-Inputs!B16)*BETAINV(RAND(),Model!H10,Model!I10)</f>
        <v>0.63850175754448535</v>
      </c>
      <c r="AE784">
        <f ca="1">Inputs!E16+(Inputs!G16-Inputs!E16)*BETAINV(RAND(),Model!J10,Model!K10)</f>
        <v>0.66478156294374524</v>
      </c>
      <c r="AF784">
        <f ca="1">(Inputs!H16+(Inputs!J16-Inputs!H16)*BETAINV(RAND(),Model!L10,Model!M10))*Inputs!$C$6</f>
        <v>88096.312192572179</v>
      </c>
      <c r="AG784">
        <f t="shared" ca="1" si="268"/>
        <v>0.42446419632275123</v>
      </c>
      <c r="AH784">
        <f t="shared" ca="1" si="269"/>
        <v>0.25474618924598269</v>
      </c>
      <c r="AI784">
        <f t="shared" ca="1" si="270"/>
        <v>0</v>
      </c>
      <c r="AJ784" s="47">
        <f t="shared" ca="1" si="271"/>
        <v>0</v>
      </c>
      <c r="AK784">
        <f t="shared" ca="1" si="272"/>
        <v>136556.21015641929</v>
      </c>
    </row>
    <row r="785" spans="2:37" x14ac:dyDescent="0.2">
      <c r="B785">
        <f ca="1">Inputs!B12+(Inputs!D12-Inputs!B12)*BETAINV(RAND(),Model!H6,Model!I6)</f>
        <v>3.0741173804143243</v>
      </c>
      <c r="C785">
        <f ca="1">Inputs!E12+(Inputs!G12-Inputs!E12)*BETAINV(RAND(),Model!J6,Model!K6)</f>
        <v>0.19890911140602535</v>
      </c>
      <c r="D785">
        <f ca="1">(Inputs!H12+(Inputs!J12-Inputs!H12)*BETAINV(RAND(),Model!L6,Model!M6))*Inputs!$C$6</f>
        <v>22353.789088441459</v>
      </c>
      <c r="E785">
        <f t="shared" ca="1" si="252"/>
        <v>0.61146995649603164</v>
      </c>
      <c r="F785">
        <f t="shared" ca="1" si="253"/>
        <v>0.46465819626355565</v>
      </c>
      <c r="G785">
        <f t="shared" ca="1" si="254"/>
        <v>0</v>
      </c>
      <c r="H785" s="47">
        <f t="shared" ca="1" si="255"/>
        <v>0</v>
      </c>
      <c r="I785">
        <f ca="1">Inputs!B13+(Inputs!D13-Inputs!B13)*BETAINV(RAND(),Model!H7,Model!I7)</f>
        <v>0.87258287737208184</v>
      </c>
      <c r="J785">
        <f ca="1">Inputs!E13+(Inputs!G13-Inputs!E13)*BETAINV(RAND(),Model!J7,Model!K7)</f>
        <v>0.12889785047371483</v>
      </c>
      <c r="K785">
        <f ca="1">(Inputs!H13+(Inputs!J13-Inputs!H13)*BETAINV(RAND(),Model!L7,Model!M7))*Inputs!$C$6</f>
        <v>47046.547046206302</v>
      </c>
      <c r="L785">
        <f t="shared" ca="1" si="256"/>
        <v>0.11247405725343045</v>
      </c>
      <c r="M785">
        <f t="shared" ca="1" si="257"/>
        <v>0.52547785095708277</v>
      </c>
      <c r="N785">
        <f t="shared" ca="1" si="258"/>
        <v>0</v>
      </c>
      <c r="O785" s="47">
        <f t="shared" ca="1" si="259"/>
        <v>0</v>
      </c>
      <c r="P785">
        <f ca="1">Inputs!B14+(Inputs!D14-Inputs!B14)*BETAINV(RAND(),Model!H8,Model!I8)</f>
        <v>0.29023348972150176</v>
      </c>
      <c r="Q785">
        <f ca="1">Inputs!E14+(Inputs!G14-Inputs!E14)*BETAINV(RAND(),Model!J8,Model!K8)</f>
        <v>0.51907259803410832</v>
      </c>
      <c r="R785">
        <f ca="1">(Inputs!H14+(Inputs!J14-Inputs!H14)*BETAINV(RAND(),Model!L8,Model!M8))*Inputs!$C$6</f>
        <v>520968.93737589772</v>
      </c>
      <c r="S785">
        <f t="shared" ca="1" si="260"/>
        <v>0.15065225154624559</v>
      </c>
      <c r="T785">
        <f t="shared" ca="1" si="261"/>
        <v>0.2751560371584042</v>
      </c>
      <c r="U785">
        <f t="shared" ca="1" si="262"/>
        <v>0</v>
      </c>
      <c r="V785" s="47">
        <f t="shared" ca="1" si="263"/>
        <v>0</v>
      </c>
      <c r="W785">
        <f ca="1">Inputs!B15+(Inputs!D15-Inputs!B15)*BETAINV(RAND(),Model!H9,Model!I9)</f>
        <v>1.0757135651714005</v>
      </c>
      <c r="X785">
        <f ca="1">Inputs!E15+(Inputs!G15-Inputs!E15)*BETAINV(RAND(),Model!J9,Model!K9)</f>
        <v>0.54284507869466625</v>
      </c>
      <c r="Y785">
        <f ca="1">(Inputs!H15+(Inputs!J15-Inputs!H15)*BETAINV(RAND(),Model!L9,Model!M9))*Inputs!$C$6</f>
        <v>50082.134030752866</v>
      </c>
      <c r="Z785">
        <f t="shared" ca="1" si="264"/>
        <v>0.58394581493838893</v>
      </c>
      <c r="AA785">
        <f t="shared" ca="1" si="265"/>
        <v>0.26825363017974668</v>
      </c>
      <c r="AB785">
        <f t="shared" ca="1" si="266"/>
        <v>0</v>
      </c>
      <c r="AC785" s="47">
        <f t="shared" ca="1" si="267"/>
        <v>0</v>
      </c>
      <c r="AD785">
        <f ca="1">Inputs!B16+(Inputs!D16-Inputs!B16)*BETAINV(RAND(),Model!H10,Model!I10)</f>
        <v>0.81639335495332577</v>
      </c>
      <c r="AE785">
        <f ca="1">Inputs!E16+(Inputs!G16-Inputs!E16)*BETAINV(RAND(),Model!J10,Model!K10)</f>
        <v>0.63524427281758422</v>
      </c>
      <c r="AF785">
        <f ca="1">(Inputs!H16+(Inputs!J16-Inputs!H16)*BETAINV(RAND(),Model!L10,Model!M10))*Inputs!$C$6</f>
        <v>144779.58760574681</v>
      </c>
      <c r="AG785">
        <f t="shared" ca="1" si="268"/>
        <v>0.51860920310043335</v>
      </c>
      <c r="AH785">
        <f t="shared" ca="1" si="269"/>
        <v>0.53792531847687863</v>
      </c>
      <c r="AI785">
        <f t="shared" ca="1" si="270"/>
        <v>0</v>
      </c>
      <c r="AJ785" s="47">
        <f t="shared" ca="1" si="271"/>
        <v>0</v>
      </c>
      <c r="AK785">
        <f t="shared" ca="1" si="272"/>
        <v>0</v>
      </c>
    </row>
    <row r="786" spans="2:37" x14ac:dyDescent="0.2">
      <c r="B786">
        <f ca="1">Inputs!B12+(Inputs!D12-Inputs!B12)*BETAINV(RAND(),Model!H6,Model!I6)</f>
        <v>1.9514619241251119</v>
      </c>
      <c r="C786">
        <f ca="1">Inputs!E12+(Inputs!G12-Inputs!E12)*BETAINV(RAND(),Model!J6,Model!K6)</f>
        <v>0.28069839743977426</v>
      </c>
      <c r="D786">
        <f ca="1">(Inputs!H12+(Inputs!J12-Inputs!H12)*BETAINV(RAND(),Model!L6,Model!M6))*Inputs!$C$6</f>
        <v>24844.442322839885</v>
      </c>
      <c r="E786">
        <f t="shared" ca="1" si="252"/>
        <v>0.54777223476665726</v>
      </c>
      <c r="F786">
        <f t="shared" ca="1" si="253"/>
        <v>0.74674359344397034</v>
      </c>
      <c r="G786">
        <f t="shared" ca="1" si="254"/>
        <v>1</v>
      </c>
      <c r="H786" s="47">
        <f t="shared" ca="1" si="255"/>
        <v>24844.442322839885</v>
      </c>
      <c r="I786">
        <f ca="1">Inputs!B13+(Inputs!D13-Inputs!B13)*BETAINV(RAND(),Model!H7,Model!I7)</f>
        <v>3.4574168029757795</v>
      </c>
      <c r="J786">
        <f ca="1">Inputs!E13+(Inputs!G13-Inputs!E13)*BETAINV(RAND(),Model!J7,Model!K7)</f>
        <v>0.38791020403468213</v>
      </c>
      <c r="K786">
        <f ca="1">(Inputs!H13+(Inputs!J13-Inputs!H13)*BETAINV(RAND(),Model!L7,Model!M7))*Inputs!$C$6</f>
        <v>36857.228546544487</v>
      </c>
      <c r="L786">
        <f t="shared" ca="1" si="256"/>
        <v>1.3411672574752729</v>
      </c>
      <c r="M786">
        <f t="shared" ca="1" si="257"/>
        <v>8.7789149773726427E-2</v>
      </c>
      <c r="N786">
        <f t="shared" ca="1" si="258"/>
        <v>0</v>
      </c>
      <c r="O786" s="47">
        <f t="shared" ca="1" si="259"/>
        <v>0</v>
      </c>
      <c r="P786">
        <f ca="1">Inputs!B14+(Inputs!D14-Inputs!B14)*BETAINV(RAND(),Model!H8,Model!I8)</f>
        <v>0.21405648730455229</v>
      </c>
      <c r="Q786">
        <f ca="1">Inputs!E14+(Inputs!G14-Inputs!E14)*BETAINV(RAND(),Model!J8,Model!K8)</f>
        <v>0.46766100859729987</v>
      </c>
      <c r="R786">
        <f ca="1">(Inputs!H14+(Inputs!J14-Inputs!H14)*BETAINV(RAND(),Model!L8,Model!M8))*Inputs!$C$6</f>
        <v>452484.38967614266</v>
      </c>
      <c r="S786">
        <f t="shared" ca="1" si="260"/>
        <v>0.10010587274964204</v>
      </c>
      <c r="T786">
        <f t="shared" ca="1" si="261"/>
        <v>0.38647776960540603</v>
      </c>
      <c r="U786">
        <f t="shared" ca="1" si="262"/>
        <v>0</v>
      </c>
      <c r="V786" s="47">
        <f t="shared" ca="1" si="263"/>
        <v>0</v>
      </c>
      <c r="W786">
        <f ca="1">Inputs!B15+(Inputs!D15-Inputs!B15)*BETAINV(RAND(),Model!H9,Model!I9)</f>
        <v>1.5699286869833382</v>
      </c>
      <c r="X786">
        <f ca="1">Inputs!E15+(Inputs!G15-Inputs!E15)*BETAINV(RAND(),Model!J9,Model!K9)</f>
        <v>0.41636914458825336</v>
      </c>
      <c r="Y786">
        <f ca="1">(Inputs!H15+(Inputs!J15-Inputs!H15)*BETAINV(RAND(),Model!L9,Model!M9))*Inputs!$C$6</f>
        <v>23443.235745556023</v>
      </c>
      <c r="Z786">
        <f t="shared" ca="1" si="264"/>
        <v>0.65366986446381226</v>
      </c>
      <c r="AA786">
        <f t="shared" ca="1" si="265"/>
        <v>0.48677683295326513</v>
      </c>
      <c r="AB786">
        <f t="shared" ca="1" si="266"/>
        <v>0</v>
      </c>
      <c r="AC786" s="47">
        <f t="shared" ca="1" si="267"/>
        <v>0</v>
      </c>
      <c r="AD786">
        <f ca="1">Inputs!B16+(Inputs!D16-Inputs!B16)*BETAINV(RAND(),Model!H10,Model!I10)</f>
        <v>1.0191876554332946</v>
      </c>
      <c r="AE786">
        <f ca="1">Inputs!E16+(Inputs!G16-Inputs!E16)*BETAINV(RAND(),Model!J10,Model!K10)</f>
        <v>0.5876654910515009</v>
      </c>
      <c r="AF786">
        <f ca="1">(Inputs!H16+(Inputs!J16-Inputs!H16)*BETAINV(RAND(),Model!L10,Model!M10))*Inputs!$C$6</f>
        <v>66423.682423406062</v>
      </c>
      <c r="AG786">
        <f t="shared" ca="1" si="268"/>
        <v>0.59894141400383494</v>
      </c>
      <c r="AH786">
        <f t="shared" ca="1" si="269"/>
        <v>0.47162599098001168</v>
      </c>
      <c r="AI786">
        <f t="shared" ca="1" si="270"/>
        <v>0</v>
      </c>
      <c r="AJ786" s="47">
        <f t="shared" ca="1" si="271"/>
        <v>0</v>
      </c>
      <c r="AK786">
        <f t="shared" ca="1" si="272"/>
        <v>24844.442322839885</v>
      </c>
    </row>
    <row r="787" spans="2:37" x14ac:dyDescent="0.2">
      <c r="B787">
        <f ca="1">Inputs!B12+(Inputs!D12-Inputs!B12)*BETAINV(RAND(),Model!H6,Model!I6)</f>
        <v>4.880155350496052</v>
      </c>
      <c r="C787">
        <f ca="1">Inputs!E12+(Inputs!G12-Inputs!E12)*BETAINV(RAND(),Model!J6,Model!K6)</f>
        <v>0.31479996652605524</v>
      </c>
      <c r="D787">
        <f ca="1">(Inputs!H12+(Inputs!J12-Inputs!H12)*BETAINV(RAND(),Model!L6,Model!M6))*Inputs!$C$6</f>
        <v>20929.69858182859</v>
      </c>
      <c r="E787">
        <f t="shared" ca="1" si="252"/>
        <v>1.5362727409781065</v>
      </c>
      <c r="F787">
        <f t="shared" ca="1" si="253"/>
        <v>0.88659711658681728</v>
      </c>
      <c r="G787">
        <f t="shared" ca="1" si="254"/>
        <v>3</v>
      </c>
      <c r="H787" s="47">
        <f t="shared" ca="1" si="255"/>
        <v>62789.095745485771</v>
      </c>
      <c r="I787">
        <f ca="1">Inputs!B13+(Inputs!D13-Inputs!B13)*BETAINV(RAND(),Model!H7,Model!I7)</f>
        <v>1.9675782292893265</v>
      </c>
      <c r="J787">
        <f ca="1">Inputs!E13+(Inputs!G13-Inputs!E13)*BETAINV(RAND(),Model!J7,Model!K7)</f>
        <v>0.24238691436958076</v>
      </c>
      <c r="K787">
        <f ca="1">(Inputs!H13+(Inputs!J13-Inputs!H13)*BETAINV(RAND(),Model!L7,Model!M7))*Inputs!$C$6</f>
        <v>55670.767214175605</v>
      </c>
      <c r="L787">
        <f t="shared" ca="1" si="256"/>
        <v>0.47691521577820334</v>
      </c>
      <c r="M787">
        <f t="shared" ca="1" si="257"/>
        <v>0.50384003182349946</v>
      </c>
      <c r="N787">
        <f t="shared" ca="1" si="258"/>
        <v>0</v>
      </c>
      <c r="O787" s="47">
        <f t="shared" ca="1" si="259"/>
        <v>0</v>
      </c>
      <c r="P787">
        <f ca="1">Inputs!B14+(Inputs!D14-Inputs!B14)*BETAINV(RAND(),Model!H8,Model!I8)</f>
        <v>0.4863075269218482</v>
      </c>
      <c r="Q787">
        <f ca="1">Inputs!E14+(Inputs!G14-Inputs!E14)*BETAINV(RAND(),Model!J8,Model!K8)</f>
        <v>0.4961213991575314</v>
      </c>
      <c r="R787">
        <f ca="1">(Inputs!H14+(Inputs!J14-Inputs!H14)*BETAINV(RAND(),Model!L8,Model!M8))*Inputs!$C$6</f>
        <v>515690.66015905194</v>
      </c>
      <c r="S787">
        <f t="shared" ca="1" si="260"/>
        <v>0.2412675706773062</v>
      </c>
      <c r="T787">
        <f t="shared" ca="1" si="261"/>
        <v>0.12067403255586129</v>
      </c>
      <c r="U787">
        <f t="shared" ca="1" si="262"/>
        <v>0</v>
      </c>
      <c r="V787" s="47">
        <f t="shared" ca="1" si="263"/>
        <v>0</v>
      </c>
      <c r="W787">
        <f ca="1">Inputs!B15+(Inputs!D15-Inputs!B15)*BETAINV(RAND(),Model!H9,Model!I9)</f>
        <v>1.6960797589220902</v>
      </c>
      <c r="X787">
        <f ca="1">Inputs!E15+(Inputs!G15-Inputs!E15)*BETAINV(RAND(),Model!J9,Model!K9)</f>
        <v>0.36392380812207492</v>
      </c>
      <c r="Y787">
        <f ca="1">(Inputs!H15+(Inputs!J15-Inputs!H15)*BETAINV(RAND(),Model!L9,Model!M9))*Inputs!$C$6</f>
        <v>25098.57767809182</v>
      </c>
      <c r="Z787">
        <f t="shared" ca="1" si="264"/>
        <v>0.61724380474569784</v>
      </c>
      <c r="AA787">
        <f t="shared" ca="1" si="265"/>
        <v>0.42287468359581271</v>
      </c>
      <c r="AB787">
        <f t="shared" ca="1" si="266"/>
        <v>0</v>
      </c>
      <c r="AC787" s="47">
        <f t="shared" ca="1" si="267"/>
        <v>0</v>
      </c>
      <c r="AD787">
        <f ca="1">Inputs!B16+(Inputs!D16-Inputs!B16)*BETAINV(RAND(),Model!H10,Model!I10)</f>
        <v>0.55294935900703113</v>
      </c>
      <c r="AE787">
        <f ca="1">Inputs!E16+(Inputs!G16-Inputs!E16)*BETAINV(RAND(),Model!J10,Model!K10)</f>
        <v>0.5447348207342958</v>
      </c>
      <c r="AF787">
        <f ca="1">(Inputs!H16+(Inputs!J16-Inputs!H16)*BETAINV(RAND(),Model!L10,Model!M10))*Inputs!$C$6</f>
        <v>109691.1551347458</v>
      </c>
      <c r="AG787">
        <f t="shared" ca="1" si="268"/>
        <v>0.30121076995383889</v>
      </c>
      <c r="AH787">
        <f t="shared" ca="1" si="269"/>
        <v>0.35375155816343939</v>
      </c>
      <c r="AI787">
        <f t="shared" ca="1" si="270"/>
        <v>0</v>
      </c>
      <c r="AJ787" s="47">
        <f t="shared" ca="1" si="271"/>
        <v>0</v>
      </c>
      <c r="AK787">
        <f t="shared" ca="1" si="272"/>
        <v>62789.095745485771</v>
      </c>
    </row>
    <row r="788" spans="2:37" x14ac:dyDescent="0.2">
      <c r="B788">
        <f ca="1">Inputs!B12+(Inputs!D12-Inputs!B12)*BETAINV(RAND(),Model!H6,Model!I6)</f>
        <v>2.6442430349935311</v>
      </c>
      <c r="C788">
        <f ca="1">Inputs!E12+(Inputs!G12-Inputs!E12)*BETAINV(RAND(),Model!J6,Model!K6)</f>
        <v>0.38055126221548785</v>
      </c>
      <c r="D788">
        <f ca="1">(Inputs!H12+(Inputs!J12-Inputs!H12)*BETAINV(RAND(),Model!L6,Model!M6))*Inputs!$C$6</f>
        <v>17581.170424985321</v>
      </c>
      <c r="E788">
        <f t="shared" ca="1" si="252"/>
        <v>1.0062700245713008</v>
      </c>
      <c r="F788">
        <f t="shared" ca="1" si="253"/>
        <v>0.15874269266074315</v>
      </c>
      <c r="G788">
        <f t="shared" ca="1" si="254"/>
        <v>0</v>
      </c>
      <c r="H788" s="47">
        <f t="shared" ca="1" si="255"/>
        <v>0</v>
      </c>
      <c r="I788">
        <f ca="1">Inputs!B13+(Inputs!D13-Inputs!B13)*BETAINV(RAND(),Model!H7,Model!I7)</f>
        <v>3.5621699872007722</v>
      </c>
      <c r="J788">
        <f ca="1">Inputs!E13+(Inputs!G13-Inputs!E13)*BETAINV(RAND(),Model!J7,Model!K7)</f>
        <v>0.2982413283626707</v>
      </c>
      <c r="K788">
        <f ca="1">(Inputs!H13+(Inputs!J13-Inputs!H13)*BETAINV(RAND(),Model!L7,Model!M7))*Inputs!$C$6</f>
        <v>15061.835594846822</v>
      </c>
      <c r="L788">
        <f t="shared" ca="1" si="256"/>
        <v>1.0623863088363961</v>
      </c>
      <c r="M788">
        <f t="shared" ca="1" si="257"/>
        <v>0.30758567268160697</v>
      </c>
      <c r="N788">
        <f t="shared" ca="1" si="258"/>
        <v>0</v>
      </c>
      <c r="O788" s="47">
        <f t="shared" ca="1" si="259"/>
        <v>0</v>
      </c>
      <c r="P788">
        <f ca="1">Inputs!B14+(Inputs!D14-Inputs!B14)*BETAINV(RAND(),Model!H8,Model!I8)</f>
        <v>0.27813041420734086</v>
      </c>
      <c r="Q788">
        <f ca="1">Inputs!E14+(Inputs!G14-Inputs!E14)*BETAINV(RAND(),Model!J8,Model!K8)</f>
        <v>0.45282494798515516</v>
      </c>
      <c r="R788">
        <f ca="1">(Inputs!H14+(Inputs!J14-Inputs!H14)*BETAINV(RAND(),Model!L8,Model!M8))*Inputs!$C$6</f>
        <v>315675.25075949176</v>
      </c>
      <c r="S788">
        <f t="shared" ca="1" si="260"/>
        <v>0.1259443903465288</v>
      </c>
      <c r="T788">
        <f t="shared" ca="1" si="261"/>
        <v>0.40925599294905823</v>
      </c>
      <c r="U788">
        <f t="shared" ca="1" si="262"/>
        <v>0</v>
      </c>
      <c r="V788" s="47">
        <f t="shared" ca="1" si="263"/>
        <v>0</v>
      </c>
      <c r="W788">
        <f ca="1">Inputs!B15+(Inputs!D15-Inputs!B15)*BETAINV(RAND(),Model!H9,Model!I9)</f>
        <v>0.5872417582015923</v>
      </c>
      <c r="X788">
        <f ca="1">Inputs!E15+(Inputs!G15-Inputs!E15)*BETAINV(RAND(),Model!J9,Model!K9)</f>
        <v>0.39063249474626083</v>
      </c>
      <c r="Y788">
        <f ca="1">(Inputs!H15+(Inputs!J15-Inputs!H15)*BETAINV(RAND(),Model!L9,Model!M9))*Inputs!$C$6</f>
        <v>43076.033190144408</v>
      </c>
      <c r="Z788">
        <f t="shared" ca="1" si="264"/>
        <v>0.22939571302546849</v>
      </c>
      <c r="AA788">
        <f t="shared" ca="1" si="265"/>
        <v>0.72402879644364448</v>
      </c>
      <c r="AB788">
        <f t="shared" ca="1" si="266"/>
        <v>0</v>
      </c>
      <c r="AC788" s="47">
        <f t="shared" ca="1" si="267"/>
        <v>0</v>
      </c>
      <c r="AD788">
        <f ca="1">Inputs!B16+(Inputs!D16-Inputs!B16)*BETAINV(RAND(),Model!H10,Model!I10)</f>
        <v>0.71734172542896157</v>
      </c>
      <c r="AE788">
        <f ca="1">Inputs!E16+(Inputs!G16-Inputs!E16)*BETAINV(RAND(),Model!J10,Model!K10)</f>
        <v>0.60172826496831866</v>
      </c>
      <c r="AF788">
        <f ca="1">(Inputs!H16+(Inputs!J16-Inputs!H16)*BETAINV(RAND(),Model!L10,Model!M10))*Inputs!$C$6</f>
        <v>77014.077278826706</v>
      </c>
      <c r="AG788">
        <f t="shared" ca="1" si="268"/>
        <v>0.43164479183174909</v>
      </c>
      <c r="AH788">
        <f t="shared" ca="1" si="269"/>
        <v>0.75263882752292599</v>
      </c>
      <c r="AI788">
        <f t="shared" ca="1" si="270"/>
        <v>1</v>
      </c>
      <c r="AJ788" s="47">
        <f t="shared" ca="1" si="271"/>
        <v>77014.077278826706</v>
      </c>
      <c r="AK788">
        <f t="shared" ca="1" si="272"/>
        <v>77014.077278826706</v>
      </c>
    </row>
    <row r="789" spans="2:37" x14ac:dyDescent="0.2">
      <c r="B789">
        <f ca="1">Inputs!B12+(Inputs!D12-Inputs!B12)*BETAINV(RAND(),Model!H6,Model!I6)</f>
        <v>5.2188484673083932</v>
      </c>
      <c r="C789">
        <f ca="1">Inputs!E12+(Inputs!G12-Inputs!E12)*BETAINV(RAND(),Model!J6,Model!K6)</f>
        <v>0.42413617560896433</v>
      </c>
      <c r="D789">
        <f ca="1">(Inputs!H12+(Inputs!J12-Inputs!H12)*BETAINV(RAND(),Model!L6,Model!M6))*Inputs!$C$6</f>
        <v>30118.937953247478</v>
      </c>
      <c r="E789">
        <f t="shared" ca="1" si="252"/>
        <v>2.2135024300068871</v>
      </c>
      <c r="F789">
        <f t="shared" ca="1" si="253"/>
        <v>0.95211003909538217</v>
      </c>
      <c r="G789">
        <f t="shared" ca="1" si="254"/>
        <v>4</v>
      </c>
      <c r="H789" s="47">
        <f t="shared" ca="1" si="255"/>
        <v>120475.75181298991</v>
      </c>
      <c r="I789">
        <f ca="1">Inputs!B13+(Inputs!D13-Inputs!B13)*BETAINV(RAND(),Model!H7,Model!I7)</f>
        <v>3.0969354444025345</v>
      </c>
      <c r="J789">
        <f ca="1">Inputs!E13+(Inputs!G13-Inputs!E13)*BETAINV(RAND(),Model!J7,Model!K7)</f>
        <v>0.30747951000352169</v>
      </c>
      <c r="K789">
        <f ca="1">(Inputs!H13+(Inputs!J13-Inputs!H13)*BETAINV(RAND(),Model!L7,Model!M7))*Inputs!$C$6</f>
        <v>35399.196194375239</v>
      </c>
      <c r="L789">
        <f t="shared" ca="1" si="256"/>
        <v>0.95224419295743001</v>
      </c>
      <c r="M789">
        <f t="shared" ca="1" si="257"/>
        <v>3.3956693017710649E-2</v>
      </c>
      <c r="N789">
        <f t="shared" ca="1" si="258"/>
        <v>0</v>
      </c>
      <c r="O789" s="47">
        <f t="shared" ca="1" si="259"/>
        <v>0</v>
      </c>
      <c r="P789">
        <f ca="1">Inputs!B14+(Inputs!D14-Inputs!B14)*BETAINV(RAND(),Model!H8,Model!I8)</f>
        <v>0.47183411693577937</v>
      </c>
      <c r="Q789">
        <f ca="1">Inputs!E14+(Inputs!G14-Inputs!E14)*BETAINV(RAND(),Model!J8,Model!K8)</f>
        <v>0.60726120798204719</v>
      </c>
      <c r="R789">
        <f ca="1">(Inputs!H14+(Inputs!J14-Inputs!H14)*BETAINV(RAND(),Model!L8,Model!M8))*Inputs!$C$6</f>
        <v>214212.46295303159</v>
      </c>
      <c r="S789">
        <f t="shared" ca="1" si="260"/>
        <v>0.28652655581756387</v>
      </c>
      <c r="T789">
        <f t="shared" ca="1" si="261"/>
        <v>0.20269156511165543</v>
      </c>
      <c r="U789">
        <f t="shared" ca="1" si="262"/>
        <v>0</v>
      </c>
      <c r="V789" s="47">
        <f t="shared" ca="1" si="263"/>
        <v>0</v>
      </c>
      <c r="W789">
        <f ca="1">Inputs!B15+(Inputs!D15-Inputs!B15)*BETAINV(RAND(),Model!H9,Model!I9)</f>
        <v>0.6374319801300109</v>
      </c>
      <c r="X789">
        <f ca="1">Inputs!E15+(Inputs!G15-Inputs!E15)*BETAINV(RAND(),Model!J9,Model!K9)</f>
        <v>0.34496554602996643</v>
      </c>
      <c r="Y789">
        <f ca="1">(Inputs!H15+(Inputs!J15-Inputs!H15)*BETAINV(RAND(),Model!L9,Model!M9))*Inputs!$C$6</f>
        <v>34293.119891611212</v>
      </c>
      <c r="Z789">
        <f t="shared" ca="1" si="264"/>
        <v>0.21989207108251191</v>
      </c>
      <c r="AA789">
        <f t="shared" ca="1" si="265"/>
        <v>0.33790175431022229</v>
      </c>
      <c r="AB789">
        <f t="shared" ca="1" si="266"/>
        <v>0</v>
      </c>
      <c r="AC789" s="47">
        <f t="shared" ca="1" si="267"/>
        <v>0</v>
      </c>
      <c r="AD789">
        <f ca="1">Inputs!B16+(Inputs!D16-Inputs!B16)*BETAINV(RAND(),Model!H10,Model!I10)</f>
        <v>0.62179337135550017</v>
      </c>
      <c r="AE789">
        <f ca="1">Inputs!E16+(Inputs!G16-Inputs!E16)*BETAINV(RAND(),Model!J10,Model!K10)</f>
        <v>0.50952051166339707</v>
      </c>
      <c r="AF789">
        <f ca="1">(Inputs!H16+(Inputs!J16-Inputs!H16)*BETAINV(RAND(),Model!L10,Model!M10))*Inputs!$C$6</f>
        <v>92825.706510342017</v>
      </c>
      <c r="AG789">
        <f t="shared" ca="1" si="268"/>
        <v>0.31681647672196311</v>
      </c>
      <c r="AH789">
        <f t="shared" ca="1" si="269"/>
        <v>0.33007587940922445</v>
      </c>
      <c r="AI789">
        <f t="shared" ca="1" si="270"/>
        <v>0</v>
      </c>
      <c r="AJ789" s="47">
        <f t="shared" ca="1" si="271"/>
        <v>0</v>
      </c>
      <c r="AK789">
        <f t="shared" ca="1" si="272"/>
        <v>120475.75181298991</v>
      </c>
    </row>
    <row r="790" spans="2:37" x14ac:dyDescent="0.2">
      <c r="B790">
        <f ca="1">Inputs!B12+(Inputs!D12-Inputs!B12)*BETAINV(RAND(),Model!H6,Model!I6)</f>
        <v>3.2751396495728402</v>
      </c>
      <c r="C790">
        <f ca="1">Inputs!E12+(Inputs!G12-Inputs!E12)*BETAINV(RAND(),Model!J6,Model!K6)</f>
        <v>0.2635415405339705</v>
      </c>
      <c r="D790">
        <f ca="1">(Inputs!H12+(Inputs!J12-Inputs!H12)*BETAINV(RAND(),Model!L6,Model!M6))*Inputs!$C$6</f>
        <v>9709.6570516216398</v>
      </c>
      <c r="E790">
        <f t="shared" ca="1" si="252"/>
        <v>0.86313534871231457</v>
      </c>
      <c r="F790">
        <f t="shared" ca="1" si="253"/>
        <v>0.97113846112078528</v>
      </c>
      <c r="G790">
        <f t="shared" ca="1" si="254"/>
        <v>3</v>
      </c>
      <c r="H790" s="47">
        <f t="shared" ca="1" si="255"/>
        <v>29128.971154864921</v>
      </c>
      <c r="I790">
        <f ca="1">Inputs!B13+(Inputs!D13-Inputs!B13)*BETAINV(RAND(),Model!H7,Model!I7)</f>
        <v>3.4994045162885348</v>
      </c>
      <c r="J790">
        <f ca="1">Inputs!E13+(Inputs!G13-Inputs!E13)*BETAINV(RAND(),Model!J7,Model!K7)</f>
        <v>0.22261396495530328</v>
      </c>
      <c r="K790">
        <f ca="1">(Inputs!H13+(Inputs!J13-Inputs!H13)*BETAINV(RAND(),Model!L7,Model!M7))*Inputs!$C$6</f>
        <v>54576.522787723436</v>
      </c>
      <c r="L790">
        <f t="shared" ca="1" si="256"/>
        <v>0.77901631435348595</v>
      </c>
      <c r="M790">
        <f t="shared" ca="1" si="257"/>
        <v>0.66844656412642622</v>
      </c>
      <c r="N790">
        <f t="shared" ca="1" si="258"/>
        <v>1</v>
      </c>
      <c r="O790" s="47">
        <f t="shared" ca="1" si="259"/>
        <v>54576.522787723436</v>
      </c>
      <c r="P790">
        <f ca="1">Inputs!B14+(Inputs!D14-Inputs!B14)*BETAINV(RAND(),Model!H8,Model!I8)</f>
        <v>0.23570770472908695</v>
      </c>
      <c r="Q790">
        <f ca="1">Inputs!E14+(Inputs!G14-Inputs!E14)*BETAINV(RAND(),Model!J8,Model!K8)</f>
        <v>0.7643946171991135</v>
      </c>
      <c r="R790">
        <f ca="1">(Inputs!H14+(Inputs!J14-Inputs!H14)*BETAINV(RAND(),Model!L8,Model!M8))*Inputs!$C$6</f>
        <v>382703.06406198023</v>
      </c>
      <c r="S790">
        <f t="shared" ca="1" si="260"/>
        <v>0.1801737007272721</v>
      </c>
      <c r="T790">
        <f t="shared" ca="1" si="261"/>
        <v>0.58109775688792986</v>
      </c>
      <c r="U790">
        <f t="shared" ca="1" si="262"/>
        <v>0</v>
      </c>
      <c r="V790" s="47">
        <f t="shared" ca="1" si="263"/>
        <v>0</v>
      </c>
      <c r="W790">
        <f ca="1">Inputs!B15+(Inputs!D15-Inputs!B15)*BETAINV(RAND(),Model!H9,Model!I9)</f>
        <v>0.86964798567623114</v>
      </c>
      <c r="X790">
        <f ca="1">Inputs!E15+(Inputs!G15-Inputs!E15)*BETAINV(RAND(),Model!J9,Model!K9)</f>
        <v>0.50708952400404128</v>
      </c>
      <c r="Y790">
        <f ca="1">(Inputs!H15+(Inputs!J15-Inputs!H15)*BETAINV(RAND(),Model!L9,Model!M9))*Inputs!$C$6</f>
        <v>30819.62687299338</v>
      </c>
      <c r="Z790">
        <f t="shared" ca="1" si="264"/>
        <v>0.44098938310763336</v>
      </c>
      <c r="AA790">
        <f t="shared" ca="1" si="265"/>
        <v>0.91343024394815664</v>
      </c>
      <c r="AB790">
        <f t="shared" ca="1" si="266"/>
        <v>1</v>
      </c>
      <c r="AC790" s="47">
        <f t="shared" ca="1" si="267"/>
        <v>30819.62687299338</v>
      </c>
      <c r="AD790">
        <f ca="1">Inputs!B16+(Inputs!D16-Inputs!B16)*BETAINV(RAND(),Model!H10,Model!I10)</f>
        <v>0.66194389256425867</v>
      </c>
      <c r="AE790">
        <f ca="1">Inputs!E16+(Inputs!G16-Inputs!E16)*BETAINV(RAND(),Model!J10,Model!K10)</f>
        <v>0.62846043768316429</v>
      </c>
      <c r="AF790">
        <f ca="1">(Inputs!H16+(Inputs!J16-Inputs!H16)*BETAINV(RAND(),Model!L10,Model!M10))*Inputs!$C$6</f>
        <v>97382.504999016426</v>
      </c>
      <c r="AG790">
        <f t="shared" ca="1" si="268"/>
        <v>0.41600554844263149</v>
      </c>
      <c r="AH790">
        <f t="shared" ca="1" si="269"/>
        <v>0.39721265642967529</v>
      </c>
      <c r="AI790">
        <f t="shared" ca="1" si="270"/>
        <v>0</v>
      </c>
      <c r="AJ790" s="47">
        <f t="shared" ca="1" si="271"/>
        <v>0</v>
      </c>
      <c r="AK790">
        <f t="shared" ca="1" si="272"/>
        <v>114525.12081558174</v>
      </c>
    </row>
    <row r="791" spans="2:37" x14ac:dyDescent="0.2">
      <c r="B791">
        <f ca="1">Inputs!B12+(Inputs!D12-Inputs!B12)*BETAINV(RAND(),Model!H6,Model!I6)</f>
        <v>1.4974092683527367</v>
      </c>
      <c r="C791">
        <f ca="1">Inputs!E12+(Inputs!G12-Inputs!E12)*BETAINV(RAND(),Model!J6,Model!K6)</f>
        <v>0.42536814474058671</v>
      </c>
      <c r="D791">
        <f ca="1">(Inputs!H12+(Inputs!J12-Inputs!H12)*BETAINV(RAND(),Model!L6,Model!M6))*Inputs!$C$6</f>
        <v>37083.817637329317</v>
      </c>
      <c r="E791">
        <f t="shared" ca="1" si="252"/>
        <v>0.63695020239656297</v>
      </c>
      <c r="F791">
        <f t="shared" ca="1" si="253"/>
        <v>0.66533433082202009</v>
      </c>
      <c r="G791">
        <f t="shared" ca="1" si="254"/>
        <v>1</v>
      </c>
      <c r="H791" s="47">
        <f t="shared" ca="1" si="255"/>
        <v>37083.817637329317</v>
      </c>
      <c r="I791">
        <f ca="1">Inputs!B13+(Inputs!D13-Inputs!B13)*BETAINV(RAND(),Model!H7,Model!I7)</f>
        <v>1.990126422063371</v>
      </c>
      <c r="J791">
        <f ca="1">Inputs!E13+(Inputs!G13-Inputs!E13)*BETAINV(RAND(),Model!J7,Model!K7)</f>
        <v>0.25890790867030833</v>
      </c>
      <c r="K791">
        <f ca="1">(Inputs!H13+(Inputs!J13-Inputs!H13)*BETAINV(RAND(),Model!L7,Model!M7))*Inputs!$C$6</f>
        <v>62691.519185573008</v>
      </c>
      <c r="L791">
        <f t="shared" ca="1" si="256"/>
        <v>0.51525946992595073</v>
      </c>
      <c r="M791">
        <f t="shared" ca="1" si="257"/>
        <v>0.58151509594755624</v>
      </c>
      <c r="N791">
        <f t="shared" ca="1" si="258"/>
        <v>0</v>
      </c>
      <c r="O791" s="47">
        <f t="shared" ca="1" si="259"/>
        <v>0</v>
      </c>
      <c r="P791">
        <f ca="1">Inputs!B14+(Inputs!D14-Inputs!B14)*BETAINV(RAND(),Model!H8,Model!I8)</f>
        <v>0.12467869421443567</v>
      </c>
      <c r="Q791">
        <f ca="1">Inputs!E14+(Inputs!G14-Inputs!E14)*BETAINV(RAND(),Model!J8,Model!K8)</f>
        <v>0.71905094472213227</v>
      </c>
      <c r="R791">
        <f ca="1">(Inputs!H14+(Inputs!J14-Inputs!H14)*BETAINV(RAND(),Model!L8,Model!M8))*Inputs!$C$6</f>
        <v>328472.44659076189</v>
      </c>
      <c r="S791">
        <f t="shared" ca="1" si="260"/>
        <v>8.9650332861611809E-2</v>
      </c>
      <c r="T791">
        <f t="shared" ca="1" si="261"/>
        <v>0.25483308543353655</v>
      </c>
      <c r="U791">
        <f t="shared" ca="1" si="262"/>
        <v>0</v>
      </c>
      <c r="V791" s="47">
        <f t="shared" ca="1" si="263"/>
        <v>0</v>
      </c>
      <c r="W791">
        <f ca="1">Inputs!B15+(Inputs!D15-Inputs!B15)*BETAINV(RAND(),Model!H9,Model!I9)</f>
        <v>0.67368343323629154</v>
      </c>
      <c r="X791">
        <f ca="1">Inputs!E15+(Inputs!G15-Inputs!E15)*BETAINV(RAND(),Model!J9,Model!K9)</f>
        <v>0.23215681465734583</v>
      </c>
      <c r="Y791">
        <f ca="1">(Inputs!H15+(Inputs!J15-Inputs!H15)*BETAINV(RAND(),Model!L9,Model!M9))*Inputs!$C$6</f>
        <v>14970.863397293506</v>
      </c>
      <c r="Z791">
        <f t="shared" ca="1" si="264"/>
        <v>0.15640019994756216</v>
      </c>
      <c r="AA791">
        <f t="shared" ca="1" si="265"/>
        <v>0.82246126920990315</v>
      </c>
      <c r="AB791">
        <f t="shared" ca="1" si="266"/>
        <v>0</v>
      </c>
      <c r="AC791" s="47">
        <f t="shared" ca="1" si="267"/>
        <v>0</v>
      </c>
      <c r="AD791">
        <f ca="1">Inputs!B16+(Inputs!D16-Inputs!B16)*BETAINV(RAND(),Model!H10,Model!I10)</f>
        <v>0.7526959202324961</v>
      </c>
      <c r="AE791">
        <f ca="1">Inputs!E16+(Inputs!G16-Inputs!E16)*BETAINV(RAND(),Model!J10,Model!K10)</f>
        <v>0.57936406089762538</v>
      </c>
      <c r="AF791">
        <f ca="1">(Inputs!H16+(Inputs!J16-Inputs!H16)*BETAINV(RAND(),Model!L10,Model!M10))*Inputs!$C$6</f>
        <v>135207.28512020721</v>
      </c>
      <c r="AG791">
        <f t="shared" ca="1" si="268"/>
        <v>0.43608496496697402</v>
      </c>
      <c r="AH791">
        <f t="shared" ca="1" si="269"/>
        <v>0.68107930832263686</v>
      </c>
      <c r="AI791">
        <f t="shared" ca="1" si="270"/>
        <v>1</v>
      </c>
      <c r="AJ791" s="47">
        <f t="shared" ca="1" si="271"/>
        <v>135207.28512020721</v>
      </c>
      <c r="AK791">
        <f t="shared" ca="1" si="272"/>
        <v>172291.10275753652</v>
      </c>
    </row>
    <row r="792" spans="2:37" x14ac:dyDescent="0.2">
      <c r="B792">
        <f ca="1">Inputs!B12+(Inputs!D12-Inputs!B12)*BETAINV(RAND(),Model!H6,Model!I6)</f>
        <v>2.9118867761497249</v>
      </c>
      <c r="C792">
        <f ca="1">Inputs!E12+(Inputs!G12-Inputs!E12)*BETAINV(RAND(),Model!J6,Model!K6)</f>
        <v>0.23786885678046979</v>
      </c>
      <c r="D792">
        <f ca="1">(Inputs!H12+(Inputs!J12-Inputs!H12)*BETAINV(RAND(),Model!L6,Model!M6))*Inputs!$C$6</f>
        <v>40743.050501896338</v>
      </c>
      <c r="E792">
        <f t="shared" ca="1" si="252"/>
        <v>0.69264717851690283</v>
      </c>
      <c r="F792">
        <f t="shared" ca="1" si="253"/>
        <v>0.17590615139935983</v>
      </c>
      <c r="G792">
        <f t="shared" ca="1" si="254"/>
        <v>0</v>
      </c>
      <c r="H792" s="47">
        <f t="shared" ca="1" si="255"/>
        <v>0</v>
      </c>
      <c r="I792">
        <f ca="1">Inputs!B13+(Inputs!D13-Inputs!B13)*BETAINV(RAND(),Model!H7,Model!I7)</f>
        <v>1.5435278529758103</v>
      </c>
      <c r="J792">
        <f ca="1">Inputs!E13+(Inputs!G13-Inputs!E13)*BETAINV(RAND(),Model!J7,Model!K7)</f>
        <v>0.3712827914695408</v>
      </c>
      <c r="K792">
        <f ca="1">(Inputs!H13+(Inputs!J13-Inputs!H13)*BETAINV(RAND(),Model!L7,Model!M7))*Inputs!$C$6</f>
        <v>39003.094733830141</v>
      </c>
      <c r="L792">
        <f t="shared" ca="1" si="256"/>
        <v>0.57308532996384576</v>
      </c>
      <c r="M792">
        <f t="shared" ca="1" si="257"/>
        <v>0.74878269842809053</v>
      </c>
      <c r="N792">
        <f t="shared" ca="1" si="258"/>
        <v>1</v>
      </c>
      <c r="O792" s="47">
        <f t="shared" ca="1" si="259"/>
        <v>39003.094733830141</v>
      </c>
      <c r="P792">
        <f ca="1">Inputs!B14+(Inputs!D14-Inputs!B14)*BETAINV(RAND(),Model!H8,Model!I8)</f>
        <v>0.29747231730543305</v>
      </c>
      <c r="Q792">
        <f ca="1">Inputs!E14+(Inputs!G14-Inputs!E14)*BETAINV(RAND(),Model!J8,Model!K8)</f>
        <v>0.52380151783558637</v>
      </c>
      <c r="R792">
        <f ca="1">(Inputs!H14+(Inputs!J14-Inputs!H14)*BETAINV(RAND(),Model!L8,Model!M8))*Inputs!$C$6</f>
        <v>450390.51625323045</v>
      </c>
      <c r="S792">
        <f t="shared" ca="1" si="260"/>
        <v>0.15581645131865501</v>
      </c>
      <c r="T792">
        <f t="shared" ca="1" si="261"/>
        <v>0.80913859470612426</v>
      </c>
      <c r="U792">
        <f t="shared" ca="1" si="262"/>
        <v>0</v>
      </c>
      <c r="V792" s="47">
        <f t="shared" ca="1" si="263"/>
        <v>0</v>
      </c>
      <c r="W792">
        <f ca="1">Inputs!B15+(Inputs!D15-Inputs!B15)*BETAINV(RAND(),Model!H9,Model!I9)</f>
        <v>1.1358303545633852</v>
      </c>
      <c r="X792">
        <f ca="1">Inputs!E15+(Inputs!G15-Inputs!E15)*BETAINV(RAND(),Model!J9,Model!K9)</f>
        <v>0.53344229017330225</v>
      </c>
      <c r="Y792">
        <f ca="1">(Inputs!H15+(Inputs!J15-Inputs!H15)*BETAINV(RAND(),Model!L9,Model!M9))*Inputs!$C$6</f>
        <v>12970.724618188051</v>
      </c>
      <c r="Z792">
        <f t="shared" ca="1" si="264"/>
        <v>0.60589994558664606</v>
      </c>
      <c r="AA792">
        <f t="shared" ca="1" si="265"/>
        <v>0.79000314763314017</v>
      </c>
      <c r="AB792">
        <f t="shared" ca="1" si="266"/>
        <v>1</v>
      </c>
      <c r="AC792" s="47">
        <f t="shared" ca="1" si="267"/>
        <v>12970.724618188051</v>
      </c>
      <c r="AD792">
        <f ca="1">Inputs!B16+(Inputs!D16-Inputs!B16)*BETAINV(RAND(),Model!H10,Model!I10)</f>
        <v>0.80613082428314398</v>
      </c>
      <c r="AE792">
        <f ca="1">Inputs!E16+(Inputs!G16-Inputs!E16)*BETAINV(RAND(),Model!J10,Model!K10)</f>
        <v>0.6003731605318563</v>
      </c>
      <c r="AF792">
        <f ca="1">(Inputs!H16+(Inputs!J16-Inputs!H16)*BETAINV(RAND(),Model!L10,Model!M10))*Inputs!$C$6</f>
        <v>37298.406680161963</v>
      </c>
      <c r="AG792">
        <f t="shared" ca="1" si="268"/>
        <v>0.48397931077702167</v>
      </c>
      <c r="AH792">
        <f t="shared" ca="1" si="269"/>
        <v>0.51588858666523429</v>
      </c>
      <c r="AI792">
        <f t="shared" ca="1" si="270"/>
        <v>0</v>
      </c>
      <c r="AJ792" s="47">
        <f t="shared" ca="1" si="271"/>
        <v>0</v>
      </c>
      <c r="AK792">
        <f t="shared" ca="1" si="272"/>
        <v>51973.819352018196</v>
      </c>
    </row>
    <row r="793" spans="2:37" x14ac:dyDescent="0.2">
      <c r="B793">
        <f ca="1">Inputs!B12+(Inputs!D12-Inputs!B12)*BETAINV(RAND(),Model!H6,Model!I6)</f>
        <v>1.4760996901302148</v>
      </c>
      <c r="C793">
        <f ca="1">Inputs!E12+(Inputs!G12-Inputs!E12)*BETAINV(RAND(),Model!J6,Model!K6)</f>
        <v>0.34337709837996044</v>
      </c>
      <c r="D793">
        <f ca="1">(Inputs!H12+(Inputs!J12-Inputs!H12)*BETAINV(RAND(),Model!L6,Model!M6))*Inputs!$C$6</f>
        <v>24423.575961829785</v>
      </c>
      <c r="E793">
        <f t="shared" ca="1" si="252"/>
        <v>0.5068588285164719</v>
      </c>
      <c r="F793">
        <f t="shared" ca="1" si="253"/>
        <v>0.17267713078961244</v>
      </c>
      <c r="G793">
        <f t="shared" ca="1" si="254"/>
        <v>0</v>
      </c>
      <c r="H793" s="47">
        <f t="shared" ca="1" si="255"/>
        <v>0</v>
      </c>
      <c r="I793">
        <f ca="1">Inputs!B13+(Inputs!D13-Inputs!B13)*BETAINV(RAND(),Model!H7,Model!I7)</f>
        <v>0.67434048050191875</v>
      </c>
      <c r="J793">
        <f ca="1">Inputs!E13+(Inputs!G13-Inputs!E13)*BETAINV(RAND(),Model!J7,Model!K7)</f>
        <v>0.26397687134842057</v>
      </c>
      <c r="K793">
        <f ca="1">(Inputs!H13+(Inputs!J13-Inputs!H13)*BETAINV(RAND(),Model!L7,Model!M7))*Inputs!$C$6</f>
        <v>8794.9245932529248</v>
      </c>
      <c r="L793">
        <f t="shared" ca="1" si="256"/>
        <v>0.17801029026648713</v>
      </c>
      <c r="M793">
        <f t="shared" ca="1" si="257"/>
        <v>2.2162302293635472E-2</v>
      </c>
      <c r="N793">
        <f t="shared" ca="1" si="258"/>
        <v>0</v>
      </c>
      <c r="O793" s="47">
        <f t="shared" ca="1" si="259"/>
        <v>0</v>
      </c>
      <c r="P793">
        <f ca="1">Inputs!B14+(Inputs!D14-Inputs!B14)*BETAINV(RAND(),Model!H8,Model!I8)</f>
        <v>0.39398627280356968</v>
      </c>
      <c r="Q793">
        <f ca="1">Inputs!E14+(Inputs!G14-Inputs!E14)*BETAINV(RAND(),Model!J8,Model!K8)</f>
        <v>0.69077904263221002</v>
      </c>
      <c r="R793">
        <f ca="1">(Inputs!H14+(Inputs!J14-Inputs!H14)*BETAINV(RAND(),Model!L8,Model!M8))*Inputs!$C$6</f>
        <v>296117.63686559483</v>
      </c>
      <c r="S793">
        <f t="shared" ca="1" si="260"/>
        <v>0.27215746033748256</v>
      </c>
      <c r="T793">
        <f t="shared" ca="1" si="261"/>
        <v>0.86414036541977679</v>
      </c>
      <c r="U793">
        <f t="shared" ca="1" si="262"/>
        <v>1</v>
      </c>
      <c r="V793" s="47">
        <f t="shared" ca="1" si="263"/>
        <v>296117.63686559483</v>
      </c>
      <c r="W793">
        <f ca="1">Inputs!B15+(Inputs!D15-Inputs!B15)*BETAINV(RAND(),Model!H9,Model!I9)</f>
        <v>1.2507004961800328</v>
      </c>
      <c r="X793">
        <f ca="1">Inputs!E15+(Inputs!G15-Inputs!E15)*BETAINV(RAND(),Model!J9,Model!K9)</f>
        <v>0.32090655408263918</v>
      </c>
      <c r="Y793">
        <f ca="1">(Inputs!H15+(Inputs!J15-Inputs!H15)*BETAINV(RAND(),Model!L9,Model!M9))*Inputs!$C$6</f>
        <v>15795.217190650717</v>
      </c>
      <c r="Z793">
        <f t="shared" ca="1" si="264"/>
        <v>0.40135798641858134</v>
      </c>
      <c r="AA793">
        <f t="shared" ca="1" si="265"/>
        <v>0.13063717792908436</v>
      </c>
      <c r="AB793">
        <f t="shared" ca="1" si="266"/>
        <v>0</v>
      </c>
      <c r="AC793" s="47">
        <f t="shared" ca="1" si="267"/>
        <v>0</v>
      </c>
      <c r="AD793">
        <f ca="1">Inputs!B16+(Inputs!D16-Inputs!B16)*BETAINV(RAND(),Model!H10,Model!I10)</f>
        <v>0.36815474328547426</v>
      </c>
      <c r="AE793">
        <f ca="1">Inputs!E16+(Inputs!G16-Inputs!E16)*BETAINV(RAND(),Model!J10,Model!K10)</f>
        <v>0.51821508974790476</v>
      </c>
      <c r="AF793">
        <f ca="1">(Inputs!H16+(Inputs!J16-Inputs!H16)*BETAINV(RAND(),Model!L10,Model!M10))*Inputs!$C$6</f>
        <v>82621.11570663171</v>
      </c>
      <c r="AG793">
        <f t="shared" ca="1" si="268"/>
        <v>0.19078334333279889</v>
      </c>
      <c r="AH793">
        <f t="shared" ca="1" si="269"/>
        <v>0.42367694605213257</v>
      </c>
      <c r="AI793">
        <f t="shared" ca="1" si="270"/>
        <v>0</v>
      </c>
      <c r="AJ793" s="47">
        <f t="shared" ca="1" si="271"/>
        <v>0</v>
      </c>
      <c r="AK793">
        <f t="shared" ca="1" si="272"/>
        <v>296117.63686559483</v>
      </c>
    </row>
    <row r="794" spans="2:37" x14ac:dyDescent="0.2">
      <c r="B794">
        <f ca="1">Inputs!B12+(Inputs!D12-Inputs!B12)*BETAINV(RAND(),Model!H6,Model!I6)</f>
        <v>2.1336972964211776</v>
      </c>
      <c r="C794">
        <f ca="1">Inputs!E12+(Inputs!G12-Inputs!E12)*BETAINV(RAND(),Model!J6,Model!K6)</f>
        <v>0.35070999910137934</v>
      </c>
      <c r="D794">
        <f ca="1">(Inputs!H12+(Inputs!J12-Inputs!H12)*BETAINV(RAND(),Model!L6,Model!M6))*Inputs!$C$6</f>
        <v>47357.68924509194</v>
      </c>
      <c r="E794">
        <f t="shared" ca="1" si="252"/>
        <v>0.7483089769104867</v>
      </c>
      <c r="F794">
        <f t="shared" ca="1" si="253"/>
        <v>0.88230179629935934</v>
      </c>
      <c r="G794">
        <f t="shared" ca="1" si="254"/>
        <v>2</v>
      </c>
      <c r="H794" s="47">
        <f t="shared" ca="1" si="255"/>
        <v>94715.378490183881</v>
      </c>
      <c r="I794">
        <f ca="1">Inputs!B13+(Inputs!D13-Inputs!B13)*BETAINV(RAND(),Model!H7,Model!I7)</f>
        <v>1.3648744794900787</v>
      </c>
      <c r="J794">
        <f ca="1">Inputs!E13+(Inputs!G13-Inputs!E13)*BETAINV(RAND(),Model!J7,Model!K7)</f>
        <v>0.31422444629048202</v>
      </c>
      <c r="K794">
        <f ca="1">(Inputs!H13+(Inputs!J13-Inputs!H13)*BETAINV(RAND(),Model!L7,Model!M7))*Inputs!$C$6</f>
        <v>32610.252118362139</v>
      </c>
      <c r="L794">
        <f t="shared" ca="1" si="256"/>
        <v>0.42887692757377982</v>
      </c>
      <c r="M794">
        <f t="shared" ca="1" si="257"/>
        <v>0.59190919236670159</v>
      </c>
      <c r="N794">
        <f t="shared" ca="1" si="258"/>
        <v>0</v>
      </c>
      <c r="O794" s="47">
        <f t="shared" ca="1" si="259"/>
        <v>0</v>
      </c>
      <c r="P794">
        <f ca="1">Inputs!B14+(Inputs!D14-Inputs!B14)*BETAINV(RAND(),Model!H8,Model!I8)</f>
        <v>0.2493903208686736</v>
      </c>
      <c r="Q794">
        <f ca="1">Inputs!E14+(Inputs!G14-Inputs!E14)*BETAINV(RAND(),Model!J8,Model!K8)</f>
        <v>0.51345934066612853</v>
      </c>
      <c r="R794">
        <f ca="1">(Inputs!H14+(Inputs!J14-Inputs!H14)*BETAINV(RAND(),Model!L8,Model!M8))*Inputs!$C$6</f>
        <v>360872.97093106253</v>
      </c>
      <c r="S794">
        <f t="shared" ca="1" si="260"/>
        <v>0.12805178972174339</v>
      </c>
      <c r="T794">
        <f t="shared" ca="1" si="261"/>
        <v>0.97220795990841058</v>
      </c>
      <c r="U794">
        <f t="shared" ca="1" si="262"/>
        <v>1</v>
      </c>
      <c r="V794" s="47">
        <f t="shared" ca="1" si="263"/>
        <v>360872.97093106253</v>
      </c>
      <c r="W794">
        <f ca="1">Inputs!B15+(Inputs!D15-Inputs!B15)*BETAINV(RAND(),Model!H9,Model!I9)</f>
        <v>1.0763663082298995</v>
      </c>
      <c r="X794">
        <f ca="1">Inputs!E15+(Inputs!G15-Inputs!E15)*BETAINV(RAND(),Model!J9,Model!K9)</f>
        <v>0.33216440587065599</v>
      </c>
      <c r="Y794">
        <f ca="1">(Inputs!H15+(Inputs!J15-Inputs!H15)*BETAINV(RAND(),Model!L9,Model!M9))*Inputs!$C$6</f>
        <v>43077.135852922453</v>
      </c>
      <c r="Z794">
        <f t="shared" ca="1" si="264"/>
        <v>0.35753057527237597</v>
      </c>
      <c r="AA794">
        <f t="shared" ca="1" si="265"/>
        <v>0.77134262624832861</v>
      </c>
      <c r="AB794">
        <f t="shared" ca="1" si="266"/>
        <v>1</v>
      </c>
      <c r="AC794" s="47">
        <f t="shared" ca="1" si="267"/>
        <v>43077.135852922453</v>
      </c>
      <c r="AD794">
        <f ca="1">Inputs!B16+(Inputs!D16-Inputs!B16)*BETAINV(RAND(),Model!H10,Model!I10)</f>
        <v>1.0658947551624298</v>
      </c>
      <c r="AE794">
        <f ca="1">Inputs!E16+(Inputs!G16-Inputs!E16)*BETAINV(RAND(),Model!J10,Model!K10)</f>
        <v>0.44490173792912263</v>
      </c>
      <c r="AF794">
        <f ca="1">(Inputs!H16+(Inputs!J16-Inputs!H16)*BETAINV(RAND(),Model!L10,Model!M10))*Inputs!$C$6</f>
        <v>122462.50056995702</v>
      </c>
      <c r="AG794">
        <f t="shared" ca="1" si="268"/>
        <v>0.47421842902130168</v>
      </c>
      <c r="AH794">
        <f t="shared" ca="1" si="269"/>
        <v>0.53598260050364632</v>
      </c>
      <c r="AI794">
        <f t="shared" ca="1" si="270"/>
        <v>0</v>
      </c>
      <c r="AJ794" s="47">
        <f t="shared" ca="1" si="271"/>
        <v>0</v>
      </c>
      <c r="AK794">
        <f t="shared" ca="1" si="272"/>
        <v>498665.4852741689</v>
      </c>
    </row>
    <row r="795" spans="2:37" x14ac:dyDescent="0.2">
      <c r="B795">
        <f ca="1">Inputs!B12+(Inputs!D12-Inputs!B12)*BETAINV(RAND(),Model!H6,Model!I6)</f>
        <v>2.6480912231069498</v>
      </c>
      <c r="C795">
        <f ca="1">Inputs!E12+(Inputs!G12-Inputs!E12)*BETAINV(RAND(),Model!J6,Model!K6)</f>
        <v>0.40723156686660167</v>
      </c>
      <c r="D795">
        <f ca="1">(Inputs!H12+(Inputs!J12-Inputs!H12)*BETAINV(RAND(),Model!L6,Model!M6))*Inputs!$C$6</f>
        <v>16477.534124485497</v>
      </c>
      <c r="E795">
        <f t="shared" ca="1" si="252"/>
        <v>1.0783863379915388</v>
      </c>
      <c r="F795">
        <f t="shared" ca="1" si="253"/>
        <v>0.64527471016785354</v>
      </c>
      <c r="G795">
        <f t="shared" ca="1" si="254"/>
        <v>1</v>
      </c>
      <c r="H795" s="47">
        <f t="shared" ca="1" si="255"/>
        <v>16477.534124485497</v>
      </c>
      <c r="I795">
        <f ca="1">Inputs!B13+(Inputs!D13-Inputs!B13)*BETAINV(RAND(),Model!H7,Model!I7)</f>
        <v>1.1618545101800102</v>
      </c>
      <c r="J795">
        <f ca="1">Inputs!E13+(Inputs!G13-Inputs!E13)*BETAINV(RAND(),Model!J7,Model!K7)</f>
        <v>0.19830236119011063</v>
      </c>
      <c r="K795">
        <f ca="1">(Inputs!H13+(Inputs!J13-Inputs!H13)*BETAINV(RAND(),Model!L7,Model!M7))*Inputs!$C$6</f>
        <v>12919.57228747461</v>
      </c>
      <c r="L795">
        <f t="shared" ca="1" si="256"/>
        <v>0.23039849272807544</v>
      </c>
      <c r="M795">
        <f t="shared" ca="1" si="257"/>
        <v>6.331803324987173E-2</v>
      </c>
      <c r="N795">
        <f t="shared" ca="1" si="258"/>
        <v>0</v>
      </c>
      <c r="O795" s="47">
        <f t="shared" ca="1" si="259"/>
        <v>0</v>
      </c>
      <c r="P795">
        <f ca="1">Inputs!B14+(Inputs!D14-Inputs!B14)*BETAINV(RAND(),Model!H8,Model!I8)</f>
        <v>0.31063541511284021</v>
      </c>
      <c r="Q795">
        <f ca="1">Inputs!E14+(Inputs!G14-Inputs!E14)*BETAINV(RAND(),Model!J8,Model!K8)</f>
        <v>0.6336903646960903</v>
      </c>
      <c r="R795">
        <f ca="1">(Inputs!H14+(Inputs!J14-Inputs!H14)*BETAINV(RAND(),Model!L8,Model!M8))*Inputs!$C$6</f>
        <v>351125.1156367216</v>
      </c>
      <c r="S795">
        <f t="shared" ca="1" si="260"/>
        <v>0.1968466694903771</v>
      </c>
      <c r="T795">
        <f t="shared" ca="1" si="261"/>
        <v>0.81520083061651605</v>
      </c>
      <c r="U795">
        <f t="shared" ca="1" si="262"/>
        <v>0</v>
      </c>
      <c r="V795" s="47">
        <f t="shared" ca="1" si="263"/>
        <v>0</v>
      </c>
      <c r="W795">
        <f ca="1">Inputs!B15+(Inputs!D15-Inputs!B15)*BETAINV(RAND(),Model!H9,Model!I9)</f>
        <v>1.2861764687673447</v>
      </c>
      <c r="X795">
        <f ca="1">Inputs!E15+(Inputs!G15-Inputs!E15)*BETAINV(RAND(),Model!J9,Model!K9)</f>
        <v>0.3648219256813362</v>
      </c>
      <c r="Y795">
        <f ca="1">(Inputs!H15+(Inputs!J15-Inputs!H15)*BETAINV(RAND(),Model!L9,Model!M9))*Inputs!$C$6</f>
        <v>30088.763206612915</v>
      </c>
      <c r="Z795">
        <f t="shared" ca="1" si="264"/>
        <v>0.46922537610172366</v>
      </c>
      <c r="AA795">
        <f t="shared" ca="1" si="265"/>
        <v>0.34205111111438802</v>
      </c>
      <c r="AB795">
        <f t="shared" ca="1" si="266"/>
        <v>0</v>
      </c>
      <c r="AC795" s="47">
        <f t="shared" ca="1" si="267"/>
        <v>0</v>
      </c>
      <c r="AD795">
        <f ca="1">Inputs!B16+(Inputs!D16-Inputs!B16)*BETAINV(RAND(),Model!H10,Model!I10)</f>
        <v>0.31292121925969485</v>
      </c>
      <c r="AE795">
        <f ca="1">Inputs!E16+(Inputs!G16-Inputs!E16)*BETAINV(RAND(),Model!J10,Model!K10)</f>
        <v>0.55990990033718258</v>
      </c>
      <c r="AF795">
        <f ca="1">(Inputs!H16+(Inputs!J16-Inputs!H16)*BETAINV(RAND(),Model!L10,Model!M10))*Inputs!$C$6</f>
        <v>102373.59692358426</v>
      </c>
      <c r="AG795">
        <f t="shared" ca="1" si="268"/>
        <v>0.1752076886890854</v>
      </c>
      <c r="AH795">
        <f t="shared" ca="1" si="269"/>
        <v>0.47377745580583619</v>
      </c>
      <c r="AI795">
        <f t="shared" ca="1" si="270"/>
        <v>0</v>
      </c>
      <c r="AJ795" s="47">
        <f t="shared" ca="1" si="271"/>
        <v>0</v>
      </c>
      <c r="AK795">
        <f t="shared" ca="1" si="272"/>
        <v>16477.534124485497</v>
      </c>
    </row>
    <row r="796" spans="2:37" x14ac:dyDescent="0.2">
      <c r="B796">
        <f ca="1">Inputs!B12+(Inputs!D12-Inputs!B12)*BETAINV(RAND(),Model!H6,Model!I6)</f>
        <v>4.6997493698242723</v>
      </c>
      <c r="C796">
        <f ca="1">Inputs!E12+(Inputs!G12-Inputs!E12)*BETAINV(RAND(),Model!J6,Model!K6)</f>
        <v>0.26636062109108444</v>
      </c>
      <c r="D796">
        <f ca="1">(Inputs!H12+(Inputs!J12-Inputs!H12)*BETAINV(RAND(),Model!L6,Model!M6))*Inputs!$C$6</f>
        <v>35029.543504691719</v>
      </c>
      <c r="E796">
        <f t="shared" ca="1" si="252"/>
        <v>1.2518281611188258</v>
      </c>
      <c r="F796">
        <f t="shared" ca="1" si="253"/>
        <v>0.22596522734211755</v>
      </c>
      <c r="G796">
        <f t="shared" ca="1" si="254"/>
        <v>0</v>
      </c>
      <c r="H796" s="47">
        <f t="shared" ca="1" si="255"/>
        <v>0</v>
      </c>
      <c r="I796">
        <f ca="1">Inputs!B13+(Inputs!D13-Inputs!B13)*BETAINV(RAND(),Model!H7,Model!I7)</f>
        <v>2.9738054086139871</v>
      </c>
      <c r="J796">
        <f ca="1">Inputs!E13+(Inputs!G13-Inputs!E13)*BETAINV(RAND(),Model!J7,Model!K7)</f>
        <v>0.25945447884164741</v>
      </c>
      <c r="K796">
        <f ca="1">(Inputs!H13+(Inputs!J13-Inputs!H13)*BETAINV(RAND(),Model!L7,Model!M7))*Inputs!$C$6</f>
        <v>50006.514000424366</v>
      </c>
      <c r="L796">
        <f t="shared" ca="1" si="256"/>
        <v>0.77156713246841435</v>
      </c>
      <c r="M796">
        <f t="shared" ca="1" si="257"/>
        <v>0.49672710603137404</v>
      </c>
      <c r="N796">
        <f t="shared" ca="1" si="258"/>
        <v>1</v>
      </c>
      <c r="O796" s="47">
        <f t="shared" ca="1" si="259"/>
        <v>50006.514000424366</v>
      </c>
      <c r="P796">
        <f ca="1">Inputs!B14+(Inputs!D14-Inputs!B14)*BETAINV(RAND(),Model!H8,Model!I8)</f>
        <v>0.49699707650261848</v>
      </c>
      <c r="Q796">
        <f ca="1">Inputs!E14+(Inputs!G14-Inputs!E14)*BETAINV(RAND(),Model!J8,Model!K8)</f>
        <v>0.648847914910748</v>
      </c>
      <c r="R796">
        <f ca="1">(Inputs!H14+(Inputs!J14-Inputs!H14)*BETAINV(RAND(),Model!L8,Model!M8))*Inputs!$C$6</f>
        <v>376191.33474373881</v>
      </c>
      <c r="S796">
        <f t="shared" ca="1" si="260"/>
        <v>0.32247551680546149</v>
      </c>
      <c r="T796">
        <f t="shared" ca="1" si="261"/>
        <v>0.26927998295524336</v>
      </c>
      <c r="U796">
        <f t="shared" ca="1" si="262"/>
        <v>0</v>
      </c>
      <c r="V796" s="47">
        <f t="shared" ca="1" si="263"/>
        <v>0</v>
      </c>
      <c r="W796">
        <f ca="1">Inputs!B15+(Inputs!D15-Inputs!B15)*BETAINV(RAND(),Model!H9,Model!I9)</f>
        <v>1.59846310116013</v>
      </c>
      <c r="X796">
        <f ca="1">Inputs!E15+(Inputs!G15-Inputs!E15)*BETAINV(RAND(),Model!J9,Model!K9)</f>
        <v>0.31113844811086433</v>
      </c>
      <c r="Y796">
        <f ca="1">(Inputs!H15+(Inputs!J15-Inputs!H15)*BETAINV(RAND(),Model!L9,Model!M9))*Inputs!$C$6</f>
        <v>64769.055991367095</v>
      </c>
      <c r="Z796">
        <f t="shared" ca="1" si="264"/>
        <v>0.49734332865744241</v>
      </c>
      <c r="AA796">
        <f t="shared" ca="1" si="265"/>
        <v>0.97689367334089561</v>
      </c>
      <c r="AB796">
        <f t="shared" ca="1" si="266"/>
        <v>2</v>
      </c>
      <c r="AC796" s="47">
        <f t="shared" ca="1" si="267"/>
        <v>129538.11198273419</v>
      </c>
      <c r="AD796">
        <f ca="1">Inputs!B16+(Inputs!D16-Inputs!B16)*BETAINV(RAND(),Model!H10,Model!I10)</f>
        <v>0.40549518787034861</v>
      </c>
      <c r="AE796">
        <f ca="1">Inputs!E16+(Inputs!G16-Inputs!E16)*BETAINV(RAND(),Model!J10,Model!K10)</f>
        <v>0.68682606068860685</v>
      </c>
      <c r="AF796">
        <f ca="1">(Inputs!H16+(Inputs!J16-Inputs!H16)*BETAINV(RAND(),Model!L10,Model!M10))*Inputs!$C$6</f>
        <v>52281.296122407948</v>
      </c>
      <c r="AG796">
        <f t="shared" ca="1" si="268"/>
        <v>0.27850466251317807</v>
      </c>
      <c r="AH796">
        <f t="shared" ca="1" si="269"/>
        <v>0.62797385607707712</v>
      </c>
      <c r="AI796">
        <f t="shared" ca="1" si="270"/>
        <v>0</v>
      </c>
      <c r="AJ796" s="47">
        <f t="shared" ca="1" si="271"/>
        <v>0</v>
      </c>
      <c r="AK796">
        <f t="shared" ca="1" si="272"/>
        <v>179544.62598315856</v>
      </c>
    </row>
    <row r="797" spans="2:37" x14ac:dyDescent="0.2">
      <c r="B797">
        <f ca="1">Inputs!B12+(Inputs!D12-Inputs!B12)*BETAINV(RAND(),Model!H6,Model!I6)</f>
        <v>2.0523437209819644</v>
      </c>
      <c r="C797">
        <f ca="1">Inputs!E12+(Inputs!G12-Inputs!E12)*BETAINV(RAND(),Model!J6,Model!K6)</f>
        <v>0.3363680028484064</v>
      </c>
      <c r="D797">
        <f ca="1">(Inputs!H12+(Inputs!J12-Inputs!H12)*BETAINV(RAND(),Model!L6,Model!M6))*Inputs!$C$6</f>
        <v>25567.565260684161</v>
      </c>
      <c r="E797">
        <f t="shared" ca="1" si="252"/>
        <v>0.69034275858517036</v>
      </c>
      <c r="F797">
        <f t="shared" ca="1" si="253"/>
        <v>0.44547719166010502</v>
      </c>
      <c r="G797">
        <f t="shared" ca="1" si="254"/>
        <v>0</v>
      </c>
      <c r="H797" s="47">
        <f t="shared" ca="1" si="255"/>
        <v>0</v>
      </c>
      <c r="I797">
        <f ca="1">Inputs!B13+(Inputs!D13-Inputs!B13)*BETAINV(RAND(),Model!H7,Model!I7)</f>
        <v>0.91141471132990004</v>
      </c>
      <c r="J797">
        <f ca="1">Inputs!E13+(Inputs!G13-Inputs!E13)*BETAINV(RAND(),Model!J7,Model!K7)</f>
        <v>0.35377811240155077</v>
      </c>
      <c r="K797">
        <f ca="1">(Inputs!H13+(Inputs!J13-Inputs!H13)*BETAINV(RAND(),Model!L7,Model!M7))*Inputs!$C$6</f>
        <v>39621.528494646154</v>
      </c>
      <c r="L797">
        <f t="shared" ca="1" si="256"/>
        <v>0.32243857618929633</v>
      </c>
      <c r="M797">
        <f t="shared" ca="1" si="257"/>
        <v>0.47929155851194072</v>
      </c>
      <c r="N797">
        <f t="shared" ca="1" si="258"/>
        <v>0</v>
      </c>
      <c r="O797" s="47">
        <f t="shared" ca="1" si="259"/>
        <v>0</v>
      </c>
      <c r="P797">
        <f ca="1">Inputs!B14+(Inputs!D14-Inputs!B14)*BETAINV(RAND(),Model!H8,Model!I8)</f>
        <v>0.22271426997707638</v>
      </c>
      <c r="Q797">
        <f ca="1">Inputs!E14+(Inputs!G14-Inputs!E14)*BETAINV(RAND(),Model!J8,Model!K8)</f>
        <v>0.73340817841985662</v>
      </c>
      <c r="R797">
        <f ca="1">(Inputs!H14+(Inputs!J14-Inputs!H14)*BETAINV(RAND(),Model!L8,Model!M8))*Inputs!$C$6</f>
        <v>390285.16238366876</v>
      </c>
      <c r="S797">
        <f t="shared" ca="1" si="260"/>
        <v>0.16334046705199576</v>
      </c>
      <c r="T797">
        <f t="shared" ca="1" si="261"/>
        <v>0.84426143757335947</v>
      </c>
      <c r="U797">
        <f t="shared" ca="1" si="262"/>
        <v>0</v>
      </c>
      <c r="V797" s="47">
        <f t="shared" ca="1" si="263"/>
        <v>0</v>
      </c>
      <c r="W797">
        <f ca="1">Inputs!B15+(Inputs!D15-Inputs!B15)*BETAINV(RAND(),Model!H9,Model!I9)</f>
        <v>1.3698659713588055</v>
      </c>
      <c r="X797">
        <f ca="1">Inputs!E15+(Inputs!G15-Inputs!E15)*BETAINV(RAND(),Model!J9,Model!K9)</f>
        <v>0.34891660136730174</v>
      </c>
      <c r="Y797">
        <f ca="1">(Inputs!H15+(Inputs!J15-Inputs!H15)*BETAINV(RAND(),Model!L9,Model!M9))*Inputs!$C$6</f>
        <v>31004.854307466416</v>
      </c>
      <c r="Z797">
        <f t="shared" ca="1" si="264"/>
        <v>0.47796897905523189</v>
      </c>
      <c r="AA797">
        <f t="shared" ca="1" si="265"/>
        <v>0.58434608428380208</v>
      </c>
      <c r="AB797">
        <f t="shared" ca="1" si="266"/>
        <v>0</v>
      </c>
      <c r="AC797" s="47">
        <f t="shared" ca="1" si="267"/>
        <v>0</v>
      </c>
      <c r="AD797">
        <f ca="1">Inputs!B16+(Inputs!D16-Inputs!B16)*BETAINV(RAND(),Model!H10,Model!I10)</f>
        <v>0.28384702010594187</v>
      </c>
      <c r="AE797">
        <f ca="1">Inputs!E16+(Inputs!G16-Inputs!E16)*BETAINV(RAND(),Model!J10,Model!K10)</f>
        <v>0.6957645303174238</v>
      </c>
      <c r="AF797">
        <f ca="1">(Inputs!H16+(Inputs!J16-Inputs!H16)*BETAINV(RAND(),Model!L10,Model!M10))*Inputs!$C$6</f>
        <v>101673.94640036141</v>
      </c>
      <c r="AG797">
        <f t="shared" ca="1" si="268"/>
        <v>0.19749068862601099</v>
      </c>
      <c r="AH797">
        <f t="shared" ca="1" si="269"/>
        <v>7.416739641151926E-2</v>
      </c>
      <c r="AI797">
        <f t="shared" ca="1" si="270"/>
        <v>0</v>
      </c>
      <c r="AJ797" s="47">
        <f t="shared" ca="1" si="271"/>
        <v>0</v>
      </c>
      <c r="AK797">
        <f t="shared" ca="1" si="272"/>
        <v>0</v>
      </c>
    </row>
    <row r="798" spans="2:37" x14ac:dyDescent="0.2">
      <c r="B798">
        <f ca="1">Inputs!B12+(Inputs!D12-Inputs!B12)*BETAINV(RAND(),Model!H6,Model!I6)</f>
        <v>4.0775036946927212</v>
      </c>
      <c r="C798">
        <f ca="1">Inputs!E12+(Inputs!G12-Inputs!E12)*BETAINV(RAND(),Model!J6,Model!K6)</f>
        <v>0.20263795516205929</v>
      </c>
      <c r="D798">
        <f ca="1">(Inputs!H12+(Inputs!J12-Inputs!H12)*BETAINV(RAND(),Model!L6,Model!M6))*Inputs!$C$6</f>
        <v>46857.972717208308</v>
      </c>
      <c r="E798">
        <f t="shared" ca="1" si="252"/>
        <v>0.82625701085827474</v>
      </c>
      <c r="F798">
        <f t="shared" ca="1" si="253"/>
        <v>0.88454526367244168</v>
      </c>
      <c r="G798">
        <f t="shared" ca="1" si="254"/>
        <v>2</v>
      </c>
      <c r="H798" s="47">
        <f t="shared" ca="1" si="255"/>
        <v>93715.945434416615</v>
      </c>
      <c r="I798">
        <f ca="1">Inputs!B13+(Inputs!D13-Inputs!B13)*BETAINV(RAND(),Model!H7,Model!I7)</f>
        <v>1.5365639153126875</v>
      </c>
      <c r="J798">
        <f ca="1">Inputs!E13+(Inputs!G13-Inputs!E13)*BETAINV(RAND(),Model!J7,Model!K7)</f>
        <v>0.45767765249292325</v>
      </c>
      <c r="K798">
        <f ca="1">(Inputs!H13+(Inputs!J13-Inputs!H13)*BETAINV(RAND(),Model!L7,Model!M7))*Inputs!$C$6</f>
        <v>10201.796320765878</v>
      </c>
      <c r="L798">
        <f t="shared" ca="1" si="256"/>
        <v>0.70325096566564571</v>
      </c>
      <c r="M798">
        <f t="shared" ca="1" si="257"/>
        <v>7.6741651336653227E-2</v>
      </c>
      <c r="N798">
        <f t="shared" ca="1" si="258"/>
        <v>0</v>
      </c>
      <c r="O798" s="47">
        <f t="shared" ca="1" si="259"/>
        <v>0</v>
      </c>
      <c r="P798">
        <f ca="1">Inputs!B14+(Inputs!D14-Inputs!B14)*BETAINV(RAND(),Model!H8,Model!I8)</f>
        <v>0.29399696256332364</v>
      </c>
      <c r="Q798">
        <f ca="1">Inputs!E14+(Inputs!G14-Inputs!E14)*BETAINV(RAND(),Model!J8,Model!K8)</f>
        <v>0.84195309078752256</v>
      </c>
      <c r="R798">
        <f ca="1">(Inputs!H14+(Inputs!J14-Inputs!H14)*BETAINV(RAND(),Model!L8,Model!M8))*Inputs!$C$6</f>
        <v>566713.78205976717</v>
      </c>
      <c r="S798">
        <f t="shared" ca="1" si="260"/>
        <v>0.2475316513123339</v>
      </c>
      <c r="T798">
        <f t="shared" ca="1" si="261"/>
        <v>0.62651910806900568</v>
      </c>
      <c r="U798">
        <f t="shared" ca="1" si="262"/>
        <v>0</v>
      </c>
      <c r="V798" s="47">
        <f t="shared" ca="1" si="263"/>
        <v>0</v>
      </c>
      <c r="W798">
        <f ca="1">Inputs!B15+(Inputs!D15-Inputs!B15)*BETAINV(RAND(),Model!H9,Model!I9)</f>
        <v>1.283408879881357</v>
      </c>
      <c r="X798">
        <f ca="1">Inputs!E15+(Inputs!G15-Inputs!E15)*BETAINV(RAND(),Model!J9,Model!K9)</f>
        <v>0.23262614681875085</v>
      </c>
      <c r="Y798">
        <f ca="1">(Inputs!H15+(Inputs!J15-Inputs!H15)*BETAINV(RAND(),Model!L9,Model!M9))*Inputs!$C$6</f>
        <v>38393.180238767964</v>
      </c>
      <c r="Z798">
        <f t="shared" ca="1" si="264"/>
        <v>0.29855446251976914</v>
      </c>
      <c r="AA798">
        <f t="shared" ca="1" si="265"/>
        <v>0.86045706698281021</v>
      </c>
      <c r="AB798">
        <f t="shared" ca="1" si="266"/>
        <v>1</v>
      </c>
      <c r="AC798" s="47">
        <f t="shared" ca="1" si="267"/>
        <v>38393.180238767964</v>
      </c>
      <c r="AD798">
        <f ca="1">Inputs!B16+(Inputs!D16-Inputs!B16)*BETAINV(RAND(),Model!H10,Model!I10)</f>
        <v>1.1911601226148412</v>
      </c>
      <c r="AE798">
        <f ca="1">Inputs!E16+(Inputs!G16-Inputs!E16)*BETAINV(RAND(),Model!J10,Model!K10)</f>
        <v>0.55004981689138011</v>
      </c>
      <c r="AF798">
        <f ca="1">(Inputs!H16+(Inputs!J16-Inputs!H16)*BETAINV(RAND(),Model!L10,Model!M10))*Inputs!$C$6</f>
        <v>69859.592004598249</v>
      </c>
      <c r="AG798">
        <f t="shared" ca="1" si="268"/>
        <v>0.65519740733260723</v>
      </c>
      <c r="AH798">
        <f t="shared" ca="1" si="269"/>
        <v>0.42104612449682854</v>
      </c>
      <c r="AI798">
        <f t="shared" ca="1" si="270"/>
        <v>0</v>
      </c>
      <c r="AJ798" s="47">
        <f t="shared" ca="1" si="271"/>
        <v>0</v>
      </c>
      <c r="AK798">
        <f t="shared" ca="1" si="272"/>
        <v>132109.12567318458</v>
      </c>
    </row>
    <row r="799" spans="2:37" x14ac:dyDescent="0.2">
      <c r="B799">
        <f ca="1">Inputs!B12+(Inputs!D12-Inputs!B12)*BETAINV(RAND(),Model!H6,Model!I6)</f>
        <v>3.701308733158911</v>
      </c>
      <c r="C799">
        <f ca="1">Inputs!E12+(Inputs!G12-Inputs!E12)*BETAINV(RAND(),Model!J6,Model!K6)</f>
        <v>0.41190418323929356</v>
      </c>
      <c r="D799">
        <f ca="1">(Inputs!H12+(Inputs!J12-Inputs!H12)*BETAINV(RAND(),Model!L6,Model!M6))*Inputs!$C$6</f>
        <v>31360.330999448455</v>
      </c>
      <c r="E799">
        <f t="shared" ca="1" si="252"/>
        <v>1.5245845506482856</v>
      </c>
      <c r="F799">
        <f t="shared" ca="1" si="253"/>
        <v>0.34192288488508471</v>
      </c>
      <c r="G799">
        <f t="shared" ca="1" si="254"/>
        <v>1</v>
      </c>
      <c r="H799" s="47">
        <f t="shared" ca="1" si="255"/>
        <v>31360.330999448455</v>
      </c>
      <c r="I799">
        <f ca="1">Inputs!B13+(Inputs!D13-Inputs!B13)*BETAINV(RAND(),Model!H7,Model!I7)</f>
        <v>2.3709020953819486</v>
      </c>
      <c r="J799">
        <f ca="1">Inputs!E13+(Inputs!G13-Inputs!E13)*BETAINV(RAND(),Model!J7,Model!K7)</f>
        <v>0.30033460497200271</v>
      </c>
      <c r="K799">
        <f ca="1">(Inputs!H13+(Inputs!J13-Inputs!H13)*BETAINV(RAND(),Model!L7,Model!M7))*Inputs!$C$6</f>
        <v>36768.612897295003</v>
      </c>
      <c r="L799">
        <f t="shared" ca="1" si="256"/>
        <v>0.71206394424383102</v>
      </c>
      <c r="M799">
        <f t="shared" ca="1" si="257"/>
        <v>0.62015827592985862</v>
      </c>
      <c r="N799">
        <f t="shared" ca="1" si="258"/>
        <v>1</v>
      </c>
      <c r="O799" s="47">
        <f t="shared" ca="1" si="259"/>
        <v>36768.612897295003</v>
      </c>
      <c r="P799">
        <f ca="1">Inputs!B14+(Inputs!D14-Inputs!B14)*BETAINV(RAND(),Model!H8,Model!I8)</f>
        <v>0.40772525912179269</v>
      </c>
      <c r="Q799">
        <f ca="1">Inputs!E14+(Inputs!G14-Inputs!E14)*BETAINV(RAND(),Model!J8,Model!K8)</f>
        <v>0.81076851650375348</v>
      </c>
      <c r="R799">
        <f ca="1">(Inputs!H14+(Inputs!J14-Inputs!H14)*BETAINV(RAND(),Model!L8,Model!M8))*Inputs!$C$6</f>
        <v>494792.25990785123</v>
      </c>
      <c r="S799">
        <f t="shared" ca="1" si="260"/>
        <v>0.33057080347928436</v>
      </c>
      <c r="T799">
        <f t="shared" ca="1" si="261"/>
        <v>0.83899656332382622</v>
      </c>
      <c r="U799">
        <f t="shared" ca="1" si="262"/>
        <v>1</v>
      </c>
      <c r="V799" s="47">
        <f t="shared" ca="1" si="263"/>
        <v>494792.25990785123</v>
      </c>
      <c r="W799">
        <f ca="1">Inputs!B15+(Inputs!D15-Inputs!B15)*BETAINV(RAND(),Model!H9,Model!I9)</f>
        <v>0.58045670010432027</v>
      </c>
      <c r="X799">
        <f ca="1">Inputs!E15+(Inputs!G15-Inputs!E15)*BETAINV(RAND(),Model!J9,Model!K9)</f>
        <v>0.44712145869826558</v>
      </c>
      <c r="Y799">
        <f ca="1">(Inputs!H15+(Inputs!J15-Inputs!H15)*BETAINV(RAND(),Model!L9,Model!M9))*Inputs!$C$6</f>
        <v>35882.259020087469</v>
      </c>
      <c r="Z799">
        <f t="shared" ca="1" si="264"/>
        <v>0.25953464646182539</v>
      </c>
      <c r="AA799">
        <f t="shared" ca="1" si="265"/>
        <v>0.64835317778638102</v>
      </c>
      <c r="AB799">
        <f t="shared" ca="1" si="266"/>
        <v>0</v>
      </c>
      <c r="AC799" s="47">
        <f t="shared" ca="1" si="267"/>
        <v>0</v>
      </c>
      <c r="AD799">
        <f ca="1">Inputs!B16+(Inputs!D16-Inputs!B16)*BETAINV(RAND(),Model!H10,Model!I10)</f>
        <v>0.86491904687200161</v>
      </c>
      <c r="AE799">
        <f ca="1">Inputs!E16+(Inputs!G16-Inputs!E16)*BETAINV(RAND(),Model!J10,Model!K10)</f>
        <v>0.53665473035632627</v>
      </c>
      <c r="AF799">
        <f ca="1">(Inputs!H16+(Inputs!J16-Inputs!H16)*BETAINV(RAND(),Model!L10,Model!M10))*Inputs!$C$6</f>
        <v>126847.93064345523</v>
      </c>
      <c r="AG799">
        <f t="shared" ca="1" si="268"/>
        <v>0.46416289787914472</v>
      </c>
      <c r="AH799">
        <f t="shared" ca="1" si="269"/>
        <v>0.49021945058583594</v>
      </c>
      <c r="AI799">
        <f t="shared" ca="1" si="270"/>
        <v>0</v>
      </c>
      <c r="AJ799" s="47">
        <f t="shared" ca="1" si="271"/>
        <v>0</v>
      </c>
      <c r="AK799">
        <f t="shared" ca="1" si="272"/>
        <v>562921.2038045947</v>
      </c>
    </row>
    <row r="800" spans="2:37" x14ac:dyDescent="0.2">
      <c r="B800">
        <f ca="1">Inputs!B12+(Inputs!D12-Inputs!B12)*BETAINV(RAND(),Model!H6,Model!I6)</f>
        <v>6.6019107639874814</v>
      </c>
      <c r="C800">
        <f ca="1">Inputs!E12+(Inputs!G12-Inputs!E12)*BETAINV(RAND(),Model!J6,Model!K6)</f>
        <v>0.25727953517454988</v>
      </c>
      <c r="D800">
        <f ca="1">(Inputs!H12+(Inputs!J12-Inputs!H12)*BETAINV(RAND(),Model!L6,Model!M6))*Inputs!$C$6</f>
        <v>46627.989461427424</v>
      </c>
      <c r="E800">
        <f t="shared" ca="1" si="252"/>
        <v>1.6985365326225568</v>
      </c>
      <c r="F800">
        <f t="shared" ca="1" si="253"/>
        <v>0.59274321014972875</v>
      </c>
      <c r="G800">
        <f t="shared" ca="1" si="254"/>
        <v>2</v>
      </c>
      <c r="H800" s="47">
        <f t="shared" ca="1" si="255"/>
        <v>93255.978922854847</v>
      </c>
      <c r="I800">
        <f ca="1">Inputs!B13+(Inputs!D13-Inputs!B13)*BETAINV(RAND(),Model!H7,Model!I7)</f>
        <v>2.8195981589353241</v>
      </c>
      <c r="J800">
        <f ca="1">Inputs!E13+(Inputs!G13-Inputs!E13)*BETAINV(RAND(),Model!J7,Model!K7)</f>
        <v>0.28366803958340664</v>
      </c>
      <c r="K800">
        <f ca="1">(Inputs!H13+(Inputs!J13-Inputs!H13)*BETAINV(RAND(),Model!L7,Model!M7))*Inputs!$C$6</f>
        <v>43471.848870294125</v>
      </c>
      <c r="L800">
        <f t="shared" ca="1" si="256"/>
        <v>0.79982988215816597</v>
      </c>
      <c r="M800">
        <f t="shared" ca="1" si="257"/>
        <v>8.3079610136791993E-2</v>
      </c>
      <c r="N800">
        <f t="shared" ca="1" si="258"/>
        <v>0</v>
      </c>
      <c r="O800" s="47">
        <f t="shared" ca="1" si="259"/>
        <v>0</v>
      </c>
      <c r="P800">
        <f ca="1">Inputs!B14+(Inputs!D14-Inputs!B14)*BETAINV(RAND(),Model!H8,Model!I8)</f>
        <v>0.29062161952105675</v>
      </c>
      <c r="Q800">
        <f ca="1">Inputs!E14+(Inputs!G14-Inputs!E14)*BETAINV(RAND(),Model!J8,Model!K8)</f>
        <v>0.65946332338581803</v>
      </c>
      <c r="R800">
        <f ca="1">(Inputs!H14+(Inputs!J14-Inputs!H14)*BETAINV(RAND(),Model!L8,Model!M8))*Inputs!$C$6</f>
        <v>363203.7019874588</v>
      </c>
      <c r="S800">
        <f t="shared" ca="1" si="260"/>
        <v>0.19165429905712481</v>
      </c>
      <c r="T800">
        <f t="shared" ca="1" si="261"/>
        <v>0.28594834645838707</v>
      </c>
      <c r="U800">
        <f t="shared" ca="1" si="262"/>
        <v>0</v>
      </c>
      <c r="V800" s="47">
        <f t="shared" ca="1" si="263"/>
        <v>0</v>
      </c>
      <c r="W800">
        <f ca="1">Inputs!B15+(Inputs!D15-Inputs!B15)*BETAINV(RAND(),Model!H9,Model!I9)</f>
        <v>1.024893742408536</v>
      </c>
      <c r="X800">
        <f ca="1">Inputs!E15+(Inputs!G15-Inputs!E15)*BETAINV(RAND(),Model!J9,Model!K9)</f>
        <v>0.33894492897146072</v>
      </c>
      <c r="Y800">
        <f ca="1">(Inputs!H15+(Inputs!J15-Inputs!H15)*BETAINV(RAND(),Model!L9,Model!M9))*Inputs!$C$6</f>
        <v>51006.57990682208</v>
      </c>
      <c r="Z800">
        <f t="shared" ca="1" si="264"/>
        <v>0.3473825367239558</v>
      </c>
      <c r="AA800">
        <f t="shared" ca="1" si="265"/>
        <v>0.58599290158531714</v>
      </c>
      <c r="AB800">
        <f t="shared" ca="1" si="266"/>
        <v>0</v>
      </c>
      <c r="AC800" s="47">
        <f t="shared" ca="1" si="267"/>
        <v>0</v>
      </c>
      <c r="AD800">
        <f ca="1">Inputs!B16+(Inputs!D16-Inputs!B16)*BETAINV(RAND(),Model!H10,Model!I10)</f>
        <v>0.62984027585574598</v>
      </c>
      <c r="AE800">
        <f ca="1">Inputs!E16+(Inputs!G16-Inputs!E16)*BETAINV(RAND(),Model!J10,Model!K10)</f>
        <v>0.69496837537702461</v>
      </c>
      <c r="AF800">
        <f ca="1">(Inputs!H16+(Inputs!J16-Inputs!H16)*BETAINV(RAND(),Model!L10,Model!M10))*Inputs!$C$6</f>
        <v>102616.83632469394</v>
      </c>
      <c r="AG800">
        <f t="shared" ca="1" si="268"/>
        <v>0.4377190732584848</v>
      </c>
      <c r="AH800">
        <f t="shared" ca="1" si="269"/>
        <v>0.49876038472982565</v>
      </c>
      <c r="AI800">
        <f t="shared" ca="1" si="270"/>
        <v>0</v>
      </c>
      <c r="AJ800" s="47">
        <f t="shared" ca="1" si="271"/>
        <v>0</v>
      </c>
      <c r="AK800">
        <f t="shared" ca="1" si="272"/>
        <v>93255.978922854847</v>
      </c>
    </row>
    <row r="801" spans="2:37" x14ac:dyDescent="0.2">
      <c r="B801">
        <f ca="1">Inputs!B12+(Inputs!D12-Inputs!B12)*BETAINV(RAND(),Model!H6,Model!I6)</f>
        <v>2.8020184872161571</v>
      </c>
      <c r="C801">
        <f ca="1">Inputs!E12+(Inputs!G12-Inputs!E12)*BETAINV(RAND(),Model!J6,Model!K6)</f>
        <v>0.28882675416355014</v>
      </c>
      <c r="D801">
        <f ca="1">(Inputs!H12+(Inputs!J12-Inputs!H12)*BETAINV(RAND(),Model!L6,Model!M6))*Inputs!$C$6</f>
        <v>21363.269820780508</v>
      </c>
      <c r="E801">
        <f t="shared" ca="1" si="252"/>
        <v>0.80929790476890362</v>
      </c>
      <c r="F801">
        <f t="shared" ca="1" si="253"/>
        <v>0.91543786170008012</v>
      </c>
      <c r="G801">
        <f t="shared" ca="1" si="254"/>
        <v>2</v>
      </c>
      <c r="H801" s="47">
        <f t="shared" ca="1" si="255"/>
        <v>42726.539641561016</v>
      </c>
      <c r="I801">
        <f ca="1">Inputs!B13+(Inputs!D13-Inputs!B13)*BETAINV(RAND(),Model!H7,Model!I7)</f>
        <v>2.8138443455447422</v>
      </c>
      <c r="J801">
        <f ca="1">Inputs!E13+(Inputs!G13-Inputs!E13)*BETAINV(RAND(),Model!J7,Model!K7)</f>
        <v>0.35555272929071668</v>
      </c>
      <c r="K801">
        <f ca="1">(Inputs!H13+(Inputs!J13-Inputs!H13)*BETAINV(RAND(),Model!L7,Model!M7))*Inputs!$C$6</f>
        <v>10613.694845489139</v>
      </c>
      <c r="L801">
        <f t="shared" ca="1" si="256"/>
        <v>1.0004700368576835</v>
      </c>
      <c r="M801">
        <f t="shared" ca="1" si="257"/>
        <v>0.62909935370946257</v>
      </c>
      <c r="N801">
        <f t="shared" ca="1" si="258"/>
        <v>1</v>
      </c>
      <c r="O801" s="47">
        <f t="shared" ca="1" si="259"/>
        <v>10613.694845489139</v>
      </c>
      <c r="P801">
        <f ca="1">Inputs!B14+(Inputs!D14-Inputs!B14)*BETAINV(RAND(),Model!H8,Model!I8)</f>
        <v>0.32332567795030531</v>
      </c>
      <c r="Q801">
        <f ca="1">Inputs!E14+(Inputs!G14-Inputs!E14)*BETAINV(RAND(),Model!J8,Model!K8)</f>
        <v>0.5372815653126416</v>
      </c>
      <c r="R801">
        <f ca="1">(Inputs!H14+(Inputs!J14-Inputs!H14)*BETAINV(RAND(),Model!L8,Model!M8))*Inputs!$C$6</f>
        <v>296518.15429600899</v>
      </c>
      <c r="S801">
        <f t="shared" ca="1" si="260"/>
        <v>0.17371692635491109</v>
      </c>
      <c r="T801">
        <f t="shared" ca="1" si="261"/>
        <v>0.25824923167467351</v>
      </c>
      <c r="U801">
        <f t="shared" ca="1" si="262"/>
        <v>0</v>
      </c>
      <c r="V801" s="47">
        <f t="shared" ca="1" si="263"/>
        <v>0</v>
      </c>
      <c r="W801">
        <f ca="1">Inputs!B15+(Inputs!D15-Inputs!B15)*BETAINV(RAND(),Model!H9,Model!I9)</f>
        <v>1.2648464987079218</v>
      </c>
      <c r="X801">
        <f ca="1">Inputs!E15+(Inputs!G15-Inputs!E15)*BETAINV(RAND(),Model!J9,Model!K9)</f>
        <v>0.45594624684069363</v>
      </c>
      <c r="Y801">
        <f ca="1">(Inputs!H15+(Inputs!J15-Inputs!H15)*BETAINV(RAND(),Model!L9,Model!M9))*Inputs!$C$6</f>
        <v>13945.826175384285</v>
      </c>
      <c r="Z801">
        <f t="shared" ca="1" si="264"/>
        <v>0.57670201391546916</v>
      </c>
      <c r="AA801">
        <f t="shared" ca="1" si="265"/>
        <v>0.21790000985746139</v>
      </c>
      <c r="AB801">
        <f t="shared" ca="1" si="266"/>
        <v>0</v>
      </c>
      <c r="AC801" s="47">
        <f t="shared" ca="1" si="267"/>
        <v>0</v>
      </c>
      <c r="AD801">
        <f ca="1">Inputs!B16+(Inputs!D16-Inputs!B16)*BETAINV(RAND(),Model!H10,Model!I10)</f>
        <v>1.1210137320859437</v>
      </c>
      <c r="AE801">
        <f ca="1">Inputs!E16+(Inputs!G16-Inputs!E16)*BETAINV(RAND(),Model!J10,Model!K10)</f>
        <v>0.54506834210613386</v>
      </c>
      <c r="AF801">
        <f ca="1">(Inputs!H16+(Inputs!J16-Inputs!H16)*BETAINV(RAND(),Model!L10,Model!M10))*Inputs!$C$6</f>
        <v>132022.31205620701</v>
      </c>
      <c r="AG801">
        <f t="shared" ca="1" si="268"/>
        <v>0.61102909642629499</v>
      </c>
      <c r="AH801">
        <f t="shared" ca="1" si="269"/>
        <v>0.96586145232785126</v>
      </c>
      <c r="AI801">
        <f t="shared" ca="1" si="270"/>
        <v>2</v>
      </c>
      <c r="AJ801" s="47">
        <f t="shared" ca="1" si="271"/>
        <v>264044.62411241402</v>
      </c>
      <c r="AK801">
        <f t="shared" ca="1" si="272"/>
        <v>317384.85859946418</v>
      </c>
    </row>
    <row r="802" spans="2:37" x14ac:dyDescent="0.2">
      <c r="B802">
        <f ca="1">Inputs!B12+(Inputs!D12-Inputs!B12)*BETAINV(RAND(),Model!H6,Model!I6)</f>
        <v>2.7828624172198757</v>
      </c>
      <c r="C802">
        <f ca="1">Inputs!E12+(Inputs!G12-Inputs!E12)*BETAINV(RAND(),Model!J6,Model!K6)</f>
        <v>0.19904463899983049</v>
      </c>
      <c r="D802">
        <f ca="1">(Inputs!H12+(Inputs!J12-Inputs!H12)*BETAINV(RAND(),Model!L6,Model!M6))*Inputs!$C$6</f>
        <v>31913.377375288372</v>
      </c>
      <c r="E802">
        <f t="shared" ca="1" si="252"/>
        <v>0.55391384522172582</v>
      </c>
      <c r="F802">
        <f t="shared" ca="1" si="253"/>
        <v>0.41386235988402054</v>
      </c>
      <c r="G802">
        <f t="shared" ca="1" si="254"/>
        <v>0</v>
      </c>
      <c r="H802" s="47">
        <f t="shared" ca="1" si="255"/>
        <v>0</v>
      </c>
      <c r="I802">
        <f ca="1">Inputs!B13+(Inputs!D13-Inputs!B13)*BETAINV(RAND(),Model!H7,Model!I7)</f>
        <v>1.160544064138902</v>
      </c>
      <c r="J802">
        <f ca="1">Inputs!E13+(Inputs!G13-Inputs!E13)*BETAINV(RAND(),Model!J7,Model!K7)</f>
        <v>0.29321730136447888</v>
      </c>
      <c r="K802">
        <f ca="1">(Inputs!H13+(Inputs!J13-Inputs!H13)*BETAINV(RAND(),Model!L7,Model!M7))*Inputs!$C$6</f>
        <v>30900.011482852511</v>
      </c>
      <c r="L802">
        <f t="shared" ca="1" si="256"/>
        <v>0.34029159860137353</v>
      </c>
      <c r="M802">
        <f t="shared" ca="1" si="257"/>
        <v>0.42907585300001971</v>
      </c>
      <c r="N802">
        <f t="shared" ca="1" si="258"/>
        <v>0</v>
      </c>
      <c r="O802" s="47">
        <f t="shared" ca="1" si="259"/>
        <v>0</v>
      </c>
      <c r="P802">
        <f ca="1">Inputs!B14+(Inputs!D14-Inputs!B14)*BETAINV(RAND(),Model!H8,Model!I8)</f>
        <v>0.26003382439282596</v>
      </c>
      <c r="Q802">
        <f ca="1">Inputs!E14+(Inputs!G14-Inputs!E14)*BETAINV(RAND(),Model!J8,Model!K8)</f>
        <v>0.78689296548284271</v>
      </c>
      <c r="R802">
        <f ca="1">(Inputs!H14+(Inputs!J14-Inputs!H14)*BETAINV(RAND(),Model!L8,Model!M8))*Inputs!$C$6</f>
        <v>278858.14023847278</v>
      </c>
      <c r="S802">
        <f t="shared" ca="1" si="260"/>
        <v>0.20461878720231558</v>
      </c>
      <c r="T802">
        <f t="shared" ca="1" si="261"/>
        <v>0.65599057691853435</v>
      </c>
      <c r="U802">
        <f t="shared" ca="1" si="262"/>
        <v>0</v>
      </c>
      <c r="V802" s="47">
        <f t="shared" ca="1" si="263"/>
        <v>0</v>
      </c>
      <c r="W802">
        <f ca="1">Inputs!B15+(Inputs!D15-Inputs!B15)*BETAINV(RAND(),Model!H9,Model!I9)</f>
        <v>1.2660639409613974</v>
      </c>
      <c r="X802">
        <f ca="1">Inputs!E15+(Inputs!G15-Inputs!E15)*BETAINV(RAND(),Model!J9,Model!K9)</f>
        <v>0.36992572995118211</v>
      </c>
      <c r="Y802">
        <f ca="1">(Inputs!H15+(Inputs!J15-Inputs!H15)*BETAINV(RAND(),Model!L9,Model!M9))*Inputs!$C$6</f>
        <v>18745.871519919296</v>
      </c>
      <c r="Z802">
        <f t="shared" ca="1" si="264"/>
        <v>0.46834962752501524</v>
      </c>
      <c r="AA802">
        <f t="shared" ca="1" si="265"/>
        <v>0.60698496493805809</v>
      </c>
      <c r="AB802">
        <f t="shared" ca="1" si="266"/>
        <v>0</v>
      </c>
      <c r="AC802" s="47">
        <f t="shared" ca="1" si="267"/>
        <v>0</v>
      </c>
      <c r="AD802">
        <f ca="1">Inputs!B16+(Inputs!D16-Inputs!B16)*BETAINV(RAND(),Model!H10,Model!I10)</f>
        <v>0.47327780408016834</v>
      </c>
      <c r="AE802">
        <f ca="1">Inputs!E16+(Inputs!G16-Inputs!E16)*BETAINV(RAND(),Model!J10,Model!K10)</f>
        <v>0.60438761972255373</v>
      </c>
      <c r="AF802">
        <f ca="1">(Inputs!H16+(Inputs!J16-Inputs!H16)*BETAINV(RAND(),Model!L10,Model!M10))*Inputs!$C$6</f>
        <v>50059.646463938414</v>
      </c>
      <c r="AG802">
        <f t="shared" ca="1" si="268"/>
        <v>0.28604324547553006</v>
      </c>
      <c r="AH802">
        <f t="shared" ca="1" si="269"/>
        <v>0.57791147378614749</v>
      </c>
      <c r="AI802">
        <f t="shared" ca="1" si="270"/>
        <v>0</v>
      </c>
      <c r="AJ802" s="47">
        <f t="shared" ca="1" si="271"/>
        <v>0</v>
      </c>
      <c r="AK802">
        <f t="shared" ca="1" si="272"/>
        <v>0</v>
      </c>
    </row>
    <row r="803" spans="2:37" x14ac:dyDescent="0.2">
      <c r="B803">
        <f ca="1">Inputs!B12+(Inputs!D12-Inputs!B12)*BETAINV(RAND(),Model!H6,Model!I6)</f>
        <v>2.3949999510373665</v>
      </c>
      <c r="C803">
        <f ca="1">Inputs!E12+(Inputs!G12-Inputs!E12)*BETAINV(RAND(),Model!J6,Model!K6)</f>
        <v>0.34400245061954238</v>
      </c>
      <c r="D803">
        <f ca="1">(Inputs!H12+(Inputs!J12-Inputs!H12)*BETAINV(RAND(),Model!L6,Model!M6))*Inputs!$C$6</f>
        <v>17975.055622088126</v>
      </c>
      <c r="E803">
        <f t="shared" ca="1" si="252"/>
        <v>0.82388585239053813</v>
      </c>
      <c r="F803">
        <f t="shared" ca="1" si="253"/>
        <v>0.56296553001256366</v>
      </c>
      <c r="G803">
        <f t="shared" ca="1" si="254"/>
        <v>1</v>
      </c>
      <c r="H803" s="47">
        <f t="shared" ca="1" si="255"/>
        <v>17975.055622088126</v>
      </c>
      <c r="I803">
        <f ca="1">Inputs!B13+(Inputs!D13-Inputs!B13)*BETAINV(RAND(),Model!H7,Model!I7)</f>
        <v>3.3571242384450697</v>
      </c>
      <c r="J803">
        <f ca="1">Inputs!E13+(Inputs!G13-Inputs!E13)*BETAINV(RAND(),Model!J7,Model!K7)</f>
        <v>0.2619541421006969</v>
      </c>
      <c r="K803">
        <f ca="1">(Inputs!H13+(Inputs!J13-Inputs!H13)*BETAINV(RAND(),Model!L7,Model!M7))*Inputs!$C$6</f>
        <v>32475.16858677959</v>
      </c>
      <c r="L803">
        <f t="shared" ca="1" si="256"/>
        <v>0.87941259980733366</v>
      </c>
      <c r="M803">
        <f t="shared" ca="1" si="257"/>
        <v>0.68029765894407335</v>
      </c>
      <c r="N803">
        <f t="shared" ca="1" si="258"/>
        <v>1</v>
      </c>
      <c r="O803" s="47">
        <f t="shared" ca="1" si="259"/>
        <v>32475.16858677959</v>
      </c>
      <c r="P803">
        <f ca="1">Inputs!B14+(Inputs!D14-Inputs!B14)*BETAINV(RAND(),Model!H8,Model!I8)</f>
        <v>0.14537499235216389</v>
      </c>
      <c r="Q803">
        <f ca="1">Inputs!E14+(Inputs!G14-Inputs!E14)*BETAINV(RAND(),Model!J8,Model!K8)</f>
        <v>0.67645389737236883</v>
      </c>
      <c r="R803">
        <f ca="1">(Inputs!H14+(Inputs!J14-Inputs!H14)*BETAINV(RAND(),Model!L8,Model!M8))*Inputs!$C$6</f>
        <v>402850.28330113232</v>
      </c>
      <c r="S803">
        <f t="shared" ca="1" si="260"/>
        <v>9.8339480157099576E-2</v>
      </c>
      <c r="T803">
        <f t="shared" ca="1" si="261"/>
        <v>0.54958091888984395</v>
      </c>
      <c r="U803">
        <f t="shared" ca="1" si="262"/>
        <v>0</v>
      </c>
      <c r="V803" s="47">
        <f t="shared" ca="1" si="263"/>
        <v>0</v>
      </c>
      <c r="W803">
        <f ca="1">Inputs!B15+(Inputs!D15-Inputs!B15)*BETAINV(RAND(),Model!H9,Model!I9)</f>
        <v>1.6763650019454452</v>
      </c>
      <c r="X803">
        <f ca="1">Inputs!E15+(Inputs!G15-Inputs!E15)*BETAINV(RAND(),Model!J9,Model!K9)</f>
        <v>0.31554791457698933</v>
      </c>
      <c r="Y803">
        <f ca="1">(Inputs!H15+(Inputs!J15-Inputs!H15)*BETAINV(RAND(),Model!L9,Model!M9))*Inputs!$C$6</f>
        <v>23835.343158246233</v>
      </c>
      <c r="Z803">
        <f t="shared" ca="1" si="264"/>
        <v>0.52897348043373593</v>
      </c>
      <c r="AA803">
        <f t="shared" ca="1" si="265"/>
        <v>0.73072039498532981</v>
      </c>
      <c r="AB803">
        <f t="shared" ca="1" si="266"/>
        <v>1</v>
      </c>
      <c r="AC803" s="47">
        <f t="shared" ca="1" si="267"/>
        <v>23835.343158246233</v>
      </c>
      <c r="AD803">
        <f ca="1">Inputs!B16+(Inputs!D16-Inputs!B16)*BETAINV(RAND(),Model!H10,Model!I10)</f>
        <v>0.92701909294779172</v>
      </c>
      <c r="AE803">
        <f ca="1">Inputs!E16+(Inputs!G16-Inputs!E16)*BETAINV(RAND(),Model!J10,Model!K10)</f>
        <v>0.61804547739892202</v>
      </c>
      <c r="AF803">
        <f ca="1">(Inputs!H16+(Inputs!J16-Inputs!H16)*BETAINV(RAND(),Model!L10,Model!M10))*Inputs!$C$6</f>
        <v>73910.545459581408</v>
      </c>
      <c r="AG803">
        <f t="shared" ca="1" si="268"/>
        <v>0.57293995785883356</v>
      </c>
      <c r="AH803">
        <f t="shared" ca="1" si="269"/>
        <v>0.52182133167897127</v>
      </c>
      <c r="AI803">
        <f t="shared" ca="1" si="270"/>
        <v>0</v>
      </c>
      <c r="AJ803" s="47">
        <f t="shared" ca="1" si="271"/>
        <v>0</v>
      </c>
      <c r="AK803">
        <f t="shared" ca="1" si="272"/>
        <v>74285.567367113952</v>
      </c>
    </row>
    <row r="804" spans="2:37" x14ac:dyDescent="0.2">
      <c r="B804">
        <f ca="1">Inputs!B12+(Inputs!D12-Inputs!B12)*BETAINV(RAND(),Model!H6,Model!I6)</f>
        <v>2.4662487583745785</v>
      </c>
      <c r="C804">
        <f ca="1">Inputs!E12+(Inputs!G12-Inputs!E12)*BETAINV(RAND(),Model!J6,Model!K6)</f>
        <v>0.34059029606735436</v>
      </c>
      <c r="D804">
        <f ca="1">(Inputs!H12+(Inputs!J12-Inputs!H12)*BETAINV(RAND(),Model!L6,Model!M6))*Inputs!$C$6</f>
        <v>31406.619566274916</v>
      </c>
      <c r="E804">
        <f t="shared" ca="1" si="252"/>
        <v>0.83998039479054276</v>
      </c>
      <c r="F804">
        <f t="shared" ca="1" si="253"/>
        <v>8.4412753841194177E-2</v>
      </c>
      <c r="G804">
        <f t="shared" ca="1" si="254"/>
        <v>0</v>
      </c>
      <c r="H804" s="47">
        <f t="shared" ca="1" si="255"/>
        <v>0</v>
      </c>
      <c r="I804">
        <f ca="1">Inputs!B13+(Inputs!D13-Inputs!B13)*BETAINV(RAND(),Model!H7,Model!I7)</f>
        <v>3.5679308517113957</v>
      </c>
      <c r="J804">
        <f ca="1">Inputs!E13+(Inputs!G13-Inputs!E13)*BETAINV(RAND(),Model!J7,Model!K7)</f>
        <v>0.38053900365142634</v>
      </c>
      <c r="K804">
        <f ca="1">(Inputs!H13+(Inputs!J13-Inputs!H13)*BETAINV(RAND(),Model!L7,Model!M7))*Inputs!$C$6</f>
        <v>39359.389368309457</v>
      </c>
      <c r="L804">
        <f t="shared" ca="1" si="256"/>
        <v>1.3577368514074395</v>
      </c>
      <c r="M804">
        <f t="shared" ca="1" si="257"/>
        <v>0.81255249881905534</v>
      </c>
      <c r="N804">
        <f t="shared" ca="1" si="258"/>
        <v>2</v>
      </c>
      <c r="O804" s="47">
        <f t="shared" ca="1" si="259"/>
        <v>78718.778736618915</v>
      </c>
      <c r="P804">
        <f ca="1">Inputs!B14+(Inputs!D14-Inputs!B14)*BETAINV(RAND(),Model!H8,Model!I8)</f>
        <v>0.18629304357652055</v>
      </c>
      <c r="Q804">
        <f ca="1">Inputs!E14+(Inputs!G14-Inputs!E14)*BETAINV(RAND(),Model!J8,Model!K8)</f>
        <v>0.66206345989758664</v>
      </c>
      <c r="R804">
        <f ca="1">(Inputs!H14+(Inputs!J14-Inputs!H14)*BETAINV(RAND(),Model!L8,Model!M8))*Inputs!$C$6</f>
        <v>409915.29283010331</v>
      </c>
      <c r="S804">
        <f t="shared" ca="1" si="260"/>
        <v>0.12333781698512307</v>
      </c>
      <c r="T804">
        <f t="shared" ca="1" si="261"/>
        <v>0.10522570218963823</v>
      </c>
      <c r="U804">
        <f t="shared" ca="1" si="262"/>
        <v>0</v>
      </c>
      <c r="V804" s="47">
        <f t="shared" ca="1" si="263"/>
        <v>0</v>
      </c>
      <c r="W804">
        <f ca="1">Inputs!B15+(Inputs!D15-Inputs!B15)*BETAINV(RAND(),Model!H9,Model!I9)</f>
        <v>1.7147183909785817</v>
      </c>
      <c r="X804">
        <f ca="1">Inputs!E15+(Inputs!G15-Inputs!E15)*BETAINV(RAND(),Model!J9,Model!K9)</f>
        <v>0.34520131052295322</v>
      </c>
      <c r="Y804">
        <f ca="1">(Inputs!H15+(Inputs!J15-Inputs!H15)*BETAINV(RAND(),Model!L9,Model!M9))*Inputs!$C$6</f>
        <v>30162.78677659707</v>
      </c>
      <c r="Z804">
        <f t="shared" ca="1" si="264"/>
        <v>0.59192303574361604</v>
      </c>
      <c r="AA804">
        <f t="shared" ca="1" si="265"/>
        <v>0.77309393626835632</v>
      </c>
      <c r="AB804">
        <f t="shared" ca="1" si="266"/>
        <v>1</v>
      </c>
      <c r="AC804" s="47">
        <f t="shared" ca="1" si="267"/>
        <v>30162.78677659707</v>
      </c>
      <c r="AD804">
        <f ca="1">Inputs!B16+(Inputs!D16-Inputs!B16)*BETAINV(RAND(),Model!H10,Model!I10)</f>
        <v>0.98871778510323827</v>
      </c>
      <c r="AE804">
        <f ca="1">Inputs!E16+(Inputs!G16-Inputs!E16)*BETAINV(RAND(),Model!J10,Model!K10)</f>
        <v>0.51031085993510628</v>
      </c>
      <c r="AF804">
        <f ca="1">(Inputs!H16+(Inputs!J16-Inputs!H16)*BETAINV(RAND(),Model!L10,Model!M10))*Inputs!$C$6</f>
        <v>99036.376234663941</v>
      </c>
      <c r="AG804">
        <f t="shared" ca="1" si="268"/>
        <v>0.50455342314916718</v>
      </c>
      <c r="AH804">
        <f t="shared" ca="1" si="269"/>
        <v>0.89611029565009492</v>
      </c>
      <c r="AI804">
        <f t="shared" ca="1" si="270"/>
        <v>1</v>
      </c>
      <c r="AJ804" s="47">
        <f t="shared" ca="1" si="271"/>
        <v>99036.376234663941</v>
      </c>
      <c r="AK804">
        <f t="shared" ca="1" si="272"/>
        <v>207917.94174787993</v>
      </c>
    </row>
    <row r="805" spans="2:37" x14ac:dyDescent="0.2">
      <c r="B805">
        <f ca="1">Inputs!B12+(Inputs!D12-Inputs!B12)*BETAINV(RAND(),Model!H6,Model!I6)</f>
        <v>5.2848810707658185</v>
      </c>
      <c r="C805">
        <f ca="1">Inputs!E12+(Inputs!G12-Inputs!E12)*BETAINV(RAND(),Model!J6,Model!K6)</f>
        <v>0.25419477394685397</v>
      </c>
      <c r="D805">
        <f ca="1">(Inputs!H12+(Inputs!J12-Inputs!H12)*BETAINV(RAND(),Model!L6,Model!M6))*Inputs!$C$6</f>
        <v>34329.002247824625</v>
      </c>
      <c r="E805">
        <f t="shared" ca="1" si="252"/>
        <v>1.3433891491193248</v>
      </c>
      <c r="F805">
        <f t="shared" ca="1" si="253"/>
        <v>0.55365918142980708</v>
      </c>
      <c r="G805">
        <f t="shared" ca="1" si="254"/>
        <v>1</v>
      </c>
      <c r="H805" s="47">
        <f t="shared" ca="1" si="255"/>
        <v>34329.002247824625</v>
      </c>
      <c r="I805">
        <f ca="1">Inputs!B13+(Inputs!D13-Inputs!B13)*BETAINV(RAND(),Model!H7,Model!I7)</f>
        <v>1.704952927729851</v>
      </c>
      <c r="J805">
        <f ca="1">Inputs!E13+(Inputs!G13-Inputs!E13)*BETAINV(RAND(),Model!J7,Model!K7)</f>
        <v>0.16556506929820008</v>
      </c>
      <c r="K805">
        <f ca="1">(Inputs!H13+(Inputs!J13-Inputs!H13)*BETAINV(RAND(),Model!L7,Model!M7))*Inputs!$C$6</f>
        <v>50229.933989424768</v>
      </c>
      <c r="L805">
        <f t="shared" ca="1" si="256"/>
        <v>0.2822806496297619</v>
      </c>
      <c r="M805">
        <f t="shared" ca="1" si="257"/>
        <v>0.17610021290865296</v>
      </c>
      <c r="N805">
        <f t="shared" ca="1" si="258"/>
        <v>0</v>
      </c>
      <c r="O805" s="47">
        <f t="shared" ca="1" si="259"/>
        <v>0</v>
      </c>
      <c r="P805">
        <f ca="1">Inputs!B14+(Inputs!D14-Inputs!B14)*BETAINV(RAND(),Model!H8,Model!I8)</f>
        <v>0.64159858913632395</v>
      </c>
      <c r="Q805">
        <f ca="1">Inputs!E14+(Inputs!G14-Inputs!E14)*BETAINV(RAND(),Model!J8,Model!K8)</f>
        <v>0.60816447504150473</v>
      </c>
      <c r="R805">
        <f ca="1">(Inputs!H14+(Inputs!J14-Inputs!H14)*BETAINV(RAND(),Model!L8,Model!M8))*Inputs!$C$6</f>
        <v>260489.19314506557</v>
      </c>
      <c r="S805">
        <f t="shared" ca="1" si="260"/>
        <v>0.39019746914946252</v>
      </c>
      <c r="T805">
        <f t="shared" ca="1" si="261"/>
        <v>0.94676068625569254</v>
      </c>
      <c r="U805">
        <f t="shared" ca="1" si="262"/>
        <v>2</v>
      </c>
      <c r="V805" s="47">
        <f t="shared" ca="1" si="263"/>
        <v>520978.38629013114</v>
      </c>
      <c r="W805">
        <f ca="1">Inputs!B15+(Inputs!D15-Inputs!B15)*BETAINV(RAND(),Model!H9,Model!I9)</f>
        <v>1.231316246229305</v>
      </c>
      <c r="X805">
        <f ca="1">Inputs!E15+(Inputs!G15-Inputs!E15)*BETAINV(RAND(),Model!J9,Model!K9)</f>
        <v>0.50342128095065197</v>
      </c>
      <c r="Y805">
        <f ca="1">(Inputs!H15+(Inputs!J15-Inputs!H15)*BETAINV(RAND(),Model!L9,Model!M9))*Inputs!$C$6</f>
        <v>19347.420026144104</v>
      </c>
      <c r="Z805">
        <f t="shared" ca="1" si="264"/>
        <v>0.61987080193210509</v>
      </c>
      <c r="AA805">
        <f t="shared" ca="1" si="265"/>
        <v>0.85087578899127514</v>
      </c>
      <c r="AB805">
        <f t="shared" ca="1" si="266"/>
        <v>1</v>
      </c>
      <c r="AC805" s="47">
        <f t="shared" ca="1" si="267"/>
        <v>19347.420026144104</v>
      </c>
      <c r="AD805">
        <f ca="1">Inputs!B16+(Inputs!D16-Inputs!B16)*BETAINV(RAND(),Model!H10,Model!I10)</f>
        <v>0.78158653658523303</v>
      </c>
      <c r="AE805">
        <f ca="1">Inputs!E16+(Inputs!G16-Inputs!E16)*BETAINV(RAND(),Model!J10,Model!K10)</f>
        <v>0.53156296854842011</v>
      </c>
      <c r="AF805">
        <f ca="1">(Inputs!H16+(Inputs!J16-Inputs!H16)*BETAINV(RAND(),Model!L10,Model!M10))*Inputs!$C$6</f>
        <v>107726.23852458557</v>
      </c>
      <c r="AG805">
        <f t="shared" ca="1" si="268"/>
        <v>0.41546245956472483</v>
      </c>
      <c r="AH805">
        <f t="shared" ca="1" si="269"/>
        <v>0.69196499620362351</v>
      </c>
      <c r="AI805">
        <f t="shared" ca="1" si="270"/>
        <v>1</v>
      </c>
      <c r="AJ805" s="47">
        <f t="shared" ca="1" si="271"/>
        <v>107726.23852458557</v>
      </c>
      <c r="AK805">
        <f t="shared" ca="1" si="272"/>
        <v>682381.04708868545</v>
      </c>
    </row>
    <row r="806" spans="2:37" x14ac:dyDescent="0.2">
      <c r="B806">
        <f ca="1">Inputs!B12+(Inputs!D12-Inputs!B12)*BETAINV(RAND(),Model!H6,Model!I6)</f>
        <v>5.3285983764009748</v>
      </c>
      <c r="C806">
        <f ca="1">Inputs!E12+(Inputs!G12-Inputs!E12)*BETAINV(RAND(),Model!J6,Model!K6)</f>
        <v>0.28339006784982695</v>
      </c>
      <c r="D806">
        <f ca="1">(Inputs!H12+(Inputs!J12-Inputs!H12)*BETAINV(RAND(),Model!L6,Model!M6))*Inputs!$C$6</f>
        <v>31439.157666854222</v>
      </c>
      <c r="E806">
        <f t="shared" ca="1" si="252"/>
        <v>1.5100718554327499</v>
      </c>
      <c r="F806">
        <f t="shared" ca="1" si="253"/>
        <v>5.7148313958373387E-2</v>
      </c>
      <c r="G806">
        <f t="shared" ca="1" si="254"/>
        <v>0</v>
      </c>
      <c r="H806" s="47">
        <f t="shared" ca="1" si="255"/>
        <v>0</v>
      </c>
      <c r="I806">
        <f ca="1">Inputs!B13+(Inputs!D13-Inputs!B13)*BETAINV(RAND(),Model!H7,Model!I7)</f>
        <v>2.1369896888348672</v>
      </c>
      <c r="J806">
        <f ca="1">Inputs!E13+(Inputs!G13-Inputs!E13)*BETAINV(RAND(),Model!J7,Model!K7)</f>
        <v>0.23284687133589729</v>
      </c>
      <c r="K806">
        <f ca="1">(Inputs!H13+(Inputs!J13-Inputs!H13)*BETAINV(RAND(),Model!L7,Model!M7))*Inputs!$C$6</f>
        <v>41956.818558907944</v>
      </c>
      <c r="L806">
        <f t="shared" ca="1" si="256"/>
        <v>0.49759136312227153</v>
      </c>
      <c r="M806">
        <f t="shared" ca="1" si="257"/>
        <v>0.9222769690173892</v>
      </c>
      <c r="N806">
        <f t="shared" ca="1" si="258"/>
        <v>2</v>
      </c>
      <c r="O806" s="47">
        <f t="shared" ca="1" si="259"/>
        <v>83913.637117815888</v>
      </c>
      <c r="P806">
        <f ca="1">Inputs!B14+(Inputs!D14-Inputs!B14)*BETAINV(RAND(),Model!H8,Model!I8)</f>
        <v>0.23367767687790691</v>
      </c>
      <c r="Q806">
        <f ca="1">Inputs!E14+(Inputs!G14-Inputs!E14)*BETAINV(RAND(),Model!J8,Model!K8)</f>
        <v>0.80929874504902699</v>
      </c>
      <c r="R806">
        <f ca="1">(Inputs!H14+(Inputs!J14-Inputs!H14)*BETAINV(RAND(),Model!L8,Model!M8))*Inputs!$C$6</f>
        <v>311126.36826108512</v>
      </c>
      <c r="S806">
        <f t="shared" ca="1" si="260"/>
        <v>0.18911505064326209</v>
      </c>
      <c r="T806">
        <f t="shared" ca="1" si="261"/>
        <v>0.59803203874159561</v>
      </c>
      <c r="U806">
        <f t="shared" ca="1" si="262"/>
        <v>0</v>
      </c>
      <c r="V806" s="47">
        <f t="shared" ca="1" si="263"/>
        <v>0</v>
      </c>
      <c r="W806">
        <f ca="1">Inputs!B15+(Inputs!D15-Inputs!B15)*BETAINV(RAND(),Model!H9,Model!I9)</f>
        <v>0.94532570545389571</v>
      </c>
      <c r="X806">
        <f ca="1">Inputs!E15+(Inputs!G15-Inputs!E15)*BETAINV(RAND(),Model!J9,Model!K9)</f>
        <v>0.45452244789242002</v>
      </c>
      <c r="Y806">
        <f ca="1">(Inputs!H15+(Inputs!J15-Inputs!H15)*BETAINV(RAND(),Model!L9,Model!M9))*Inputs!$C$6</f>
        <v>24594.35207381508</v>
      </c>
      <c r="Z806">
        <f t="shared" ca="1" si="264"/>
        <v>0.4296717536985335</v>
      </c>
      <c r="AA806">
        <f t="shared" ca="1" si="265"/>
        <v>0.17388523076321749</v>
      </c>
      <c r="AB806">
        <f t="shared" ca="1" si="266"/>
        <v>0</v>
      </c>
      <c r="AC806" s="47">
        <f t="shared" ca="1" si="267"/>
        <v>0</v>
      </c>
      <c r="AD806">
        <f ca="1">Inputs!B16+(Inputs!D16-Inputs!B16)*BETAINV(RAND(),Model!H10,Model!I10)</f>
        <v>0.27821913310186769</v>
      </c>
      <c r="AE806">
        <f ca="1">Inputs!E16+(Inputs!G16-Inputs!E16)*BETAINV(RAND(),Model!J10,Model!K10)</f>
        <v>0.62917255824841001</v>
      </c>
      <c r="AF806">
        <f ca="1">(Inputs!H16+(Inputs!J16-Inputs!H16)*BETAINV(RAND(),Model!L10,Model!M10))*Inputs!$C$6</f>
        <v>64916.117022360311</v>
      </c>
      <c r="AG806">
        <f t="shared" ca="1" si="268"/>
        <v>0.17504784372735699</v>
      </c>
      <c r="AH806">
        <f t="shared" ca="1" si="269"/>
        <v>0.64116709386305692</v>
      </c>
      <c r="AI806">
        <f t="shared" ca="1" si="270"/>
        <v>0</v>
      </c>
      <c r="AJ806" s="47">
        <f t="shared" ca="1" si="271"/>
        <v>0</v>
      </c>
      <c r="AK806">
        <f t="shared" ca="1" si="272"/>
        <v>83913.637117815888</v>
      </c>
    </row>
    <row r="807" spans="2:37" x14ac:dyDescent="0.2">
      <c r="B807">
        <f ca="1">Inputs!B12+(Inputs!D12-Inputs!B12)*BETAINV(RAND(),Model!H6,Model!I6)</f>
        <v>2.4846281419025318</v>
      </c>
      <c r="C807">
        <f ca="1">Inputs!E12+(Inputs!G12-Inputs!E12)*BETAINV(RAND(),Model!J6,Model!K6)</f>
        <v>0.3498629275955919</v>
      </c>
      <c r="D807">
        <f ca="1">(Inputs!H12+(Inputs!J12-Inputs!H12)*BETAINV(RAND(),Model!L6,Model!M6))*Inputs!$C$6</f>
        <v>19241.960882408875</v>
      </c>
      <c r="E807">
        <f t="shared" ca="1" si="252"/>
        <v>0.86927927571241548</v>
      </c>
      <c r="F807">
        <f t="shared" ca="1" si="253"/>
        <v>0.21566066982996623</v>
      </c>
      <c r="G807">
        <f t="shared" ca="1" si="254"/>
        <v>0</v>
      </c>
      <c r="H807" s="47">
        <f t="shared" ca="1" si="255"/>
        <v>0</v>
      </c>
      <c r="I807">
        <f ca="1">Inputs!B13+(Inputs!D13-Inputs!B13)*BETAINV(RAND(),Model!H7,Model!I7)</f>
        <v>1.7676703919762358</v>
      </c>
      <c r="J807">
        <f ca="1">Inputs!E13+(Inputs!G13-Inputs!E13)*BETAINV(RAND(),Model!J7,Model!K7)</f>
        <v>0.16122280360501226</v>
      </c>
      <c r="K807">
        <f ca="1">(Inputs!H13+(Inputs!J13-Inputs!H13)*BETAINV(RAND(),Model!L7,Model!M7))*Inputs!$C$6</f>
        <v>38385.557453734546</v>
      </c>
      <c r="L807">
        <f t="shared" ca="1" si="256"/>
        <v>0.28498877644397969</v>
      </c>
      <c r="M807">
        <f t="shared" ca="1" si="257"/>
        <v>9.561611258136482E-2</v>
      </c>
      <c r="N807">
        <f t="shared" ca="1" si="258"/>
        <v>0</v>
      </c>
      <c r="O807" s="47">
        <f t="shared" ca="1" si="259"/>
        <v>0</v>
      </c>
      <c r="P807">
        <f ca="1">Inputs!B14+(Inputs!D14-Inputs!B14)*BETAINV(RAND(),Model!H8,Model!I8)</f>
        <v>0.14176016988790133</v>
      </c>
      <c r="Q807">
        <f ca="1">Inputs!E14+(Inputs!G14-Inputs!E14)*BETAINV(RAND(),Model!J8,Model!K8)</f>
        <v>0.69729266455844585</v>
      </c>
      <c r="R807">
        <f ca="1">(Inputs!H14+(Inputs!J14-Inputs!H14)*BETAINV(RAND(),Model!L8,Model!M8))*Inputs!$C$6</f>
        <v>444696.98321029561</v>
      </c>
      <c r="S807">
        <f t="shared" ca="1" si="260"/>
        <v>9.8848326589392674E-2</v>
      </c>
      <c r="T807">
        <f t="shared" ca="1" si="261"/>
        <v>0.40256793264439372</v>
      </c>
      <c r="U807">
        <f t="shared" ca="1" si="262"/>
        <v>0</v>
      </c>
      <c r="V807" s="47">
        <f t="shared" ca="1" si="263"/>
        <v>0</v>
      </c>
      <c r="W807">
        <f ca="1">Inputs!B15+(Inputs!D15-Inputs!B15)*BETAINV(RAND(),Model!H9,Model!I9)</f>
        <v>1.0654944969374354</v>
      </c>
      <c r="X807">
        <f ca="1">Inputs!E15+(Inputs!G15-Inputs!E15)*BETAINV(RAND(),Model!J9,Model!K9)</f>
        <v>0.39948439637429367</v>
      </c>
      <c r="Y807">
        <f ca="1">(Inputs!H15+(Inputs!J15-Inputs!H15)*BETAINV(RAND(),Model!L9,Model!M9))*Inputs!$C$6</f>
        <v>21147.03306760313</v>
      </c>
      <c r="Z807">
        <f t="shared" ca="1" si="264"/>
        <v>0.42564842594918306</v>
      </c>
      <c r="AA807">
        <f t="shared" ca="1" si="265"/>
        <v>0.66974126692024638</v>
      </c>
      <c r="AB807">
        <f t="shared" ca="1" si="266"/>
        <v>1</v>
      </c>
      <c r="AC807" s="47">
        <f t="shared" ca="1" si="267"/>
        <v>21147.03306760313</v>
      </c>
      <c r="AD807">
        <f ca="1">Inputs!B16+(Inputs!D16-Inputs!B16)*BETAINV(RAND(),Model!H10,Model!I10)</f>
        <v>0.9487798152764455</v>
      </c>
      <c r="AE807">
        <f ca="1">Inputs!E16+(Inputs!G16-Inputs!E16)*BETAINV(RAND(),Model!J10,Model!K10)</f>
        <v>0.51708595544943492</v>
      </c>
      <c r="AF807">
        <f ca="1">(Inputs!H16+(Inputs!J16-Inputs!H16)*BETAINV(RAND(),Model!L10,Model!M10))*Inputs!$C$6</f>
        <v>129268.00075884971</v>
      </c>
      <c r="AG807">
        <f t="shared" ca="1" si="268"/>
        <v>0.49060071729335919</v>
      </c>
      <c r="AH807">
        <f t="shared" ca="1" si="269"/>
        <v>0.24406256523999237</v>
      </c>
      <c r="AI807">
        <f t="shared" ca="1" si="270"/>
        <v>0</v>
      </c>
      <c r="AJ807" s="47">
        <f t="shared" ca="1" si="271"/>
        <v>0</v>
      </c>
      <c r="AK807">
        <f t="shared" ca="1" si="272"/>
        <v>21147.03306760313</v>
      </c>
    </row>
    <row r="808" spans="2:37" x14ac:dyDescent="0.2">
      <c r="B808">
        <f ca="1">Inputs!B12+(Inputs!D12-Inputs!B12)*BETAINV(RAND(),Model!H6,Model!I6)</f>
        <v>3.6240293737823821</v>
      </c>
      <c r="C808">
        <f ca="1">Inputs!E12+(Inputs!G12-Inputs!E12)*BETAINV(RAND(),Model!J6,Model!K6)</f>
        <v>0.25868656266509271</v>
      </c>
      <c r="D808">
        <f ca="1">(Inputs!H12+(Inputs!J12-Inputs!H12)*BETAINV(RAND(),Model!L6,Model!M6))*Inputs!$C$6</f>
        <v>32329.656066298299</v>
      </c>
      <c r="E808">
        <f t="shared" ca="1" si="252"/>
        <v>0.93748770170109286</v>
      </c>
      <c r="F808">
        <f t="shared" ca="1" si="253"/>
        <v>0.31785697468967733</v>
      </c>
      <c r="G808">
        <f t="shared" ca="1" si="254"/>
        <v>0</v>
      </c>
      <c r="H808" s="47">
        <f t="shared" ca="1" si="255"/>
        <v>0</v>
      </c>
      <c r="I808">
        <f ca="1">Inputs!B13+(Inputs!D13-Inputs!B13)*BETAINV(RAND(),Model!H7,Model!I7)</f>
        <v>2.636360707555705</v>
      </c>
      <c r="J808">
        <f ca="1">Inputs!E13+(Inputs!G13-Inputs!E13)*BETAINV(RAND(),Model!J7,Model!K7)</f>
        <v>0.35263561699191626</v>
      </c>
      <c r="K808">
        <f ca="1">(Inputs!H13+(Inputs!J13-Inputs!H13)*BETAINV(RAND(),Model!L7,Model!M7))*Inputs!$C$6</f>
        <v>37854.717793681739</v>
      </c>
      <c r="L808">
        <f t="shared" ca="1" si="256"/>
        <v>0.92967468472215087</v>
      </c>
      <c r="M808">
        <f t="shared" ca="1" si="257"/>
        <v>0.79479263853958448</v>
      </c>
      <c r="N808">
        <f t="shared" ca="1" si="258"/>
        <v>2</v>
      </c>
      <c r="O808" s="47">
        <f t="shared" ca="1" si="259"/>
        <v>75709.435587363478</v>
      </c>
      <c r="P808">
        <f ca="1">Inputs!B14+(Inputs!D14-Inputs!B14)*BETAINV(RAND(),Model!H8,Model!I8)</f>
        <v>0.20828870284255441</v>
      </c>
      <c r="Q808">
        <f ca="1">Inputs!E14+(Inputs!G14-Inputs!E14)*BETAINV(RAND(),Model!J8,Model!K8)</f>
        <v>0.67006985603796265</v>
      </c>
      <c r="R808">
        <f ca="1">(Inputs!H14+(Inputs!J14-Inputs!H14)*BETAINV(RAND(),Model!L8,Model!M8))*Inputs!$C$6</f>
        <v>261481.51138637451</v>
      </c>
      <c r="S808">
        <f t="shared" ca="1" si="260"/>
        <v>0.13956798112804442</v>
      </c>
      <c r="T808">
        <f t="shared" ca="1" si="261"/>
        <v>0.69501323356601663</v>
      </c>
      <c r="U808">
        <f t="shared" ca="1" si="262"/>
        <v>0</v>
      </c>
      <c r="V808" s="47">
        <f t="shared" ca="1" si="263"/>
        <v>0</v>
      </c>
      <c r="W808">
        <f ca="1">Inputs!B15+(Inputs!D15-Inputs!B15)*BETAINV(RAND(),Model!H9,Model!I9)</f>
        <v>1.1711216906397899</v>
      </c>
      <c r="X808">
        <f ca="1">Inputs!E15+(Inputs!G15-Inputs!E15)*BETAINV(RAND(),Model!J9,Model!K9)</f>
        <v>0.34276569144440772</v>
      </c>
      <c r="Y808">
        <f ca="1">(Inputs!H15+(Inputs!J15-Inputs!H15)*BETAINV(RAND(),Model!L9,Model!M9))*Inputs!$C$6</f>
        <v>29747.471470389122</v>
      </c>
      <c r="Z808">
        <f t="shared" ca="1" si="264"/>
        <v>0.40142033605769134</v>
      </c>
      <c r="AA808">
        <f t="shared" ca="1" si="265"/>
        <v>0.44971642162599168</v>
      </c>
      <c r="AB808">
        <f t="shared" ca="1" si="266"/>
        <v>0</v>
      </c>
      <c r="AC808" s="47">
        <f t="shared" ca="1" si="267"/>
        <v>0</v>
      </c>
      <c r="AD808">
        <f ca="1">Inputs!B16+(Inputs!D16-Inputs!B16)*BETAINV(RAND(),Model!H10,Model!I10)</f>
        <v>0.87636387172719488</v>
      </c>
      <c r="AE808">
        <f ca="1">Inputs!E16+(Inputs!G16-Inputs!E16)*BETAINV(RAND(),Model!J10,Model!K10)</f>
        <v>0.64824452820600409</v>
      </c>
      <c r="AF808">
        <f ca="1">(Inputs!H16+(Inputs!J16-Inputs!H16)*BETAINV(RAND(),Model!L10,Model!M10))*Inputs!$C$6</f>
        <v>146150.35800317719</v>
      </c>
      <c r="AG808">
        <f t="shared" ca="1" si="268"/>
        <v>0.56809808456458255</v>
      </c>
      <c r="AH808">
        <f t="shared" ca="1" si="269"/>
        <v>0.81940300802804877</v>
      </c>
      <c r="AI808">
        <f t="shared" ca="1" si="270"/>
        <v>1</v>
      </c>
      <c r="AJ808" s="47">
        <f t="shared" ca="1" si="271"/>
        <v>146150.35800317719</v>
      </c>
      <c r="AK808">
        <f t="shared" ca="1" si="272"/>
        <v>221859.79359054065</v>
      </c>
    </row>
    <row r="809" spans="2:37" x14ac:dyDescent="0.2">
      <c r="B809">
        <f ca="1">Inputs!B12+(Inputs!D12-Inputs!B12)*BETAINV(RAND(),Model!H6,Model!I6)</f>
        <v>5.8929284334564347</v>
      </c>
      <c r="C809">
        <f ca="1">Inputs!E12+(Inputs!G12-Inputs!E12)*BETAINV(RAND(),Model!J6,Model!K6)</f>
        <v>0.32359899589108815</v>
      </c>
      <c r="D809">
        <f ca="1">(Inputs!H12+(Inputs!J12-Inputs!H12)*BETAINV(RAND(),Model!L6,Model!M6))*Inputs!$C$6</f>
        <v>11830.945155370968</v>
      </c>
      <c r="E809">
        <f t="shared" ca="1" si="252"/>
        <v>1.9069457239245453</v>
      </c>
      <c r="F809">
        <f t="shared" ca="1" si="253"/>
        <v>0.83752608659031813</v>
      </c>
      <c r="G809">
        <f t="shared" ca="1" si="254"/>
        <v>3</v>
      </c>
      <c r="H809" s="47">
        <f t="shared" ca="1" si="255"/>
        <v>35492.835466112905</v>
      </c>
      <c r="I809">
        <f ca="1">Inputs!B13+(Inputs!D13-Inputs!B13)*BETAINV(RAND(),Model!H7,Model!I7)</f>
        <v>4.1483035112731832</v>
      </c>
      <c r="J809">
        <f ca="1">Inputs!E13+(Inputs!G13-Inputs!E13)*BETAINV(RAND(),Model!J7,Model!K7)</f>
        <v>0.15383940793556738</v>
      </c>
      <c r="K809">
        <f ca="1">(Inputs!H13+(Inputs!J13-Inputs!H13)*BETAINV(RAND(),Model!L7,Model!M7))*Inputs!$C$6</f>
        <v>21192.986485344205</v>
      </c>
      <c r="L809">
        <f t="shared" ca="1" si="256"/>
        <v>0.63817255611130175</v>
      </c>
      <c r="M809">
        <f t="shared" ca="1" si="257"/>
        <v>0.81129600032523974</v>
      </c>
      <c r="N809">
        <f t="shared" ca="1" si="258"/>
        <v>1</v>
      </c>
      <c r="O809" s="47">
        <f t="shared" ca="1" si="259"/>
        <v>21192.986485344205</v>
      </c>
      <c r="P809">
        <f ca="1">Inputs!B14+(Inputs!D14-Inputs!B14)*BETAINV(RAND(),Model!H8,Model!I8)</f>
        <v>0.20442552510029599</v>
      </c>
      <c r="Q809">
        <f ca="1">Inputs!E14+(Inputs!G14-Inputs!E14)*BETAINV(RAND(),Model!J8,Model!K8)</f>
        <v>0.56364148556479088</v>
      </c>
      <c r="R809">
        <f ca="1">(Inputs!H14+(Inputs!J14-Inputs!H14)*BETAINV(RAND(),Model!L8,Model!M8))*Inputs!$C$6</f>
        <v>272455.68449448986</v>
      </c>
      <c r="S809">
        <f t="shared" ca="1" si="260"/>
        <v>0.11522270665489327</v>
      </c>
      <c r="T809">
        <f t="shared" ca="1" si="261"/>
        <v>0.4748935210822236</v>
      </c>
      <c r="U809">
        <f t="shared" ca="1" si="262"/>
        <v>0</v>
      </c>
      <c r="V809" s="47">
        <f t="shared" ca="1" si="263"/>
        <v>0</v>
      </c>
      <c r="W809">
        <f ca="1">Inputs!B15+(Inputs!D15-Inputs!B15)*BETAINV(RAND(),Model!H9,Model!I9)</f>
        <v>1.1657590957649864</v>
      </c>
      <c r="X809">
        <f ca="1">Inputs!E15+(Inputs!G15-Inputs!E15)*BETAINV(RAND(),Model!J9,Model!K9)</f>
        <v>0.42514367932220853</v>
      </c>
      <c r="Y809">
        <f ca="1">(Inputs!H15+(Inputs!J15-Inputs!H15)*BETAINV(RAND(),Model!L9,Model!M9))*Inputs!$C$6</f>
        <v>65182.130508783805</v>
      </c>
      <c r="Z809">
        <f t="shared" ca="1" si="264"/>
        <v>0.49561511117685714</v>
      </c>
      <c r="AA809">
        <f t="shared" ca="1" si="265"/>
        <v>0.53410943478891759</v>
      </c>
      <c r="AB809">
        <f t="shared" ca="1" si="266"/>
        <v>0</v>
      </c>
      <c r="AC809" s="47">
        <f t="shared" ca="1" si="267"/>
        <v>0</v>
      </c>
      <c r="AD809">
        <f ca="1">Inputs!B16+(Inputs!D16-Inputs!B16)*BETAINV(RAND(),Model!H10,Model!I10)</f>
        <v>0.58604531476724953</v>
      </c>
      <c r="AE809">
        <f ca="1">Inputs!E16+(Inputs!G16-Inputs!E16)*BETAINV(RAND(),Model!J10,Model!K10)</f>
        <v>0.62649421346596457</v>
      </c>
      <c r="AF809">
        <f ca="1">(Inputs!H16+(Inputs!J16-Inputs!H16)*BETAINV(RAND(),Model!L10,Model!M10))*Inputs!$C$6</f>
        <v>115005.43343428201</v>
      </c>
      <c r="AG809">
        <f t="shared" ca="1" si="268"/>
        <v>0.36715399853052161</v>
      </c>
      <c r="AH809">
        <f t="shared" ca="1" si="269"/>
        <v>0.78188393729452832</v>
      </c>
      <c r="AI809">
        <f t="shared" ca="1" si="270"/>
        <v>1</v>
      </c>
      <c r="AJ809" s="47">
        <f t="shared" ca="1" si="271"/>
        <v>115005.43343428201</v>
      </c>
      <c r="AK809">
        <f t="shared" ca="1" si="272"/>
        <v>171691.25538573912</v>
      </c>
    </row>
    <row r="810" spans="2:37" x14ac:dyDescent="0.2">
      <c r="B810">
        <f ca="1">Inputs!B12+(Inputs!D12-Inputs!B12)*BETAINV(RAND(),Model!H6,Model!I6)</f>
        <v>4.7863823674681267</v>
      </c>
      <c r="C810">
        <f ca="1">Inputs!E12+(Inputs!G12-Inputs!E12)*BETAINV(RAND(),Model!J6,Model!K6)</f>
        <v>0.33195071492556616</v>
      </c>
      <c r="D810">
        <f ca="1">(Inputs!H12+(Inputs!J12-Inputs!H12)*BETAINV(RAND(),Model!L6,Model!M6))*Inputs!$C$6</f>
        <v>17479.123727887596</v>
      </c>
      <c r="E810">
        <f t="shared" ca="1" si="252"/>
        <v>1.5888430487881686</v>
      </c>
      <c r="F810">
        <f t="shared" ca="1" si="253"/>
        <v>0.11834855914702169</v>
      </c>
      <c r="G810">
        <f t="shared" ca="1" si="254"/>
        <v>0</v>
      </c>
      <c r="H810" s="47">
        <f t="shared" ca="1" si="255"/>
        <v>0</v>
      </c>
      <c r="I810">
        <f ca="1">Inputs!B13+(Inputs!D13-Inputs!B13)*BETAINV(RAND(),Model!H7,Model!I7)</f>
        <v>1.4583625167032395</v>
      </c>
      <c r="J810">
        <f ca="1">Inputs!E13+(Inputs!G13-Inputs!E13)*BETAINV(RAND(),Model!J7,Model!K7)</f>
        <v>0.27968133332254941</v>
      </c>
      <c r="K810">
        <f ca="1">(Inputs!H13+(Inputs!J13-Inputs!H13)*BETAINV(RAND(),Model!L7,Model!M7))*Inputs!$C$6</f>
        <v>8996.4739099343369</v>
      </c>
      <c r="L810">
        <f t="shared" ca="1" si="256"/>
        <v>0.40787677313919074</v>
      </c>
      <c r="M810">
        <f t="shared" ca="1" si="257"/>
        <v>0.25672225311431074</v>
      </c>
      <c r="N810">
        <f t="shared" ca="1" si="258"/>
        <v>0</v>
      </c>
      <c r="O810" s="47">
        <f t="shared" ca="1" si="259"/>
        <v>0</v>
      </c>
      <c r="P810">
        <f ca="1">Inputs!B14+(Inputs!D14-Inputs!B14)*BETAINV(RAND(),Model!H8,Model!I8)</f>
        <v>0.57527610250885619</v>
      </c>
      <c r="Q810">
        <f ca="1">Inputs!E14+(Inputs!G14-Inputs!E14)*BETAINV(RAND(),Model!J8,Model!K8)</f>
        <v>0.63023684869038243</v>
      </c>
      <c r="R810">
        <f ca="1">(Inputs!H14+(Inputs!J14-Inputs!H14)*BETAINV(RAND(),Model!L8,Model!M8))*Inputs!$C$6</f>
        <v>280230.57322742947</v>
      </c>
      <c r="S810">
        <f t="shared" ca="1" si="260"/>
        <v>0.36256019797206696</v>
      </c>
      <c r="T810">
        <f t="shared" ca="1" si="261"/>
        <v>3.7560336891172552E-3</v>
      </c>
      <c r="U810">
        <f t="shared" ca="1" si="262"/>
        <v>0</v>
      </c>
      <c r="V810" s="47">
        <f t="shared" ca="1" si="263"/>
        <v>0</v>
      </c>
      <c r="W810">
        <f ca="1">Inputs!B15+(Inputs!D15-Inputs!B15)*BETAINV(RAND(),Model!H9,Model!I9)</f>
        <v>1.9227502982300022</v>
      </c>
      <c r="X810">
        <f ca="1">Inputs!E15+(Inputs!G15-Inputs!E15)*BETAINV(RAND(),Model!J9,Model!K9)</f>
        <v>0.41615847268923734</v>
      </c>
      <c r="Y810">
        <f ca="1">(Inputs!H15+(Inputs!J15-Inputs!H15)*BETAINV(RAND(),Model!L9,Model!M9))*Inputs!$C$6</f>
        <v>23076.641805593459</v>
      </c>
      <c r="Z810">
        <f t="shared" ca="1" si="264"/>
        <v>0.80016882747417328</v>
      </c>
      <c r="AA810">
        <f t="shared" ca="1" si="265"/>
        <v>0.55533456993919972</v>
      </c>
      <c r="AB810">
        <f t="shared" ca="1" si="266"/>
        <v>1</v>
      </c>
      <c r="AC810" s="47">
        <f t="shared" ca="1" si="267"/>
        <v>23076.641805593459</v>
      </c>
      <c r="AD810">
        <f ca="1">Inputs!B16+(Inputs!D16-Inputs!B16)*BETAINV(RAND(),Model!H10,Model!I10)</f>
        <v>0.64528751042596144</v>
      </c>
      <c r="AE810">
        <f ca="1">Inputs!E16+(Inputs!G16-Inputs!E16)*BETAINV(RAND(),Model!J10,Model!K10)</f>
        <v>0.52111803752231034</v>
      </c>
      <c r="AF810">
        <f ca="1">(Inputs!H16+(Inputs!J16-Inputs!H16)*BETAINV(RAND(),Model!L10,Model!M10))*Inputs!$C$6</f>
        <v>53966.964409958382</v>
      </c>
      <c r="AG810">
        <f t="shared" ca="1" si="268"/>
        <v>0.33627096107083437</v>
      </c>
      <c r="AH810">
        <f t="shared" ca="1" si="269"/>
        <v>0.81609482159942603</v>
      </c>
      <c r="AI810">
        <f t="shared" ca="1" si="270"/>
        <v>1</v>
      </c>
      <c r="AJ810" s="47">
        <f t="shared" ca="1" si="271"/>
        <v>53966.964409958382</v>
      </c>
      <c r="AK810">
        <f t="shared" ca="1" si="272"/>
        <v>77043.606215551845</v>
      </c>
    </row>
    <row r="811" spans="2:37" x14ac:dyDescent="0.2">
      <c r="B811">
        <f ca="1">Inputs!B12+(Inputs!D12-Inputs!B12)*BETAINV(RAND(),Model!H6,Model!I6)</f>
        <v>6.2044459513462469</v>
      </c>
      <c r="C811">
        <f ca="1">Inputs!E12+(Inputs!G12-Inputs!E12)*BETAINV(RAND(),Model!J6,Model!K6)</f>
        <v>0.39995194398387068</v>
      </c>
      <c r="D811">
        <f ca="1">(Inputs!H12+(Inputs!J12-Inputs!H12)*BETAINV(RAND(),Model!L6,Model!M6))*Inputs!$C$6</f>
        <v>13773.433050600921</v>
      </c>
      <c r="E811">
        <f t="shared" ca="1" si="252"/>
        <v>2.4814802195837875</v>
      </c>
      <c r="F811">
        <f t="shared" ca="1" si="253"/>
        <v>0.4363688948229163</v>
      </c>
      <c r="G811">
        <f t="shared" ca="1" si="254"/>
        <v>2</v>
      </c>
      <c r="H811" s="47">
        <f t="shared" ca="1" si="255"/>
        <v>27546.866101201842</v>
      </c>
      <c r="I811">
        <f ca="1">Inputs!B13+(Inputs!D13-Inputs!B13)*BETAINV(RAND(),Model!H7,Model!I7)</f>
        <v>2.3236672392984405</v>
      </c>
      <c r="J811">
        <f ca="1">Inputs!E13+(Inputs!G13-Inputs!E13)*BETAINV(RAND(),Model!J7,Model!K7)</f>
        <v>0.37748005401496831</v>
      </c>
      <c r="K811">
        <f ca="1">(Inputs!H13+(Inputs!J13-Inputs!H13)*BETAINV(RAND(),Model!L7,Model!M7))*Inputs!$C$6</f>
        <v>56736.258789153988</v>
      </c>
      <c r="L811">
        <f t="shared" ca="1" si="256"/>
        <v>0.87713803500318765</v>
      </c>
      <c r="M811">
        <f t="shared" ca="1" si="257"/>
        <v>0.20150939921834066</v>
      </c>
      <c r="N811">
        <f t="shared" ca="1" si="258"/>
        <v>0</v>
      </c>
      <c r="O811" s="47">
        <f t="shared" ca="1" si="259"/>
        <v>0</v>
      </c>
      <c r="P811">
        <f ca="1">Inputs!B14+(Inputs!D14-Inputs!B14)*BETAINV(RAND(),Model!H8,Model!I8)</f>
        <v>0.18701160022768493</v>
      </c>
      <c r="Q811">
        <f ca="1">Inputs!E14+(Inputs!G14-Inputs!E14)*BETAINV(RAND(),Model!J8,Model!K8)</f>
        <v>0.61488286371727363</v>
      </c>
      <c r="R811">
        <f ca="1">(Inputs!H14+(Inputs!J14-Inputs!H14)*BETAINV(RAND(),Model!L8,Model!M8))*Inputs!$C$6</f>
        <v>302264.26222241553</v>
      </c>
      <c r="S811">
        <f t="shared" ca="1" si="260"/>
        <v>0.11499022829634885</v>
      </c>
      <c r="T811">
        <f t="shared" ca="1" si="261"/>
        <v>3.7344784513241303E-3</v>
      </c>
      <c r="U811">
        <f t="shared" ca="1" si="262"/>
        <v>0</v>
      </c>
      <c r="V811" s="47">
        <f t="shared" ca="1" si="263"/>
        <v>0</v>
      </c>
      <c r="W811">
        <f ca="1">Inputs!B15+(Inputs!D15-Inputs!B15)*BETAINV(RAND(),Model!H9,Model!I9)</f>
        <v>1.3904922183048336</v>
      </c>
      <c r="X811">
        <f ca="1">Inputs!E15+(Inputs!G15-Inputs!E15)*BETAINV(RAND(),Model!J9,Model!K9)</f>
        <v>0.51286213467016462</v>
      </c>
      <c r="Y811">
        <f ca="1">(Inputs!H15+(Inputs!J15-Inputs!H15)*BETAINV(RAND(),Model!L9,Model!M9))*Inputs!$C$6</f>
        <v>56112.185921736265</v>
      </c>
      <c r="Z811">
        <f t="shared" ca="1" si="264"/>
        <v>0.71313080732206946</v>
      </c>
      <c r="AA811">
        <f t="shared" ca="1" si="265"/>
        <v>0.13708991738947751</v>
      </c>
      <c r="AB811">
        <f t="shared" ca="1" si="266"/>
        <v>0</v>
      </c>
      <c r="AC811" s="47">
        <f t="shared" ca="1" si="267"/>
        <v>0</v>
      </c>
      <c r="AD811">
        <f ca="1">Inputs!B16+(Inputs!D16-Inputs!B16)*BETAINV(RAND(),Model!H10,Model!I10)</f>
        <v>0.94079074422030162</v>
      </c>
      <c r="AE811">
        <f ca="1">Inputs!E16+(Inputs!G16-Inputs!E16)*BETAINV(RAND(),Model!J10,Model!K10)</f>
        <v>0.49850425821341027</v>
      </c>
      <c r="AF811">
        <f ca="1">(Inputs!H16+(Inputs!J16-Inputs!H16)*BETAINV(RAND(),Model!L10,Model!M10))*Inputs!$C$6</f>
        <v>63991.706750967707</v>
      </c>
      <c r="AG811">
        <f t="shared" ca="1" si="268"/>
        <v>0.46898819208158365</v>
      </c>
      <c r="AH811">
        <f t="shared" ca="1" si="269"/>
        <v>0.86528927744145745</v>
      </c>
      <c r="AI811">
        <f t="shared" ca="1" si="270"/>
        <v>1</v>
      </c>
      <c r="AJ811" s="47">
        <f t="shared" ca="1" si="271"/>
        <v>63991.706750967707</v>
      </c>
      <c r="AK811">
        <f t="shared" ca="1" si="272"/>
        <v>91538.572852169542</v>
      </c>
    </row>
    <row r="812" spans="2:37" x14ac:dyDescent="0.2">
      <c r="B812">
        <f ca="1">Inputs!B12+(Inputs!D12-Inputs!B12)*BETAINV(RAND(),Model!H6,Model!I6)</f>
        <v>2.9591354759340716</v>
      </c>
      <c r="C812">
        <f ca="1">Inputs!E12+(Inputs!G12-Inputs!E12)*BETAINV(RAND(),Model!J6,Model!K6)</f>
        <v>0.25911381538317135</v>
      </c>
      <c r="D812">
        <f ca="1">(Inputs!H12+(Inputs!J12-Inputs!H12)*BETAINV(RAND(),Model!L6,Model!M6))*Inputs!$C$6</f>
        <v>9718.2781246645354</v>
      </c>
      <c r="E812">
        <f t="shared" ca="1" si="252"/>
        <v>0.76675288340497394</v>
      </c>
      <c r="F812">
        <f t="shared" ca="1" si="253"/>
        <v>0.25951972440951521</v>
      </c>
      <c r="G812">
        <f t="shared" ca="1" si="254"/>
        <v>0</v>
      </c>
      <c r="H812" s="47">
        <f t="shared" ca="1" si="255"/>
        <v>0</v>
      </c>
      <c r="I812">
        <f ca="1">Inputs!B13+(Inputs!D13-Inputs!B13)*BETAINV(RAND(),Model!H7,Model!I7)</f>
        <v>3.3231798557707695</v>
      </c>
      <c r="J812">
        <f ca="1">Inputs!E13+(Inputs!G13-Inputs!E13)*BETAINV(RAND(),Model!J7,Model!K7)</f>
        <v>0.37037637854762173</v>
      </c>
      <c r="K812">
        <f ca="1">(Inputs!H13+(Inputs!J13-Inputs!H13)*BETAINV(RAND(),Model!L7,Model!M7))*Inputs!$C$6</f>
        <v>38236.716760693875</v>
      </c>
      <c r="L812">
        <f t="shared" ca="1" si="256"/>
        <v>1.2308273202427855</v>
      </c>
      <c r="M812">
        <f t="shared" ca="1" si="257"/>
        <v>0.90866581078532038</v>
      </c>
      <c r="N812">
        <f t="shared" ca="1" si="258"/>
        <v>3</v>
      </c>
      <c r="O812" s="47">
        <f t="shared" ca="1" si="259"/>
        <v>114710.15028208162</v>
      </c>
      <c r="P812">
        <f ca="1">Inputs!B14+(Inputs!D14-Inputs!B14)*BETAINV(RAND(),Model!H8,Model!I8)</f>
        <v>0.2530646568980599</v>
      </c>
      <c r="Q812">
        <f ca="1">Inputs!E14+(Inputs!G14-Inputs!E14)*BETAINV(RAND(),Model!J8,Model!K8)</f>
        <v>0.75670349902811518</v>
      </c>
      <c r="R812">
        <f ca="1">(Inputs!H14+(Inputs!J14-Inputs!H14)*BETAINV(RAND(),Model!L8,Model!M8))*Inputs!$C$6</f>
        <v>389536.68486303627</v>
      </c>
      <c r="S812">
        <f t="shared" ca="1" si="260"/>
        <v>0.19149491135511137</v>
      </c>
      <c r="T812">
        <f t="shared" ca="1" si="261"/>
        <v>0.93343592011818466</v>
      </c>
      <c r="U812">
        <f t="shared" ca="1" si="262"/>
        <v>1</v>
      </c>
      <c r="V812" s="47">
        <f t="shared" ca="1" si="263"/>
        <v>389536.68486303627</v>
      </c>
      <c r="W812">
        <f ca="1">Inputs!B15+(Inputs!D15-Inputs!B15)*BETAINV(RAND(),Model!H9,Model!I9)</f>
        <v>0.59342630662659424</v>
      </c>
      <c r="X812">
        <f ca="1">Inputs!E15+(Inputs!G15-Inputs!E15)*BETAINV(RAND(),Model!J9,Model!K9)</f>
        <v>0.50332036239514166</v>
      </c>
      <c r="Y812">
        <f ca="1">(Inputs!H15+(Inputs!J15-Inputs!H15)*BETAINV(RAND(),Model!L9,Model!M9))*Inputs!$C$6</f>
        <v>49460.287696398664</v>
      </c>
      <c r="Z812">
        <f t="shared" ca="1" si="264"/>
        <v>0.29868354370610789</v>
      </c>
      <c r="AA812">
        <f t="shared" ca="1" si="265"/>
        <v>0.18705661290593856</v>
      </c>
      <c r="AB812">
        <f t="shared" ca="1" si="266"/>
        <v>0</v>
      </c>
      <c r="AC812" s="47">
        <f t="shared" ca="1" si="267"/>
        <v>0</v>
      </c>
      <c r="AD812">
        <f ca="1">Inputs!B16+(Inputs!D16-Inputs!B16)*BETAINV(RAND(),Model!H10,Model!I10)</f>
        <v>0.54947548293801685</v>
      </c>
      <c r="AE812">
        <f ca="1">Inputs!E16+(Inputs!G16-Inputs!E16)*BETAINV(RAND(),Model!J10,Model!K10)</f>
        <v>0.47714483417500081</v>
      </c>
      <c r="AF812">
        <f ca="1">(Inputs!H16+(Inputs!J16-Inputs!H16)*BETAINV(RAND(),Model!L10,Model!M10))*Inputs!$C$6</f>
        <v>80048.400553183033</v>
      </c>
      <c r="AG812">
        <f t="shared" ca="1" si="268"/>
        <v>0.26217938818968856</v>
      </c>
      <c r="AH812">
        <f t="shared" ca="1" si="269"/>
        <v>0.22281946623749527</v>
      </c>
      <c r="AI812">
        <f t="shared" ca="1" si="270"/>
        <v>0</v>
      </c>
      <c r="AJ812" s="47">
        <f t="shared" ca="1" si="271"/>
        <v>0</v>
      </c>
      <c r="AK812">
        <f t="shared" ca="1" si="272"/>
        <v>504246.83514511789</v>
      </c>
    </row>
    <row r="813" spans="2:37" x14ac:dyDescent="0.2">
      <c r="B813">
        <f ca="1">Inputs!B12+(Inputs!D12-Inputs!B12)*BETAINV(RAND(),Model!H6,Model!I6)</f>
        <v>2.6373392255533163</v>
      </c>
      <c r="C813">
        <f ca="1">Inputs!E12+(Inputs!G12-Inputs!E12)*BETAINV(RAND(),Model!J6,Model!K6)</f>
        <v>0.30652537910107375</v>
      </c>
      <c r="D813">
        <f ca="1">(Inputs!H12+(Inputs!J12-Inputs!H12)*BETAINV(RAND(),Model!L6,Model!M6))*Inputs!$C$6</f>
        <v>12416.202841427139</v>
      </c>
      <c r="E813">
        <f t="shared" ca="1" si="252"/>
        <v>0.80841140593086258</v>
      </c>
      <c r="F813">
        <f t="shared" ca="1" si="253"/>
        <v>0.19810900844594048</v>
      </c>
      <c r="G813">
        <f t="shared" ca="1" si="254"/>
        <v>0</v>
      </c>
      <c r="H813" s="47">
        <f t="shared" ca="1" si="255"/>
        <v>0</v>
      </c>
      <c r="I813">
        <f ca="1">Inputs!B13+(Inputs!D13-Inputs!B13)*BETAINV(RAND(),Model!H7,Model!I7)</f>
        <v>2.3054562644973124</v>
      </c>
      <c r="J813">
        <f ca="1">Inputs!E13+(Inputs!G13-Inputs!E13)*BETAINV(RAND(),Model!J7,Model!K7)</f>
        <v>0.37037862706092772</v>
      </c>
      <c r="K813">
        <f ca="1">(Inputs!H13+(Inputs!J13-Inputs!H13)*BETAINV(RAND(),Model!L7,Model!M7))*Inputs!$C$6</f>
        <v>44256.901278453348</v>
      </c>
      <c r="L813">
        <f t="shared" ca="1" si="256"/>
        <v>0.85389172599352958</v>
      </c>
      <c r="M813">
        <f t="shared" ca="1" si="257"/>
        <v>0.14858661668760464</v>
      </c>
      <c r="N813">
        <f t="shared" ca="1" si="258"/>
        <v>0</v>
      </c>
      <c r="O813" s="47">
        <f t="shared" ca="1" si="259"/>
        <v>0</v>
      </c>
      <c r="P813">
        <f ca="1">Inputs!B14+(Inputs!D14-Inputs!B14)*BETAINV(RAND(),Model!H8,Model!I8)</f>
        <v>0.36643375066643802</v>
      </c>
      <c r="Q813">
        <f ca="1">Inputs!E14+(Inputs!G14-Inputs!E14)*BETAINV(RAND(),Model!J8,Model!K8)</f>
        <v>0.8219866554172881</v>
      </c>
      <c r="R813">
        <f ca="1">(Inputs!H14+(Inputs!J14-Inputs!H14)*BETAINV(RAND(),Model!L8,Model!M8))*Inputs!$C$6</f>
        <v>320061.19049956574</v>
      </c>
      <c r="S813">
        <f t="shared" ca="1" si="260"/>
        <v>0.30120365314231784</v>
      </c>
      <c r="T813">
        <f t="shared" ca="1" si="261"/>
        <v>0.99319988205467757</v>
      </c>
      <c r="U813">
        <f t="shared" ca="1" si="262"/>
        <v>2</v>
      </c>
      <c r="V813" s="47">
        <f t="shared" ca="1" si="263"/>
        <v>640122.38099913148</v>
      </c>
      <c r="W813">
        <f ca="1">Inputs!B15+(Inputs!D15-Inputs!B15)*BETAINV(RAND(),Model!H9,Model!I9)</f>
        <v>1.8134939888895085</v>
      </c>
      <c r="X813">
        <f ca="1">Inputs!E15+(Inputs!G15-Inputs!E15)*BETAINV(RAND(),Model!J9,Model!K9)</f>
        <v>0.50236395373717124</v>
      </c>
      <c r="Y813">
        <f ca="1">(Inputs!H15+(Inputs!J15-Inputs!H15)*BETAINV(RAND(),Model!L9,Model!M9))*Inputs!$C$6</f>
        <v>12667.895241927159</v>
      </c>
      <c r="Z813">
        <f t="shared" ca="1" si="264"/>
        <v>0.91103401033712716</v>
      </c>
      <c r="AA813">
        <f t="shared" ca="1" si="265"/>
        <v>0.50745337330147089</v>
      </c>
      <c r="AB813">
        <f t="shared" ca="1" si="266"/>
        <v>1</v>
      </c>
      <c r="AC813" s="47">
        <f t="shared" ca="1" si="267"/>
        <v>12667.895241927159</v>
      </c>
      <c r="AD813">
        <f ca="1">Inputs!B16+(Inputs!D16-Inputs!B16)*BETAINV(RAND(),Model!H10,Model!I10)</f>
        <v>0.3459018523993439</v>
      </c>
      <c r="AE813">
        <f ca="1">Inputs!E16+(Inputs!G16-Inputs!E16)*BETAINV(RAND(),Model!J10,Model!K10)</f>
        <v>0.76392573734858749</v>
      </c>
      <c r="AF813">
        <f ca="1">(Inputs!H16+(Inputs!J16-Inputs!H16)*BETAINV(RAND(),Model!L10,Model!M10))*Inputs!$C$6</f>
        <v>92769.06111527652</v>
      </c>
      <c r="AG813">
        <f t="shared" ca="1" si="268"/>
        <v>0.26424332764441105</v>
      </c>
      <c r="AH813">
        <f t="shared" ca="1" si="269"/>
        <v>0.59638557031209161</v>
      </c>
      <c r="AI813">
        <f t="shared" ca="1" si="270"/>
        <v>0</v>
      </c>
      <c r="AJ813" s="47">
        <f t="shared" ca="1" si="271"/>
        <v>0</v>
      </c>
      <c r="AK813">
        <f t="shared" ca="1" si="272"/>
        <v>652790.2762410586</v>
      </c>
    </row>
    <row r="814" spans="2:37" x14ac:dyDescent="0.2">
      <c r="B814">
        <f ca="1">Inputs!B12+(Inputs!D12-Inputs!B12)*BETAINV(RAND(),Model!H6,Model!I6)</f>
        <v>4.0261395055406757</v>
      </c>
      <c r="C814">
        <f ca="1">Inputs!E12+(Inputs!G12-Inputs!E12)*BETAINV(RAND(),Model!J6,Model!K6)</f>
        <v>0.25641019296901235</v>
      </c>
      <c r="D814">
        <f ca="1">(Inputs!H12+(Inputs!J12-Inputs!H12)*BETAINV(RAND(),Model!L6,Model!M6))*Inputs!$C$6</f>
        <v>24125.47665670373</v>
      </c>
      <c r="E814">
        <f t="shared" ca="1" si="252"/>
        <v>1.0323432075358485</v>
      </c>
      <c r="F814">
        <f t="shared" ca="1" si="253"/>
        <v>0.47823372422811539</v>
      </c>
      <c r="G814">
        <f t="shared" ca="1" si="254"/>
        <v>1</v>
      </c>
      <c r="H814" s="47">
        <f t="shared" ca="1" si="255"/>
        <v>24125.47665670373</v>
      </c>
      <c r="I814">
        <f ca="1">Inputs!B13+(Inputs!D13-Inputs!B13)*BETAINV(RAND(),Model!H7,Model!I7)</f>
        <v>2.7379514342172504</v>
      </c>
      <c r="J814">
        <f ca="1">Inputs!E13+(Inputs!G13-Inputs!E13)*BETAINV(RAND(),Model!J7,Model!K7)</f>
        <v>0.28947332016343796</v>
      </c>
      <c r="K814">
        <f ca="1">(Inputs!H13+(Inputs!J13-Inputs!H13)*BETAINV(RAND(),Model!L7,Model!M7))*Inputs!$C$6</f>
        <v>48780.46200560165</v>
      </c>
      <c r="L814">
        <f t="shared" ca="1" si="256"/>
        <v>0.79256389210911427</v>
      </c>
      <c r="M814">
        <f t="shared" ca="1" si="257"/>
        <v>0.1236223093957336</v>
      </c>
      <c r="N814">
        <f t="shared" ca="1" si="258"/>
        <v>0</v>
      </c>
      <c r="O814" s="47">
        <f t="shared" ca="1" si="259"/>
        <v>0</v>
      </c>
      <c r="P814">
        <f ca="1">Inputs!B14+(Inputs!D14-Inputs!B14)*BETAINV(RAND(),Model!H8,Model!I8)</f>
        <v>0.17950001923455117</v>
      </c>
      <c r="Q814">
        <f ca="1">Inputs!E14+(Inputs!G14-Inputs!E14)*BETAINV(RAND(),Model!J8,Model!K8)</f>
        <v>0.55881529164007526</v>
      </c>
      <c r="R814">
        <f ca="1">(Inputs!H14+(Inputs!J14-Inputs!H14)*BETAINV(RAND(),Model!L8,Model!M8))*Inputs!$C$6</f>
        <v>345344.9993350741</v>
      </c>
      <c r="S814">
        <f t="shared" ca="1" si="260"/>
        <v>0.10030735559795483</v>
      </c>
      <c r="T814">
        <f t="shared" ca="1" si="261"/>
        <v>0.82099597229752508</v>
      </c>
      <c r="U814">
        <f t="shared" ca="1" si="262"/>
        <v>0</v>
      </c>
      <c r="V814" s="47">
        <f t="shared" ca="1" si="263"/>
        <v>0</v>
      </c>
      <c r="W814">
        <f ca="1">Inputs!B15+(Inputs!D15-Inputs!B15)*BETAINV(RAND(),Model!H9,Model!I9)</f>
        <v>0.49119061513785578</v>
      </c>
      <c r="X814">
        <f ca="1">Inputs!E15+(Inputs!G15-Inputs!E15)*BETAINV(RAND(),Model!J9,Model!K9)</f>
        <v>0.36306962222065176</v>
      </c>
      <c r="Y814">
        <f ca="1">(Inputs!H15+(Inputs!J15-Inputs!H15)*BETAINV(RAND(),Model!L9,Model!M9))*Inputs!$C$6</f>
        <v>18469.306062464355</v>
      </c>
      <c r="Z814">
        <f t="shared" ca="1" si="264"/>
        <v>0.17833639107643084</v>
      </c>
      <c r="AA814">
        <f t="shared" ca="1" si="265"/>
        <v>0.23579268053545721</v>
      </c>
      <c r="AB814">
        <f t="shared" ca="1" si="266"/>
        <v>0</v>
      </c>
      <c r="AC814" s="47">
        <f t="shared" ca="1" si="267"/>
        <v>0</v>
      </c>
      <c r="AD814">
        <f ca="1">Inputs!B16+(Inputs!D16-Inputs!B16)*BETAINV(RAND(),Model!H10,Model!I10)</f>
        <v>0.8765013337121943</v>
      </c>
      <c r="AE814">
        <f ca="1">Inputs!E16+(Inputs!G16-Inputs!E16)*BETAINV(RAND(),Model!J10,Model!K10)</f>
        <v>0.66956953793680218</v>
      </c>
      <c r="AF814">
        <f ca="1">(Inputs!H16+(Inputs!J16-Inputs!H16)*BETAINV(RAND(),Model!L10,Model!M10))*Inputs!$C$6</f>
        <v>58894.490879560675</v>
      </c>
      <c r="AG814">
        <f t="shared" ca="1" si="268"/>
        <v>0.58687859301466483</v>
      </c>
      <c r="AH814">
        <f t="shared" ca="1" si="269"/>
        <v>0.65060211263682011</v>
      </c>
      <c r="AI814">
        <f t="shared" ca="1" si="270"/>
        <v>1</v>
      </c>
      <c r="AJ814" s="47">
        <f t="shared" ca="1" si="271"/>
        <v>58894.490879560675</v>
      </c>
      <c r="AK814">
        <f t="shared" ca="1" si="272"/>
        <v>83019.967536264405</v>
      </c>
    </row>
    <row r="815" spans="2:37" x14ac:dyDescent="0.2">
      <c r="B815">
        <f ca="1">Inputs!B12+(Inputs!D12-Inputs!B12)*BETAINV(RAND(),Model!H6,Model!I6)</f>
        <v>2.7722268411340085</v>
      </c>
      <c r="C815">
        <f ca="1">Inputs!E12+(Inputs!G12-Inputs!E12)*BETAINV(RAND(),Model!J6,Model!K6)</f>
        <v>0.16402293226716105</v>
      </c>
      <c r="D815">
        <f ca="1">(Inputs!H12+(Inputs!J12-Inputs!H12)*BETAINV(RAND(),Model!L6,Model!M6))*Inputs!$C$6</f>
        <v>8997.2808790287963</v>
      </c>
      <c r="E815">
        <f t="shared" ca="1" si="252"/>
        <v>0.45470877539252935</v>
      </c>
      <c r="F815">
        <f t="shared" ca="1" si="253"/>
        <v>0.57713020992120379</v>
      </c>
      <c r="G815">
        <f t="shared" ca="1" si="254"/>
        <v>0</v>
      </c>
      <c r="H815" s="47">
        <f t="shared" ca="1" si="255"/>
        <v>0</v>
      </c>
      <c r="I815">
        <f ca="1">Inputs!B13+(Inputs!D13-Inputs!B13)*BETAINV(RAND(),Model!H7,Model!I7)</f>
        <v>2.3995644558614284</v>
      </c>
      <c r="J815">
        <f ca="1">Inputs!E13+(Inputs!G13-Inputs!E13)*BETAINV(RAND(),Model!J7,Model!K7)</f>
        <v>0.3362783815600639</v>
      </c>
      <c r="K815">
        <f ca="1">(Inputs!H13+(Inputs!J13-Inputs!H13)*BETAINV(RAND(),Model!L7,Model!M7))*Inputs!$C$6</f>
        <v>48756.369124592798</v>
      </c>
      <c r="L815">
        <f t="shared" ca="1" si="256"/>
        <v>0.8069216516661365</v>
      </c>
      <c r="M815">
        <f t="shared" ca="1" si="257"/>
        <v>0.49623782184499332</v>
      </c>
      <c r="N815">
        <f t="shared" ca="1" si="258"/>
        <v>1</v>
      </c>
      <c r="O815" s="47">
        <f t="shared" ca="1" si="259"/>
        <v>48756.369124592798</v>
      </c>
      <c r="P815">
        <f ca="1">Inputs!B14+(Inputs!D14-Inputs!B14)*BETAINV(RAND(),Model!H8,Model!I8)</f>
        <v>0.20462877354580533</v>
      </c>
      <c r="Q815">
        <f ca="1">Inputs!E14+(Inputs!G14-Inputs!E14)*BETAINV(RAND(),Model!J8,Model!K8)</f>
        <v>0.67286064645114352</v>
      </c>
      <c r="R815">
        <f ca="1">(Inputs!H14+(Inputs!J14-Inputs!H14)*BETAINV(RAND(),Model!L8,Model!M8))*Inputs!$C$6</f>
        <v>362614.51583837438</v>
      </c>
      <c r="S815">
        <f t="shared" ca="1" si="260"/>
        <v>0.13768664885053522</v>
      </c>
      <c r="T815">
        <f t="shared" ca="1" si="261"/>
        <v>0.21545416403253637</v>
      </c>
      <c r="U815">
        <f t="shared" ca="1" si="262"/>
        <v>0</v>
      </c>
      <c r="V815" s="47">
        <f t="shared" ca="1" si="263"/>
        <v>0</v>
      </c>
      <c r="W815">
        <f ca="1">Inputs!B15+(Inputs!D15-Inputs!B15)*BETAINV(RAND(),Model!H9,Model!I9)</f>
        <v>1.404946466642147</v>
      </c>
      <c r="X815">
        <f ca="1">Inputs!E15+(Inputs!G15-Inputs!E15)*BETAINV(RAND(),Model!J9,Model!K9)</f>
        <v>0.30062423173515618</v>
      </c>
      <c r="Y815">
        <f ca="1">(Inputs!H15+(Inputs!J15-Inputs!H15)*BETAINV(RAND(),Model!L9,Model!M9))*Inputs!$C$6</f>
        <v>40138.348726085955</v>
      </c>
      <c r="Z815">
        <f t="shared" ca="1" si="264"/>
        <v>0.42236095216331765</v>
      </c>
      <c r="AA815">
        <f t="shared" ca="1" si="265"/>
        <v>0.92174653808356544</v>
      </c>
      <c r="AB815">
        <f t="shared" ca="1" si="266"/>
        <v>1</v>
      </c>
      <c r="AC815" s="47">
        <f t="shared" ca="1" si="267"/>
        <v>40138.348726085955</v>
      </c>
      <c r="AD815">
        <f ca="1">Inputs!B16+(Inputs!D16-Inputs!B16)*BETAINV(RAND(),Model!H10,Model!I10)</f>
        <v>0.49230597233777057</v>
      </c>
      <c r="AE815">
        <f ca="1">Inputs!E16+(Inputs!G16-Inputs!E16)*BETAINV(RAND(),Model!J10,Model!K10)</f>
        <v>0.70574052354917938</v>
      </c>
      <c r="AF815">
        <f ca="1">(Inputs!H16+(Inputs!J16-Inputs!H16)*BETAINV(RAND(),Model!L10,Model!M10))*Inputs!$C$6</f>
        <v>61830.434414399133</v>
      </c>
      <c r="AG815">
        <f t="shared" ca="1" si="268"/>
        <v>0.34744027466404603</v>
      </c>
      <c r="AH815">
        <f t="shared" ca="1" si="269"/>
        <v>0.97222179261922159</v>
      </c>
      <c r="AI815">
        <f t="shared" ca="1" si="270"/>
        <v>2</v>
      </c>
      <c r="AJ815" s="47">
        <f t="shared" ca="1" si="271"/>
        <v>123660.86882879827</v>
      </c>
      <c r="AK815">
        <f t="shared" ca="1" si="272"/>
        <v>212555.58667947701</v>
      </c>
    </row>
    <row r="816" spans="2:37" x14ac:dyDescent="0.2">
      <c r="B816">
        <f ca="1">Inputs!B12+(Inputs!D12-Inputs!B12)*BETAINV(RAND(),Model!H6,Model!I6)</f>
        <v>2.1578725517339303</v>
      </c>
      <c r="C816">
        <f ca="1">Inputs!E12+(Inputs!G12-Inputs!E12)*BETAINV(RAND(),Model!J6,Model!K6)</f>
        <v>0.33998437325381708</v>
      </c>
      <c r="D816">
        <f ca="1">(Inputs!H12+(Inputs!J12-Inputs!H12)*BETAINV(RAND(),Model!L6,Model!M6))*Inputs!$C$6</f>
        <v>10449.439578608843</v>
      </c>
      <c r="E816">
        <f t="shared" ca="1" si="252"/>
        <v>0.73364294706287525</v>
      </c>
      <c r="F816">
        <f t="shared" ca="1" si="253"/>
        <v>0.31921074955961015</v>
      </c>
      <c r="G816">
        <f t="shared" ca="1" si="254"/>
        <v>0</v>
      </c>
      <c r="H816" s="47">
        <f t="shared" ca="1" si="255"/>
        <v>0</v>
      </c>
      <c r="I816">
        <f ca="1">Inputs!B13+(Inputs!D13-Inputs!B13)*BETAINV(RAND(),Model!H7,Model!I7)</f>
        <v>1.2487882138657578</v>
      </c>
      <c r="J816">
        <f ca="1">Inputs!E13+(Inputs!G13-Inputs!E13)*BETAINV(RAND(),Model!J7,Model!K7)</f>
        <v>0.27445765278052792</v>
      </c>
      <c r="K816">
        <f ca="1">(Inputs!H13+(Inputs!J13-Inputs!H13)*BETAINV(RAND(),Model!L7,Model!M7))*Inputs!$C$6</f>
        <v>43147.862982728351</v>
      </c>
      <c r="L816">
        <f t="shared" ca="1" si="256"/>
        <v>0.34273948199758381</v>
      </c>
      <c r="M816">
        <f t="shared" ca="1" si="257"/>
        <v>3.8019772779546046E-2</v>
      </c>
      <c r="N816">
        <f t="shared" ca="1" si="258"/>
        <v>0</v>
      </c>
      <c r="O816" s="47">
        <f t="shared" ca="1" si="259"/>
        <v>0</v>
      </c>
      <c r="P816">
        <f ca="1">Inputs!B14+(Inputs!D14-Inputs!B14)*BETAINV(RAND(),Model!H8,Model!I8)</f>
        <v>0.58919233631687051</v>
      </c>
      <c r="Q816">
        <f ca="1">Inputs!E14+(Inputs!G14-Inputs!E14)*BETAINV(RAND(),Model!J8,Model!K8)</f>
        <v>0.78351831347263712</v>
      </c>
      <c r="R816">
        <f ca="1">(Inputs!H14+(Inputs!J14-Inputs!H14)*BETAINV(RAND(),Model!L8,Model!M8))*Inputs!$C$6</f>
        <v>273674.69214842352</v>
      </c>
      <c r="S816">
        <f t="shared" ca="1" si="260"/>
        <v>0.46164298566199718</v>
      </c>
      <c r="T816">
        <f t="shared" ca="1" si="261"/>
        <v>0.85397941744045947</v>
      </c>
      <c r="U816">
        <f t="shared" ca="1" si="262"/>
        <v>1</v>
      </c>
      <c r="V816" s="47">
        <f t="shared" ca="1" si="263"/>
        <v>273674.69214842352</v>
      </c>
      <c r="W816">
        <f ca="1">Inputs!B15+(Inputs!D15-Inputs!B15)*BETAINV(RAND(),Model!H9,Model!I9)</f>
        <v>1.2861371686161096</v>
      </c>
      <c r="X816">
        <f ca="1">Inputs!E15+(Inputs!G15-Inputs!E15)*BETAINV(RAND(),Model!J9,Model!K9)</f>
        <v>0.51586133471567419</v>
      </c>
      <c r="Y816">
        <f ca="1">(Inputs!H15+(Inputs!J15-Inputs!H15)*BETAINV(RAND(),Model!L9,Model!M9))*Inputs!$C$6</f>
        <v>42269.368544424076</v>
      </c>
      <c r="Z816">
        <f t="shared" ca="1" si="264"/>
        <v>0.6634684364297444</v>
      </c>
      <c r="AA816">
        <f t="shared" ca="1" si="265"/>
        <v>0.56717734459896096</v>
      </c>
      <c r="AB816">
        <f t="shared" ca="1" si="266"/>
        <v>1</v>
      </c>
      <c r="AC816" s="47">
        <f t="shared" ca="1" si="267"/>
        <v>42269.368544424076</v>
      </c>
      <c r="AD816">
        <f ca="1">Inputs!B16+(Inputs!D16-Inputs!B16)*BETAINV(RAND(),Model!H10,Model!I10)</f>
        <v>0.42537908454561568</v>
      </c>
      <c r="AE816">
        <f ca="1">Inputs!E16+(Inputs!G16-Inputs!E16)*BETAINV(RAND(),Model!J10,Model!K10)</f>
        <v>0.66280945118315326</v>
      </c>
      <c r="AF816">
        <f ca="1">(Inputs!H16+(Inputs!J16-Inputs!H16)*BETAINV(RAND(),Model!L10,Model!M10))*Inputs!$C$6</f>
        <v>77836.46386067594</v>
      </c>
      <c r="AG816">
        <f t="shared" ca="1" si="268"/>
        <v>0.28194527757247168</v>
      </c>
      <c r="AH816">
        <f t="shared" ca="1" si="269"/>
        <v>0.85123929574483281</v>
      </c>
      <c r="AI816">
        <f t="shared" ca="1" si="270"/>
        <v>1</v>
      </c>
      <c r="AJ816" s="47">
        <f t="shared" ca="1" si="271"/>
        <v>77836.46386067594</v>
      </c>
      <c r="AK816">
        <f t="shared" ca="1" si="272"/>
        <v>393780.52455352352</v>
      </c>
    </row>
    <row r="817" spans="2:37" x14ac:dyDescent="0.2">
      <c r="B817">
        <f ca="1">Inputs!B12+(Inputs!D12-Inputs!B12)*BETAINV(RAND(),Model!H6,Model!I6)</f>
        <v>2.7005190589252264</v>
      </c>
      <c r="C817">
        <f ca="1">Inputs!E12+(Inputs!G12-Inputs!E12)*BETAINV(RAND(),Model!J6,Model!K6)</f>
        <v>0.29140372171748385</v>
      </c>
      <c r="D817">
        <f ca="1">(Inputs!H12+(Inputs!J12-Inputs!H12)*BETAINV(RAND(),Model!L6,Model!M6))*Inputs!$C$6</f>
        <v>26987.880231073243</v>
      </c>
      <c r="E817">
        <f t="shared" ca="1" si="252"/>
        <v>0.78694130433980802</v>
      </c>
      <c r="F817">
        <f t="shared" ca="1" si="253"/>
        <v>0.3802044671159821</v>
      </c>
      <c r="G817">
        <f t="shared" ca="1" si="254"/>
        <v>0</v>
      </c>
      <c r="H817" s="47">
        <f t="shared" ca="1" si="255"/>
        <v>0</v>
      </c>
      <c r="I817">
        <f ca="1">Inputs!B13+(Inputs!D13-Inputs!B13)*BETAINV(RAND(),Model!H7,Model!I7)</f>
        <v>1.9919816782866544</v>
      </c>
      <c r="J817">
        <f ca="1">Inputs!E13+(Inputs!G13-Inputs!E13)*BETAINV(RAND(),Model!J7,Model!K7)</f>
        <v>0.18563230206407769</v>
      </c>
      <c r="K817">
        <f ca="1">(Inputs!H13+(Inputs!J13-Inputs!H13)*BETAINV(RAND(),Model!L7,Model!M7))*Inputs!$C$6</f>
        <v>31222.503403974344</v>
      </c>
      <c r="L817">
        <f t="shared" ca="1" si="256"/>
        <v>0.36977614460981667</v>
      </c>
      <c r="M817">
        <f t="shared" ca="1" si="257"/>
        <v>0.61596121442073803</v>
      </c>
      <c r="N817">
        <f t="shared" ca="1" si="258"/>
        <v>0</v>
      </c>
      <c r="O817" s="47">
        <f t="shared" ca="1" si="259"/>
        <v>0</v>
      </c>
      <c r="P817">
        <f ca="1">Inputs!B14+(Inputs!D14-Inputs!B14)*BETAINV(RAND(),Model!H8,Model!I8)</f>
        <v>0.31479397642134888</v>
      </c>
      <c r="Q817">
        <f ca="1">Inputs!E14+(Inputs!G14-Inputs!E14)*BETAINV(RAND(),Model!J8,Model!K8)</f>
        <v>0.55918486138416845</v>
      </c>
      <c r="R817">
        <f ca="1">(Inputs!H14+(Inputs!J14-Inputs!H14)*BETAINV(RAND(),Model!L8,Model!M8))*Inputs!$C$6</f>
        <v>278857.13053275575</v>
      </c>
      <c r="S817">
        <f t="shared" ca="1" si="260"/>
        <v>0.17602802606974316</v>
      </c>
      <c r="T817">
        <f t="shared" ca="1" si="261"/>
        <v>3.5250207097617947E-2</v>
      </c>
      <c r="U817">
        <f t="shared" ca="1" si="262"/>
        <v>0</v>
      </c>
      <c r="V817" s="47">
        <f t="shared" ca="1" si="263"/>
        <v>0</v>
      </c>
      <c r="W817">
        <f ca="1">Inputs!B15+(Inputs!D15-Inputs!B15)*BETAINV(RAND(),Model!H9,Model!I9)</f>
        <v>0.94081847655157103</v>
      </c>
      <c r="X817">
        <f ca="1">Inputs!E15+(Inputs!G15-Inputs!E15)*BETAINV(RAND(),Model!J9,Model!K9)</f>
        <v>0.49924736499316058</v>
      </c>
      <c r="Y817">
        <f ca="1">(Inputs!H15+(Inputs!J15-Inputs!H15)*BETAINV(RAND(),Model!L9,Model!M9))*Inputs!$C$6</f>
        <v>35474.017507548677</v>
      </c>
      <c r="Z817">
        <f t="shared" ca="1" si="264"/>
        <v>0.46970114535525148</v>
      </c>
      <c r="AA817">
        <f t="shared" ca="1" si="265"/>
        <v>0.21768665193164149</v>
      </c>
      <c r="AB817">
        <f t="shared" ca="1" si="266"/>
        <v>0</v>
      </c>
      <c r="AC817" s="47">
        <f t="shared" ca="1" si="267"/>
        <v>0</v>
      </c>
      <c r="AD817">
        <f ca="1">Inputs!B16+(Inputs!D16-Inputs!B16)*BETAINV(RAND(),Model!H10,Model!I10)</f>
        <v>0.48115948358290017</v>
      </c>
      <c r="AE817">
        <f ca="1">Inputs!E16+(Inputs!G16-Inputs!E16)*BETAINV(RAND(),Model!J10,Model!K10)</f>
        <v>0.56944670478968251</v>
      </c>
      <c r="AF817">
        <f ca="1">(Inputs!H16+(Inputs!J16-Inputs!H16)*BETAINV(RAND(),Model!L10,Model!M10))*Inputs!$C$6</f>
        <v>103500.20926659534</v>
      </c>
      <c r="AG817">
        <f t="shared" ca="1" si="268"/>
        <v>0.27399468240458785</v>
      </c>
      <c r="AH817">
        <f t="shared" ca="1" si="269"/>
        <v>0.68617880115071739</v>
      </c>
      <c r="AI817">
        <f t="shared" ca="1" si="270"/>
        <v>0</v>
      </c>
      <c r="AJ817" s="47">
        <f t="shared" ca="1" si="271"/>
        <v>0</v>
      </c>
      <c r="AK817">
        <f t="shared" ca="1" si="272"/>
        <v>0</v>
      </c>
    </row>
    <row r="818" spans="2:37" x14ac:dyDescent="0.2">
      <c r="B818">
        <f ca="1">Inputs!B12+(Inputs!D12-Inputs!B12)*BETAINV(RAND(),Model!H6,Model!I6)</f>
        <v>4.5774814595379283</v>
      </c>
      <c r="C818">
        <f ca="1">Inputs!E12+(Inputs!G12-Inputs!E12)*BETAINV(RAND(),Model!J6,Model!K6)</f>
        <v>0.45788949210235008</v>
      </c>
      <c r="D818">
        <f ca="1">(Inputs!H12+(Inputs!J12-Inputs!H12)*BETAINV(RAND(),Model!L6,Model!M6))*Inputs!$C$6</f>
        <v>32434.04099039314</v>
      </c>
      <c r="E818">
        <f t="shared" ca="1" si="252"/>
        <v>2.0959806606157461</v>
      </c>
      <c r="F818">
        <f t="shared" ca="1" si="253"/>
        <v>0.20691535411691464</v>
      </c>
      <c r="G818">
        <f t="shared" ca="1" si="254"/>
        <v>1</v>
      </c>
      <c r="H818" s="47">
        <f t="shared" ca="1" si="255"/>
        <v>32434.04099039314</v>
      </c>
      <c r="I818">
        <f ca="1">Inputs!B13+(Inputs!D13-Inputs!B13)*BETAINV(RAND(),Model!H7,Model!I7)</f>
        <v>2.3262392052476883</v>
      </c>
      <c r="J818">
        <f ca="1">Inputs!E13+(Inputs!G13-Inputs!E13)*BETAINV(RAND(),Model!J7,Model!K7)</f>
        <v>0.23575918955419478</v>
      </c>
      <c r="K818">
        <f ca="1">(Inputs!H13+(Inputs!J13-Inputs!H13)*BETAINV(RAND(),Model!L7,Model!M7))*Inputs!$C$6</f>
        <v>48192.119570899107</v>
      </c>
      <c r="L818">
        <f t="shared" ca="1" si="256"/>
        <v>0.54843226973838921</v>
      </c>
      <c r="M818">
        <f t="shared" ca="1" si="257"/>
        <v>0.91329452708890935</v>
      </c>
      <c r="N818">
        <f t="shared" ca="1" si="258"/>
        <v>2</v>
      </c>
      <c r="O818" s="47">
        <f t="shared" ca="1" si="259"/>
        <v>96384.239141798214</v>
      </c>
      <c r="P818">
        <f ca="1">Inputs!B14+(Inputs!D14-Inputs!B14)*BETAINV(RAND(),Model!H8,Model!I8)</f>
        <v>0.17622776167763471</v>
      </c>
      <c r="Q818">
        <f ca="1">Inputs!E14+(Inputs!G14-Inputs!E14)*BETAINV(RAND(),Model!J8,Model!K8)</f>
        <v>0.78112376717640886</v>
      </c>
      <c r="R818">
        <f ca="1">(Inputs!H14+(Inputs!J14-Inputs!H14)*BETAINV(RAND(),Model!L8,Model!M8))*Inputs!$C$6</f>
        <v>509651.40315839637</v>
      </c>
      <c r="S818">
        <f t="shared" ca="1" si="260"/>
        <v>0.1376556930827004</v>
      </c>
      <c r="T818">
        <f t="shared" ca="1" si="261"/>
        <v>0.83446762534214292</v>
      </c>
      <c r="U818">
        <f t="shared" ca="1" si="262"/>
        <v>0</v>
      </c>
      <c r="V818" s="47">
        <f t="shared" ca="1" si="263"/>
        <v>0</v>
      </c>
      <c r="W818">
        <f ca="1">Inputs!B15+(Inputs!D15-Inputs!B15)*BETAINV(RAND(),Model!H9,Model!I9)</f>
        <v>1.4764551091441456</v>
      </c>
      <c r="X818">
        <f ca="1">Inputs!E15+(Inputs!G15-Inputs!E15)*BETAINV(RAND(),Model!J9,Model!K9)</f>
        <v>0.31377413771900864</v>
      </c>
      <c r="Y818">
        <f ca="1">(Inputs!H15+(Inputs!J15-Inputs!H15)*BETAINV(RAND(),Model!L9,Model!M9))*Inputs!$C$6</f>
        <v>14824.332061893279</v>
      </c>
      <c r="Z818">
        <f t="shared" ca="1" si="264"/>
        <v>0.46327342875252908</v>
      </c>
      <c r="AA818">
        <f t="shared" ca="1" si="265"/>
        <v>0.43767942372533575</v>
      </c>
      <c r="AB818">
        <f t="shared" ca="1" si="266"/>
        <v>0</v>
      </c>
      <c r="AC818" s="47">
        <f t="shared" ca="1" si="267"/>
        <v>0</v>
      </c>
      <c r="AD818">
        <f ca="1">Inputs!B16+(Inputs!D16-Inputs!B16)*BETAINV(RAND(),Model!H10,Model!I10)</f>
        <v>0.38146771430778392</v>
      </c>
      <c r="AE818">
        <f ca="1">Inputs!E16+(Inputs!G16-Inputs!E16)*BETAINV(RAND(),Model!J10,Model!K10)</f>
        <v>0.57897051887670192</v>
      </c>
      <c r="AF818">
        <f ca="1">(Inputs!H16+(Inputs!J16-Inputs!H16)*BETAINV(RAND(),Model!L10,Model!M10))*Inputs!$C$6</f>
        <v>56929.813497685907</v>
      </c>
      <c r="AG818">
        <f t="shared" ca="1" si="268"/>
        <v>0.22085856048748714</v>
      </c>
      <c r="AH818">
        <f t="shared" ca="1" si="269"/>
        <v>0.89907009299454732</v>
      </c>
      <c r="AI818">
        <f t="shared" ca="1" si="270"/>
        <v>1</v>
      </c>
      <c r="AJ818" s="47">
        <f t="shared" ca="1" si="271"/>
        <v>56929.813497685907</v>
      </c>
      <c r="AK818">
        <f t="shared" ca="1" si="272"/>
        <v>185748.09362987726</v>
      </c>
    </row>
    <row r="819" spans="2:37" x14ac:dyDescent="0.2">
      <c r="B819">
        <f ca="1">Inputs!B12+(Inputs!D12-Inputs!B12)*BETAINV(RAND(),Model!H6,Model!I6)</f>
        <v>1.7984775118109346</v>
      </c>
      <c r="C819">
        <f ca="1">Inputs!E12+(Inputs!G12-Inputs!E12)*BETAINV(RAND(),Model!J6,Model!K6)</f>
        <v>0.27516996964628038</v>
      </c>
      <c r="D819">
        <f ca="1">(Inputs!H12+(Inputs!J12-Inputs!H12)*BETAINV(RAND(),Model!L6,Model!M6))*Inputs!$C$6</f>
        <v>32325.783384705643</v>
      </c>
      <c r="E819">
        <f t="shared" ca="1" si="252"/>
        <v>0.49488700233453276</v>
      </c>
      <c r="F819">
        <f t="shared" ca="1" si="253"/>
        <v>0.66987201483903192</v>
      </c>
      <c r="G819">
        <f t="shared" ca="1" si="254"/>
        <v>1</v>
      </c>
      <c r="H819" s="47">
        <f t="shared" ca="1" si="255"/>
        <v>32325.783384705643</v>
      </c>
      <c r="I819">
        <f ca="1">Inputs!B13+(Inputs!D13-Inputs!B13)*BETAINV(RAND(),Model!H7,Model!I7)</f>
        <v>1.9059824150697666</v>
      </c>
      <c r="J819">
        <f ca="1">Inputs!E13+(Inputs!G13-Inputs!E13)*BETAINV(RAND(),Model!J7,Model!K7)</f>
        <v>0.16823815185251681</v>
      </c>
      <c r="K819">
        <f ca="1">(Inputs!H13+(Inputs!J13-Inputs!H13)*BETAINV(RAND(),Model!L7,Model!M7))*Inputs!$C$6</f>
        <v>78372.814901657097</v>
      </c>
      <c r="L819">
        <f t="shared" ca="1" si="256"/>
        <v>0.32065895897473412</v>
      </c>
      <c r="M819">
        <f t="shared" ca="1" si="257"/>
        <v>0.84852745313300837</v>
      </c>
      <c r="N819">
        <f t="shared" ca="1" si="258"/>
        <v>1</v>
      </c>
      <c r="O819" s="47">
        <f t="shared" ca="1" si="259"/>
        <v>78372.814901657097</v>
      </c>
      <c r="P819">
        <f ca="1">Inputs!B14+(Inputs!D14-Inputs!B14)*BETAINV(RAND(),Model!H8,Model!I8)</f>
        <v>0.37436599276171034</v>
      </c>
      <c r="Q819">
        <f ca="1">Inputs!E14+(Inputs!G14-Inputs!E14)*BETAINV(RAND(),Model!J8,Model!K8)</f>
        <v>0.5824110290111566</v>
      </c>
      <c r="R819">
        <f ca="1">(Inputs!H14+(Inputs!J14-Inputs!H14)*BETAINV(RAND(),Model!L8,Model!M8))*Inputs!$C$6</f>
        <v>316974.21445454337</v>
      </c>
      <c r="S819">
        <f t="shared" ca="1" si="260"/>
        <v>0.21803488307113092</v>
      </c>
      <c r="T819">
        <f t="shared" ca="1" si="261"/>
        <v>0.30859413529735813</v>
      </c>
      <c r="U819">
        <f t="shared" ca="1" si="262"/>
        <v>0</v>
      </c>
      <c r="V819" s="47">
        <f t="shared" ca="1" si="263"/>
        <v>0</v>
      </c>
      <c r="W819">
        <f ca="1">Inputs!B15+(Inputs!D15-Inputs!B15)*BETAINV(RAND(),Model!H9,Model!I9)</f>
        <v>2.117900537021848</v>
      </c>
      <c r="X819">
        <f ca="1">Inputs!E15+(Inputs!G15-Inputs!E15)*BETAINV(RAND(),Model!J9,Model!K9)</f>
        <v>0.53591674627647257</v>
      </c>
      <c r="Y819">
        <f ca="1">(Inputs!H15+(Inputs!J15-Inputs!H15)*BETAINV(RAND(),Model!L9,Model!M9))*Inputs!$C$6</f>
        <v>41553.324995293478</v>
      </c>
      <c r="Z819">
        <f t="shared" ca="1" si="264"/>
        <v>1.1350183647379426</v>
      </c>
      <c r="AA819">
        <f t="shared" ca="1" si="265"/>
        <v>0.65852398175127713</v>
      </c>
      <c r="AB819">
        <f t="shared" ca="1" si="266"/>
        <v>1</v>
      </c>
      <c r="AC819" s="47">
        <f t="shared" ca="1" si="267"/>
        <v>41553.324995293478</v>
      </c>
      <c r="AD819">
        <f ca="1">Inputs!B16+(Inputs!D16-Inputs!B16)*BETAINV(RAND(),Model!H10,Model!I10)</f>
        <v>0.60244653013605842</v>
      </c>
      <c r="AE819">
        <f ca="1">Inputs!E16+(Inputs!G16-Inputs!E16)*BETAINV(RAND(),Model!J10,Model!K10)</f>
        <v>0.73581514161116435</v>
      </c>
      <c r="AF819">
        <f ca="1">(Inputs!H16+(Inputs!J16-Inputs!H16)*BETAINV(RAND(),Model!L10,Model!M10))*Inputs!$C$6</f>
        <v>105411.00935670774</v>
      </c>
      <c r="AG819">
        <f t="shared" ca="1" si="268"/>
        <v>0.44328927888521841</v>
      </c>
      <c r="AH819">
        <f t="shared" ca="1" si="269"/>
        <v>0.64279439512711689</v>
      </c>
      <c r="AI819">
        <f t="shared" ca="1" si="270"/>
        <v>1</v>
      </c>
      <c r="AJ819" s="47">
        <f t="shared" ca="1" si="271"/>
        <v>105411.00935670774</v>
      </c>
      <c r="AK819">
        <f t="shared" ca="1" si="272"/>
        <v>257662.93263836397</v>
      </c>
    </row>
    <row r="820" spans="2:37" x14ac:dyDescent="0.2">
      <c r="B820">
        <f ca="1">Inputs!B12+(Inputs!D12-Inputs!B12)*BETAINV(RAND(),Model!H6,Model!I6)</f>
        <v>2.9957740887446027</v>
      </c>
      <c r="C820">
        <f ca="1">Inputs!E12+(Inputs!G12-Inputs!E12)*BETAINV(RAND(),Model!J6,Model!K6)</f>
        <v>0.2272257598705302</v>
      </c>
      <c r="D820">
        <f ca="1">(Inputs!H12+(Inputs!J12-Inputs!H12)*BETAINV(RAND(),Model!L6,Model!M6))*Inputs!$C$6</f>
        <v>18073.874585527785</v>
      </c>
      <c r="E820">
        <f t="shared" ca="1" si="252"/>
        <v>0.68071704371543751</v>
      </c>
      <c r="F820">
        <f t="shared" ca="1" si="253"/>
        <v>0.16491264105085546</v>
      </c>
      <c r="G820">
        <f t="shared" ca="1" si="254"/>
        <v>0</v>
      </c>
      <c r="H820" s="47">
        <f t="shared" ca="1" si="255"/>
        <v>0</v>
      </c>
      <c r="I820">
        <f ca="1">Inputs!B13+(Inputs!D13-Inputs!B13)*BETAINV(RAND(),Model!H7,Model!I7)</f>
        <v>2.3644749972683803</v>
      </c>
      <c r="J820">
        <f ca="1">Inputs!E13+(Inputs!G13-Inputs!E13)*BETAINV(RAND(),Model!J7,Model!K7)</f>
        <v>0.33963743880467334</v>
      </c>
      <c r="K820">
        <f ca="1">(Inputs!H13+(Inputs!J13-Inputs!H13)*BETAINV(RAND(),Model!L7,Model!M7))*Inputs!$C$6</f>
        <v>29789.690752274277</v>
      </c>
      <c r="L820">
        <f t="shared" ca="1" si="256"/>
        <v>0.80306423218991962</v>
      </c>
      <c r="M820">
        <f t="shared" ca="1" si="257"/>
        <v>0.62494421862605487</v>
      </c>
      <c r="N820">
        <f t="shared" ca="1" si="258"/>
        <v>1</v>
      </c>
      <c r="O820" s="47">
        <f t="shared" ca="1" si="259"/>
        <v>29789.690752274277</v>
      </c>
      <c r="P820">
        <f ca="1">Inputs!B14+(Inputs!D14-Inputs!B14)*BETAINV(RAND(),Model!H8,Model!I8)</f>
        <v>0.30244957464685618</v>
      </c>
      <c r="Q820">
        <f ca="1">Inputs!E14+(Inputs!G14-Inputs!E14)*BETAINV(RAND(),Model!J8,Model!K8)</f>
        <v>0.79130255388523496</v>
      </c>
      <c r="R820">
        <f ca="1">(Inputs!H14+(Inputs!J14-Inputs!H14)*BETAINV(RAND(),Model!L8,Model!M8))*Inputs!$C$6</f>
        <v>254403.93116194304</v>
      </c>
      <c r="S820">
        <f t="shared" ca="1" si="260"/>
        <v>0.23932912083956032</v>
      </c>
      <c r="T820">
        <f t="shared" ca="1" si="261"/>
        <v>0.79189775224448034</v>
      </c>
      <c r="U820">
        <f t="shared" ca="1" si="262"/>
        <v>1</v>
      </c>
      <c r="V820" s="47">
        <f t="shared" ca="1" si="263"/>
        <v>254403.93116194304</v>
      </c>
      <c r="W820">
        <f ca="1">Inputs!B15+(Inputs!D15-Inputs!B15)*BETAINV(RAND(),Model!H9,Model!I9)</f>
        <v>0.87354497499998573</v>
      </c>
      <c r="X820">
        <f ca="1">Inputs!E15+(Inputs!G15-Inputs!E15)*BETAINV(RAND(),Model!J9,Model!K9)</f>
        <v>0.45131765006295371</v>
      </c>
      <c r="Y820">
        <f ca="1">(Inputs!H15+(Inputs!J15-Inputs!H15)*BETAINV(RAND(),Model!L9,Model!M9))*Inputs!$C$6</f>
        <v>30528.411759067516</v>
      </c>
      <c r="Z820">
        <f t="shared" ca="1" si="264"/>
        <v>0.3942462653412952</v>
      </c>
      <c r="AA820">
        <f t="shared" ca="1" si="265"/>
        <v>0.31042095806768866</v>
      </c>
      <c r="AB820">
        <f t="shared" ca="1" si="266"/>
        <v>0</v>
      </c>
      <c r="AC820" s="47">
        <f t="shared" ca="1" si="267"/>
        <v>0</v>
      </c>
      <c r="AD820">
        <f ca="1">Inputs!B16+(Inputs!D16-Inputs!B16)*BETAINV(RAND(),Model!H10,Model!I10)</f>
        <v>0.5701574951693289</v>
      </c>
      <c r="AE820">
        <f ca="1">Inputs!E16+(Inputs!G16-Inputs!E16)*BETAINV(RAND(),Model!J10,Model!K10)</f>
        <v>0.59108149703077784</v>
      </c>
      <c r="AF820">
        <f ca="1">(Inputs!H16+(Inputs!J16-Inputs!H16)*BETAINV(RAND(),Model!L10,Model!M10))*Inputs!$C$6</f>
        <v>159006.69082027019</v>
      </c>
      <c r="AG820">
        <f t="shared" ca="1" si="268"/>
        <v>0.3370095457880054</v>
      </c>
      <c r="AH820">
        <f t="shared" ca="1" si="269"/>
        <v>0.9747108964384098</v>
      </c>
      <c r="AI820">
        <f t="shared" ca="1" si="270"/>
        <v>2</v>
      </c>
      <c r="AJ820" s="47">
        <f t="shared" ca="1" si="271"/>
        <v>318013.38164054038</v>
      </c>
      <c r="AK820">
        <f t="shared" ca="1" si="272"/>
        <v>602207.00355475768</v>
      </c>
    </row>
    <row r="821" spans="2:37" x14ac:dyDescent="0.2">
      <c r="B821">
        <f ca="1">Inputs!B12+(Inputs!D12-Inputs!B12)*BETAINV(RAND(),Model!H6,Model!I6)</f>
        <v>4.9830276523230239</v>
      </c>
      <c r="C821">
        <f ca="1">Inputs!E12+(Inputs!G12-Inputs!E12)*BETAINV(RAND(),Model!J6,Model!K6)</f>
        <v>0.31361565546771458</v>
      </c>
      <c r="D821">
        <f ca="1">(Inputs!H12+(Inputs!J12-Inputs!H12)*BETAINV(RAND(),Model!L6,Model!M6))*Inputs!$C$6</f>
        <v>28873.29119824294</v>
      </c>
      <c r="E821">
        <f t="shared" ca="1" si="252"/>
        <v>1.5627554833970321</v>
      </c>
      <c r="F821">
        <f t="shared" ca="1" si="253"/>
        <v>0.81802396213748507</v>
      </c>
      <c r="G821">
        <f t="shared" ca="1" si="254"/>
        <v>3</v>
      </c>
      <c r="H821" s="47">
        <f t="shared" ca="1" si="255"/>
        <v>86619.873594728822</v>
      </c>
      <c r="I821">
        <f ca="1">Inputs!B13+(Inputs!D13-Inputs!B13)*BETAINV(RAND(),Model!H7,Model!I7)</f>
        <v>1.9054557203431592</v>
      </c>
      <c r="J821">
        <f ca="1">Inputs!E13+(Inputs!G13-Inputs!E13)*BETAINV(RAND(),Model!J7,Model!K7)</f>
        <v>0.26994330972028879</v>
      </c>
      <c r="K821">
        <f ca="1">(Inputs!H13+(Inputs!J13-Inputs!H13)*BETAINV(RAND(),Model!L7,Model!M7))*Inputs!$C$6</f>
        <v>63797.674247663919</v>
      </c>
      <c r="L821">
        <f t="shared" ca="1" si="256"/>
        <v>0.51436502367488945</v>
      </c>
      <c r="M821">
        <f t="shared" ca="1" si="257"/>
        <v>0.35974425257808496</v>
      </c>
      <c r="N821">
        <f t="shared" ca="1" si="258"/>
        <v>0</v>
      </c>
      <c r="O821" s="47">
        <f t="shared" ca="1" si="259"/>
        <v>0</v>
      </c>
      <c r="P821">
        <f ca="1">Inputs!B14+(Inputs!D14-Inputs!B14)*BETAINV(RAND(),Model!H8,Model!I8)</f>
        <v>0.44442840234465675</v>
      </c>
      <c r="Q821">
        <f ca="1">Inputs!E14+(Inputs!G14-Inputs!E14)*BETAINV(RAND(),Model!J8,Model!K8)</f>
        <v>0.66110806156993873</v>
      </c>
      <c r="R821">
        <f ca="1">(Inputs!H14+(Inputs!J14-Inputs!H14)*BETAINV(RAND(),Model!L8,Model!M8))*Inputs!$C$6</f>
        <v>175846.74193549668</v>
      </c>
      <c r="S821">
        <f t="shared" ca="1" si="260"/>
        <v>0.29381519958070085</v>
      </c>
      <c r="T821">
        <f t="shared" ca="1" si="261"/>
        <v>0.91935195455083529</v>
      </c>
      <c r="U821">
        <f t="shared" ca="1" si="262"/>
        <v>1</v>
      </c>
      <c r="V821" s="47">
        <f t="shared" ca="1" si="263"/>
        <v>175846.74193549668</v>
      </c>
      <c r="W821">
        <f ca="1">Inputs!B15+(Inputs!D15-Inputs!B15)*BETAINV(RAND(),Model!H9,Model!I9)</f>
        <v>0.63914694507118064</v>
      </c>
      <c r="X821">
        <f ca="1">Inputs!E15+(Inputs!G15-Inputs!E15)*BETAINV(RAND(),Model!J9,Model!K9)</f>
        <v>0.32492784835468003</v>
      </c>
      <c r="Y821">
        <f ca="1">(Inputs!H15+(Inputs!J15-Inputs!H15)*BETAINV(RAND(),Model!L9,Model!M9))*Inputs!$C$6</f>
        <v>33434.386170784783</v>
      </c>
      <c r="Z821">
        <f t="shared" ca="1" si="264"/>
        <v>0.20767664164444558</v>
      </c>
      <c r="AA821">
        <f t="shared" ca="1" si="265"/>
        <v>0.86922870744604896</v>
      </c>
      <c r="AB821">
        <f t="shared" ca="1" si="266"/>
        <v>1</v>
      </c>
      <c r="AC821" s="47">
        <f t="shared" ca="1" si="267"/>
        <v>33434.386170784783</v>
      </c>
      <c r="AD821">
        <f ca="1">Inputs!B16+(Inputs!D16-Inputs!B16)*BETAINV(RAND(),Model!H10,Model!I10)</f>
        <v>0.40536064423686391</v>
      </c>
      <c r="AE821">
        <f ca="1">Inputs!E16+(Inputs!G16-Inputs!E16)*BETAINV(RAND(),Model!J10,Model!K10)</f>
        <v>0.47091472206167856</v>
      </c>
      <c r="AF821">
        <f ca="1">(Inputs!H16+(Inputs!J16-Inputs!H16)*BETAINV(RAND(),Model!L10,Model!M10))*Inputs!$C$6</f>
        <v>61220.52736100115</v>
      </c>
      <c r="AG821">
        <f t="shared" ca="1" si="268"/>
        <v>0.19089029511554573</v>
      </c>
      <c r="AH821">
        <f t="shared" ca="1" si="269"/>
        <v>0.72556419976863784</v>
      </c>
      <c r="AI821">
        <f t="shared" ca="1" si="270"/>
        <v>0</v>
      </c>
      <c r="AJ821" s="47">
        <f t="shared" ca="1" si="271"/>
        <v>0</v>
      </c>
      <c r="AK821">
        <f t="shared" ca="1" si="272"/>
        <v>295901.00170101027</v>
      </c>
    </row>
    <row r="822" spans="2:37" x14ac:dyDescent="0.2">
      <c r="B822">
        <f ca="1">Inputs!B12+(Inputs!D12-Inputs!B12)*BETAINV(RAND(),Model!H6,Model!I6)</f>
        <v>3.434064336685652</v>
      </c>
      <c r="C822">
        <f ca="1">Inputs!E12+(Inputs!G12-Inputs!E12)*BETAINV(RAND(),Model!J6,Model!K6)</f>
        <v>0.4107778047778099</v>
      </c>
      <c r="D822">
        <f ca="1">(Inputs!H12+(Inputs!J12-Inputs!H12)*BETAINV(RAND(),Model!L6,Model!M6))*Inputs!$C$6</f>
        <v>30093.217124652467</v>
      </c>
      <c r="E822">
        <f t="shared" ca="1" si="252"/>
        <v>1.410637409689498</v>
      </c>
      <c r="F822">
        <f t="shared" ca="1" si="253"/>
        <v>0.31955883541137009</v>
      </c>
      <c r="G822">
        <f t="shared" ca="1" si="254"/>
        <v>1</v>
      </c>
      <c r="H822" s="47">
        <f t="shared" ca="1" si="255"/>
        <v>30093.217124652467</v>
      </c>
      <c r="I822">
        <f ca="1">Inputs!B13+(Inputs!D13-Inputs!B13)*BETAINV(RAND(),Model!H7,Model!I7)</f>
        <v>1.9435909272300944</v>
      </c>
      <c r="J822">
        <f ca="1">Inputs!E13+(Inputs!G13-Inputs!E13)*BETAINV(RAND(),Model!J7,Model!K7)</f>
        <v>0.19623297090461719</v>
      </c>
      <c r="K822">
        <f ca="1">(Inputs!H13+(Inputs!J13-Inputs!H13)*BETAINV(RAND(),Model!L7,Model!M7))*Inputs!$C$6</f>
        <v>56735.745533701789</v>
      </c>
      <c r="L822">
        <f t="shared" ca="1" si="256"/>
        <v>0.38139662187362106</v>
      </c>
      <c r="M822">
        <f t="shared" ca="1" si="257"/>
        <v>0.93191743457804477</v>
      </c>
      <c r="N822">
        <f t="shared" ca="1" si="258"/>
        <v>1</v>
      </c>
      <c r="O822" s="47">
        <f t="shared" ca="1" si="259"/>
        <v>56735.745533701789</v>
      </c>
      <c r="P822">
        <f ca="1">Inputs!B14+(Inputs!D14-Inputs!B14)*BETAINV(RAND(),Model!H8,Model!I8)</f>
        <v>0.19734192913994414</v>
      </c>
      <c r="Q822">
        <f ca="1">Inputs!E14+(Inputs!G14-Inputs!E14)*BETAINV(RAND(),Model!J8,Model!K8)</f>
        <v>0.53543225407025719</v>
      </c>
      <c r="R822">
        <f ca="1">(Inputs!H14+(Inputs!J14-Inputs!H14)*BETAINV(RAND(),Model!L8,Model!M8))*Inputs!$C$6</f>
        <v>370261.5373028543</v>
      </c>
      <c r="S822">
        <f t="shared" ca="1" si="260"/>
        <v>0.10566323394197326</v>
      </c>
      <c r="T822">
        <f t="shared" ca="1" si="261"/>
        <v>0.91820371606528051</v>
      </c>
      <c r="U822">
        <f t="shared" ca="1" si="262"/>
        <v>1</v>
      </c>
      <c r="V822" s="47">
        <f t="shared" ca="1" si="263"/>
        <v>370261.5373028543</v>
      </c>
      <c r="W822">
        <f ca="1">Inputs!B15+(Inputs!D15-Inputs!B15)*BETAINV(RAND(),Model!H9,Model!I9)</f>
        <v>1.7058064424425228</v>
      </c>
      <c r="X822">
        <f ca="1">Inputs!E15+(Inputs!G15-Inputs!E15)*BETAINV(RAND(),Model!J9,Model!K9)</f>
        <v>0.45808799023119379</v>
      </c>
      <c r="Y822">
        <f ca="1">(Inputs!H15+(Inputs!J15-Inputs!H15)*BETAINV(RAND(),Model!L9,Model!M9))*Inputs!$C$6</f>
        <v>33759.177836689516</v>
      </c>
      <c r="Z822">
        <f t="shared" ca="1" si="264"/>
        <v>0.78140944494191777</v>
      </c>
      <c r="AA822">
        <f t="shared" ca="1" si="265"/>
        <v>0.13067253910671617</v>
      </c>
      <c r="AB822">
        <f t="shared" ca="1" si="266"/>
        <v>0</v>
      </c>
      <c r="AC822" s="47">
        <f t="shared" ca="1" si="267"/>
        <v>0</v>
      </c>
      <c r="AD822">
        <f ca="1">Inputs!B16+(Inputs!D16-Inputs!B16)*BETAINV(RAND(),Model!H10,Model!I10)</f>
        <v>0.88144471231260768</v>
      </c>
      <c r="AE822">
        <f ca="1">Inputs!E16+(Inputs!G16-Inputs!E16)*BETAINV(RAND(),Model!J10,Model!K10)</f>
        <v>0.76764265028503842</v>
      </c>
      <c r="AF822">
        <f ca="1">(Inputs!H16+(Inputs!J16-Inputs!H16)*BETAINV(RAND(),Model!L10,Model!M10))*Inputs!$C$6</f>
        <v>86566.070327479858</v>
      </c>
      <c r="AG822">
        <f t="shared" ca="1" si="268"/>
        <v>0.67663455503938341</v>
      </c>
      <c r="AH822">
        <f t="shared" ca="1" si="269"/>
        <v>0.32326653699491203</v>
      </c>
      <c r="AI822">
        <f t="shared" ca="1" si="270"/>
        <v>0</v>
      </c>
      <c r="AJ822" s="47">
        <f t="shared" ca="1" si="271"/>
        <v>0</v>
      </c>
      <c r="AK822">
        <f t="shared" ca="1" si="272"/>
        <v>457090.49996120855</v>
      </c>
    </row>
    <row r="823" spans="2:37" x14ac:dyDescent="0.2">
      <c r="B823">
        <f ca="1">Inputs!B12+(Inputs!D12-Inputs!B12)*BETAINV(RAND(),Model!H6,Model!I6)</f>
        <v>2.8733518352117673</v>
      </c>
      <c r="C823">
        <f ca="1">Inputs!E12+(Inputs!G12-Inputs!E12)*BETAINV(RAND(),Model!J6,Model!K6)</f>
        <v>0.26221408378654348</v>
      </c>
      <c r="D823">
        <f ca="1">(Inputs!H12+(Inputs!J12-Inputs!H12)*BETAINV(RAND(),Model!L6,Model!M6))*Inputs!$C$6</f>
        <v>21271.746499399978</v>
      </c>
      <c r="E823">
        <f t="shared" ca="1" si="252"/>
        <v>0.75343331886643683</v>
      </c>
      <c r="F823">
        <f t="shared" ca="1" si="253"/>
        <v>0.14430912225419734</v>
      </c>
      <c r="G823">
        <f t="shared" ca="1" si="254"/>
        <v>0</v>
      </c>
      <c r="H823" s="47">
        <f t="shared" ca="1" si="255"/>
        <v>0</v>
      </c>
      <c r="I823">
        <f ca="1">Inputs!B13+(Inputs!D13-Inputs!B13)*BETAINV(RAND(),Model!H7,Model!I7)</f>
        <v>2.3819518388946292</v>
      </c>
      <c r="J823">
        <f ca="1">Inputs!E13+(Inputs!G13-Inputs!E13)*BETAINV(RAND(),Model!J7,Model!K7)</f>
        <v>0.30542009541966264</v>
      </c>
      <c r="K823">
        <f ca="1">(Inputs!H13+(Inputs!J13-Inputs!H13)*BETAINV(RAND(),Model!L7,Model!M7))*Inputs!$C$6</f>
        <v>24150.382546411478</v>
      </c>
      <c r="L823">
        <f t="shared" ca="1" si="256"/>
        <v>0.72749595792023858</v>
      </c>
      <c r="M823">
        <f t="shared" ca="1" si="257"/>
        <v>0.13011531724203107</v>
      </c>
      <c r="N823">
        <f t="shared" ca="1" si="258"/>
        <v>0</v>
      </c>
      <c r="O823" s="47">
        <f t="shared" ca="1" si="259"/>
        <v>0</v>
      </c>
      <c r="P823">
        <f ca="1">Inputs!B14+(Inputs!D14-Inputs!B14)*BETAINV(RAND(),Model!H8,Model!I8)</f>
        <v>0.17648238053583487</v>
      </c>
      <c r="Q823">
        <f ca="1">Inputs!E14+(Inputs!G14-Inputs!E14)*BETAINV(RAND(),Model!J8,Model!K8)</f>
        <v>0.47544369799058228</v>
      </c>
      <c r="R823">
        <f ca="1">(Inputs!H14+(Inputs!J14-Inputs!H14)*BETAINV(RAND(),Model!L8,Model!M8))*Inputs!$C$6</f>
        <v>250202.47344257199</v>
      </c>
      <c r="S823">
        <f t="shared" ca="1" si="260"/>
        <v>8.3907435632138497E-2</v>
      </c>
      <c r="T823">
        <f t="shared" ca="1" si="261"/>
        <v>3.0021979422748313E-2</v>
      </c>
      <c r="U823">
        <f t="shared" ca="1" si="262"/>
        <v>0</v>
      </c>
      <c r="V823" s="47">
        <f t="shared" ca="1" si="263"/>
        <v>0</v>
      </c>
      <c r="W823">
        <f ca="1">Inputs!B15+(Inputs!D15-Inputs!B15)*BETAINV(RAND(),Model!H9,Model!I9)</f>
        <v>0.5335771160349172</v>
      </c>
      <c r="X823">
        <f ca="1">Inputs!E15+(Inputs!G15-Inputs!E15)*BETAINV(RAND(),Model!J9,Model!K9)</f>
        <v>0.34713189903222164</v>
      </c>
      <c r="Y823">
        <f ca="1">(Inputs!H15+(Inputs!J15-Inputs!H15)*BETAINV(RAND(),Model!L9,Model!M9))*Inputs!$C$6</f>
        <v>34807.917416685035</v>
      </c>
      <c r="Z823">
        <f t="shared" ca="1" si="264"/>
        <v>0.18522163756933688</v>
      </c>
      <c r="AA823">
        <f t="shared" ca="1" si="265"/>
        <v>0.99743186585466426</v>
      </c>
      <c r="AB823">
        <f t="shared" ca="1" si="266"/>
        <v>2</v>
      </c>
      <c r="AC823" s="47">
        <f t="shared" ca="1" si="267"/>
        <v>69615.834833370071</v>
      </c>
      <c r="AD823">
        <f ca="1">Inputs!B16+(Inputs!D16-Inputs!B16)*BETAINV(RAND(),Model!H10,Model!I10)</f>
        <v>0.53111717128945657</v>
      </c>
      <c r="AE823">
        <f ca="1">Inputs!E16+(Inputs!G16-Inputs!E16)*BETAINV(RAND(),Model!J10,Model!K10)</f>
        <v>0.66238530619167035</v>
      </c>
      <c r="AF823">
        <f ca="1">(Inputs!H16+(Inputs!J16-Inputs!H16)*BETAINV(RAND(),Model!L10,Model!M10))*Inputs!$C$6</f>
        <v>85112.765622400126</v>
      </c>
      <c r="AG823">
        <f t="shared" ca="1" si="268"/>
        <v>0.3518042101282205</v>
      </c>
      <c r="AH823">
        <f t="shared" ca="1" si="269"/>
        <v>0.97562507524604214</v>
      </c>
      <c r="AI823">
        <f t="shared" ca="1" si="270"/>
        <v>2</v>
      </c>
      <c r="AJ823" s="47">
        <f t="shared" ca="1" si="271"/>
        <v>170225.53124480025</v>
      </c>
      <c r="AK823">
        <f t="shared" ca="1" si="272"/>
        <v>239841.36607817031</v>
      </c>
    </row>
    <row r="824" spans="2:37" x14ac:dyDescent="0.2">
      <c r="B824">
        <f ca="1">Inputs!B12+(Inputs!D12-Inputs!B12)*BETAINV(RAND(),Model!H6,Model!I6)</f>
        <v>6.4678057254399821</v>
      </c>
      <c r="C824">
        <f ca="1">Inputs!E12+(Inputs!G12-Inputs!E12)*BETAINV(RAND(),Model!J6,Model!K6)</f>
        <v>0.27807904551087581</v>
      </c>
      <c r="D824">
        <f ca="1">(Inputs!H12+(Inputs!J12-Inputs!H12)*BETAINV(RAND(),Model!L6,Model!M6))*Inputs!$C$6</f>
        <v>13873.600935074683</v>
      </c>
      <c r="E824">
        <f t="shared" ca="1" si="252"/>
        <v>1.7985612426801278</v>
      </c>
      <c r="F824">
        <f t="shared" ca="1" si="253"/>
        <v>0.65078079374074138</v>
      </c>
      <c r="G824">
        <f t="shared" ca="1" si="254"/>
        <v>2</v>
      </c>
      <c r="H824" s="47">
        <f t="shared" ca="1" si="255"/>
        <v>27747.201870149365</v>
      </c>
      <c r="I824">
        <f ca="1">Inputs!B13+(Inputs!D13-Inputs!B13)*BETAINV(RAND(),Model!H7,Model!I7)</f>
        <v>1.0935228844185976</v>
      </c>
      <c r="J824">
        <f ca="1">Inputs!E13+(Inputs!G13-Inputs!E13)*BETAINV(RAND(),Model!J7,Model!K7)</f>
        <v>0.2693731199998306</v>
      </c>
      <c r="K824">
        <f ca="1">(Inputs!H13+(Inputs!J13-Inputs!H13)*BETAINV(RAND(),Model!L7,Model!M7))*Inputs!$C$6</f>
        <v>35635.510041698006</v>
      </c>
      <c r="L824">
        <f t="shared" ca="1" si="256"/>
        <v>0.29456567116705179</v>
      </c>
      <c r="M824">
        <f t="shared" ca="1" si="257"/>
        <v>0.28674940660770265</v>
      </c>
      <c r="N824">
        <f t="shared" ca="1" si="258"/>
        <v>0</v>
      </c>
      <c r="O824" s="47">
        <f t="shared" ca="1" si="259"/>
        <v>0</v>
      </c>
      <c r="P824">
        <f ca="1">Inputs!B14+(Inputs!D14-Inputs!B14)*BETAINV(RAND(),Model!H8,Model!I8)</f>
        <v>0.31876625758718569</v>
      </c>
      <c r="Q824">
        <f ca="1">Inputs!E14+(Inputs!G14-Inputs!E14)*BETAINV(RAND(),Model!J8,Model!K8)</f>
        <v>0.59038621524081436</v>
      </c>
      <c r="R824">
        <f ca="1">(Inputs!H14+(Inputs!J14-Inputs!H14)*BETAINV(RAND(),Model!L8,Model!M8))*Inputs!$C$6</f>
        <v>186592.01827759031</v>
      </c>
      <c r="S824">
        <f t="shared" ca="1" si="260"/>
        <v>0.18819520436337708</v>
      </c>
      <c r="T824">
        <f t="shared" ca="1" si="261"/>
        <v>0.27541504229776115</v>
      </c>
      <c r="U824">
        <f t="shared" ca="1" si="262"/>
        <v>0</v>
      </c>
      <c r="V824" s="47">
        <f t="shared" ca="1" si="263"/>
        <v>0</v>
      </c>
      <c r="W824">
        <f ca="1">Inputs!B15+(Inputs!D15-Inputs!B15)*BETAINV(RAND(),Model!H9,Model!I9)</f>
        <v>1.764497709286607</v>
      </c>
      <c r="X824">
        <f ca="1">Inputs!E15+(Inputs!G15-Inputs!E15)*BETAINV(RAND(),Model!J9,Model!K9)</f>
        <v>0.55625686529702778</v>
      </c>
      <c r="Y824">
        <f ca="1">(Inputs!H15+(Inputs!J15-Inputs!H15)*BETAINV(RAND(),Model!L9,Model!M9))*Inputs!$C$6</f>
        <v>34589.647992718201</v>
      </c>
      <c r="Z824">
        <f t="shared" ca="1" si="264"/>
        <v>0.98151396459155427</v>
      </c>
      <c r="AA824">
        <f t="shared" ca="1" si="265"/>
        <v>0.88222349516868659</v>
      </c>
      <c r="AB824">
        <f t="shared" ca="1" si="266"/>
        <v>2</v>
      </c>
      <c r="AC824" s="47">
        <f t="shared" ca="1" si="267"/>
        <v>69179.295985436402</v>
      </c>
      <c r="AD824">
        <f ca="1">Inputs!B16+(Inputs!D16-Inputs!B16)*BETAINV(RAND(),Model!H10,Model!I10)</f>
        <v>0.87225823271462932</v>
      </c>
      <c r="AE824">
        <f ca="1">Inputs!E16+(Inputs!G16-Inputs!E16)*BETAINV(RAND(),Model!J10,Model!K10)</f>
        <v>0.64885041232550966</v>
      </c>
      <c r="AF824">
        <f ca="1">(Inputs!H16+(Inputs!J16-Inputs!H16)*BETAINV(RAND(),Model!L10,Model!M10))*Inputs!$C$6</f>
        <v>53195.146658577811</v>
      </c>
      <c r="AG824">
        <f t="shared" ca="1" si="268"/>
        <v>0.56596511395120763</v>
      </c>
      <c r="AH824">
        <f t="shared" ca="1" si="269"/>
        <v>0.41402342976549278</v>
      </c>
      <c r="AI824">
        <f t="shared" ca="1" si="270"/>
        <v>0</v>
      </c>
      <c r="AJ824" s="47">
        <f t="shared" ca="1" si="271"/>
        <v>0</v>
      </c>
      <c r="AK824">
        <f t="shared" ca="1" si="272"/>
        <v>96926.497855585767</v>
      </c>
    </row>
    <row r="825" spans="2:37" x14ac:dyDescent="0.2">
      <c r="B825">
        <f ca="1">Inputs!B12+(Inputs!D12-Inputs!B12)*BETAINV(RAND(),Model!H6,Model!I6)</f>
        <v>2.0434705794306778</v>
      </c>
      <c r="C825">
        <f ca="1">Inputs!E12+(Inputs!G12-Inputs!E12)*BETAINV(RAND(),Model!J6,Model!K6)</f>
        <v>0.25361443168831049</v>
      </c>
      <c r="D825">
        <f ca="1">(Inputs!H12+(Inputs!J12-Inputs!H12)*BETAINV(RAND(),Model!L6,Model!M6))*Inputs!$C$6</f>
        <v>41870.511706348596</v>
      </c>
      <c r="E825">
        <f t="shared" ca="1" si="252"/>
        <v>0.51825362967409394</v>
      </c>
      <c r="F825">
        <f t="shared" ca="1" si="253"/>
        <v>0.82547804789308243</v>
      </c>
      <c r="G825">
        <f t="shared" ca="1" si="254"/>
        <v>1</v>
      </c>
      <c r="H825" s="47">
        <f t="shared" ca="1" si="255"/>
        <v>41870.511706348596</v>
      </c>
      <c r="I825">
        <f ca="1">Inputs!B13+(Inputs!D13-Inputs!B13)*BETAINV(RAND(),Model!H7,Model!I7)</f>
        <v>2.3650871457927987</v>
      </c>
      <c r="J825">
        <f ca="1">Inputs!E13+(Inputs!G13-Inputs!E13)*BETAINV(RAND(),Model!J7,Model!K7)</f>
        <v>0.38514181362407829</v>
      </c>
      <c r="K825">
        <f ca="1">(Inputs!H13+(Inputs!J13-Inputs!H13)*BETAINV(RAND(),Model!L7,Model!M7))*Inputs!$C$6</f>
        <v>68391.460414291374</v>
      </c>
      <c r="L825">
        <f t="shared" ca="1" si="256"/>
        <v>0.91089395270963336</v>
      </c>
      <c r="M825">
        <f t="shared" ca="1" si="257"/>
        <v>2.2115878067158423E-2</v>
      </c>
      <c r="N825">
        <f t="shared" ca="1" si="258"/>
        <v>0</v>
      </c>
      <c r="O825" s="47">
        <f t="shared" ca="1" si="259"/>
        <v>0</v>
      </c>
      <c r="P825">
        <f ca="1">Inputs!B14+(Inputs!D14-Inputs!B14)*BETAINV(RAND(),Model!H8,Model!I8)</f>
        <v>0.13706273542837849</v>
      </c>
      <c r="Q825">
        <f ca="1">Inputs!E14+(Inputs!G14-Inputs!E14)*BETAINV(RAND(),Model!J8,Model!K8)</f>
        <v>0.6696261639439578</v>
      </c>
      <c r="R825">
        <f ca="1">(Inputs!H14+(Inputs!J14-Inputs!H14)*BETAINV(RAND(),Model!L8,Model!M8))*Inputs!$C$6</f>
        <v>310690.24277117039</v>
      </c>
      <c r="S825">
        <f t="shared" ca="1" si="260"/>
        <v>9.1780793744570682E-2</v>
      </c>
      <c r="T825">
        <f t="shared" ca="1" si="261"/>
        <v>0.37426243536353854</v>
      </c>
      <c r="U825">
        <f t="shared" ca="1" si="262"/>
        <v>0</v>
      </c>
      <c r="V825" s="47">
        <f t="shared" ca="1" si="263"/>
        <v>0</v>
      </c>
      <c r="W825">
        <f ca="1">Inputs!B15+(Inputs!D15-Inputs!B15)*BETAINV(RAND(),Model!H9,Model!I9)</f>
        <v>1.4823296558697183</v>
      </c>
      <c r="X825">
        <f ca="1">Inputs!E15+(Inputs!G15-Inputs!E15)*BETAINV(RAND(),Model!J9,Model!K9)</f>
        <v>0.56017981160950647</v>
      </c>
      <c r="Y825">
        <f ca="1">(Inputs!H15+(Inputs!J15-Inputs!H15)*BETAINV(RAND(),Model!L9,Model!M9))*Inputs!$C$6</f>
        <v>44254.717543637955</v>
      </c>
      <c r="Z825">
        <f t="shared" ca="1" si="264"/>
        <v>0.83037114736828332</v>
      </c>
      <c r="AA825">
        <f t="shared" ca="1" si="265"/>
        <v>0.51556181647764776</v>
      </c>
      <c r="AB825">
        <f t="shared" ca="1" si="266"/>
        <v>1</v>
      </c>
      <c r="AC825" s="47">
        <f t="shared" ca="1" si="267"/>
        <v>44254.717543637955</v>
      </c>
      <c r="AD825">
        <f ca="1">Inputs!B16+(Inputs!D16-Inputs!B16)*BETAINV(RAND(),Model!H10,Model!I10)</f>
        <v>0.32222460305794159</v>
      </c>
      <c r="AE825">
        <f ca="1">Inputs!E16+(Inputs!G16-Inputs!E16)*BETAINV(RAND(),Model!J10,Model!K10)</f>
        <v>0.42409395110509451</v>
      </c>
      <c r="AF825">
        <f ca="1">(Inputs!H16+(Inputs!J16-Inputs!H16)*BETAINV(RAND(),Model!L10,Model!M10))*Inputs!$C$6</f>
        <v>70762.036082247709</v>
      </c>
      <c r="AG825">
        <f t="shared" ca="1" si="268"/>
        <v>0.13665350505411317</v>
      </c>
      <c r="AH825">
        <f t="shared" ca="1" si="269"/>
        <v>0.44670511319857431</v>
      </c>
      <c r="AI825">
        <f t="shared" ca="1" si="270"/>
        <v>0</v>
      </c>
      <c r="AJ825" s="47">
        <f t="shared" ca="1" si="271"/>
        <v>0</v>
      </c>
      <c r="AK825">
        <f t="shared" ca="1" si="272"/>
        <v>86125.229249986558</v>
      </c>
    </row>
    <row r="826" spans="2:37" x14ac:dyDescent="0.2">
      <c r="B826">
        <f ca="1">Inputs!B12+(Inputs!D12-Inputs!B12)*BETAINV(RAND(),Model!H6,Model!I6)</f>
        <v>2.7660474171740024</v>
      </c>
      <c r="C826">
        <f ca="1">Inputs!E12+(Inputs!G12-Inputs!E12)*BETAINV(RAND(),Model!J6,Model!K6)</f>
        <v>0.21129787427704938</v>
      </c>
      <c r="D826">
        <f ca="1">(Inputs!H12+(Inputs!J12-Inputs!H12)*BETAINV(RAND(),Model!L6,Model!M6))*Inputs!$C$6</f>
        <v>36045.427913475709</v>
      </c>
      <c r="E826">
        <f t="shared" ca="1" si="252"/>
        <v>0.58445993939838947</v>
      </c>
      <c r="F826">
        <f t="shared" ca="1" si="253"/>
        <v>0.43812328333469375</v>
      </c>
      <c r="G826">
        <f t="shared" ca="1" si="254"/>
        <v>0</v>
      </c>
      <c r="H826" s="47">
        <f t="shared" ca="1" si="255"/>
        <v>0</v>
      </c>
      <c r="I826">
        <f ca="1">Inputs!B13+(Inputs!D13-Inputs!B13)*BETAINV(RAND(),Model!H7,Model!I7)</f>
        <v>3.7692294817184209</v>
      </c>
      <c r="J826">
        <f ca="1">Inputs!E13+(Inputs!G13-Inputs!E13)*BETAINV(RAND(),Model!J7,Model!K7)</f>
        <v>0.28670619496597621</v>
      </c>
      <c r="K826">
        <f ca="1">(Inputs!H13+(Inputs!J13-Inputs!H13)*BETAINV(RAND(),Model!L7,Model!M7))*Inputs!$C$6</f>
        <v>42480.046014420477</v>
      </c>
      <c r="L826">
        <f t="shared" ca="1" si="256"/>
        <v>1.0806614426570671</v>
      </c>
      <c r="M826">
        <f t="shared" ca="1" si="257"/>
        <v>0.91918802027110214</v>
      </c>
      <c r="N826">
        <f t="shared" ca="1" si="258"/>
        <v>3</v>
      </c>
      <c r="O826" s="47">
        <f t="shared" ca="1" si="259"/>
        <v>127440.13804326142</v>
      </c>
      <c r="P826">
        <f ca="1">Inputs!B14+(Inputs!D14-Inputs!B14)*BETAINV(RAND(),Model!H8,Model!I8)</f>
        <v>0.62592263029009942</v>
      </c>
      <c r="Q826">
        <f ca="1">Inputs!E14+(Inputs!G14-Inputs!E14)*BETAINV(RAND(),Model!J8,Model!K8)</f>
        <v>0.60560902320412069</v>
      </c>
      <c r="R826">
        <f ca="1">(Inputs!H14+(Inputs!J14-Inputs!H14)*BETAINV(RAND(),Model!L8,Model!M8))*Inputs!$C$6</f>
        <v>338856.24255503411</v>
      </c>
      <c r="S826">
        <f t="shared" ca="1" si="260"/>
        <v>0.37906439273134107</v>
      </c>
      <c r="T826">
        <f t="shared" ca="1" si="261"/>
        <v>0.39740527985901453</v>
      </c>
      <c r="U826">
        <f t="shared" ca="1" si="262"/>
        <v>0</v>
      </c>
      <c r="V826" s="47">
        <f t="shared" ca="1" si="263"/>
        <v>0</v>
      </c>
      <c r="W826">
        <f ca="1">Inputs!B15+(Inputs!D15-Inputs!B15)*BETAINV(RAND(),Model!H9,Model!I9)</f>
        <v>1.0963635181810543</v>
      </c>
      <c r="X826">
        <f ca="1">Inputs!E15+(Inputs!G15-Inputs!E15)*BETAINV(RAND(),Model!J9,Model!K9)</f>
        <v>0.38895043192045742</v>
      </c>
      <c r="Y826">
        <f ca="1">(Inputs!H15+(Inputs!J15-Inputs!H15)*BETAINV(RAND(),Model!L9,Model!M9))*Inputs!$C$6</f>
        <v>25175.069071156773</v>
      </c>
      <c r="Z826">
        <f t="shared" ca="1" si="264"/>
        <v>0.42643106393835334</v>
      </c>
      <c r="AA826">
        <f t="shared" ca="1" si="265"/>
        <v>0.71123787864407728</v>
      </c>
      <c r="AB826">
        <f t="shared" ca="1" si="266"/>
        <v>1</v>
      </c>
      <c r="AC826" s="47">
        <f t="shared" ca="1" si="267"/>
        <v>25175.069071156773</v>
      </c>
      <c r="AD826">
        <f ca="1">Inputs!B16+(Inputs!D16-Inputs!B16)*BETAINV(RAND(),Model!H10,Model!I10)</f>
        <v>0.88781050635368519</v>
      </c>
      <c r="AE826">
        <f ca="1">Inputs!E16+(Inputs!G16-Inputs!E16)*BETAINV(RAND(),Model!J10,Model!K10)</f>
        <v>0.62462726877279207</v>
      </c>
      <c r="AF826">
        <f ca="1">(Inputs!H16+(Inputs!J16-Inputs!H16)*BETAINV(RAND(),Model!L10,Model!M10))*Inputs!$C$6</f>
        <v>60239.349813835062</v>
      </c>
      <c r="AG826">
        <f t="shared" ca="1" si="268"/>
        <v>0.55455065177149199</v>
      </c>
      <c r="AH826">
        <f t="shared" ca="1" si="269"/>
        <v>7.6953297355496719E-2</v>
      </c>
      <c r="AI826">
        <f t="shared" ca="1" si="270"/>
        <v>0</v>
      </c>
      <c r="AJ826" s="47">
        <f t="shared" ca="1" si="271"/>
        <v>0</v>
      </c>
      <c r="AK826">
        <f t="shared" ca="1" si="272"/>
        <v>152615.20711441821</v>
      </c>
    </row>
    <row r="827" spans="2:37" x14ac:dyDescent="0.2">
      <c r="B827">
        <f ca="1">Inputs!B12+(Inputs!D12-Inputs!B12)*BETAINV(RAND(),Model!H6,Model!I6)</f>
        <v>2.7255805533968482</v>
      </c>
      <c r="C827">
        <f ca="1">Inputs!E12+(Inputs!G12-Inputs!E12)*BETAINV(RAND(),Model!J6,Model!K6)</f>
        <v>0.25306708382314402</v>
      </c>
      <c r="D827">
        <f ca="1">(Inputs!H12+(Inputs!J12-Inputs!H12)*BETAINV(RAND(),Model!L6,Model!M6))*Inputs!$C$6</f>
        <v>43019.3387464275</v>
      </c>
      <c r="E827">
        <f t="shared" ca="1" si="252"/>
        <v>0.68975472237321145</v>
      </c>
      <c r="F827">
        <f t="shared" ca="1" si="253"/>
        <v>0.48486683722101076</v>
      </c>
      <c r="G827">
        <f t="shared" ca="1" si="254"/>
        <v>0</v>
      </c>
      <c r="H827" s="47">
        <f t="shared" ca="1" si="255"/>
        <v>0</v>
      </c>
      <c r="I827">
        <f ca="1">Inputs!B13+(Inputs!D13-Inputs!B13)*BETAINV(RAND(),Model!H7,Model!I7)</f>
        <v>2.3365506693692764</v>
      </c>
      <c r="J827">
        <f ca="1">Inputs!E13+(Inputs!G13-Inputs!E13)*BETAINV(RAND(),Model!J7,Model!K7)</f>
        <v>0.20671471908943284</v>
      </c>
      <c r="K827">
        <f ca="1">(Inputs!H13+(Inputs!J13-Inputs!H13)*BETAINV(RAND(),Model!L7,Model!M7))*Inputs!$C$6</f>
        <v>60009.020823016785</v>
      </c>
      <c r="L827">
        <f t="shared" ca="1" si="256"/>
        <v>0.48299941525689621</v>
      </c>
      <c r="M827">
        <f t="shared" ca="1" si="257"/>
        <v>0.71382034206895162</v>
      </c>
      <c r="N827">
        <f t="shared" ca="1" si="258"/>
        <v>1</v>
      </c>
      <c r="O827" s="47">
        <f t="shared" ca="1" si="259"/>
        <v>60009.020823016785</v>
      </c>
      <c r="P827">
        <f ca="1">Inputs!B14+(Inputs!D14-Inputs!B14)*BETAINV(RAND(),Model!H8,Model!I8)</f>
        <v>0.22216458464113026</v>
      </c>
      <c r="Q827">
        <f ca="1">Inputs!E14+(Inputs!G14-Inputs!E14)*BETAINV(RAND(),Model!J8,Model!K8)</f>
        <v>0.73754109436342929</v>
      </c>
      <c r="R827">
        <f ca="1">(Inputs!H14+(Inputs!J14-Inputs!H14)*BETAINV(RAND(),Model!L8,Model!M8))*Inputs!$C$6</f>
        <v>389022.92943691439</v>
      </c>
      <c r="S827">
        <f t="shared" ca="1" si="260"/>
        <v>0.16385551088501593</v>
      </c>
      <c r="T827">
        <f t="shared" ca="1" si="261"/>
        <v>0.95116062295539849</v>
      </c>
      <c r="U827">
        <f t="shared" ca="1" si="262"/>
        <v>1</v>
      </c>
      <c r="V827" s="47">
        <f t="shared" ca="1" si="263"/>
        <v>389022.92943691439</v>
      </c>
      <c r="W827">
        <f ca="1">Inputs!B15+(Inputs!D15-Inputs!B15)*BETAINV(RAND(),Model!H9,Model!I9)</f>
        <v>1.2691950524971005</v>
      </c>
      <c r="X827">
        <f ca="1">Inputs!E15+(Inputs!G15-Inputs!E15)*BETAINV(RAND(),Model!J9,Model!K9)</f>
        <v>0.53668449924381068</v>
      </c>
      <c r="Y827">
        <f ca="1">(Inputs!H15+(Inputs!J15-Inputs!H15)*BETAINV(RAND(),Model!L9,Model!M9))*Inputs!$C$6</f>
        <v>63790.959852048363</v>
      </c>
      <c r="Z827">
        <f t="shared" ca="1" si="264"/>
        <v>0.68115731119212841</v>
      </c>
      <c r="AA827">
        <f t="shared" ca="1" si="265"/>
        <v>0.94945985180834891</v>
      </c>
      <c r="AB827">
        <f t="shared" ca="1" si="266"/>
        <v>2</v>
      </c>
      <c r="AC827" s="47">
        <f t="shared" ca="1" si="267"/>
        <v>127581.91970409673</v>
      </c>
      <c r="AD827">
        <f ca="1">Inputs!B16+(Inputs!D16-Inputs!B16)*BETAINV(RAND(),Model!H10,Model!I10)</f>
        <v>1.2800586329184502</v>
      </c>
      <c r="AE827">
        <f ca="1">Inputs!E16+(Inputs!G16-Inputs!E16)*BETAINV(RAND(),Model!J10,Model!K10)</f>
        <v>0.6644188924135237</v>
      </c>
      <c r="AF827">
        <f ca="1">(Inputs!H16+(Inputs!J16-Inputs!H16)*BETAINV(RAND(),Model!L10,Model!M10))*Inputs!$C$6</f>
        <v>119112.96117437832</v>
      </c>
      <c r="AG827">
        <f t="shared" ca="1" si="268"/>
        <v>0.85049513910804597</v>
      </c>
      <c r="AH827">
        <f t="shared" ca="1" si="269"/>
        <v>0.53626625465433075</v>
      </c>
      <c r="AI827">
        <f t="shared" ca="1" si="270"/>
        <v>1</v>
      </c>
      <c r="AJ827" s="47">
        <f t="shared" ca="1" si="271"/>
        <v>119112.96117437832</v>
      </c>
      <c r="AK827">
        <f t="shared" ca="1" si="272"/>
        <v>695726.83113840618</v>
      </c>
    </row>
    <row r="828" spans="2:37" x14ac:dyDescent="0.2">
      <c r="B828">
        <f ca="1">Inputs!B12+(Inputs!D12-Inputs!B12)*BETAINV(RAND(),Model!H6,Model!I6)</f>
        <v>2.0642536214430032</v>
      </c>
      <c r="C828">
        <f ca="1">Inputs!E12+(Inputs!G12-Inputs!E12)*BETAINV(RAND(),Model!J6,Model!K6)</f>
        <v>0.26628510086522861</v>
      </c>
      <c r="D828">
        <f ca="1">(Inputs!H12+(Inputs!J12-Inputs!H12)*BETAINV(RAND(),Model!L6,Model!M6))*Inputs!$C$6</f>
        <v>19447.932931536634</v>
      </c>
      <c r="E828">
        <f t="shared" ca="1" si="252"/>
        <v>0.54967998379736349</v>
      </c>
      <c r="F828">
        <f t="shared" ca="1" si="253"/>
        <v>0.41263603679536942</v>
      </c>
      <c r="G828">
        <f t="shared" ca="1" si="254"/>
        <v>0</v>
      </c>
      <c r="H828" s="47">
        <f t="shared" ca="1" si="255"/>
        <v>0</v>
      </c>
      <c r="I828">
        <f ca="1">Inputs!B13+(Inputs!D13-Inputs!B13)*BETAINV(RAND(),Model!H7,Model!I7)</f>
        <v>2.5117363033040174</v>
      </c>
      <c r="J828">
        <f ca="1">Inputs!E13+(Inputs!G13-Inputs!E13)*BETAINV(RAND(),Model!J7,Model!K7)</f>
        <v>0.4075501422918314</v>
      </c>
      <c r="K828">
        <f ca="1">(Inputs!H13+(Inputs!J13-Inputs!H13)*BETAINV(RAND(),Model!L7,Model!M7))*Inputs!$C$6</f>
        <v>38500.523296068277</v>
      </c>
      <c r="L828">
        <f t="shared" ca="1" si="256"/>
        <v>1.0236584878111108</v>
      </c>
      <c r="M828">
        <f t="shared" ca="1" si="257"/>
        <v>0.67406712534091906</v>
      </c>
      <c r="N828">
        <f t="shared" ca="1" si="258"/>
        <v>1</v>
      </c>
      <c r="O828" s="47">
        <f t="shared" ca="1" si="259"/>
        <v>38500.523296068277</v>
      </c>
      <c r="P828">
        <f ca="1">Inputs!B14+(Inputs!D14-Inputs!B14)*BETAINV(RAND(),Model!H8,Model!I8)</f>
        <v>0.36973513519459655</v>
      </c>
      <c r="Q828">
        <f ca="1">Inputs!E14+(Inputs!G14-Inputs!E14)*BETAINV(RAND(),Model!J8,Model!K8)</f>
        <v>0.4956121946264328</v>
      </c>
      <c r="R828">
        <f ca="1">(Inputs!H14+(Inputs!J14-Inputs!H14)*BETAINV(RAND(),Model!L8,Model!M8))*Inputs!$C$6</f>
        <v>269020.80134638329</v>
      </c>
      <c r="S828">
        <f t="shared" ca="1" si="260"/>
        <v>0.18324524178429483</v>
      </c>
      <c r="T828">
        <f t="shared" ca="1" si="261"/>
        <v>0.96667573684105701</v>
      </c>
      <c r="U828">
        <f t="shared" ca="1" si="262"/>
        <v>1</v>
      </c>
      <c r="V828" s="47">
        <f t="shared" ca="1" si="263"/>
        <v>269020.80134638329</v>
      </c>
      <c r="W828">
        <f ca="1">Inputs!B15+(Inputs!D15-Inputs!B15)*BETAINV(RAND(),Model!H9,Model!I9)</f>
        <v>0.68063518168697157</v>
      </c>
      <c r="X828">
        <f ca="1">Inputs!E15+(Inputs!G15-Inputs!E15)*BETAINV(RAND(),Model!J9,Model!K9)</f>
        <v>0.4709475292391454</v>
      </c>
      <c r="Y828">
        <f ca="1">(Inputs!H15+(Inputs!J15-Inputs!H15)*BETAINV(RAND(),Model!L9,Model!M9))*Inputs!$C$6</f>
        <v>45190.63775204181</v>
      </c>
      <c r="Z828">
        <f t="shared" ca="1" si="264"/>
        <v>0.32054345712871607</v>
      </c>
      <c r="AA828">
        <f t="shared" ca="1" si="265"/>
        <v>9.7384782842896422E-3</v>
      </c>
      <c r="AB828">
        <f t="shared" ca="1" si="266"/>
        <v>0</v>
      </c>
      <c r="AC828" s="47">
        <f t="shared" ca="1" si="267"/>
        <v>0</v>
      </c>
      <c r="AD828">
        <f ca="1">Inputs!B16+(Inputs!D16-Inputs!B16)*BETAINV(RAND(),Model!H10,Model!I10)</f>
        <v>1.0798226582977355</v>
      </c>
      <c r="AE828">
        <f ca="1">Inputs!E16+(Inputs!G16-Inputs!E16)*BETAINV(RAND(),Model!J10,Model!K10)</f>
        <v>0.63923551715091498</v>
      </c>
      <c r="AF828">
        <f ca="1">(Inputs!H16+(Inputs!J16-Inputs!H16)*BETAINV(RAND(),Model!L10,Model!M10))*Inputs!$C$6</f>
        <v>67138.648938019527</v>
      </c>
      <c r="AG828">
        <f t="shared" ca="1" si="268"/>
        <v>0.69026099540822872</v>
      </c>
      <c r="AH828">
        <f t="shared" ca="1" si="269"/>
        <v>0.29309024105890236</v>
      </c>
      <c r="AI828">
        <f t="shared" ca="1" si="270"/>
        <v>0</v>
      </c>
      <c r="AJ828" s="47">
        <f t="shared" ca="1" si="271"/>
        <v>0</v>
      </c>
      <c r="AK828">
        <f t="shared" ca="1" si="272"/>
        <v>307521.3246424516</v>
      </c>
    </row>
    <row r="829" spans="2:37" x14ac:dyDescent="0.2">
      <c r="B829">
        <f ca="1">Inputs!B12+(Inputs!D12-Inputs!B12)*BETAINV(RAND(),Model!H6,Model!I6)</f>
        <v>4.647882340147282</v>
      </c>
      <c r="C829">
        <f ca="1">Inputs!E12+(Inputs!G12-Inputs!E12)*BETAINV(RAND(),Model!J6,Model!K6)</f>
        <v>0.292262431643944</v>
      </c>
      <c r="D829">
        <f ca="1">(Inputs!H12+(Inputs!J12-Inputs!H12)*BETAINV(RAND(),Model!L6,Model!M6))*Inputs!$C$6</f>
        <v>14026.43370109293</v>
      </c>
      <c r="E829">
        <f t="shared" ca="1" si="252"/>
        <v>1.3584013947263895</v>
      </c>
      <c r="F829">
        <f t="shared" ca="1" si="253"/>
        <v>0.7303766651444773</v>
      </c>
      <c r="G829">
        <f t="shared" ca="1" si="254"/>
        <v>2</v>
      </c>
      <c r="H829" s="47">
        <f t="shared" ca="1" si="255"/>
        <v>28052.867402185861</v>
      </c>
      <c r="I829">
        <f ca="1">Inputs!B13+(Inputs!D13-Inputs!B13)*BETAINV(RAND(),Model!H7,Model!I7)</f>
        <v>3.1212011724940445</v>
      </c>
      <c r="J829">
        <f ca="1">Inputs!E13+(Inputs!G13-Inputs!E13)*BETAINV(RAND(),Model!J7,Model!K7)</f>
        <v>0.15879414314958815</v>
      </c>
      <c r="K829">
        <f ca="1">(Inputs!H13+(Inputs!J13-Inputs!H13)*BETAINV(RAND(),Model!L7,Model!M7))*Inputs!$C$6</f>
        <v>15598.15817803238</v>
      </c>
      <c r="L829">
        <f t="shared" ca="1" si="256"/>
        <v>0.49562846578368169</v>
      </c>
      <c r="M829">
        <f t="shared" ca="1" si="257"/>
        <v>0.40486373813752352</v>
      </c>
      <c r="N829">
        <f t="shared" ca="1" si="258"/>
        <v>0</v>
      </c>
      <c r="O829" s="47">
        <f t="shared" ca="1" si="259"/>
        <v>0</v>
      </c>
      <c r="P829">
        <f ca="1">Inputs!B14+(Inputs!D14-Inputs!B14)*BETAINV(RAND(),Model!H8,Model!I8)</f>
        <v>0.17205355607137146</v>
      </c>
      <c r="Q829">
        <f ca="1">Inputs!E14+(Inputs!G14-Inputs!E14)*BETAINV(RAND(),Model!J8,Model!K8)</f>
        <v>0.54094261987958425</v>
      </c>
      <c r="R829">
        <f ca="1">(Inputs!H14+(Inputs!J14-Inputs!H14)*BETAINV(RAND(),Model!L8,Model!M8))*Inputs!$C$6</f>
        <v>201595.36390448717</v>
      </c>
      <c r="S829">
        <f t="shared" ca="1" si="260"/>
        <v>9.3071101380846621E-2</v>
      </c>
      <c r="T829">
        <f t="shared" ca="1" si="261"/>
        <v>0.70509769408018841</v>
      </c>
      <c r="U829">
        <f t="shared" ca="1" si="262"/>
        <v>0</v>
      </c>
      <c r="V829" s="47">
        <f t="shared" ca="1" si="263"/>
        <v>0</v>
      </c>
      <c r="W829">
        <f ca="1">Inputs!B15+(Inputs!D15-Inputs!B15)*BETAINV(RAND(),Model!H9,Model!I9)</f>
        <v>1.8899852668208235</v>
      </c>
      <c r="X829">
        <f ca="1">Inputs!E15+(Inputs!G15-Inputs!E15)*BETAINV(RAND(),Model!J9,Model!K9)</f>
        <v>0.33139342205930639</v>
      </c>
      <c r="Y829">
        <f ca="1">(Inputs!H15+(Inputs!J15-Inputs!H15)*BETAINV(RAND(),Model!L9,Model!M9))*Inputs!$C$6</f>
        <v>13757.663891112506</v>
      </c>
      <c r="Z829">
        <f t="shared" ca="1" si="264"/>
        <v>0.626328685213424</v>
      </c>
      <c r="AA829">
        <f t="shared" ca="1" si="265"/>
        <v>0.84692954666500753</v>
      </c>
      <c r="AB829">
        <f t="shared" ca="1" si="266"/>
        <v>1</v>
      </c>
      <c r="AC829" s="47">
        <f t="shared" ca="1" si="267"/>
        <v>13757.663891112506</v>
      </c>
      <c r="AD829">
        <f ca="1">Inputs!B16+(Inputs!D16-Inputs!B16)*BETAINV(RAND(),Model!H10,Model!I10)</f>
        <v>0.6046998370135549</v>
      </c>
      <c r="AE829">
        <f ca="1">Inputs!E16+(Inputs!G16-Inputs!E16)*BETAINV(RAND(),Model!J10,Model!K10)</f>
        <v>0.48155292115691845</v>
      </c>
      <c r="AF829">
        <f ca="1">(Inputs!H16+(Inputs!J16-Inputs!H16)*BETAINV(RAND(),Model!L10,Model!M10))*Inputs!$C$6</f>
        <v>124979.64049324411</v>
      </c>
      <c r="AG829">
        <f t="shared" ca="1" si="268"/>
        <v>0.29119497293698982</v>
      </c>
      <c r="AH829">
        <f t="shared" ca="1" si="269"/>
        <v>0.43534008988505224</v>
      </c>
      <c r="AI829">
        <f t="shared" ca="1" si="270"/>
        <v>0</v>
      </c>
      <c r="AJ829" s="47">
        <f t="shared" ca="1" si="271"/>
        <v>0</v>
      </c>
      <c r="AK829">
        <f t="shared" ca="1" si="272"/>
        <v>41810.531293298365</v>
      </c>
    </row>
    <row r="830" spans="2:37" x14ac:dyDescent="0.2">
      <c r="B830">
        <f ca="1">Inputs!B12+(Inputs!D12-Inputs!B12)*BETAINV(RAND(),Model!H6,Model!I6)</f>
        <v>3.9893007609372595</v>
      </c>
      <c r="C830">
        <f ca="1">Inputs!E12+(Inputs!G12-Inputs!E12)*BETAINV(RAND(),Model!J6,Model!K6)</f>
        <v>0.22640935331612161</v>
      </c>
      <c r="D830">
        <f ca="1">(Inputs!H12+(Inputs!J12-Inputs!H12)*BETAINV(RAND(),Model!L6,Model!M6))*Inputs!$C$6</f>
        <v>30944.039029092008</v>
      </c>
      <c r="E830">
        <f t="shared" ca="1" si="252"/>
        <v>0.90321500546731681</v>
      </c>
      <c r="F830">
        <f t="shared" ca="1" si="253"/>
        <v>0.27352297305897122</v>
      </c>
      <c r="G830">
        <f t="shared" ca="1" si="254"/>
        <v>0</v>
      </c>
      <c r="H830" s="47">
        <f t="shared" ca="1" si="255"/>
        <v>0</v>
      </c>
      <c r="I830">
        <f ca="1">Inputs!B13+(Inputs!D13-Inputs!B13)*BETAINV(RAND(),Model!H7,Model!I7)</f>
        <v>4.4469053715581337</v>
      </c>
      <c r="J830">
        <f ca="1">Inputs!E13+(Inputs!G13-Inputs!E13)*BETAINV(RAND(),Model!J7,Model!K7)</f>
        <v>0.22452554785001308</v>
      </c>
      <c r="K830">
        <f ca="1">(Inputs!H13+(Inputs!J13-Inputs!H13)*BETAINV(RAND(),Model!L7,Model!M7))*Inputs!$C$6</f>
        <v>33881.830633928053</v>
      </c>
      <c r="L830">
        <f t="shared" ca="1" si="256"/>
        <v>0.99844386478625591</v>
      </c>
      <c r="M830">
        <f t="shared" ca="1" si="257"/>
        <v>0.99396796111764596</v>
      </c>
      <c r="N830">
        <f t="shared" ca="1" si="258"/>
        <v>4</v>
      </c>
      <c r="O830" s="47">
        <f t="shared" ca="1" si="259"/>
        <v>135527.32253571221</v>
      </c>
      <c r="P830">
        <f ca="1">Inputs!B14+(Inputs!D14-Inputs!B14)*BETAINV(RAND(),Model!H8,Model!I8)</f>
        <v>0.30267639838488236</v>
      </c>
      <c r="Q830">
        <f ca="1">Inputs!E14+(Inputs!G14-Inputs!E14)*BETAINV(RAND(),Model!J8,Model!K8)</f>
        <v>0.73776991132358793</v>
      </c>
      <c r="R830">
        <f ca="1">(Inputs!H14+(Inputs!J14-Inputs!H14)*BETAINV(RAND(),Model!L8,Model!M8))*Inputs!$C$6</f>
        <v>289894.26237863506</v>
      </c>
      <c r="S830">
        <f t="shared" ca="1" si="260"/>
        <v>0.22330553959615762</v>
      </c>
      <c r="T830">
        <f t="shared" ca="1" si="261"/>
        <v>0.6204713299652912</v>
      </c>
      <c r="U830">
        <f t="shared" ca="1" si="262"/>
        <v>0</v>
      </c>
      <c r="V830" s="47">
        <f t="shared" ca="1" si="263"/>
        <v>0</v>
      </c>
      <c r="W830">
        <f ca="1">Inputs!B15+(Inputs!D15-Inputs!B15)*BETAINV(RAND(),Model!H9,Model!I9)</f>
        <v>0.90987748540352009</v>
      </c>
      <c r="X830">
        <f ca="1">Inputs!E15+(Inputs!G15-Inputs!E15)*BETAINV(RAND(),Model!J9,Model!K9)</f>
        <v>0.31232399162721913</v>
      </c>
      <c r="Y830">
        <f ca="1">(Inputs!H15+(Inputs!J15-Inputs!H15)*BETAINV(RAND(),Model!L9,Model!M9))*Inputs!$C$6</f>
        <v>59370.402430731032</v>
      </c>
      <c r="Z830">
        <f t="shared" ca="1" si="264"/>
        <v>0.28417656813296421</v>
      </c>
      <c r="AA830">
        <f t="shared" ca="1" si="265"/>
        <v>0.39869148554660705</v>
      </c>
      <c r="AB830">
        <f t="shared" ca="1" si="266"/>
        <v>0</v>
      </c>
      <c r="AC830" s="47">
        <f t="shared" ca="1" si="267"/>
        <v>0</v>
      </c>
      <c r="AD830">
        <f ca="1">Inputs!B16+(Inputs!D16-Inputs!B16)*BETAINV(RAND(),Model!H10,Model!I10)</f>
        <v>0.82466493458392587</v>
      </c>
      <c r="AE830">
        <f ca="1">Inputs!E16+(Inputs!G16-Inputs!E16)*BETAINV(RAND(),Model!J10,Model!K10)</f>
        <v>0.64245446121188676</v>
      </c>
      <c r="AF830">
        <f ca="1">(Inputs!H16+(Inputs!J16-Inputs!H16)*BETAINV(RAND(),Model!L10,Model!M10))*Inputs!$C$6</f>
        <v>51858.678712792323</v>
      </c>
      <c r="AG830">
        <f t="shared" ca="1" si="268"/>
        <v>0.52980966622845194</v>
      </c>
      <c r="AH830">
        <f t="shared" ca="1" si="269"/>
        <v>0.40296410845997777</v>
      </c>
      <c r="AI830">
        <f t="shared" ca="1" si="270"/>
        <v>0</v>
      </c>
      <c r="AJ830" s="47">
        <f t="shared" ca="1" si="271"/>
        <v>0</v>
      </c>
      <c r="AK830">
        <f t="shared" ca="1" si="272"/>
        <v>135527.32253571221</v>
      </c>
    </row>
    <row r="831" spans="2:37" x14ac:dyDescent="0.2">
      <c r="B831">
        <f ca="1">Inputs!B12+(Inputs!D12-Inputs!B12)*BETAINV(RAND(),Model!H6,Model!I6)</f>
        <v>4.8072529225013287</v>
      </c>
      <c r="C831">
        <f ca="1">Inputs!E12+(Inputs!G12-Inputs!E12)*BETAINV(RAND(),Model!J6,Model!K6)</f>
        <v>0.33047341384521289</v>
      </c>
      <c r="D831">
        <f ca="1">(Inputs!H12+(Inputs!J12-Inputs!H12)*BETAINV(RAND(),Model!L6,Model!M6))*Inputs!$C$6</f>
        <v>42261.802541562014</v>
      </c>
      <c r="E831">
        <f t="shared" ca="1" si="252"/>
        <v>1.5886692845163908</v>
      </c>
      <c r="F831">
        <f t="shared" ca="1" si="253"/>
        <v>0.93502729027641507</v>
      </c>
      <c r="G831">
        <f t="shared" ca="1" si="254"/>
        <v>4</v>
      </c>
      <c r="H831" s="47">
        <f t="shared" ca="1" si="255"/>
        <v>169047.21016624806</v>
      </c>
      <c r="I831">
        <f ca="1">Inputs!B13+(Inputs!D13-Inputs!B13)*BETAINV(RAND(),Model!H7,Model!I7)</f>
        <v>2.1953317768260749</v>
      </c>
      <c r="J831">
        <f ca="1">Inputs!E13+(Inputs!G13-Inputs!E13)*BETAINV(RAND(),Model!J7,Model!K7)</f>
        <v>0.30698554095476094</v>
      </c>
      <c r="K831">
        <f ca="1">(Inputs!H13+(Inputs!J13-Inputs!H13)*BETAINV(RAND(),Model!L7,Model!M7))*Inputs!$C$6</f>
        <v>48611.799431522042</v>
      </c>
      <c r="L831">
        <f t="shared" ca="1" si="256"/>
        <v>0.67393511308412912</v>
      </c>
      <c r="M831">
        <f t="shared" ca="1" si="257"/>
        <v>0.94903749550318939</v>
      </c>
      <c r="N831">
        <f t="shared" ca="1" si="258"/>
        <v>2</v>
      </c>
      <c r="O831" s="47">
        <f t="shared" ca="1" si="259"/>
        <v>97223.598863044084</v>
      </c>
      <c r="P831">
        <f ca="1">Inputs!B14+(Inputs!D14-Inputs!B14)*BETAINV(RAND(),Model!H8,Model!I8)</f>
        <v>0.58234432963350813</v>
      </c>
      <c r="Q831">
        <f ca="1">Inputs!E14+(Inputs!G14-Inputs!E14)*BETAINV(RAND(),Model!J8,Model!K8)</f>
        <v>0.61913573392505994</v>
      </c>
      <c r="R831">
        <f ca="1">(Inputs!H14+(Inputs!J14-Inputs!H14)*BETAINV(RAND(),Model!L8,Model!M8))*Inputs!$C$6</f>
        <v>510563.69504109171</v>
      </c>
      <c r="S831">
        <f t="shared" ca="1" si="260"/>
        <v>0.36055018392473909</v>
      </c>
      <c r="T831">
        <f t="shared" ca="1" si="261"/>
        <v>0.8228538643363521</v>
      </c>
      <c r="U831">
        <f t="shared" ca="1" si="262"/>
        <v>1</v>
      </c>
      <c r="V831" s="47">
        <f t="shared" ca="1" si="263"/>
        <v>510563.69504109171</v>
      </c>
      <c r="W831">
        <f ca="1">Inputs!B15+(Inputs!D15-Inputs!B15)*BETAINV(RAND(),Model!H9,Model!I9)</f>
        <v>1.1757295410895114</v>
      </c>
      <c r="X831">
        <f ca="1">Inputs!E15+(Inputs!G15-Inputs!E15)*BETAINV(RAND(),Model!J9,Model!K9)</f>
        <v>0.36001515284523433</v>
      </c>
      <c r="Y831">
        <f ca="1">(Inputs!H15+(Inputs!J15-Inputs!H15)*BETAINV(RAND(),Model!L9,Model!M9))*Inputs!$C$6</f>
        <v>46713.41668156533</v>
      </c>
      <c r="Z831">
        <f t="shared" ca="1" si="264"/>
        <v>0.42328045043999768</v>
      </c>
      <c r="AA831">
        <f t="shared" ca="1" si="265"/>
        <v>0.16589784343879643</v>
      </c>
      <c r="AB831">
        <f t="shared" ca="1" si="266"/>
        <v>0</v>
      </c>
      <c r="AC831" s="47">
        <f t="shared" ca="1" si="267"/>
        <v>0</v>
      </c>
      <c r="AD831">
        <f ca="1">Inputs!B16+(Inputs!D16-Inputs!B16)*BETAINV(RAND(),Model!H10,Model!I10)</f>
        <v>0.99874284041575012</v>
      </c>
      <c r="AE831">
        <f ca="1">Inputs!E16+(Inputs!G16-Inputs!E16)*BETAINV(RAND(),Model!J10,Model!K10)</f>
        <v>0.73290207966375487</v>
      </c>
      <c r="AF831">
        <f ca="1">(Inputs!H16+(Inputs!J16-Inputs!H16)*BETAINV(RAND(),Model!L10,Model!M10))*Inputs!$C$6</f>
        <v>46321.376101560163</v>
      </c>
      <c r="AG831">
        <f t="shared" ca="1" si="268"/>
        <v>0.73198070478998889</v>
      </c>
      <c r="AH831">
        <f t="shared" ca="1" si="269"/>
        <v>0.89342035743665094</v>
      </c>
      <c r="AI831">
        <f t="shared" ca="1" si="270"/>
        <v>2</v>
      </c>
      <c r="AJ831" s="47">
        <f t="shared" ca="1" si="271"/>
        <v>92642.752203120326</v>
      </c>
      <c r="AK831">
        <f t="shared" ca="1" si="272"/>
        <v>869477.25627350411</v>
      </c>
    </row>
    <row r="832" spans="2:37" x14ac:dyDescent="0.2">
      <c r="B832">
        <f ca="1">Inputs!B12+(Inputs!D12-Inputs!B12)*BETAINV(RAND(),Model!H6,Model!I6)</f>
        <v>1.283555400245135</v>
      </c>
      <c r="C832">
        <f ca="1">Inputs!E12+(Inputs!G12-Inputs!E12)*BETAINV(RAND(),Model!J6,Model!K6)</f>
        <v>0.36158934798402231</v>
      </c>
      <c r="D832">
        <f ca="1">(Inputs!H12+(Inputs!J12-Inputs!H12)*BETAINV(RAND(),Model!L6,Model!M6))*Inputs!$C$6</f>
        <v>13531.683771580632</v>
      </c>
      <c r="E832">
        <f t="shared" ca="1" si="252"/>
        <v>0.46411996027600916</v>
      </c>
      <c r="F832">
        <f t="shared" ca="1" si="253"/>
        <v>0.96126153717998608</v>
      </c>
      <c r="G832">
        <f t="shared" ca="1" si="254"/>
        <v>2</v>
      </c>
      <c r="H832" s="47">
        <f t="shared" ca="1" si="255"/>
        <v>27063.367543161265</v>
      </c>
      <c r="I832">
        <f ca="1">Inputs!B13+(Inputs!D13-Inputs!B13)*BETAINV(RAND(),Model!H7,Model!I7)</f>
        <v>1.1040462303167915</v>
      </c>
      <c r="J832">
        <f ca="1">Inputs!E13+(Inputs!G13-Inputs!E13)*BETAINV(RAND(),Model!J7,Model!K7)</f>
        <v>0.27267907803774849</v>
      </c>
      <c r="K832">
        <f ca="1">(Inputs!H13+(Inputs!J13-Inputs!H13)*BETAINV(RAND(),Model!L7,Model!M7))*Inputs!$C$6</f>
        <v>40008.840033252542</v>
      </c>
      <c r="L832">
        <f t="shared" ca="1" si="256"/>
        <v>0.30105030819383444</v>
      </c>
      <c r="M832">
        <f t="shared" ca="1" si="257"/>
        <v>0.40943210056165957</v>
      </c>
      <c r="N832">
        <f t="shared" ca="1" si="258"/>
        <v>0</v>
      </c>
      <c r="O832" s="47">
        <f t="shared" ca="1" si="259"/>
        <v>0</v>
      </c>
      <c r="P832">
        <f ca="1">Inputs!B14+(Inputs!D14-Inputs!B14)*BETAINV(RAND(),Model!H8,Model!I8)</f>
        <v>0.21031866143852446</v>
      </c>
      <c r="Q832">
        <f ca="1">Inputs!E14+(Inputs!G14-Inputs!E14)*BETAINV(RAND(),Model!J8,Model!K8)</f>
        <v>0.56866897250884318</v>
      </c>
      <c r="R832">
        <f ca="1">(Inputs!H14+(Inputs!J14-Inputs!H14)*BETAINV(RAND(),Model!L8,Model!M8))*Inputs!$C$6</f>
        <v>547298.66761814803</v>
      </c>
      <c r="S832">
        <f t="shared" ca="1" si="260"/>
        <v>0.11960169709968096</v>
      </c>
      <c r="T832">
        <f t="shared" ca="1" si="261"/>
        <v>8.5162685087393553E-2</v>
      </c>
      <c r="U832">
        <f t="shared" ca="1" si="262"/>
        <v>0</v>
      </c>
      <c r="V832" s="47">
        <f t="shared" ca="1" si="263"/>
        <v>0</v>
      </c>
      <c r="W832">
        <f ca="1">Inputs!B15+(Inputs!D15-Inputs!B15)*BETAINV(RAND(),Model!H9,Model!I9)</f>
        <v>1.5010068716779137</v>
      </c>
      <c r="X832">
        <f ca="1">Inputs!E15+(Inputs!G15-Inputs!E15)*BETAINV(RAND(),Model!J9,Model!K9)</f>
        <v>0.35917636019853083</v>
      </c>
      <c r="Y832">
        <f ca="1">(Inputs!H15+(Inputs!J15-Inputs!H15)*BETAINV(RAND(),Model!L9,Model!M9))*Inputs!$C$6</f>
        <v>20553.11752307296</v>
      </c>
      <c r="Z832">
        <f t="shared" ca="1" si="264"/>
        <v>0.53912618480225627</v>
      </c>
      <c r="AA832">
        <f t="shared" ca="1" si="265"/>
        <v>0.84093954061119325</v>
      </c>
      <c r="AB832">
        <f t="shared" ca="1" si="266"/>
        <v>1</v>
      </c>
      <c r="AC832" s="47">
        <f t="shared" ca="1" si="267"/>
        <v>20553.11752307296</v>
      </c>
      <c r="AD832">
        <f ca="1">Inputs!B16+(Inputs!D16-Inputs!B16)*BETAINV(RAND(),Model!H10,Model!I10)</f>
        <v>0.63926165168544724</v>
      </c>
      <c r="AE832">
        <f ca="1">Inputs!E16+(Inputs!G16-Inputs!E16)*BETAINV(RAND(),Model!J10,Model!K10)</f>
        <v>0.41376481360678791</v>
      </c>
      <c r="AF832">
        <f ca="1">(Inputs!H16+(Inputs!J16-Inputs!H16)*BETAINV(RAND(),Model!L10,Model!M10))*Inputs!$C$6</f>
        <v>96100.803926384106</v>
      </c>
      <c r="AG832">
        <f t="shared" ca="1" si="268"/>
        <v>0.26450397815559645</v>
      </c>
      <c r="AH832">
        <f t="shared" ca="1" si="269"/>
        <v>9.7196692065147694E-2</v>
      </c>
      <c r="AI832">
        <f t="shared" ca="1" si="270"/>
        <v>0</v>
      </c>
      <c r="AJ832" s="47">
        <f t="shared" ca="1" si="271"/>
        <v>0</v>
      </c>
      <c r="AK832">
        <f t="shared" ca="1" si="272"/>
        <v>47616.485066234221</v>
      </c>
    </row>
    <row r="833" spans="2:37" x14ac:dyDescent="0.2">
      <c r="B833">
        <f ca="1">Inputs!B12+(Inputs!D12-Inputs!B12)*BETAINV(RAND(),Model!H6,Model!I6)</f>
        <v>4.6393468566641749</v>
      </c>
      <c r="C833">
        <f ca="1">Inputs!E12+(Inputs!G12-Inputs!E12)*BETAINV(RAND(),Model!J6,Model!K6)</f>
        <v>0.46415979762362258</v>
      </c>
      <c r="D833">
        <f ca="1">(Inputs!H12+(Inputs!J12-Inputs!H12)*BETAINV(RAND(),Model!L6,Model!M6))*Inputs!$C$6</f>
        <v>27067.206109151117</v>
      </c>
      <c r="E833">
        <f t="shared" ca="1" si="252"/>
        <v>2.1533982980950328</v>
      </c>
      <c r="F833">
        <f t="shared" ca="1" si="253"/>
        <v>0.27084514728715692</v>
      </c>
      <c r="G833">
        <f t="shared" ca="1" si="254"/>
        <v>1</v>
      </c>
      <c r="H833" s="47">
        <f t="shared" ca="1" si="255"/>
        <v>27067.206109151117</v>
      </c>
      <c r="I833">
        <f ca="1">Inputs!B13+(Inputs!D13-Inputs!B13)*BETAINV(RAND(),Model!H7,Model!I7)</f>
        <v>3.4011859160142528</v>
      </c>
      <c r="J833">
        <f ca="1">Inputs!E13+(Inputs!G13-Inputs!E13)*BETAINV(RAND(),Model!J7,Model!K7)</f>
        <v>0.24371171360576849</v>
      </c>
      <c r="K833">
        <f ca="1">(Inputs!H13+(Inputs!J13-Inputs!H13)*BETAINV(RAND(),Model!L7,Model!M7))*Inputs!$C$6</f>
        <v>24989.896020418677</v>
      </c>
      <c r="L833">
        <f t="shared" ca="1" si="256"/>
        <v>0.82890884788363894</v>
      </c>
      <c r="M833">
        <f t="shared" ca="1" si="257"/>
        <v>0.3064900292415903</v>
      </c>
      <c r="N833">
        <f t="shared" ca="1" si="258"/>
        <v>0</v>
      </c>
      <c r="O833" s="47">
        <f t="shared" ca="1" si="259"/>
        <v>0</v>
      </c>
      <c r="P833">
        <f ca="1">Inputs!B14+(Inputs!D14-Inputs!B14)*BETAINV(RAND(),Model!H8,Model!I8)</f>
        <v>0.170607273704944</v>
      </c>
      <c r="Q833">
        <f ca="1">Inputs!E14+(Inputs!G14-Inputs!E14)*BETAINV(RAND(),Model!J8,Model!K8)</f>
        <v>0.54941727131023033</v>
      </c>
      <c r="R833">
        <f ca="1">(Inputs!H14+(Inputs!J14-Inputs!H14)*BETAINV(RAND(),Model!L8,Model!M8))*Inputs!$C$6</f>
        <v>349886.72251453216</v>
      </c>
      <c r="S833">
        <f t="shared" ca="1" si="260"/>
        <v>9.3734582784647941E-2</v>
      </c>
      <c r="T833">
        <f t="shared" ca="1" si="261"/>
        <v>0.1763165639761467</v>
      </c>
      <c r="U833">
        <f t="shared" ca="1" si="262"/>
        <v>0</v>
      </c>
      <c r="V833" s="47">
        <f t="shared" ca="1" si="263"/>
        <v>0</v>
      </c>
      <c r="W833">
        <f ca="1">Inputs!B15+(Inputs!D15-Inputs!B15)*BETAINV(RAND(),Model!H9,Model!I9)</f>
        <v>1.2838429843150341</v>
      </c>
      <c r="X833">
        <f ca="1">Inputs!E15+(Inputs!G15-Inputs!E15)*BETAINV(RAND(),Model!J9,Model!K9)</f>
        <v>0.51003781087962907</v>
      </c>
      <c r="Y833">
        <f ca="1">(Inputs!H15+(Inputs!J15-Inputs!H15)*BETAINV(RAND(),Model!L9,Model!M9))*Inputs!$C$6</f>
        <v>37348.875986148727</v>
      </c>
      <c r="Z833">
        <f t="shared" ca="1" si="264"/>
        <v>0.6548084652332099</v>
      </c>
      <c r="AA833">
        <f t="shared" ca="1" si="265"/>
        <v>0.41488364393721988</v>
      </c>
      <c r="AB833">
        <f t="shared" ca="1" si="266"/>
        <v>0</v>
      </c>
      <c r="AC833" s="47">
        <f t="shared" ca="1" si="267"/>
        <v>0</v>
      </c>
      <c r="AD833">
        <f ca="1">Inputs!B16+(Inputs!D16-Inputs!B16)*BETAINV(RAND(),Model!H10,Model!I10)</f>
        <v>0.41580732046984681</v>
      </c>
      <c r="AE833">
        <f ca="1">Inputs!E16+(Inputs!G16-Inputs!E16)*BETAINV(RAND(),Model!J10,Model!K10)</f>
        <v>0.49451616429596962</v>
      </c>
      <c r="AF833">
        <f ca="1">(Inputs!H16+(Inputs!J16-Inputs!H16)*BETAINV(RAND(),Model!L10,Model!M10))*Inputs!$C$6</f>
        <v>60751.065767137545</v>
      </c>
      <c r="AG833">
        <f t="shared" ca="1" si="268"/>
        <v>0.20562344120493364</v>
      </c>
      <c r="AH833">
        <f t="shared" ca="1" si="269"/>
        <v>0.18278587245647238</v>
      </c>
      <c r="AI833">
        <f t="shared" ca="1" si="270"/>
        <v>0</v>
      </c>
      <c r="AJ833" s="47">
        <f t="shared" ca="1" si="271"/>
        <v>0</v>
      </c>
      <c r="AK833">
        <f t="shared" ca="1" si="272"/>
        <v>27067.206109151117</v>
      </c>
    </row>
    <row r="834" spans="2:37" x14ac:dyDescent="0.2">
      <c r="B834">
        <f ca="1">Inputs!B12+(Inputs!D12-Inputs!B12)*BETAINV(RAND(),Model!H6,Model!I6)</f>
        <v>2.1085475430313867</v>
      </c>
      <c r="C834">
        <f ca="1">Inputs!E12+(Inputs!G12-Inputs!E12)*BETAINV(RAND(),Model!J6,Model!K6)</f>
        <v>0.25181557672970756</v>
      </c>
      <c r="D834">
        <f ca="1">(Inputs!H12+(Inputs!J12-Inputs!H12)*BETAINV(RAND(),Model!L6,Model!M6))*Inputs!$C$6</f>
        <v>26660.518374541585</v>
      </c>
      <c r="E834">
        <f t="shared" ca="1" si="252"/>
        <v>0.53096511561045645</v>
      </c>
      <c r="F834">
        <f t="shared" ca="1" si="253"/>
        <v>0.50525233613079801</v>
      </c>
      <c r="G834">
        <f t="shared" ca="1" si="254"/>
        <v>0</v>
      </c>
      <c r="H834" s="47">
        <f t="shared" ca="1" si="255"/>
        <v>0</v>
      </c>
      <c r="I834">
        <f ca="1">Inputs!B13+(Inputs!D13-Inputs!B13)*BETAINV(RAND(),Model!H7,Model!I7)</f>
        <v>3.1959301668633109</v>
      </c>
      <c r="J834">
        <f ca="1">Inputs!E13+(Inputs!G13-Inputs!E13)*BETAINV(RAND(),Model!J7,Model!K7)</f>
        <v>0.19232136676377817</v>
      </c>
      <c r="K834">
        <f ca="1">(Inputs!H13+(Inputs!J13-Inputs!H13)*BETAINV(RAND(),Model!L7,Model!M7))*Inputs!$C$6</f>
        <v>50137.582069239928</v>
      </c>
      <c r="L834">
        <f t="shared" ca="1" si="256"/>
        <v>0.6146456577727416</v>
      </c>
      <c r="M834">
        <f t="shared" ca="1" si="257"/>
        <v>3.3506169592840251E-2</v>
      </c>
      <c r="N834">
        <f t="shared" ca="1" si="258"/>
        <v>0</v>
      </c>
      <c r="O834" s="47">
        <f t="shared" ca="1" si="259"/>
        <v>0</v>
      </c>
      <c r="P834">
        <f ca="1">Inputs!B14+(Inputs!D14-Inputs!B14)*BETAINV(RAND(),Model!H8,Model!I8)</f>
        <v>0.28637141702536451</v>
      </c>
      <c r="Q834">
        <f ca="1">Inputs!E14+(Inputs!G14-Inputs!E14)*BETAINV(RAND(),Model!J8,Model!K8)</f>
        <v>0.63397593062897373</v>
      </c>
      <c r="R834">
        <f ca="1">(Inputs!H14+(Inputs!J14-Inputs!H14)*BETAINV(RAND(),Model!L8,Model!M8))*Inputs!$C$6</f>
        <v>226964.29255101585</v>
      </c>
      <c r="S834">
        <f t="shared" ca="1" si="260"/>
        <v>0.18155258561419341</v>
      </c>
      <c r="T834">
        <f t="shared" ca="1" si="261"/>
        <v>0.5002111850738612</v>
      </c>
      <c r="U834">
        <f t="shared" ca="1" si="262"/>
        <v>0</v>
      </c>
      <c r="V834" s="47">
        <f t="shared" ca="1" si="263"/>
        <v>0</v>
      </c>
      <c r="W834">
        <f ca="1">Inputs!B15+(Inputs!D15-Inputs!B15)*BETAINV(RAND(),Model!H9,Model!I9)</f>
        <v>2.1395702914642438</v>
      </c>
      <c r="X834">
        <f ca="1">Inputs!E15+(Inputs!G15-Inputs!E15)*BETAINV(RAND(),Model!J9,Model!K9)</f>
        <v>0.44265245768895223</v>
      </c>
      <c r="Y834">
        <f ca="1">(Inputs!H15+(Inputs!J15-Inputs!H15)*BETAINV(RAND(),Model!L9,Model!M9))*Inputs!$C$6</f>
        <v>25512.717058398346</v>
      </c>
      <c r="Z834">
        <f t="shared" ca="1" si="264"/>
        <v>0.94708604791491535</v>
      </c>
      <c r="AA834">
        <f t="shared" ca="1" si="265"/>
        <v>0.53411400428054479</v>
      </c>
      <c r="AB834">
        <f t="shared" ca="1" si="266"/>
        <v>1</v>
      </c>
      <c r="AC834" s="47">
        <f t="shared" ca="1" si="267"/>
        <v>25512.717058398346</v>
      </c>
      <c r="AD834">
        <f ca="1">Inputs!B16+(Inputs!D16-Inputs!B16)*BETAINV(RAND(),Model!H10,Model!I10)</f>
        <v>0.55642247671943368</v>
      </c>
      <c r="AE834">
        <f ca="1">Inputs!E16+(Inputs!G16-Inputs!E16)*BETAINV(RAND(),Model!J10,Model!K10)</f>
        <v>0.63437436249031032</v>
      </c>
      <c r="AF834">
        <f ca="1">(Inputs!H16+(Inputs!J16-Inputs!H16)*BETAINV(RAND(),Model!L10,Model!M10))*Inputs!$C$6</f>
        <v>57807.539691865517</v>
      </c>
      <c r="AG834">
        <f t="shared" ca="1" si="268"/>
        <v>0.35298015394417026</v>
      </c>
      <c r="AH834">
        <f t="shared" ca="1" si="269"/>
        <v>0.34455523535002142</v>
      </c>
      <c r="AI834">
        <f t="shared" ca="1" si="270"/>
        <v>0</v>
      </c>
      <c r="AJ834" s="47">
        <f t="shared" ca="1" si="271"/>
        <v>0</v>
      </c>
      <c r="AK834">
        <f t="shared" ca="1" si="272"/>
        <v>25512.717058398346</v>
      </c>
    </row>
    <row r="835" spans="2:37" x14ac:dyDescent="0.2">
      <c r="B835">
        <f ca="1">Inputs!B12+(Inputs!D12-Inputs!B12)*BETAINV(RAND(),Model!H6,Model!I6)</f>
        <v>2.1063967991954433</v>
      </c>
      <c r="C835">
        <f ca="1">Inputs!E12+(Inputs!G12-Inputs!E12)*BETAINV(RAND(),Model!J6,Model!K6)</f>
        <v>0.23462275789976383</v>
      </c>
      <c r="D835">
        <f ca="1">(Inputs!H12+(Inputs!J12-Inputs!H12)*BETAINV(RAND(),Model!L6,Model!M6))*Inputs!$C$6</f>
        <v>28832.962897683417</v>
      </c>
      <c r="E835">
        <f t="shared" ca="1" si="252"/>
        <v>0.49420862625846995</v>
      </c>
      <c r="F835">
        <f t="shared" ca="1" si="253"/>
        <v>0.70445903049663083</v>
      </c>
      <c r="G835">
        <f t="shared" ca="1" si="254"/>
        <v>1</v>
      </c>
      <c r="H835" s="47">
        <f t="shared" ca="1" si="255"/>
        <v>28832.962897683417</v>
      </c>
      <c r="I835">
        <f ca="1">Inputs!B13+(Inputs!D13-Inputs!B13)*BETAINV(RAND(),Model!H7,Model!I7)</f>
        <v>1.2768683762319271</v>
      </c>
      <c r="J835">
        <f ca="1">Inputs!E13+(Inputs!G13-Inputs!E13)*BETAINV(RAND(),Model!J7,Model!K7)</f>
        <v>0.31626456136570003</v>
      </c>
      <c r="K835">
        <f ca="1">(Inputs!H13+(Inputs!J13-Inputs!H13)*BETAINV(RAND(),Model!L7,Model!M7))*Inputs!$C$6</f>
        <v>40212.303242720642</v>
      </c>
      <c r="L835">
        <f t="shared" ca="1" si="256"/>
        <v>0.40382821693072407</v>
      </c>
      <c r="M835">
        <f t="shared" ca="1" si="257"/>
        <v>0.86737878332261842</v>
      </c>
      <c r="N835">
        <f t="shared" ca="1" si="258"/>
        <v>1</v>
      </c>
      <c r="O835" s="47">
        <f t="shared" ca="1" si="259"/>
        <v>40212.303242720642</v>
      </c>
      <c r="P835">
        <f ca="1">Inputs!B14+(Inputs!D14-Inputs!B14)*BETAINV(RAND(),Model!H8,Model!I8)</f>
        <v>0.56963799815512428</v>
      </c>
      <c r="Q835">
        <f ca="1">Inputs!E14+(Inputs!G14-Inputs!E14)*BETAINV(RAND(),Model!J8,Model!K8)</f>
        <v>0.59683296078114445</v>
      </c>
      <c r="R835">
        <f ca="1">(Inputs!H14+(Inputs!J14-Inputs!H14)*BETAINV(RAND(),Model!L8,Model!M8))*Inputs!$C$6</f>
        <v>522935.28526212444</v>
      </c>
      <c r="S835">
        <f t="shared" ca="1" si="260"/>
        <v>0.33997873301236692</v>
      </c>
      <c r="T835">
        <f t="shared" ca="1" si="261"/>
        <v>0.10357497286428374</v>
      </c>
      <c r="U835">
        <f t="shared" ca="1" si="262"/>
        <v>0</v>
      </c>
      <c r="V835" s="47">
        <f t="shared" ca="1" si="263"/>
        <v>0</v>
      </c>
      <c r="W835">
        <f ca="1">Inputs!B15+(Inputs!D15-Inputs!B15)*BETAINV(RAND(),Model!H9,Model!I9)</f>
        <v>1.8671634822070686</v>
      </c>
      <c r="X835">
        <f ca="1">Inputs!E15+(Inputs!G15-Inputs!E15)*BETAINV(RAND(),Model!J9,Model!K9)</f>
        <v>0.34506520844001198</v>
      </c>
      <c r="Y835">
        <f ca="1">(Inputs!H15+(Inputs!J15-Inputs!H15)*BETAINV(RAND(),Model!L9,Model!M9))*Inputs!$C$6</f>
        <v>41112.23559657795</v>
      </c>
      <c r="Z835">
        <f t="shared" ca="1" si="264"/>
        <v>0.64429315617936078</v>
      </c>
      <c r="AA835">
        <f t="shared" ca="1" si="265"/>
        <v>0.42774622802013318</v>
      </c>
      <c r="AB835">
        <f t="shared" ca="1" si="266"/>
        <v>0</v>
      </c>
      <c r="AC835" s="47">
        <f t="shared" ca="1" si="267"/>
        <v>0</v>
      </c>
      <c r="AD835">
        <f ca="1">Inputs!B16+(Inputs!D16-Inputs!B16)*BETAINV(RAND(),Model!H10,Model!I10)</f>
        <v>0.7541352137408146</v>
      </c>
      <c r="AE835">
        <f ca="1">Inputs!E16+(Inputs!G16-Inputs!E16)*BETAINV(RAND(),Model!J10,Model!K10)</f>
        <v>0.68997279880161688</v>
      </c>
      <c r="AF835">
        <f ca="1">(Inputs!H16+(Inputs!J16-Inputs!H16)*BETAINV(RAND(),Model!L10,Model!M10))*Inputs!$C$6</f>
        <v>136565.51480062096</v>
      </c>
      <c r="AG835">
        <f t="shared" ca="1" si="268"/>
        <v>0.52033278409960537</v>
      </c>
      <c r="AH835">
        <f t="shared" ca="1" si="269"/>
        <v>0.32806169689902598</v>
      </c>
      <c r="AI835">
        <f t="shared" ca="1" si="270"/>
        <v>0</v>
      </c>
      <c r="AJ835" s="47">
        <f t="shared" ca="1" si="271"/>
        <v>0</v>
      </c>
      <c r="AK835">
        <f t="shared" ca="1" si="272"/>
        <v>69045.266140404055</v>
      </c>
    </row>
    <row r="836" spans="2:37" x14ac:dyDescent="0.2">
      <c r="B836">
        <f ca="1">Inputs!B12+(Inputs!D12-Inputs!B12)*BETAINV(RAND(),Model!H6,Model!I6)</f>
        <v>5.5487368583155448</v>
      </c>
      <c r="C836">
        <f ca="1">Inputs!E12+(Inputs!G12-Inputs!E12)*BETAINV(RAND(),Model!J6,Model!K6)</f>
        <v>0.23881968991054703</v>
      </c>
      <c r="D836">
        <f ca="1">(Inputs!H12+(Inputs!J12-Inputs!H12)*BETAINV(RAND(),Model!L6,Model!M6))*Inputs!$C$6</f>
        <v>17988.27899987355</v>
      </c>
      <c r="E836">
        <f t="shared" ca="1" si="252"/>
        <v>1.3251476158981412</v>
      </c>
      <c r="F836">
        <f t="shared" ca="1" si="253"/>
        <v>0.83827246721227078</v>
      </c>
      <c r="G836">
        <f t="shared" ca="1" si="254"/>
        <v>2</v>
      </c>
      <c r="H836" s="47">
        <f t="shared" ca="1" si="255"/>
        <v>35976.5579997471</v>
      </c>
      <c r="I836">
        <f ca="1">Inputs!B13+(Inputs!D13-Inputs!B13)*BETAINV(RAND(),Model!H7,Model!I7)</f>
        <v>0.99278738090340857</v>
      </c>
      <c r="J836">
        <f ca="1">Inputs!E13+(Inputs!G13-Inputs!E13)*BETAINV(RAND(),Model!J7,Model!K7)</f>
        <v>0.23126083112254109</v>
      </c>
      <c r="K836">
        <f ca="1">(Inputs!H13+(Inputs!J13-Inputs!H13)*BETAINV(RAND(),Model!L7,Model!M7))*Inputs!$C$6</f>
        <v>51089.518214431097</v>
      </c>
      <c r="L836">
        <f t="shared" ca="1" si="256"/>
        <v>0.22959283483569304</v>
      </c>
      <c r="M836">
        <f t="shared" ca="1" si="257"/>
        <v>0.79402881690381399</v>
      </c>
      <c r="N836">
        <f t="shared" ca="1" si="258"/>
        <v>0</v>
      </c>
      <c r="O836" s="47">
        <f t="shared" ca="1" si="259"/>
        <v>0</v>
      </c>
      <c r="P836">
        <f ca="1">Inputs!B14+(Inputs!D14-Inputs!B14)*BETAINV(RAND(),Model!H8,Model!I8)</f>
        <v>0.31743883744166335</v>
      </c>
      <c r="Q836">
        <f ca="1">Inputs!E14+(Inputs!G14-Inputs!E14)*BETAINV(RAND(),Model!J8,Model!K8)</f>
        <v>0.64986840910841037</v>
      </c>
      <c r="R836">
        <f ca="1">(Inputs!H14+(Inputs!J14-Inputs!H14)*BETAINV(RAND(),Model!L8,Model!M8))*Inputs!$C$6</f>
        <v>510888.37971671246</v>
      </c>
      <c r="S836">
        <f t="shared" ca="1" si="260"/>
        <v>0.20629347227743705</v>
      </c>
      <c r="T836">
        <f t="shared" ca="1" si="261"/>
        <v>0.73520362625592406</v>
      </c>
      <c r="U836">
        <f t="shared" ca="1" si="262"/>
        <v>0</v>
      </c>
      <c r="V836" s="47">
        <f t="shared" ca="1" si="263"/>
        <v>0</v>
      </c>
      <c r="W836">
        <f ca="1">Inputs!B15+(Inputs!D15-Inputs!B15)*BETAINV(RAND(),Model!H9,Model!I9)</f>
        <v>1.1929338791750181</v>
      </c>
      <c r="X836">
        <f ca="1">Inputs!E15+(Inputs!G15-Inputs!E15)*BETAINV(RAND(),Model!J9,Model!K9)</f>
        <v>0.36466431698723045</v>
      </c>
      <c r="Y836">
        <f ca="1">(Inputs!H15+(Inputs!J15-Inputs!H15)*BETAINV(RAND(),Model!L9,Model!M9))*Inputs!$C$6</f>
        <v>61031.548853556509</v>
      </c>
      <c r="Z836">
        <f t="shared" ca="1" si="264"/>
        <v>0.43502041826028531</v>
      </c>
      <c r="AA836">
        <f t="shared" ca="1" si="265"/>
        <v>0.52953575741529546</v>
      </c>
      <c r="AB836">
        <f t="shared" ca="1" si="266"/>
        <v>0</v>
      </c>
      <c r="AC836" s="47">
        <f t="shared" ca="1" si="267"/>
        <v>0</v>
      </c>
      <c r="AD836">
        <f ca="1">Inputs!B16+(Inputs!D16-Inputs!B16)*BETAINV(RAND(),Model!H10,Model!I10)</f>
        <v>0.95077812722523158</v>
      </c>
      <c r="AE836">
        <f ca="1">Inputs!E16+(Inputs!G16-Inputs!E16)*BETAINV(RAND(),Model!J10,Model!K10)</f>
        <v>0.68328696806338285</v>
      </c>
      <c r="AF836">
        <f ca="1">(Inputs!H16+(Inputs!J16-Inputs!H16)*BETAINV(RAND(),Model!L10,Model!M10))*Inputs!$C$6</f>
        <v>50541.947493628519</v>
      </c>
      <c r="AG836">
        <f t="shared" ca="1" si="268"/>
        <v>0.64965430385270972</v>
      </c>
      <c r="AH836">
        <f t="shared" ca="1" si="269"/>
        <v>0.90418297172194217</v>
      </c>
      <c r="AI836">
        <f t="shared" ca="1" si="270"/>
        <v>2</v>
      </c>
      <c r="AJ836" s="47">
        <f t="shared" ca="1" si="271"/>
        <v>101083.89498725704</v>
      </c>
      <c r="AK836">
        <f t="shared" ca="1" si="272"/>
        <v>137060.45298700413</v>
      </c>
    </row>
    <row r="837" spans="2:37" x14ac:dyDescent="0.2">
      <c r="B837">
        <f ca="1">Inputs!B12+(Inputs!D12-Inputs!B12)*BETAINV(RAND(),Model!H6,Model!I6)</f>
        <v>1.7749418173944962</v>
      </c>
      <c r="C837">
        <f ca="1">Inputs!E12+(Inputs!G12-Inputs!E12)*BETAINV(RAND(),Model!J6,Model!K6)</f>
        <v>0.22377036821763113</v>
      </c>
      <c r="D837">
        <f ca="1">(Inputs!H12+(Inputs!J12-Inputs!H12)*BETAINV(RAND(),Model!L6,Model!M6))*Inputs!$C$6</f>
        <v>29140.32668942161</v>
      </c>
      <c r="E837">
        <f t="shared" ca="1" si="252"/>
        <v>0.39717938404323783</v>
      </c>
      <c r="F837">
        <f t="shared" ca="1" si="253"/>
        <v>0.23661253326672327</v>
      </c>
      <c r="G837">
        <f t="shared" ca="1" si="254"/>
        <v>0</v>
      </c>
      <c r="H837" s="47">
        <f t="shared" ca="1" si="255"/>
        <v>0</v>
      </c>
      <c r="I837">
        <f ca="1">Inputs!B13+(Inputs!D13-Inputs!B13)*BETAINV(RAND(),Model!H7,Model!I7)</f>
        <v>1.9093335372315694</v>
      </c>
      <c r="J837">
        <f ca="1">Inputs!E13+(Inputs!G13-Inputs!E13)*BETAINV(RAND(),Model!J7,Model!K7)</f>
        <v>0.20004628107331623</v>
      </c>
      <c r="K837">
        <f ca="1">(Inputs!H13+(Inputs!J13-Inputs!H13)*BETAINV(RAND(),Model!L7,Model!M7))*Inputs!$C$6</f>
        <v>36710.552575822665</v>
      </c>
      <c r="L837">
        <f t="shared" ca="1" si="256"/>
        <v>0.38195507345173563</v>
      </c>
      <c r="M837">
        <f t="shared" ca="1" si="257"/>
        <v>0.96988901918551118</v>
      </c>
      <c r="N837">
        <f t="shared" ca="1" si="258"/>
        <v>2</v>
      </c>
      <c r="O837" s="47">
        <f t="shared" ca="1" si="259"/>
        <v>73421.10515164533</v>
      </c>
      <c r="P837">
        <f ca="1">Inputs!B14+(Inputs!D14-Inputs!B14)*BETAINV(RAND(),Model!H8,Model!I8)</f>
        <v>0.35131510264374866</v>
      </c>
      <c r="Q837">
        <f ca="1">Inputs!E14+(Inputs!G14-Inputs!E14)*BETAINV(RAND(),Model!J8,Model!K8)</f>
        <v>0.64132074394837235</v>
      </c>
      <c r="R837">
        <f ca="1">(Inputs!H14+(Inputs!J14-Inputs!H14)*BETAINV(RAND(),Model!L8,Model!M8))*Inputs!$C$6</f>
        <v>321515.55860684562</v>
      </c>
      <c r="S837">
        <f t="shared" ca="1" si="260"/>
        <v>0.22530566298778767</v>
      </c>
      <c r="T837">
        <f t="shared" ca="1" si="261"/>
        <v>0.64479848797429939</v>
      </c>
      <c r="U837">
        <f t="shared" ca="1" si="262"/>
        <v>0</v>
      </c>
      <c r="V837" s="47">
        <f t="shared" ca="1" si="263"/>
        <v>0</v>
      </c>
      <c r="W837">
        <f ca="1">Inputs!B15+(Inputs!D15-Inputs!B15)*BETAINV(RAND(),Model!H9,Model!I9)</f>
        <v>0.6970362203744217</v>
      </c>
      <c r="X837">
        <f ca="1">Inputs!E15+(Inputs!G15-Inputs!E15)*BETAINV(RAND(),Model!J9,Model!K9)</f>
        <v>0.35975507255181138</v>
      </c>
      <c r="Y837">
        <f ca="1">(Inputs!H15+(Inputs!J15-Inputs!H15)*BETAINV(RAND(),Model!L9,Model!M9))*Inputs!$C$6</f>
        <v>20000.920647167357</v>
      </c>
      <c r="Z837">
        <f t="shared" ca="1" si="264"/>
        <v>0.25076231603204047</v>
      </c>
      <c r="AA837">
        <f t="shared" ca="1" si="265"/>
        <v>0.54971992077517229</v>
      </c>
      <c r="AB837">
        <f t="shared" ca="1" si="266"/>
        <v>0</v>
      </c>
      <c r="AC837" s="47">
        <f t="shared" ca="1" si="267"/>
        <v>0</v>
      </c>
      <c r="AD837">
        <f ca="1">Inputs!B16+(Inputs!D16-Inputs!B16)*BETAINV(RAND(),Model!H10,Model!I10)</f>
        <v>0.65047741803480841</v>
      </c>
      <c r="AE837">
        <f ca="1">Inputs!E16+(Inputs!G16-Inputs!E16)*BETAINV(RAND(),Model!J10,Model!K10)</f>
        <v>0.70424988112986364</v>
      </c>
      <c r="AF837">
        <f ca="1">(Inputs!H16+(Inputs!J16-Inputs!H16)*BETAINV(RAND(),Model!L10,Model!M10))*Inputs!$C$6</f>
        <v>74991.231057363431</v>
      </c>
      <c r="AG837">
        <f t="shared" ca="1" si="268"/>
        <v>0.45809864432867442</v>
      </c>
      <c r="AH837">
        <f t="shared" ca="1" si="269"/>
        <v>0.12382317597196679</v>
      </c>
      <c r="AI837">
        <f t="shared" ca="1" si="270"/>
        <v>0</v>
      </c>
      <c r="AJ837" s="47">
        <f t="shared" ca="1" si="271"/>
        <v>0</v>
      </c>
      <c r="AK837">
        <f t="shared" ca="1" si="272"/>
        <v>73421.10515164533</v>
      </c>
    </row>
    <row r="838" spans="2:37" x14ac:dyDescent="0.2">
      <c r="B838">
        <f ca="1">Inputs!B12+(Inputs!D12-Inputs!B12)*BETAINV(RAND(),Model!H6,Model!I6)</f>
        <v>3.7570824572808501</v>
      </c>
      <c r="C838">
        <f ca="1">Inputs!E12+(Inputs!G12-Inputs!E12)*BETAINV(RAND(),Model!J6,Model!K6)</f>
        <v>0.4457467816315025</v>
      </c>
      <c r="D838">
        <f ca="1">(Inputs!H12+(Inputs!J12-Inputs!H12)*BETAINV(RAND(),Model!L6,Model!M6))*Inputs!$C$6</f>
        <v>16978.03837273625</v>
      </c>
      <c r="E838">
        <f t="shared" ca="1" si="252"/>
        <v>1.6747074136571158</v>
      </c>
      <c r="F838">
        <f t="shared" ca="1" si="253"/>
        <v>0.80972066676755927</v>
      </c>
      <c r="G838">
        <f t="shared" ca="1" si="254"/>
        <v>3</v>
      </c>
      <c r="H838" s="47">
        <f t="shared" ca="1" si="255"/>
        <v>50934.115118208749</v>
      </c>
      <c r="I838">
        <f ca="1">Inputs!B13+(Inputs!D13-Inputs!B13)*BETAINV(RAND(),Model!H7,Model!I7)</f>
        <v>1.4828577842319199</v>
      </c>
      <c r="J838">
        <f ca="1">Inputs!E13+(Inputs!G13-Inputs!E13)*BETAINV(RAND(),Model!J7,Model!K7)</f>
        <v>0.39463047590260891</v>
      </c>
      <c r="K838">
        <f ca="1">(Inputs!H13+(Inputs!J13-Inputs!H13)*BETAINV(RAND(),Model!L7,Model!M7))*Inputs!$C$6</f>
        <v>27821.052738703776</v>
      </c>
      <c r="L838">
        <f t="shared" ca="1" si="256"/>
        <v>0.58518087308733069</v>
      </c>
      <c r="M838">
        <f t="shared" ca="1" si="257"/>
        <v>0.82704756488786468</v>
      </c>
      <c r="N838">
        <f t="shared" ca="1" si="258"/>
        <v>1</v>
      </c>
      <c r="O838" s="47">
        <f t="shared" ca="1" si="259"/>
        <v>27821.052738703776</v>
      </c>
      <c r="P838">
        <f ca="1">Inputs!B14+(Inputs!D14-Inputs!B14)*BETAINV(RAND(),Model!H8,Model!I8)</f>
        <v>0.42239041453046222</v>
      </c>
      <c r="Q838">
        <f ca="1">Inputs!E14+(Inputs!G14-Inputs!E14)*BETAINV(RAND(),Model!J8,Model!K8)</f>
        <v>0.75856241981462391</v>
      </c>
      <c r="R838">
        <f ca="1">(Inputs!H14+(Inputs!J14-Inputs!H14)*BETAINV(RAND(),Model!L8,Model!M8))*Inputs!$C$6</f>
        <v>373114.17134557979</v>
      </c>
      <c r="S838">
        <f t="shared" ca="1" si="260"/>
        <v>0.32040949495272952</v>
      </c>
      <c r="T838">
        <f t="shared" ca="1" si="261"/>
        <v>0.87523578588466067</v>
      </c>
      <c r="U838">
        <f t="shared" ca="1" si="262"/>
        <v>1</v>
      </c>
      <c r="V838" s="47">
        <f t="shared" ca="1" si="263"/>
        <v>373114.17134557979</v>
      </c>
      <c r="W838">
        <f ca="1">Inputs!B15+(Inputs!D15-Inputs!B15)*BETAINV(RAND(),Model!H9,Model!I9)</f>
        <v>0.56605935179028966</v>
      </c>
      <c r="X838">
        <f ca="1">Inputs!E15+(Inputs!G15-Inputs!E15)*BETAINV(RAND(),Model!J9,Model!K9)</f>
        <v>0.58445553053905785</v>
      </c>
      <c r="Y838">
        <f ca="1">(Inputs!H15+(Inputs!J15-Inputs!H15)*BETAINV(RAND(),Model!L9,Model!M9))*Inputs!$C$6</f>
        <v>45538.607688016986</v>
      </c>
      <c r="Z838">
        <f t="shared" ca="1" si="264"/>
        <v>0.33083651876718895</v>
      </c>
      <c r="AA838">
        <f t="shared" ca="1" si="265"/>
        <v>0.2718251990960493</v>
      </c>
      <c r="AB838">
        <f t="shared" ca="1" si="266"/>
        <v>0</v>
      </c>
      <c r="AC838" s="47">
        <f t="shared" ca="1" si="267"/>
        <v>0</v>
      </c>
      <c r="AD838">
        <f ca="1">Inputs!B16+(Inputs!D16-Inputs!B16)*BETAINV(RAND(),Model!H10,Model!I10)</f>
        <v>0.6302838309154184</v>
      </c>
      <c r="AE838">
        <f ca="1">Inputs!E16+(Inputs!G16-Inputs!E16)*BETAINV(RAND(),Model!J10,Model!K10)</f>
        <v>0.67642953002708539</v>
      </c>
      <c r="AF838">
        <f ca="1">(Inputs!H16+(Inputs!J16-Inputs!H16)*BETAINV(RAND(),Model!L10,Model!M10))*Inputs!$C$6</f>
        <v>54727.667043841815</v>
      </c>
      <c r="AG838">
        <f t="shared" ca="1" si="268"/>
        <v>0.42634259552978743</v>
      </c>
      <c r="AH838">
        <f t="shared" ca="1" si="269"/>
        <v>0.29150742071137947</v>
      </c>
      <c r="AI838">
        <f t="shared" ca="1" si="270"/>
        <v>0</v>
      </c>
      <c r="AJ838" s="47">
        <f t="shared" ca="1" si="271"/>
        <v>0</v>
      </c>
      <c r="AK838">
        <f t="shared" ca="1" si="272"/>
        <v>451869.33920249232</v>
      </c>
    </row>
    <row r="839" spans="2:37" x14ac:dyDescent="0.2">
      <c r="B839">
        <f ca="1">Inputs!B12+(Inputs!D12-Inputs!B12)*BETAINV(RAND(),Model!H6,Model!I6)</f>
        <v>4.8420542550052446</v>
      </c>
      <c r="C839">
        <f ca="1">Inputs!E12+(Inputs!G12-Inputs!E12)*BETAINV(RAND(),Model!J6,Model!K6)</f>
        <v>0.31013791868074042</v>
      </c>
      <c r="D839">
        <f ca="1">(Inputs!H12+(Inputs!J12-Inputs!H12)*BETAINV(RAND(),Model!L6,Model!M6))*Inputs!$C$6</f>
        <v>32703.648336746744</v>
      </c>
      <c r="E839">
        <f t="shared" ca="1" si="252"/>
        <v>1.5017046287865496</v>
      </c>
      <c r="F839">
        <f t="shared" ca="1" si="253"/>
        <v>0.91474064655038712</v>
      </c>
      <c r="G839">
        <f t="shared" ca="1" si="254"/>
        <v>3</v>
      </c>
      <c r="H839" s="47">
        <f t="shared" ca="1" si="255"/>
        <v>98110.945010240233</v>
      </c>
      <c r="I839">
        <f ca="1">Inputs!B13+(Inputs!D13-Inputs!B13)*BETAINV(RAND(),Model!H7,Model!I7)</f>
        <v>2.8029365643160293</v>
      </c>
      <c r="J839">
        <f ca="1">Inputs!E13+(Inputs!G13-Inputs!E13)*BETAINV(RAND(),Model!J7,Model!K7)</f>
        <v>0.37039632720459137</v>
      </c>
      <c r="K839">
        <f ca="1">(Inputs!H13+(Inputs!J13-Inputs!H13)*BETAINV(RAND(),Model!L7,Model!M7))*Inputs!$C$6</f>
        <v>38934.77367126217</v>
      </c>
      <c r="L839">
        <f t="shared" ca="1" si="256"/>
        <v>1.0381974088101131</v>
      </c>
      <c r="M839">
        <f t="shared" ca="1" si="257"/>
        <v>9.2610183483087249E-3</v>
      </c>
      <c r="N839">
        <f t="shared" ca="1" si="258"/>
        <v>0</v>
      </c>
      <c r="O839" s="47">
        <f t="shared" ca="1" si="259"/>
        <v>0</v>
      </c>
      <c r="P839">
        <f ca="1">Inputs!B14+(Inputs!D14-Inputs!B14)*BETAINV(RAND(),Model!H8,Model!I8)</f>
        <v>0.38125123650427584</v>
      </c>
      <c r="Q839">
        <f ca="1">Inputs!E14+(Inputs!G14-Inputs!E14)*BETAINV(RAND(),Model!J8,Model!K8)</f>
        <v>0.52801406876865487</v>
      </c>
      <c r="R839">
        <f ca="1">(Inputs!H14+(Inputs!J14-Inputs!H14)*BETAINV(RAND(),Model!L8,Model!M8))*Inputs!$C$6</f>
        <v>285319.33194792731</v>
      </c>
      <c r="S839">
        <f t="shared" ca="1" si="260"/>
        <v>0.2013060166097034</v>
      </c>
      <c r="T839">
        <f t="shared" ca="1" si="261"/>
        <v>0.53989207218893764</v>
      </c>
      <c r="U839">
        <f t="shared" ca="1" si="262"/>
        <v>0</v>
      </c>
      <c r="V839" s="47">
        <f t="shared" ca="1" si="263"/>
        <v>0</v>
      </c>
      <c r="W839">
        <f ca="1">Inputs!B15+(Inputs!D15-Inputs!B15)*BETAINV(RAND(),Model!H9,Model!I9)</f>
        <v>0.69260353766433858</v>
      </c>
      <c r="X839">
        <f ca="1">Inputs!E15+(Inputs!G15-Inputs!E15)*BETAINV(RAND(),Model!J9,Model!K9)</f>
        <v>0.49082109679352337</v>
      </c>
      <c r="Y839">
        <f ca="1">(Inputs!H15+(Inputs!J15-Inputs!H15)*BETAINV(RAND(),Model!L9,Model!M9))*Inputs!$C$6</f>
        <v>43012.438697819627</v>
      </c>
      <c r="Z839">
        <f t="shared" ca="1" si="264"/>
        <v>0.33994442799948504</v>
      </c>
      <c r="AA839">
        <f t="shared" ca="1" si="265"/>
        <v>8.816458538103078E-2</v>
      </c>
      <c r="AB839">
        <f t="shared" ca="1" si="266"/>
        <v>0</v>
      </c>
      <c r="AC839" s="47">
        <f t="shared" ca="1" si="267"/>
        <v>0</v>
      </c>
      <c r="AD839">
        <f ca="1">Inputs!B16+(Inputs!D16-Inputs!B16)*BETAINV(RAND(),Model!H10,Model!I10)</f>
        <v>0.8194286125003436</v>
      </c>
      <c r="AE839">
        <f ca="1">Inputs!E16+(Inputs!G16-Inputs!E16)*BETAINV(RAND(),Model!J10,Model!K10)</f>
        <v>0.50472114328984374</v>
      </c>
      <c r="AF839">
        <f ca="1">(Inputs!H16+(Inputs!J16-Inputs!H16)*BETAINV(RAND(),Model!L10,Model!M10))*Inputs!$C$6</f>
        <v>135854.14578725808</v>
      </c>
      <c r="AG839">
        <f t="shared" ca="1" si="268"/>
        <v>0.41358294614558377</v>
      </c>
      <c r="AH839">
        <f t="shared" ca="1" si="269"/>
        <v>0.40576144029352257</v>
      </c>
      <c r="AI839">
        <f t="shared" ca="1" si="270"/>
        <v>0</v>
      </c>
      <c r="AJ839" s="47">
        <f t="shared" ca="1" si="271"/>
        <v>0</v>
      </c>
      <c r="AK839">
        <f t="shared" ca="1" si="272"/>
        <v>98110.945010240233</v>
      </c>
    </row>
    <row r="840" spans="2:37" x14ac:dyDescent="0.2">
      <c r="B840">
        <f ca="1">Inputs!B12+(Inputs!D12-Inputs!B12)*BETAINV(RAND(),Model!H6,Model!I6)</f>
        <v>3.8044936779784675</v>
      </c>
      <c r="C840">
        <f ca="1">Inputs!E12+(Inputs!G12-Inputs!E12)*BETAINV(RAND(),Model!J6,Model!K6)</f>
        <v>0.25969805243599159</v>
      </c>
      <c r="D840">
        <f ca="1">(Inputs!H12+(Inputs!J12-Inputs!H12)*BETAINV(RAND(),Model!L6,Model!M6))*Inputs!$C$6</f>
        <v>25015.348647708626</v>
      </c>
      <c r="E840">
        <f t="shared" ca="1" si="252"/>
        <v>0.9880195986760506</v>
      </c>
      <c r="F840">
        <f t="shared" ca="1" si="253"/>
        <v>0.8050925886713115</v>
      </c>
      <c r="G840">
        <f t="shared" ca="1" si="254"/>
        <v>2</v>
      </c>
      <c r="H840" s="47">
        <f t="shared" ca="1" si="255"/>
        <v>50030.697295417252</v>
      </c>
      <c r="I840">
        <f ca="1">Inputs!B13+(Inputs!D13-Inputs!B13)*BETAINV(RAND(),Model!H7,Model!I7)</f>
        <v>1.7575554306647683</v>
      </c>
      <c r="J840">
        <f ca="1">Inputs!E13+(Inputs!G13-Inputs!E13)*BETAINV(RAND(),Model!J7,Model!K7)</f>
        <v>0.19668957263836404</v>
      </c>
      <c r="K840">
        <f ca="1">(Inputs!H13+(Inputs!J13-Inputs!H13)*BETAINV(RAND(),Model!L7,Model!M7))*Inputs!$C$6</f>
        <v>26806.653772225822</v>
      </c>
      <c r="L840">
        <f t="shared" ca="1" si="256"/>
        <v>0.34569282654568911</v>
      </c>
      <c r="M840">
        <f t="shared" ca="1" si="257"/>
        <v>4.3209010508243662E-2</v>
      </c>
      <c r="N840">
        <f t="shared" ca="1" si="258"/>
        <v>0</v>
      </c>
      <c r="O840" s="47">
        <f t="shared" ca="1" si="259"/>
        <v>0</v>
      </c>
      <c r="P840">
        <f ca="1">Inputs!B14+(Inputs!D14-Inputs!B14)*BETAINV(RAND(),Model!H8,Model!I8)</f>
        <v>0.3590200663154266</v>
      </c>
      <c r="Q840">
        <f ca="1">Inputs!E14+(Inputs!G14-Inputs!E14)*BETAINV(RAND(),Model!J8,Model!K8)</f>
        <v>0.71665246484853662</v>
      </c>
      <c r="R840">
        <f ca="1">(Inputs!H14+(Inputs!J14-Inputs!H14)*BETAINV(RAND(),Model!L8,Model!M8))*Inputs!$C$6</f>
        <v>340847.87889310025</v>
      </c>
      <c r="S840">
        <f t="shared" ca="1" si="260"/>
        <v>0.25729261545503557</v>
      </c>
      <c r="T840">
        <f t="shared" ca="1" si="261"/>
        <v>0.5087045784368901</v>
      </c>
      <c r="U840">
        <f t="shared" ca="1" si="262"/>
        <v>0</v>
      </c>
      <c r="V840" s="47">
        <f t="shared" ca="1" si="263"/>
        <v>0</v>
      </c>
      <c r="W840">
        <f ca="1">Inputs!B15+(Inputs!D15-Inputs!B15)*BETAINV(RAND(),Model!H9,Model!I9)</f>
        <v>0.91419488432545748</v>
      </c>
      <c r="X840">
        <f ca="1">Inputs!E15+(Inputs!G15-Inputs!E15)*BETAINV(RAND(),Model!J9,Model!K9)</f>
        <v>0.55965847788109391</v>
      </c>
      <c r="Y840">
        <f ca="1">(Inputs!H15+(Inputs!J15-Inputs!H15)*BETAINV(RAND(),Model!L9,Model!M9))*Inputs!$C$6</f>
        <v>43100.94518810742</v>
      </c>
      <c r="Z840">
        <f t="shared" ca="1" si="264"/>
        <v>0.51163691744826822</v>
      </c>
      <c r="AA840">
        <f t="shared" ca="1" si="265"/>
        <v>1.4532315098390036E-3</v>
      </c>
      <c r="AB840">
        <f t="shared" ca="1" si="266"/>
        <v>0</v>
      </c>
      <c r="AC840" s="47">
        <f t="shared" ca="1" si="267"/>
        <v>0</v>
      </c>
      <c r="AD840">
        <f ca="1">Inputs!B16+(Inputs!D16-Inputs!B16)*BETAINV(RAND(),Model!H10,Model!I10)</f>
        <v>0.55076740687995807</v>
      </c>
      <c r="AE840">
        <f ca="1">Inputs!E16+(Inputs!G16-Inputs!E16)*BETAINV(RAND(),Model!J10,Model!K10)</f>
        <v>0.60787241239084044</v>
      </c>
      <c r="AF840">
        <f ca="1">(Inputs!H16+(Inputs!J16-Inputs!H16)*BETAINV(RAND(),Model!L10,Model!M10))*Inputs!$C$6</f>
        <v>38779.03453698683</v>
      </c>
      <c r="AG840">
        <f t="shared" ca="1" si="268"/>
        <v>0.33479631228636769</v>
      </c>
      <c r="AH840">
        <f t="shared" ca="1" si="269"/>
        <v>0.57603021922417452</v>
      </c>
      <c r="AI840">
        <f t="shared" ca="1" si="270"/>
        <v>0</v>
      </c>
      <c r="AJ840" s="47">
        <f t="shared" ca="1" si="271"/>
        <v>0</v>
      </c>
      <c r="AK840">
        <f t="shared" ca="1" si="272"/>
        <v>50030.697295417252</v>
      </c>
    </row>
    <row r="841" spans="2:37" x14ac:dyDescent="0.2">
      <c r="B841">
        <f ca="1">Inputs!B12+(Inputs!D12-Inputs!B12)*BETAINV(RAND(),Model!H6,Model!I6)</f>
        <v>4.2153020565698895</v>
      </c>
      <c r="C841">
        <f ca="1">Inputs!E12+(Inputs!G12-Inputs!E12)*BETAINV(RAND(),Model!J6,Model!K6)</f>
        <v>0.35106766733327133</v>
      </c>
      <c r="D841">
        <f ca="1">(Inputs!H12+(Inputs!J12-Inputs!H12)*BETAINV(RAND(),Model!L6,Model!M6))*Inputs!$C$6</f>
        <v>30329.098251957777</v>
      </c>
      <c r="E841">
        <f t="shared" ca="1" si="252"/>
        <v>1.4798562601051324</v>
      </c>
      <c r="F841">
        <f t="shared" ca="1" si="253"/>
        <v>0.58023620642931628</v>
      </c>
      <c r="G841">
        <f t="shared" ca="1" si="254"/>
        <v>2</v>
      </c>
      <c r="H841" s="47">
        <f t="shared" ca="1" si="255"/>
        <v>60658.196503915555</v>
      </c>
      <c r="I841">
        <f ca="1">Inputs!B13+(Inputs!D13-Inputs!B13)*BETAINV(RAND(),Model!H7,Model!I7)</f>
        <v>1.8345311677798382</v>
      </c>
      <c r="J841">
        <f ca="1">Inputs!E13+(Inputs!G13-Inputs!E13)*BETAINV(RAND(),Model!J7,Model!K7)</f>
        <v>0.26015083593885324</v>
      </c>
      <c r="K841">
        <f ca="1">(Inputs!H13+(Inputs!J13-Inputs!H13)*BETAINV(RAND(),Model!L7,Model!M7))*Inputs!$C$6</f>
        <v>22397.271229462305</v>
      </c>
      <c r="L841">
        <f t="shared" ca="1" si="256"/>
        <v>0.47725481685380555</v>
      </c>
      <c r="M841">
        <f t="shared" ca="1" si="257"/>
        <v>0.25268747185947138</v>
      </c>
      <c r="N841">
        <f t="shared" ca="1" si="258"/>
        <v>0</v>
      </c>
      <c r="O841" s="47">
        <f t="shared" ca="1" si="259"/>
        <v>0</v>
      </c>
      <c r="P841">
        <f ca="1">Inputs!B14+(Inputs!D14-Inputs!B14)*BETAINV(RAND(),Model!H8,Model!I8)</f>
        <v>0.45279094187101065</v>
      </c>
      <c r="Q841">
        <f ca="1">Inputs!E14+(Inputs!G14-Inputs!E14)*BETAINV(RAND(),Model!J8,Model!K8)</f>
        <v>0.61011636504166722</v>
      </c>
      <c r="R841">
        <f ca="1">(Inputs!H14+(Inputs!J14-Inputs!H14)*BETAINV(RAND(),Model!L8,Model!M8))*Inputs!$C$6</f>
        <v>457477.91188351909</v>
      </c>
      <c r="S841">
        <f t="shared" ca="1" si="260"/>
        <v>0.27625516357813384</v>
      </c>
      <c r="T841">
        <f t="shared" ca="1" si="261"/>
        <v>0.13472865070073814</v>
      </c>
      <c r="U841">
        <f t="shared" ca="1" si="262"/>
        <v>0</v>
      </c>
      <c r="V841" s="47">
        <f t="shared" ca="1" si="263"/>
        <v>0</v>
      </c>
      <c r="W841">
        <f ca="1">Inputs!B15+(Inputs!D15-Inputs!B15)*BETAINV(RAND(),Model!H9,Model!I9)</f>
        <v>0.69067302505632244</v>
      </c>
      <c r="X841">
        <f ca="1">Inputs!E15+(Inputs!G15-Inputs!E15)*BETAINV(RAND(),Model!J9,Model!K9)</f>
        <v>0.42396436633429935</v>
      </c>
      <c r="Y841">
        <f ca="1">(Inputs!H15+(Inputs!J15-Inputs!H15)*BETAINV(RAND(),Model!L9,Model!M9))*Inputs!$C$6</f>
        <v>40342.890955634954</v>
      </c>
      <c r="Z841">
        <f t="shared" ca="1" si="264"/>
        <v>0.29282075141219738</v>
      </c>
      <c r="AA841">
        <f t="shared" ca="1" si="265"/>
        <v>1.8658837352056423E-2</v>
      </c>
      <c r="AB841">
        <f t="shared" ca="1" si="266"/>
        <v>0</v>
      </c>
      <c r="AC841" s="47">
        <f t="shared" ca="1" si="267"/>
        <v>0</v>
      </c>
      <c r="AD841">
        <f ca="1">Inputs!B16+(Inputs!D16-Inputs!B16)*BETAINV(RAND(),Model!H10,Model!I10)</f>
        <v>0.47638311022329455</v>
      </c>
      <c r="AE841">
        <f ca="1">Inputs!E16+(Inputs!G16-Inputs!E16)*BETAINV(RAND(),Model!J10,Model!K10)</f>
        <v>0.47230326942285317</v>
      </c>
      <c r="AF841">
        <f ca="1">(Inputs!H16+(Inputs!J16-Inputs!H16)*BETAINV(RAND(),Model!L10,Model!M10))*Inputs!$C$6</f>
        <v>63550.562056215662</v>
      </c>
      <c r="AG841">
        <f t="shared" ca="1" si="268"/>
        <v>0.22499730045628943</v>
      </c>
      <c r="AH841">
        <f t="shared" ca="1" si="269"/>
        <v>0.86716552949374903</v>
      </c>
      <c r="AI841">
        <f t="shared" ca="1" si="270"/>
        <v>1</v>
      </c>
      <c r="AJ841" s="47">
        <f t="shared" ca="1" si="271"/>
        <v>63550.562056215662</v>
      </c>
      <c r="AK841">
        <f t="shared" ca="1" si="272"/>
        <v>124208.75856013122</v>
      </c>
    </row>
    <row r="842" spans="2:37" x14ac:dyDescent="0.2">
      <c r="B842">
        <f ca="1">Inputs!B12+(Inputs!D12-Inputs!B12)*BETAINV(RAND(),Model!H6,Model!I6)</f>
        <v>3.9695106947378518</v>
      </c>
      <c r="C842">
        <f ca="1">Inputs!E12+(Inputs!G12-Inputs!E12)*BETAINV(RAND(),Model!J6,Model!K6)</f>
        <v>0.33183043029567172</v>
      </c>
      <c r="D842">
        <f ca="1">(Inputs!H12+(Inputs!J12-Inputs!H12)*BETAINV(RAND(),Model!L6,Model!M6))*Inputs!$C$6</f>
        <v>21792.26647093107</v>
      </c>
      <c r="E842">
        <f t="shared" ca="1" si="252"/>
        <v>1.3172044418981321</v>
      </c>
      <c r="F842">
        <f t="shared" ca="1" si="253"/>
        <v>0.88053228457373756</v>
      </c>
      <c r="G842">
        <f t="shared" ca="1" si="254"/>
        <v>3</v>
      </c>
      <c r="H842" s="47">
        <f t="shared" ca="1" si="255"/>
        <v>65376.799412793211</v>
      </c>
      <c r="I842">
        <f ca="1">Inputs!B13+(Inputs!D13-Inputs!B13)*BETAINV(RAND(),Model!H7,Model!I7)</f>
        <v>1.8147888381251129</v>
      </c>
      <c r="J842">
        <f ca="1">Inputs!E13+(Inputs!G13-Inputs!E13)*BETAINV(RAND(),Model!J7,Model!K7)</f>
        <v>0.17267058142376579</v>
      </c>
      <c r="K842">
        <f ca="1">(Inputs!H13+(Inputs!J13-Inputs!H13)*BETAINV(RAND(),Model!L7,Model!M7))*Inputs!$C$6</f>
        <v>55796.37880086372</v>
      </c>
      <c r="L842">
        <f t="shared" ca="1" si="256"/>
        <v>0.31336064384042361</v>
      </c>
      <c r="M842">
        <f t="shared" ca="1" si="257"/>
        <v>0.34129757802989424</v>
      </c>
      <c r="N842">
        <f t="shared" ca="1" si="258"/>
        <v>0</v>
      </c>
      <c r="O842" s="47">
        <f t="shared" ca="1" si="259"/>
        <v>0</v>
      </c>
      <c r="P842">
        <f ca="1">Inputs!B14+(Inputs!D14-Inputs!B14)*BETAINV(RAND(),Model!H8,Model!I8)</f>
        <v>0.26694735850337514</v>
      </c>
      <c r="Q842">
        <f ca="1">Inputs!E14+(Inputs!G14-Inputs!E14)*BETAINV(RAND(),Model!J8,Model!K8)</f>
        <v>0.40377525914714657</v>
      </c>
      <c r="R842">
        <f ca="1">(Inputs!H14+(Inputs!J14-Inputs!H14)*BETAINV(RAND(),Model!L8,Model!M8))*Inputs!$C$6</f>
        <v>194835.87540752609</v>
      </c>
      <c r="S842">
        <f t="shared" ca="1" si="260"/>
        <v>0.10778673885834654</v>
      </c>
      <c r="T842">
        <f t="shared" ca="1" si="261"/>
        <v>0.36156246516075197</v>
      </c>
      <c r="U842">
        <f t="shared" ca="1" si="262"/>
        <v>0</v>
      </c>
      <c r="V842" s="47">
        <f t="shared" ca="1" si="263"/>
        <v>0</v>
      </c>
      <c r="W842">
        <f ca="1">Inputs!B15+(Inputs!D15-Inputs!B15)*BETAINV(RAND(),Model!H9,Model!I9)</f>
        <v>1.4279982099160897</v>
      </c>
      <c r="X842">
        <f ca="1">Inputs!E15+(Inputs!G15-Inputs!E15)*BETAINV(RAND(),Model!J9,Model!K9)</f>
        <v>0.326434909065207</v>
      </c>
      <c r="Y842">
        <f ca="1">(Inputs!H15+(Inputs!J15-Inputs!H15)*BETAINV(RAND(),Model!L9,Model!M9))*Inputs!$C$6</f>
        <v>35021.365126713237</v>
      </c>
      <c r="Z842">
        <f t="shared" ca="1" si="264"/>
        <v>0.46614846579923713</v>
      </c>
      <c r="AA842">
        <f t="shared" ca="1" si="265"/>
        <v>0.37741606404596673</v>
      </c>
      <c r="AB842">
        <f t="shared" ca="1" si="266"/>
        <v>0</v>
      </c>
      <c r="AC842" s="47">
        <f t="shared" ca="1" si="267"/>
        <v>0</v>
      </c>
      <c r="AD842">
        <f ca="1">Inputs!B16+(Inputs!D16-Inputs!B16)*BETAINV(RAND(),Model!H10,Model!I10)</f>
        <v>0.55272068854825385</v>
      </c>
      <c r="AE842">
        <f ca="1">Inputs!E16+(Inputs!G16-Inputs!E16)*BETAINV(RAND(),Model!J10,Model!K10)</f>
        <v>0.6101786814835185</v>
      </c>
      <c r="AF842">
        <f ca="1">(Inputs!H16+(Inputs!J16-Inputs!H16)*BETAINV(RAND(),Model!L10,Model!M10))*Inputs!$C$6</f>
        <v>152417.81406998669</v>
      </c>
      <c r="AG842">
        <f t="shared" ca="1" si="268"/>
        <v>0.33725838096703603</v>
      </c>
      <c r="AH842">
        <f t="shared" ca="1" si="269"/>
        <v>0.500244851387594</v>
      </c>
      <c r="AI842">
        <f t="shared" ca="1" si="270"/>
        <v>0</v>
      </c>
      <c r="AJ842" s="47">
        <f t="shared" ca="1" si="271"/>
        <v>0</v>
      </c>
      <c r="AK842">
        <f t="shared" ca="1" si="272"/>
        <v>65376.799412793211</v>
      </c>
    </row>
    <row r="843" spans="2:37" x14ac:dyDescent="0.2">
      <c r="B843">
        <f ca="1">Inputs!B12+(Inputs!D12-Inputs!B12)*BETAINV(RAND(),Model!H6,Model!I6)</f>
        <v>1.8866651825541934</v>
      </c>
      <c r="C843">
        <f ca="1">Inputs!E12+(Inputs!G12-Inputs!E12)*BETAINV(RAND(),Model!J6,Model!K6)</f>
        <v>0.43009943607059298</v>
      </c>
      <c r="D843">
        <f ca="1">(Inputs!H12+(Inputs!J12-Inputs!H12)*BETAINV(RAND(),Model!L6,Model!M6))*Inputs!$C$6</f>
        <v>29596.366582007031</v>
      </c>
      <c r="E843">
        <f t="shared" ca="1" si="252"/>
        <v>0.81145363107058088</v>
      </c>
      <c r="F843">
        <f t="shared" ca="1" si="253"/>
        <v>0.97217250474833083</v>
      </c>
      <c r="G843">
        <f t="shared" ca="1" si="254"/>
        <v>3</v>
      </c>
      <c r="H843" s="47">
        <f t="shared" ca="1" si="255"/>
        <v>88789.099746021093</v>
      </c>
      <c r="I843">
        <f ca="1">Inputs!B13+(Inputs!D13-Inputs!B13)*BETAINV(RAND(),Model!H7,Model!I7)</f>
        <v>3.6878969486684614</v>
      </c>
      <c r="J843">
        <f ca="1">Inputs!E13+(Inputs!G13-Inputs!E13)*BETAINV(RAND(),Model!J7,Model!K7)</f>
        <v>0.30168577411530428</v>
      </c>
      <c r="K843">
        <f ca="1">(Inputs!H13+(Inputs!J13-Inputs!H13)*BETAINV(RAND(),Model!L7,Model!M7))*Inputs!$C$6</f>
        <v>14393.063003079333</v>
      </c>
      <c r="L843">
        <f t="shared" ca="1" si="256"/>
        <v>1.1125860458165133</v>
      </c>
      <c r="M843">
        <f t="shared" ca="1" si="257"/>
        <v>0.21236897045314007</v>
      </c>
      <c r="N843">
        <f t="shared" ca="1" si="258"/>
        <v>0</v>
      </c>
      <c r="O843" s="47">
        <f t="shared" ca="1" si="259"/>
        <v>0</v>
      </c>
      <c r="P843">
        <f ca="1">Inputs!B14+(Inputs!D14-Inputs!B14)*BETAINV(RAND(),Model!H8,Model!I8)</f>
        <v>0.12487948456841998</v>
      </c>
      <c r="Q843">
        <f ca="1">Inputs!E14+(Inputs!G14-Inputs!E14)*BETAINV(RAND(),Model!J8,Model!K8)</f>
        <v>0.48622224486611154</v>
      </c>
      <c r="R843">
        <f ca="1">(Inputs!H14+(Inputs!J14-Inputs!H14)*BETAINV(RAND(),Model!L8,Model!M8))*Inputs!$C$6</f>
        <v>440333.36940394819</v>
      </c>
      <c r="S843">
        <f t="shared" ca="1" si="260"/>
        <v>6.0719183324580095E-2</v>
      </c>
      <c r="T843">
        <f t="shared" ca="1" si="261"/>
        <v>0.93655874721324783</v>
      </c>
      <c r="U843">
        <f t="shared" ca="1" si="262"/>
        <v>0</v>
      </c>
      <c r="V843" s="47">
        <f t="shared" ca="1" si="263"/>
        <v>0</v>
      </c>
      <c r="W843">
        <f ca="1">Inputs!B15+(Inputs!D15-Inputs!B15)*BETAINV(RAND(),Model!H9,Model!I9)</f>
        <v>0.88933693267471137</v>
      </c>
      <c r="X843">
        <f ca="1">Inputs!E15+(Inputs!G15-Inputs!E15)*BETAINV(RAND(),Model!J9,Model!K9)</f>
        <v>0.40888113066963655</v>
      </c>
      <c r="Y843">
        <f ca="1">(Inputs!H15+(Inputs!J15-Inputs!H15)*BETAINV(RAND(),Model!L9,Model!M9))*Inputs!$C$6</f>
        <v>13946.206037245605</v>
      </c>
      <c r="Z843">
        <f t="shared" ca="1" si="264"/>
        <v>0.3636330905783024</v>
      </c>
      <c r="AA843">
        <f t="shared" ca="1" si="265"/>
        <v>0.20177301904361034</v>
      </c>
      <c r="AB843">
        <f t="shared" ca="1" si="266"/>
        <v>0</v>
      </c>
      <c r="AC843" s="47">
        <f t="shared" ca="1" si="267"/>
        <v>0</v>
      </c>
      <c r="AD843">
        <f ca="1">Inputs!B16+(Inputs!D16-Inputs!B16)*BETAINV(RAND(),Model!H10,Model!I10)</f>
        <v>0.56513366817944144</v>
      </c>
      <c r="AE843">
        <f ca="1">Inputs!E16+(Inputs!G16-Inputs!E16)*BETAINV(RAND(),Model!J10,Model!K10)</f>
        <v>0.61527367980444847</v>
      </c>
      <c r="AF843">
        <f ca="1">(Inputs!H16+(Inputs!J16-Inputs!H16)*BETAINV(RAND(),Model!L10,Model!M10))*Inputs!$C$6</f>
        <v>86199.903542060769</v>
      </c>
      <c r="AG843">
        <f t="shared" ca="1" si="268"/>
        <v>0.34771187160215106</v>
      </c>
      <c r="AH843">
        <f t="shared" ca="1" si="269"/>
        <v>0.25122711814445164</v>
      </c>
      <c r="AI843">
        <f t="shared" ca="1" si="270"/>
        <v>0</v>
      </c>
      <c r="AJ843" s="47">
        <f t="shared" ca="1" si="271"/>
        <v>0</v>
      </c>
      <c r="AK843">
        <f t="shared" ca="1" si="272"/>
        <v>88789.099746021093</v>
      </c>
    </row>
    <row r="844" spans="2:37" x14ac:dyDescent="0.2">
      <c r="B844">
        <f ca="1">Inputs!B12+(Inputs!D12-Inputs!B12)*BETAINV(RAND(),Model!H6,Model!I6)</f>
        <v>3.5889568234804212</v>
      </c>
      <c r="C844">
        <f ca="1">Inputs!E12+(Inputs!G12-Inputs!E12)*BETAINV(RAND(),Model!J6,Model!K6)</f>
        <v>0.36654128418438497</v>
      </c>
      <c r="D844">
        <f ca="1">(Inputs!H12+(Inputs!J12-Inputs!H12)*BETAINV(RAND(),Model!L6,Model!M6))*Inputs!$C$6</f>
        <v>18341.133972496802</v>
      </c>
      <c r="E844">
        <f t="shared" ref="E844:E907" ca="1" si="273">B844*C844</f>
        <v>1.3155008429608246</v>
      </c>
      <c r="F844">
        <f t="shared" ref="F844:F907" ca="1" si="274">RAND()</f>
        <v>0.45116331572045831</v>
      </c>
      <c r="G844">
        <f t="shared" ref="G844:G907" ca="1" si="275">IF(F844&lt;EXP(-E844),0,IF(F844&lt;EXP(-E844)*(1+E844),1,IF(F844&lt;EXP(-E844)*(1+E844+E844^2/2),2,IF(F844&lt;EXP(-E844)*(1+E844+E844^2/2+E844^3/6),3,4))))</f>
        <v>1</v>
      </c>
      <c r="H844" s="47">
        <f t="shared" ref="H844:H907" ca="1" si="276">G844*D844</f>
        <v>18341.133972496802</v>
      </c>
      <c r="I844">
        <f ca="1">Inputs!B13+(Inputs!D13-Inputs!B13)*BETAINV(RAND(),Model!H7,Model!I7)</f>
        <v>2.0818816211753197</v>
      </c>
      <c r="J844">
        <f ca="1">Inputs!E13+(Inputs!G13-Inputs!E13)*BETAINV(RAND(),Model!J7,Model!K7)</f>
        <v>0.22318810732613162</v>
      </c>
      <c r="K844">
        <f ca="1">(Inputs!H13+(Inputs!J13-Inputs!H13)*BETAINV(RAND(),Model!L7,Model!M7))*Inputs!$C$6</f>
        <v>21717.777362163812</v>
      </c>
      <c r="L844">
        <f t="shared" ref="L844:L907" ca="1" si="277">I844*J844</f>
        <v>0.46465121870717813</v>
      </c>
      <c r="M844">
        <f t="shared" ref="M844:M907" ca="1" si="278">RAND()</f>
        <v>0.23730323391082475</v>
      </c>
      <c r="N844">
        <f t="shared" ref="N844:N907" ca="1" si="279">IF(M844&lt;EXP(-L844),0,IF(M844&lt;EXP(-L844)*(1+L844),1,IF(M844&lt;EXP(-L844)*(1+L844+L844^2/2),2,IF(M844&lt;EXP(-L844)*(1+L844+L844^2/2+L844^3/6),3,4))))</f>
        <v>0</v>
      </c>
      <c r="O844" s="47">
        <f t="shared" ref="O844:O907" ca="1" si="280">N844*K844</f>
        <v>0</v>
      </c>
      <c r="P844">
        <f ca="1">Inputs!B14+(Inputs!D14-Inputs!B14)*BETAINV(RAND(),Model!H8,Model!I8)</f>
        <v>0.21885984963696306</v>
      </c>
      <c r="Q844">
        <f ca="1">Inputs!E14+(Inputs!G14-Inputs!E14)*BETAINV(RAND(),Model!J8,Model!K8)</f>
        <v>0.49734270970322048</v>
      </c>
      <c r="R844">
        <f ca="1">(Inputs!H14+(Inputs!J14-Inputs!H14)*BETAINV(RAND(),Model!L8,Model!M8))*Inputs!$C$6</f>
        <v>507229.73958126537</v>
      </c>
      <c r="S844">
        <f t="shared" ref="S844:S907" ca="1" si="281">P844*Q844</f>
        <v>0.1088483506636866</v>
      </c>
      <c r="T844">
        <f t="shared" ref="T844:T907" ca="1" si="282">RAND()</f>
        <v>2.2762076784109797E-2</v>
      </c>
      <c r="U844">
        <f t="shared" ref="U844:U907" ca="1" si="283">IF(T844&lt;EXP(-S844),0,IF(T844&lt;EXP(-S844)*(1+S844),1,IF(T844&lt;EXP(-S844)*(1+S844+S844^2/2),2,IF(T844&lt;EXP(-S844)*(1+S844+S844^2/2+S844^3/6),3,4))))</f>
        <v>0</v>
      </c>
      <c r="V844" s="47">
        <f t="shared" ref="V844:V907" ca="1" si="284">U844*R844</f>
        <v>0</v>
      </c>
      <c r="W844">
        <f ca="1">Inputs!B15+(Inputs!D15-Inputs!B15)*BETAINV(RAND(),Model!H9,Model!I9)</f>
        <v>1.5764471011767658</v>
      </c>
      <c r="X844">
        <f ca="1">Inputs!E15+(Inputs!G15-Inputs!E15)*BETAINV(RAND(),Model!J9,Model!K9)</f>
        <v>0.32416711113128704</v>
      </c>
      <c r="Y844">
        <f ca="1">(Inputs!H15+(Inputs!J15-Inputs!H15)*BETAINV(RAND(),Model!L9,Model!M9))*Inputs!$C$6</f>
        <v>10479.876834099947</v>
      </c>
      <c r="Z844">
        <f t="shared" ref="Z844:Z907" ca="1" si="285">W844*X844</f>
        <v>0.51103230263976396</v>
      </c>
      <c r="AA844">
        <f t="shared" ref="AA844:AA907" ca="1" si="286">RAND()</f>
        <v>0.82952382663495894</v>
      </c>
      <c r="AB844">
        <f t="shared" ref="AB844:AB907" ca="1" si="287">IF(AA844&lt;EXP(-Z844),0,IF(AA844&lt;EXP(-Z844)*(1+Z844),1,IF(AA844&lt;EXP(-Z844)*(1+Z844+Z844^2/2),2,IF(AA844&lt;EXP(-Z844)*(1+Z844+Z844^2/2+Z844^3/6),3,4))))</f>
        <v>1</v>
      </c>
      <c r="AC844" s="47">
        <f t="shared" ref="AC844:AC907" ca="1" si="288">AB844*Y844</f>
        <v>10479.876834099947</v>
      </c>
      <c r="AD844">
        <f ca="1">Inputs!B16+(Inputs!D16-Inputs!B16)*BETAINV(RAND(),Model!H10,Model!I10)</f>
        <v>0.90088571526980221</v>
      </c>
      <c r="AE844">
        <f ca="1">Inputs!E16+(Inputs!G16-Inputs!E16)*BETAINV(RAND(),Model!J10,Model!K10)</f>
        <v>0.58641341361462651</v>
      </c>
      <c r="AF844">
        <f ca="1">(Inputs!H16+(Inputs!J16-Inputs!H16)*BETAINV(RAND(),Model!L10,Model!M10))*Inputs!$C$6</f>
        <v>72319.358604007808</v>
      </c>
      <c r="AG844">
        <f t="shared" ref="AG844:AG907" ca="1" si="289">AD844*AE844</f>
        <v>0.52829146756801915</v>
      </c>
      <c r="AH844">
        <f t="shared" ref="AH844:AH907" ca="1" si="290">RAND()</f>
        <v>0.1787706890537718</v>
      </c>
      <c r="AI844">
        <f t="shared" ref="AI844:AI907" ca="1" si="291">IF(AH844&lt;EXP(-AG844),0,IF(AH844&lt;EXP(-AG844)*(1+AG844),1,IF(AH844&lt;EXP(-AG844)*(1+AG844+AG844^2/2),2,IF(AH844&lt;EXP(-AG844)*(1+AG844+AG844^2/2+AG844^3/6),3,4))))</f>
        <v>0</v>
      </c>
      <c r="AJ844" s="47">
        <f t="shared" ref="AJ844:AJ907" ca="1" si="292">AI844*AF844</f>
        <v>0</v>
      </c>
      <c r="AK844">
        <f t="shared" ref="AK844:AK907" ca="1" si="293">H844+O844+V844+AC844+AJ844</f>
        <v>28821.010806596751</v>
      </c>
    </row>
    <row r="845" spans="2:37" x14ac:dyDescent="0.2">
      <c r="B845">
        <f ca="1">Inputs!B12+(Inputs!D12-Inputs!B12)*BETAINV(RAND(),Model!H6,Model!I6)</f>
        <v>2.1333976055788018</v>
      </c>
      <c r="C845">
        <f ca="1">Inputs!E12+(Inputs!G12-Inputs!E12)*BETAINV(RAND(),Model!J6,Model!K6)</f>
        <v>0.34539520847636301</v>
      </c>
      <c r="D845">
        <f ca="1">(Inputs!H12+(Inputs!J12-Inputs!H12)*BETAINV(RAND(),Model!L6,Model!M6))*Inputs!$C$6</f>
        <v>16071.302678237014</v>
      </c>
      <c r="E845">
        <f t="shared" ca="1" si="273"/>
        <v>0.7368653107418639</v>
      </c>
      <c r="F845">
        <f t="shared" ca="1" si="274"/>
        <v>0.89246873176315722</v>
      </c>
      <c r="G845">
        <f t="shared" ca="1" si="275"/>
        <v>2</v>
      </c>
      <c r="H845" s="47">
        <f t="shared" ca="1" si="276"/>
        <v>32142.605356474029</v>
      </c>
      <c r="I845">
        <f ca="1">Inputs!B13+(Inputs!D13-Inputs!B13)*BETAINV(RAND(),Model!H7,Model!I7)</f>
        <v>1.8257177387188692</v>
      </c>
      <c r="J845">
        <f ca="1">Inputs!E13+(Inputs!G13-Inputs!E13)*BETAINV(RAND(),Model!J7,Model!K7)</f>
        <v>0.28480769319495935</v>
      </c>
      <c r="K845">
        <f ca="1">(Inputs!H13+(Inputs!J13-Inputs!H13)*BETAINV(RAND(),Model!L7,Model!M7))*Inputs!$C$6</f>
        <v>52016.598981567462</v>
      </c>
      <c r="L845">
        <f t="shared" ca="1" si="277"/>
        <v>0.51997845758963868</v>
      </c>
      <c r="M845">
        <f t="shared" ca="1" si="278"/>
        <v>0.48556117774172458</v>
      </c>
      <c r="N845">
        <f t="shared" ca="1" si="279"/>
        <v>0</v>
      </c>
      <c r="O845" s="47">
        <f t="shared" ca="1" si="280"/>
        <v>0</v>
      </c>
      <c r="P845">
        <f ca="1">Inputs!B14+(Inputs!D14-Inputs!B14)*BETAINV(RAND(),Model!H8,Model!I8)</f>
        <v>0.3331443525829566</v>
      </c>
      <c r="Q845">
        <f ca="1">Inputs!E14+(Inputs!G14-Inputs!E14)*BETAINV(RAND(),Model!J8,Model!K8)</f>
        <v>0.45170667227935934</v>
      </c>
      <c r="R845">
        <f ca="1">(Inputs!H14+(Inputs!J14-Inputs!H14)*BETAINV(RAND(),Model!L8,Model!M8))*Inputs!$C$6</f>
        <v>501477.85852856515</v>
      </c>
      <c r="S845">
        <f t="shared" ca="1" si="281"/>
        <v>0.15048352689390893</v>
      </c>
      <c r="T845">
        <f t="shared" ca="1" si="282"/>
        <v>0.14007407630637814</v>
      </c>
      <c r="U845">
        <f t="shared" ca="1" si="283"/>
        <v>0</v>
      </c>
      <c r="V845" s="47">
        <f t="shared" ca="1" si="284"/>
        <v>0</v>
      </c>
      <c r="W845">
        <f ca="1">Inputs!B15+(Inputs!D15-Inputs!B15)*BETAINV(RAND(),Model!H9,Model!I9)</f>
        <v>1.3888108170026408</v>
      </c>
      <c r="X845">
        <f ca="1">Inputs!E15+(Inputs!G15-Inputs!E15)*BETAINV(RAND(),Model!J9,Model!K9)</f>
        <v>0.30606540619589773</v>
      </c>
      <c r="Y845">
        <f ca="1">(Inputs!H15+(Inputs!J15-Inputs!H15)*BETAINV(RAND(),Model!L9,Model!M9))*Inputs!$C$6</f>
        <v>28906.969207101109</v>
      </c>
      <c r="Z845">
        <f t="shared" ca="1" si="285"/>
        <v>0.42506694683516982</v>
      </c>
      <c r="AA845">
        <f t="shared" ca="1" si="286"/>
        <v>0.17439088381061851</v>
      </c>
      <c r="AB845">
        <f t="shared" ca="1" si="287"/>
        <v>0</v>
      </c>
      <c r="AC845" s="47">
        <f t="shared" ca="1" si="288"/>
        <v>0</v>
      </c>
      <c r="AD845">
        <f ca="1">Inputs!B16+(Inputs!D16-Inputs!B16)*BETAINV(RAND(),Model!H10,Model!I10)</f>
        <v>0.82032197214518798</v>
      </c>
      <c r="AE845">
        <f ca="1">Inputs!E16+(Inputs!G16-Inputs!E16)*BETAINV(RAND(),Model!J10,Model!K10)</f>
        <v>0.74591933629373641</v>
      </c>
      <c r="AF845">
        <f ca="1">(Inputs!H16+(Inputs!J16-Inputs!H16)*BETAINV(RAND(),Model!L10,Model!M10))*Inputs!$C$6</f>
        <v>113316.58228399958</v>
      </c>
      <c r="AG845">
        <f t="shared" ca="1" si="289"/>
        <v>0.61189402100970758</v>
      </c>
      <c r="AH845">
        <f t="shared" ca="1" si="290"/>
        <v>0.43995683492482829</v>
      </c>
      <c r="AI845">
        <f t="shared" ca="1" si="291"/>
        <v>0</v>
      </c>
      <c r="AJ845" s="47">
        <f t="shared" ca="1" si="292"/>
        <v>0</v>
      </c>
      <c r="AK845">
        <f t="shared" ca="1" si="293"/>
        <v>32142.605356474029</v>
      </c>
    </row>
    <row r="846" spans="2:37" x14ac:dyDescent="0.2">
      <c r="B846">
        <f ca="1">Inputs!B12+(Inputs!D12-Inputs!B12)*BETAINV(RAND(),Model!H6,Model!I6)</f>
        <v>1.9349102893853654</v>
      </c>
      <c r="C846">
        <f ca="1">Inputs!E12+(Inputs!G12-Inputs!E12)*BETAINV(RAND(),Model!J6,Model!K6)</f>
        <v>0.24874016773688681</v>
      </c>
      <c r="D846">
        <f ca="1">(Inputs!H12+(Inputs!J12-Inputs!H12)*BETAINV(RAND(),Model!L6,Model!M6))*Inputs!$C$6</f>
        <v>16310.993262088836</v>
      </c>
      <c r="E846">
        <f t="shared" ca="1" si="273"/>
        <v>0.481289909937544</v>
      </c>
      <c r="F846">
        <f t="shared" ca="1" si="274"/>
        <v>0.86165875140630899</v>
      </c>
      <c r="G846">
        <f t="shared" ca="1" si="275"/>
        <v>1</v>
      </c>
      <c r="H846" s="47">
        <f t="shared" ca="1" si="276"/>
        <v>16310.993262088836</v>
      </c>
      <c r="I846">
        <f ca="1">Inputs!B13+(Inputs!D13-Inputs!B13)*BETAINV(RAND(),Model!H7,Model!I7)</f>
        <v>2.8432670513408329</v>
      </c>
      <c r="J846">
        <f ca="1">Inputs!E13+(Inputs!G13-Inputs!E13)*BETAINV(RAND(),Model!J7,Model!K7)</f>
        <v>0.3922711624085834</v>
      </c>
      <c r="K846">
        <f ca="1">(Inputs!H13+(Inputs!J13-Inputs!H13)*BETAINV(RAND(),Model!L7,Model!M7))*Inputs!$C$6</f>
        <v>24971.893314145811</v>
      </c>
      <c r="L846">
        <f t="shared" ca="1" si="277"/>
        <v>1.1153316712674939</v>
      </c>
      <c r="M846">
        <f t="shared" ca="1" si="278"/>
        <v>0.95278560371081367</v>
      </c>
      <c r="N846">
        <f t="shared" ca="1" si="279"/>
        <v>3</v>
      </c>
      <c r="O846" s="47">
        <f t="shared" ca="1" si="280"/>
        <v>74915.679942437433</v>
      </c>
      <c r="P846">
        <f ca="1">Inputs!B14+(Inputs!D14-Inputs!B14)*BETAINV(RAND(),Model!H8,Model!I8)</f>
        <v>0.23714908694713174</v>
      </c>
      <c r="Q846">
        <f ca="1">Inputs!E14+(Inputs!G14-Inputs!E14)*BETAINV(RAND(),Model!J8,Model!K8)</f>
        <v>0.47350943304539084</v>
      </c>
      <c r="R846">
        <f ca="1">(Inputs!H14+(Inputs!J14-Inputs!H14)*BETAINV(RAND(),Model!L8,Model!M8))*Inputs!$C$6</f>
        <v>533425.98207423138</v>
      </c>
      <c r="S846">
        <f t="shared" ca="1" si="281"/>
        <v>0.11229232970756844</v>
      </c>
      <c r="T846">
        <f t="shared" ca="1" si="282"/>
        <v>0.17994734222723363</v>
      </c>
      <c r="U846">
        <f t="shared" ca="1" si="283"/>
        <v>0</v>
      </c>
      <c r="V846" s="47">
        <f t="shared" ca="1" si="284"/>
        <v>0</v>
      </c>
      <c r="W846">
        <f ca="1">Inputs!B15+(Inputs!D15-Inputs!B15)*BETAINV(RAND(),Model!H9,Model!I9)</f>
        <v>1.0613638120429425</v>
      </c>
      <c r="X846">
        <f ca="1">Inputs!E15+(Inputs!G15-Inputs!E15)*BETAINV(RAND(),Model!J9,Model!K9)</f>
        <v>0.4831924499598057</v>
      </c>
      <c r="Y846">
        <f ca="1">(Inputs!H15+(Inputs!J15-Inputs!H15)*BETAINV(RAND(),Model!L9,Model!M9))*Inputs!$C$6</f>
        <v>54805.354378779331</v>
      </c>
      <c r="Z846">
        <f t="shared" ca="1" si="285"/>
        <v>0.51284298063970812</v>
      </c>
      <c r="AA846">
        <f t="shared" ca="1" si="286"/>
        <v>0.78790875246768588</v>
      </c>
      <c r="AB846">
        <f t="shared" ca="1" si="287"/>
        <v>1</v>
      </c>
      <c r="AC846" s="47">
        <f t="shared" ca="1" si="288"/>
        <v>54805.354378779331</v>
      </c>
      <c r="AD846">
        <f ca="1">Inputs!B16+(Inputs!D16-Inputs!B16)*BETAINV(RAND(),Model!H10,Model!I10)</f>
        <v>0.27937965321474401</v>
      </c>
      <c r="AE846">
        <f ca="1">Inputs!E16+(Inputs!G16-Inputs!E16)*BETAINV(RAND(),Model!J10,Model!K10)</f>
        <v>0.53860421057282271</v>
      </c>
      <c r="AF846">
        <f ca="1">(Inputs!H16+(Inputs!J16-Inputs!H16)*BETAINV(RAND(),Model!L10,Model!M10))*Inputs!$C$6</f>
        <v>101443.75289692775</v>
      </c>
      <c r="AG846">
        <f t="shared" ca="1" si="289"/>
        <v>0.15047505756983617</v>
      </c>
      <c r="AH846">
        <f t="shared" ca="1" si="290"/>
        <v>3.9841392185289592E-2</v>
      </c>
      <c r="AI846">
        <f t="shared" ca="1" si="291"/>
        <v>0</v>
      </c>
      <c r="AJ846" s="47">
        <f t="shared" ca="1" si="292"/>
        <v>0</v>
      </c>
      <c r="AK846">
        <f t="shared" ca="1" si="293"/>
        <v>146032.02758330561</v>
      </c>
    </row>
    <row r="847" spans="2:37" x14ac:dyDescent="0.2">
      <c r="B847">
        <f ca="1">Inputs!B12+(Inputs!D12-Inputs!B12)*BETAINV(RAND(),Model!H6,Model!I6)</f>
        <v>4.0678876432008568</v>
      </c>
      <c r="C847">
        <f ca="1">Inputs!E12+(Inputs!G12-Inputs!E12)*BETAINV(RAND(),Model!J6,Model!K6)</f>
        <v>0.29516812454190183</v>
      </c>
      <c r="D847">
        <f ca="1">(Inputs!H12+(Inputs!J12-Inputs!H12)*BETAINV(RAND(),Model!L6,Model!M6))*Inputs!$C$6</f>
        <v>28974.284219544836</v>
      </c>
      <c r="E847">
        <f t="shared" ca="1" si="273"/>
        <v>1.2007107664907741</v>
      </c>
      <c r="F847">
        <f t="shared" ca="1" si="274"/>
        <v>0.60539409694121105</v>
      </c>
      <c r="G847">
        <f t="shared" ca="1" si="275"/>
        <v>1</v>
      </c>
      <c r="H847" s="47">
        <f t="shared" ca="1" si="276"/>
        <v>28974.284219544836</v>
      </c>
      <c r="I847">
        <f ca="1">Inputs!B13+(Inputs!D13-Inputs!B13)*BETAINV(RAND(),Model!H7,Model!I7)</f>
        <v>2.805019922364536</v>
      </c>
      <c r="J847">
        <f ca="1">Inputs!E13+(Inputs!G13-Inputs!E13)*BETAINV(RAND(),Model!J7,Model!K7)</f>
        <v>0.19019904505288421</v>
      </c>
      <c r="K847">
        <f ca="1">(Inputs!H13+(Inputs!J13-Inputs!H13)*BETAINV(RAND(),Model!L7,Model!M7))*Inputs!$C$6</f>
        <v>20977.224215154267</v>
      </c>
      <c r="L847">
        <f t="shared" ca="1" si="277"/>
        <v>0.53351211058805015</v>
      </c>
      <c r="M847">
        <f t="shared" ca="1" si="278"/>
        <v>0.93846029805242925</v>
      </c>
      <c r="N847">
        <f t="shared" ca="1" si="279"/>
        <v>2</v>
      </c>
      <c r="O847" s="47">
        <f t="shared" ca="1" si="280"/>
        <v>41954.448430308534</v>
      </c>
      <c r="P847">
        <f ca="1">Inputs!B14+(Inputs!D14-Inputs!B14)*BETAINV(RAND(),Model!H8,Model!I8)</f>
        <v>0.45467380261886237</v>
      </c>
      <c r="Q847">
        <f ca="1">Inputs!E14+(Inputs!G14-Inputs!E14)*BETAINV(RAND(),Model!J8,Model!K8)</f>
        <v>0.71208946068455292</v>
      </c>
      <c r="R847">
        <f ca="1">(Inputs!H14+(Inputs!J14-Inputs!H14)*BETAINV(RAND(),Model!L8,Model!M8))*Inputs!$C$6</f>
        <v>184592.67208400657</v>
      </c>
      <c r="S847">
        <f t="shared" ca="1" si="281"/>
        <v>0.32376842289426055</v>
      </c>
      <c r="T847">
        <f t="shared" ca="1" si="282"/>
        <v>0.35149445402763102</v>
      </c>
      <c r="U847">
        <f t="shared" ca="1" si="283"/>
        <v>0</v>
      </c>
      <c r="V847" s="47">
        <f t="shared" ca="1" si="284"/>
        <v>0</v>
      </c>
      <c r="W847">
        <f ca="1">Inputs!B15+(Inputs!D15-Inputs!B15)*BETAINV(RAND(),Model!H9,Model!I9)</f>
        <v>1.8516749016531466</v>
      </c>
      <c r="X847">
        <f ca="1">Inputs!E15+(Inputs!G15-Inputs!E15)*BETAINV(RAND(),Model!J9,Model!K9)</f>
        <v>0.50791679095632269</v>
      </c>
      <c r="Y847">
        <f ca="1">(Inputs!H15+(Inputs!J15-Inputs!H15)*BETAINV(RAND(),Model!L9,Model!M9))*Inputs!$C$6</f>
        <v>38859.174930034678</v>
      </c>
      <c r="Z847">
        <f t="shared" ca="1" si="285"/>
        <v>0.94049677394203068</v>
      </c>
      <c r="AA847">
        <f t="shared" ca="1" si="286"/>
        <v>0.90924953974133382</v>
      </c>
      <c r="AB847">
        <f t="shared" ca="1" si="287"/>
        <v>2</v>
      </c>
      <c r="AC847" s="47">
        <f t="shared" ca="1" si="288"/>
        <v>77718.349860069357</v>
      </c>
      <c r="AD847">
        <f ca="1">Inputs!B16+(Inputs!D16-Inputs!B16)*BETAINV(RAND(),Model!H10,Model!I10)</f>
        <v>0.78214277692329826</v>
      </c>
      <c r="AE847">
        <f ca="1">Inputs!E16+(Inputs!G16-Inputs!E16)*BETAINV(RAND(),Model!J10,Model!K10)</f>
        <v>0.48164508976332177</v>
      </c>
      <c r="AF847">
        <f ca="1">(Inputs!H16+(Inputs!J16-Inputs!H16)*BETAINV(RAND(),Model!L10,Model!M10))*Inputs!$C$6</f>
        <v>141557.01520680138</v>
      </c>
      <c r="AG847">
        <f t="shared" ca="1" si="289"/>
        <v>0.37671522799895574</v>
      </c>
      <c r="AH847">
        <f t="shared" ca="1" si="290"/>
        <v>0.83590798619686546</v>
      </c>
      <c r="AI847">
        <f t="shared" ca="1" si="291"/>
        <v>1</v>
      </c>
      <c r="AJ847" s="47">
        <f t="shared" ca="1" si="292"/>
        <v>141557.01520680138</v>
      </c>
      <c r="AK847">
        <f t="shared" ca="1" si="293"/>
        <v>290204.09771672415</v>
      </c>
    </row>
    <row r="848" spans="2:37" x14ac:dyDescent="0.2">
      <c r="B848">
        <f ca="1">Inputs!B12+(Inputs!D12-Inputs!B12)*BETAINV(RAND(),Model!H6,Model!I6)</f>
        <v>3.8201893483385962</v>
      </c>
      <c r="C848">
        <f ca="1">Inputs!E12+(Inputs!G12-Inputs!E12)*BETAINV(RAND(),Model!J6,Model!K6)</f>
        <v>0.40189314644786289</v>
      </c>
      <c r="D848">
        <f ca="1">(Inputs!H12+(Inputs!J12-Inputs!H12)*BETAINV(RAND(),Model!L6,Model!M6))*Inputs!$C$6</f>
        <v>24791.299377700652</v>
      </c>
      <c r="E848">
        <f t="shared" ca="1" si="273"/>
        <v>1.5353079172304094</v>
      </c>
      <c r="F848">
        <f t="shared" ca="1" si="274"/>
        <v>0.94479077029244041</v>
      </c>
      <c r="G848">
        <f t="shared" ca="1" si="275"/>
        <v>4</v>
      </c>
      <c r="H848" s="47">
        <f t="shared" ca="1" si="276"/>
        <v>99165.197510802609</v>
      </c>
      <c r="I848">
        <f ca="1">Inputs!B13+(Inputs!D13-Inputs!B13)*BETAINV(RAND(),Model!H7,Model!I7)</f>
        <v>2.1334971932866731</v>
      </c>
      <c r="J848">
        <f ca="1">Inputs!E13+(Inputs!G13-Inputs!E13)*BETAINV(RAND(),Model!J7,Model!K7)</f>
        <v>0.3141815362743281</v>
      </c>
      <c r="K848">
        <f ca="1">(Inputs!H13+(Inputs!J13-Inputs!H13)*BETAINV(RAND(),Model!L7,Model!M7))*Inputs!$C$6</f>
        <v>47051.188660701278</v>
      </c>
      <c r="L848">
        <f t="shared" ca="1" si="277"/>
        <v>0.67030542582377406</v>
      </c>
      <c r="M848">
        <f t="shared" ca="1" si="278"/>
        <v>0.17130637961688455</v>
      </c>
      <c r="N848">
        <f t="shared" ca="1" si="279"/>
        <v>0</v>
      </c>
      <c r="O848" s="47">
        <f t="shared" ca="1" si="280"/>
        <v>0</v>
      </c>
      <c r="P848">
        <f ca="1">Inputs!B14+(Inputs!D14-Inputs!B14)*BETAINV(RAND(),Model!H8,Model!I8)</f>
        <v>0.20304600518479071</v>
      </c>
      <c r="Q848">
        <f ca="1">Inputs!E14+(Inputs!G14-Inputs!E14)*BETAINV(RAND(),Model!J8,Model!K8)</f>
        <v>0.81336586571541081</v>
      </c>
      <c r="R848">
        <f ca="1">(Inputs!H14+(Inputs!J14-Inputs!H14)*BETAINV(RAND(),Model!L8,Model!M8))*Inputs!$C$6</f>
        <v>325204.02897162025</v>
      </c>
      <c r="S848">
        <f t="shared" ca="1" si="281"/>
        <v>0.16515068978718309</v>
      </c>
      <c r="T848">
        <f t="shared" ca="1" si="282"/>
        <v>9.0972434806249391E-2</v>
      </c>
      <c r="U848">
        <f t="shared" ca="1" si="283"/>
        <v>0</v>
      </c>
      <c r="V848" s="47">
        <f t="shared" ca="1" si="284"/>
        <v>0</v>
      </c>
      <c r="W848">
        <f ca="1">Inputs!B15+(Inputs!D15-Inputs!B15)*BETAINV(RAND(),Model!H9,Model!I9)</f>
        <v>0.73694913368849457</v>
      </c>
      <c r="X848">
        <f ca="1">Inputs!E15+(Inputs!G15-Inputs!E15)*BETAINV(RAND(),Model!J9,Model!K9)</f>
        <v>0.55217678249006807</v>
      </c>
      <c r="Y848">
        <f ca="1">(Inputs!H15+(Inputs!J15-Inputs!H15)*BETAINV(RAND(),Model!L9,Model!M9))*Inputs!$C$6</f>
        <v>43073.375325073597</v>
      </c>
      <c r="Z848">
        <f t="shared" ca="1" si="285"/>
        <v>0.40692620149895598</v>
      </c>
      <c r="AA848">
        <f t="shared" ca="1" si="286"/>
        <v>0.16701119506263207</v>
      </c>
      <c r="AB848">
        <f t="shared" ca="1" si="287"/>
        <v>0</v>
      </c>
      <c r="AC848" s="47">
        <f t="shared" ca="1" si="288"/>
        <v>0</v>
      </c>
      <c r="AD848">
        <f ca="1">Inputs!B16+(Inputs!D16-Inputs!B16)*BETAINV(RAND(),Model!H10,Model!I10)</f>
        <v>0.46490901078472657</v>
      </c>
      <c r="AE848">
        <f ca="1">Inputs!E16+(Inputs!G16-Inputs!E16)*BETAINV(RAND(),Model!J10,Model!K10)</f>
        <v>0.4812532129612091</v>
      </c>
      <c r="AF848">
        <f ca="1">(Inputs!H16+(Inputs!J16-Inputs!H16)*BETAINV(RAND(),Model!L10,Model!M10))*Inputs!$C$6</f>
        <v>71525.529347064235</v>
      </c>
      <c r="AG848">
        <f t="shared" ca="1" si="289"/>
        <v>0.22373895517476708</v>
      </c>
      <c r="AH848">
        <f t="shared" ca="1" si="290"/>
        <v>0.94134040106861072</v>
      </c>
      <c r="AI848">
        <f t="shared" ca="1" si="291"/>
        <v>1</v>
      </c>
      <c r="AJ848" s="47">
        <f t="shared" ca="1" si="292"/>
        <v>71525.529347064235</v>
      </c>
      <c r="AK848">
        <f t="shared" ca="1" si="293"/>
        <v>170690.72685786686</v>
      </c>
    </row>
    <row r="849" spans="2:37" x14ac:dyDescent="0.2">
      <c r="B849">
        <f ca="1">Inputs!B12+(Inputs!D12-Inputs!B12)*BETAINV(RAND(),Model!H6,Model!I6)</f>
        <v>1.6249503221751982</v>
      </c>
      <c r="C849">
        <f ca="1">Inputs!E12+(Inputs!G12-Inputs!E12)*BETAINV(RAND(),Model!J6,Model!K6)</f>
        <v>0.30503374636236225</v>
      </c>
      <c r="D849">
        <f ca="1">(Inputs!H12+(Inputs!J12-Inputs!H12)*BETAINV(RAND(),Model!L6,Model!M6))*Inputs!$C$6</f>
        <v>26821.278835844587</v>
      </c>
      <c r="E849">
        <f t="shared" ca="1" si="273"/>
        <v>0.49566468442582823</v>
      </c>
      <c r="F849">
        <f t="shared" ca="1" si="274"/>
        <v>0.8067623268329287</v>
      </c>
      <c r="G849">
        <f t="shared" ca="1" si="275"/>
        <v>1</v>
      </c>
      <c r="H849" s="47">
        <f t="shared" ca="1" si="276"/>
        <v>26821.278835844587</v>
      </c>
      <c r="I849">
        <f ca="1">Inputs!B13+(Inputs!D13-Inputs!B13)*BETAINV(RAND(),Model!H7,Model!I7)</f>
        <v>2.0727681566158265</v>
      </c>
      <c r="J849">
        <f ca="1">Inputs!E13+(Inputs!G13-Inputs!E13)*BETAINV(RAND(),Model!J7,Model!K7)</f>
        <v>0.30304228217381085</v>
      </c>
      <c r="K849">
        <f ca="1">(Inputs!H13+(Inputs!J13-Inputs!H13)*BETAINV(RAND(),Model!L7,Model!M7))*Inputs!$C$6</f>
        <v>26254.959580643357</v>
      </c>
      <c r="L849">
        <f t="shared" ca="1" si="277"/>
        <v>0.62813639259806309</v>
      </c>
      <c r="M849">
        <f t="shared" ca="1" si="278"/>
        <v>0.89264247693731036</v>
      </c>
      <c r="N849">
        <f t="shared" ca="1" si="279"/>
        <v>2</v>
      </c>
      <c r="O849" s="47">
        <f t="shared" ca="1" si="280"/>
        <v>52509.919161286714</v>
      </c>
      <c r="P849">
        <f ca="1">Inputs!B14+(Inputs!D14-Inputs!B14)*BETAINV(RAND(),Model!H8,Model!I8)</f>
        <v>0.34151755812193463</v>
      </c>
      <c r="Q849">
        <f ca="1">Inputs!E14+(Inputs!G14-Inputs!E14)*BETAINV(RAND(),Model!J8,Model!K8)</f>
        <v>0.63928980708252481</v>
      </c>
      <c r="R849">
        <f ca="1">(Inputs!H14+(Inputs!J14-Inputs!H14)*BETAINV(RAND(),Model!L8,Model!M8))*Inputs!$C$6</f>
        <v>261479.85653769449</v>
      </c>
      <c r="S849">
        <f t="shared" ca="1" si="281"/>
        <v>0.21832869384706655</v>
      </c>
      <c r="T849">
        <f t="shared" ca="1" si="282"/>
        <v>0.24897129593143719</v>
      </c>
      <c r="U849">
        <f t="shared" ca="1" si="283"/>
        <v>0</v>
      </c>
      <c r="V849" s="47">
        <f t="shared" ca="1" si="284"/>
        <v>0</v>
      </c>
      <c r="W849">
        <f ca="1">Inputs!B15+(Inputs!D15-Inputs!B15)*BETAINV(RAND(),Model!H9,Model!I9)</f>
        <v>0.63979574335097134</v>
      </c>
      <c r="X849">
        <f ca="1">Inputs!E15+(Inputs!G15-Inputs!E15)*BETAINV(RAND(),Model!J9,Model!K9)</f>
        <v>0.4774425556979901</v>
      </c>
      <c r="Y849">
        <f ca="1">(Inputs!H15+(Inputs!J15-Inputs!H15)*BETAINV(RAND(),Model!L9,Model!M9))*Inputs!$C$6</f>
        <v>20434.991168192752</v>
      </c>
      <c r="Z849">
        <f t="shared" ca="1" si="285"/>
        <v>0.30546571483018309</v>
      </c>
      <c r="AA849">
        <f t="shared" ca="1" si="286"/>
        <v>0.96536151473440568</v>
      </c>
      <c r="AB849">
        <f t="shared" ca="1" si="287"/>
        <v>2</v>
      </c>
      <c r="AC849" s="47">
        <f t="shared" ca="1" si="288"/>
        <v>40869.982336385503</v>
      </c>
      <c r="AD849">
        <f ca="1">Inputs!B16+(Inputs!D16-Inputs!B16)*BETAINV(RAND(),Model!H10,Model!I10)</f>
        <v>0.36685806181529085</v>
      </c>
      <c r="AE849">
        <f ca="1">Inputs!E16+(Inputs!G16-Inputs!E16)*BETAINV(RAND(),Model!J10,Model!K10)</f>
        <v>0.54060865368342004</v>
      </c>
      <c r="AF849">
        <f ca="1">(Inputs!H16+(Inputs!J16-Inputs!H16)*BETAINV(RAND(),Model!L10,Model!M10))*Inputs!$C$6</f>
        <v>81866.974022489783</v>
      </c>
      <c r="AG849">
        <f t="shared" ca="1" si="289"/>
        <v>0.19832664289087326</v>
      </c>
      <c r="AH849">
        <f t="shared" ca="1" si="290"/>
        <v>0.14895963060251971</v>
      </c>
      <c r="AI849">
        <f t="shared" ca="1" si="291"/>
        <v>0</v>
      </c>
      <c r="AJ849" s="47">
        <f t="shared" ca="1" si="292"/>
        <v>0</v>
      </c>
      <c r="AK849">
        <f t="shared" ca="1" si="293"/>
        <v>120201.18033351679</v>
      </c>
    </row>
    <row r="850" spans="2:37" x14ac:dyDescent="0.2">
      <c r="B850">
        <f ca="1">Inputs!B12+(Inputs!D12-Inputs!B12)*BETAINV(RAND(),Model!H6,Model!I6)</f>
        <v>4.0668572551189346</v>
      </c>
      <c r="C850">
        <f ca="1">Inputs!E12+(Inputs!G12-Inputs!E12)*BETAINV(RAND(),Model!J6,Model!K6)</f>
        <v>0.2553275567724424</v>
      </c>
      <c r="D850">
        <f ca="1">(Inputs!H12+(Inputs!J12-Inputs!H12)*BETAINV(RAND(),Model!L6,Model!M6))*Inputs!$C$6</f>
        <v>41011.662760201856</v>
      </c>
      <c r="E850">
        <f t="shared" ca="1" si="273"/>
        <v>1.038380726691799</v>
      </c>
      <c r="F850">
        <f t="shared" ca="1" si="274"/>
        <v>1.393277573299756E-2</v>
      </c>
      <c r="G850">
        <f t="shared" ca="1" si="275"/>
        <v>0</v>
      </c>
      <c r="H850" s="47">
        <f t="shared" ca="1" si="276"/>
        <v>0</v>
      </c>
      <c r="I850">
        <f ca="1">Inputs!B13+(Inputs!D13-Inputs!B13)*BETAINV(RAND(),Model!H7,Model!I7)</f>
        <v>1.6606492699250368</v>
      </c>
      <c r="J850">
        <f ca="1">Inputs!E13+(Inputs!G13-Inputs!E13)*BETAINV(RAND(),Model!J7,Model!K7)</f>
        <v>0.30090378599112744</v>
      </c>
      <c r="K850">
        <f ca="1">(Inputs!H13+(Inputs!J13-Inputs!H13)*BETAINV(RAND(),Model!L7,Model!M7))*Inputs!$C$6</f>
        <v>11857.185359798741</v>
      </c>
      <c r="L850">
        <f t="shared" ca="1" si="277"/>
        <v>0.49969565252384529</v>
      </c>
      <c r="M850">
        <f t="shared" ca="1" si="278"/>
        <v>0.61415232093806127</v>
      </c>
      <c r="N850">
        <f t="shared" ca="1" si="279"/>
        <v>1</v>
      </c>
      <c r="O850" s="47">
        <f t="shared" ca="1" si="280"/>
        <v>11857.185359798741</v>
      </c>
      <c r="P850">
        <f ca="1">Inputs!B14+(Inputs!D14-Inputs!B14)*BETAINV(RAND(),Model!H8,Model!I8)</f>
        <v>0.28582434170455784</v>
      </c>
      <c r="Q850">
        <f ca="1">Inputs!E14+(Inputs!G14-Inputs!E14)*BETAINV(RAND(),Model!J8,Model!K8)</f>
        <v>0.65804763783246711</v>
      </c>
      <c r="R850">
        <f ca="1">(Inputs!H14+(Inputs!J14-Inputs!H14)*BETAINV(RAND(),Model!L8,Model!M8))*Inputs!$C$6</f>
        <v>190778.80271676558</v>
      </c>
      <c r="S850">
        <f t="shared" ca="1" si="281"/>
        <v>0.18808603289370421</v>
      </c>
      <c r="T850">
        <f t="shared" ca="1" si="282"/>
        <v>0.78013811973939517</v>
      </c>
      <c r="U850">
        <f t="shared" ca="1" si="283"/>
        <v>0</v>
      </c>
      <c r="V850" s="47">
        <f t="shared" ca="1" si="284"/>
        <v>0</v>
      </c>
      <c r="W850">
        <f ca="1">Inputs!B15+(Inputs!D15-Inputs!B15)*BETAINV(RAND(),Model!H9,Model!I9)</f>
        <v>0.86291859287371597</v>
      </c>
      <c r="X850">
        <f ca="1">Inputs!E15+(Inputs!G15-Inputs!E15)*BETAINV(RAND(),Model!J9,Model!K9)</f>
        <v>0.34771104161672084</v>
      </c>
      <c r="Y850">
        <f ca="1">(Inputs!H15+(Inputs!J15-Inputs!H15)*BETAINV(RAND(),Model!L9,Model!M9))*Inputs!$C$6</f>
        <v>48551.334472691939</v>
      </c>
      <c r="Z850">
        <f t="shared" ca="1" si="285"/>
        <v>0.30004632275855486</v>
      </c>
      <c r="AA850">
        <f t="shared" ca="1" si="286"/>
        <v>0.45022668777814767</v>
      </c>
      <c r="AB850">
        <f t="shared" ca="1" si="287"/>
        <v>0</v>
      </c>
      <c r="AC850" s="47">
        <f t="shared" ca="1" si="288"/>
        <v>0</v>
      </c>
      <c r="AD850">
        <f ca="1">Inputs!B16+(Inputs!D16-Inputs!B16)*BETAINV(RAND(),Model!H10,Model!I10)</f>
        <v>0.64117179260321711</v>
      </c>
      <c r="AE850">
        <f ca="1">Inputs!E16+(Inputs!G16-Inputs!E16)*BETAINV(RAND(),Model!J10,Model!K10)</f>
        <v>0.51636265418185678</v>
      </c>
      <c r="AF850">
        <f ca="1">(Inputs!H16+(Inputs!J16-Inputs!H16)*BETAINV(RAND(),Model!L10,Model!M10))*Inputs!$C$6</f>
        <v>55184.081928742446</v>
      </c>
      <c r="AG850">
        <f t="shared" ca="1" si="289"/>
        <v>0.3310771686151362</v>
      </c>
      <c r="AH850">
        <f t="shared" ca="1" si="290"/>
        <v>9.1179829212121533E-2</v>
      </c>
      <c r="AI850">
        <f t="shared" ca="1" si="291"/>
        <v>0</v>
      </c>
      <c r="AJ850" s="47">
        <f t="shared" ca="1" si="292"/>
        <v>0</v>
      </c>
      <c r="AK850">
        <f t="shared" ca="1" si="293"/>
        <v>11857.185359798741</v>
      </c>
    </row>
    <row r="851" spans="2:37" x14ac:dyDescent="0.2">
      <c r="B851">
        <f ca="1">Inputs!B12+(Inputs!D12-Inputs!B12)*BETAINV(RAND(),Model!H6,Model!I6)</f>
        <v>5.1428508283558196</v>
      </c>
      <c r="C851">
        <f ca="1">Inputs!E12+(Inputs!G12-Inputs!E12)*BETAINV(RAND(),Model!J6,Model!K6)</f>
        <v>0.24670930296604487</v>
      </c>
      <c r="D851">
        <f ca="1">(Inputs!H12+(Inputs!J12-Inputs!H12)*BETAINV(RAND(),Model!L6,Model!M6))*Inputs!$C$6</f>
        <v>26430.181366982335</v>
      </c>
      <c r="E851">
        <f t="shared" ca="1" si="273"/>
        <v>1.2687891431220109</v>
      </c>
      <c r="F851">
        <f t="shared" ca="1" si="274"/>
        <v>0.44687420487626139</v>
      </c>
      <c r="G851">
        <f t="shared" ca="1" si="275"/>
        <v>1</v>
      </c>
      <c r="H851" s="47">
        <f t="shared" ca="1" si="276"/>
        <v>26430.181366982335</v>
      </c>
      <c r="I851">
        <f ca="1">Inputs!B13+(Inputs!D13-Inputs!B13)*BETAINV(RAND(),Model!H7,Model!I7)</f>
        <v>1.3564293440126516</v>
      </c>
      <c r="J851">
        <f ca="1">Inputs!E13+(Inputs!G13-Inputs!E13)*BETAINV(RAND(),Model!J7,Model!K7)</f>
        <v>0.2539282308595201</v>
      </c>
      <c r="K851">
        <f ca="1">(Inputs!H13+(Inputs!J13-Inputs!H13)*BETAINV(RAND(),Model!L7,Model!M7))*Inputs!$C$6</f>
        <v>13916.162300057977</v>
      </c>
      <c r="L851">
        <f t="shared" ca="1" si="277"/>
        <v>0.34443570361107201</v>
      </c>
      <c r="M851">
        <f t="shared" ca="1" si="278"/>
        <v>0.33610821024540583</v>
      </c>
      <c r="N851">
        <f t="shared" ca="1" si="279"/>
        <v>0</v>
      </c>
      <c r="O851" s="47">
        <f t="shared" ca="1" si="280"/>
        <v>0</v>
      </c>
      <c r="P851">
        <f ca="1">Inputs!B14+(Inputs!D14-Inputs!B14)*BETAINV(RAND(),Model!H8,Model!I8)</f>
        <v>0.23102188995348091</v>
      </c>
      <c r="Q851">
        <f ca="1">Inputs!E14+(Inputs!G14-Inputs!E14)*BETAINV(RAND(),Model!J8,Model!K8)</f>
        <v>0.46360653390375828</v>
      </c>
      <c r="R851">
        <f ca="1">(Inputs!H14+(Inputs!J14-Inputs!H14)*BETAINV(RAND(),Model!L8,Model!M8))*Inputs!$C$6</f>
        <v>387010.06332015921</v>
      </c>
      <c r="S851">
        <f t="shared" ca="1" si="281"/>
        <v>0.10710325765722876</v>
      </c>
      <c r="T851">
        <f t="shared" ca="1" si="282"/>
        <v>0.92526841904989199</v>
      </c>
      <c r="U851">
        <f t="shared" ca="1" si="283"/>
        <v>1</v>
      </c>
      <c r="V851" s="47">
        <f t="shared" ca="1" si="284"/>
        <v>387010.06332015921</v>
      </c>
      <c r="W851">
        <f ca="1">Inputs!B15+(Inputs!D15-Inputs!B15)*BETAINV(RAND(),Model!H9,Model!I9)</f>
        <v>1.5668812244178243</v>
      </c>
      <c r="X851">
        <f ca="1">Inputs!E15+(Inputs!G15-Inputs!E15)*BETAINV(RAND(),Model!J9,Model!K9)</f>
        <v>0.35627276846597555</v>
      </c>
      <c r="Y851">
        <f ca="1">(Inputs!H15+(Inputs!J15-Inputs!H15)*BETAINV(RAND(),Model!L9,Model!M9))*Inputs!$C$6</f>
        <v>47125.260323926086</v>
      </c>
      <c r="Z851">
        <f t="shared" ca="1" si="285"/>
        <v>0.55823711168069579</v>
      </c>
      <c r="AA851">
        <f t="shared" ca="1" si="286"/>
        <v>0.54114283224299664</v>
      </c>
      <c r="AB851">
        <f t="shared" ca="1" si="287"/>
        <v>0</v>
      </c>
      <c r="AC851" s="47">
        <f t="shared" ca="1" si="288"/>
        <v>0</v>
      </c>
      <c r="AD851">
        <f ca="1">Inputs!B16+(Inputs!D16-Inputs!B16)*BETAINV(RAND(),Model!H10,Model!I10)</f>
        <v>0.29993327285390498</v>
      </c>
      <c r="AE851">
        <f ca="1">Inputs!E16+(Inputs!G16-Inputs!E16)*BETAINV(RAND(),Model!J10,Model!K10)</f>
        <v>0.58896930716325613</v>
      </c>
      <c r="AF851">
        <f ca="1">(Inputs!H16+(Inputs!J16-Inputs!H16)*BETAINV(RAND(),Model!L10,Model!M10))*Inputs!$C$6</f>
        <v>107533.36962441735</v>
      </c>
      <c r="AG851">
        <f t="shared" ca="1" si="289"/>
        <v>0.17665149190797227</v>
      </c>
      <c r="AH851">
        <f t="shared" ca="1" si="290"/>
        <v>0.30853931219235065</v>
      </c>
      <c r="AI851">
        <f t="shared" ca="1" si="291"/>
        <v>0</v>
      </c>
      <c r="AJ851" s="47">
        <f t="shared" ca="1" si="292"/>
        <v>0</v>
      </c>
      <c r="AK851">
        <f t="shared" ca="1" si="293"/>
        <v>413440.24468714156</v>
      </c>
    </row>
    <row r="852" spans="2:37" x14ac:dyDescent="0.2">
      <c r="B852">
        <f ca="1">Inputs!B12+(Inputs!D12-Inputs!B12)*BETAINV(RAND(),Model!H6,Model!I6)</f>
        <v>5.5084714668001347</v>
      </c>
      <c r="C852">
        <f ca="1">Inputs!E12+(Inputs!G12-Inputs!E12)*BETAINV(RAND(),Model!J6,Model!K6)</f>
        <v>0.3604387176430498</v>
      </c>
      <c r="D852">
        <f ca="1">(Inputs!H12+(Inputs!J12-Inputs!H12)*BETAINV(RAND(),Model!L6,Model!M6))*Inputs!$C$6</f>
        <v>23516.803047544654</v>
      </c>
      <c r="E852">
        <f t="shared" ca="1" si="273"/>
        <v>1.9854663916667701</v>
      </c>
      <c r="F852">
        <f t="shared" ca="1" si="274"/>
        <v>3.9057185299357644E-2</v>
      </c>
      <c r="G852">
        <f t="shared" ca="1" si="275"/>
        <v>0</v>
      </c>
      <c r="H852" s="47">
        <f t="shared" ca="1" si="276"/>
        <v>0</v>
      </c>
      <c r="I852">
        <f ca="1">Inputs!B13+(Inputs!D13-Inputs!B13)*BETAINV(RAND(),Model!H7,Model!I7)</f>
        <v>1.2706308142983289</v>
      </c>
      <c r="J852">
        <f ca="1">Inputs!E13+(Inputs!G13-Inputs!E13)*BETAINV(RAND(),Model!J7,Model!K7)</f>
        <v>0.38860240663228129</v>
      </c>
      <c r="K852">
        <f ca="1">(Inputs!H13+(Inputs!J13-Inputs!H13)*BETAINV(RAND(),Model!L7,Model!M7))*Inputs!$C$6</f>
        <v>20548.461200952937</v>
      </c>
      <c r="L852">
        <f t="shared" ca="1" si="277"/>
        <v>0.49377019237746589</v>
      </c>
      <c r="M852">
        <f t="shared" ca="1" si="278"/>
        <v>0.46179609751903528</v>
      </c>
      <c r="N852">
        <f t="shared" ca="1" si="279"/>
        <v>0</v>
      </c>
      <c r="O852" s="47">
        <f t="shared" ca="1" si="280"/>
        <v>0</v>
      </c>
      <c r="P852">
        <f ca="1">Inputs!B14+(Inputs!D14-Inputs!B14)*BETAINV(RAND(),Model!H8,Model!I8)</f>
        <v>0.50113622913551914</v>
      </c>
      <c r="Q852">
        <f ca="1">Inputs!E14+(Inputs!G14-Inputs!E14)*BETAINV(RAND(),Model!J8,Model!K8)</f>
        <v>0.69064946337176103</v>
      </c>
      <c r="R852">
        <f ca="1">(Inputs!H14+(Inputs!J14-Inputs!H14)*BETAINV(RAND(),Model!L8,Model!M8))*Inputs!$C$6</f>
        <v>308620.52962506749</v>
      </c>
      <c r="S852">
        <f t="shared" ca="1" si="281"/>
        <v>0.34610946772859419</v>
      </c>
      <c r="T852">
        <f t="shared" ca="1" si="282"/>
        <v>0.64870926900329096</v>
      </c>
      <c r="U852">
        <f t="shared" ca="1" si="283"/>
        <v>0</v>
      </c>
      <c r="V852" s="47">
        <f t="shared" ca="1" si="284"/>
        <v>0</v>
      </c>
      <c r="W852">
        <f ca="1">Inputs!B15+(Inputs!D15-Inputs!B15)*BETAINV(RAND(),Model!H9,Model!I9)</f>
        <v>1.554262509956436</v>
      </c>
      <c r="X852">
        <f ca="1">Inputs!E15+(Inputs!G15-Inputs!E15)*BETAINV(RAND(),Model!J9,Model!K9)</f>
        <v>0.34310379161989196</v>
      </c>
      <c r="Y852">
        <f ca="1">(Inputs!H15+(Inputs!J15-Inputs!H15)*BETAINV(RAND(),Model!L9,Model!M9))*Inputs!$C$6</f>
        <v>23891.757656439608</v>
      </c>
      <c r="Z852">
        <f t="shared" ca="1" si="285"/>
        <v>0.53327336033870332</v>
      </c>
      <c r="AA852">
        <f t="shared" ca="1" si="286"/>
        <v>0.44712133646623353</v>
      </c>
      <c r="AB852">
        <f t="shared" ca="1" si="287"/>
        <v>0</v>
      </c>
      <c r="AC852" s="47">
        <f t="shared" ca="1" si="288"/>
        <v>0</v>
      </c>
      <c r="AD852">
        <f ca="1">Inputs!B16+(Inputs!D16-Inputs!B16)*BETAINV(RAND(),Model!H10,Model!I10)</f>
        <v>0.49806734879412268</v>
      </c>
      <c r="AE852">
        <f ca="1">Inputs!E16+(Inputs!G16-Inputs!E16)*BETAINV(RAND(),Model!J10,Model!K10)</f>
        <v>0.67272993953691718</v>
      </c>
      <c r="AF852">
        <f ca="1">(Inputs!H16+(Inputs!J16-Inputs!H16)*BETAINV(RAND(),Model!L10,Model!M10))*Inputs!$C$6</f>
        <v>81188.636692280066</v>
      </c>
      <c r="AG852">
        <f t="shared" ca="1" si="289"/>
        <v>0.33506481743958277</v>
      </c>
      <c r="AH852">
        <f t="shared" ca="1" si="290"/>
        <v>0.19211894351678449</v>
      </c>
      <c r="AI852">
        <f t="shared" ca="1" si="291"/>
        <v>0</v>
      </c>
      <c r="AJ852" s="47">
        <f t="shared" ca="1" si="292"/>
        <v>0</v>
      </c>
      <c r="AK852">
        <f t="shared" ca="1" si="293"/>
        <v>0</v>
      </c>
    </row>
    <row r="853" spans="2:37" x14ac:dyDescent="0.2">
      <c r="B853">
        <f ca="1">Inputs!B12+(Inputs!D12-Inputs!B12)*BETAINV(RAND(),Model!H6,Model!I6)</f>
        <v>1.4996152499014681</v>
      </c>
      <c r="C853">
        <f ca="1">Inputs!E12+(Inputs!G12-Inputs!E12)*BETAINV(RAND(),Model!J6,Model!K6)</f>
        <v>0.26044165521038914</v>
      </c>
      <c r="D853">
        <f ca="1">(Inputs!H12+(Inputs!J12-Inputs!H12)*BETAINV(RAND(),Model!L6,Model!M6))*Inputs!$C$6</f>
        <v>13926.012944684706</v>
      </c>
      <c r="E853">
        <f t="shared" ca="1" si="273"/>
        <v>0.39056227786307973</v>
      </c>
      <c r="F853">
        <f t="shared" ca="1" si="274"/>
        <v>0.4825434592822534</v>
      </c>
      <c r="G853">
        <f t="shared" ca="1" si="275"/>
        <v>0</v>
      </c>
      <c r="H853" s="47">
        <f t="shared" ca="1" si="276"/>
        <v>0</v>
      </c>
      <c r="I853">
        <f ca="1">Inputs!B13+(Inputs!D13-Inputs!B13)*BETAINV(RAND(),Model!H7,Model!I7)</f>
        <v>0.80988456680095466</v>
      </c>
      <c r="J853">
        <f ca="1">Inputs!E13+(Inputs!G13-Inputs!E13)*BETAINV(RAND(),Model!J7,Model!K7)</f>
        <v>0.24090386571089831</v>
      </c>
      <c r="K853">
        <f ca="1">(Inputs!H13+(Inputs!J13-Inputs!H13)*BETAINV(RAND(),Model!L7,Model!M7))*Inputs!$C$6</f>
        <v>44965.631067777977</v>
      </c>
      <c r="L853">
        <f t="shared" ca="1" si="277"/>
        <v>0.19510432292194624</v>
      </c>
      <c r="M853">
        <f t="shared" ca="1" si="278"/>
        <v>0.33099500074288168</v>
      </c>
      <c r="N853">
        <f t="shared" ca="1" si="279"/>
        <v>0</v>
      </c>
      <c r="O853" s="47">
        <f t="shared" ca="1" si="280"/>
        <v>0</v>
      </c>
      <c r="P853">
        <f ca="1">Inputs!B14+(Inputs!D14-Inputs!B14)*BETAINV(RAND(),Model!H8,Model!I8)</f>
        <v>0.30970437772919013</v>
      </c>
      <c r="Q853">
        <f ca="1">Inputs!E14+(Inputs!G14-Inputs!E14)*BETAINV(RAND(),Model!J8,Model!K8)</f>
        <v>0.70332044246712799</v>
      </c>
      <c r="R853">
        <f ca="1">(Inputs!H14+(Inputs!J14-Inputs!H14)*BETAINV(RAND(),Model!L8,Model!M8))*Inputs!$C$6</f>
        <v>233583.94215798195</v>
      </c>
      <c r="S853">
        <f t="shared" ca="1" si="281"/>
        <v>0.21782141997850055</v>
      </c>
      <c r="T853">
        <f t="shared" ca="1" si="282"/>
        <v>0.41340329896781047</v>
      </c>
      <c r="U853">
        <f t="shared" ca="1" si="283"/>
        <v>0</v>
      </c>
      <c r="V853" s="47">
        <f t="shared" ca="1" si="284"/>
        <v>0</v>
      </c>
      <c r="W853">
        <f ca="1">Inputs!B15+(Inputs!D15-Inputs!B15)*BETAINV(RAND(),Model!H9,Model!I9)</f>
        <v>1.0634694520140162</v>
      </c>
      <c r="X853">
        <f ca="1">Inputs!E15+(Inputs!G15-Inputs!E15)*BETAINV(RAND(),Model!J9,Model!K9)</f>
        <v>0.48992859200447769</v>
      </c>
      <c r="Y853">
        <f ca="1">(Inputs!H15+(Inputs!J15-Inputs!H15)*BETAINV(RAND(),Model!L9,Model!M9))*Inputs!$C$6</f>
        <v>38843.466757074653</v>
      </c>
      <c r="Z853">
        <f t="shared" ca="1" si="285"/>
        <v>0.52102409126500038</v>
      </c>
      <c r="AA853">
        <f t="shared" ca="1" si="286"/>
        <v>0.55076108912730226</v>
      </c>
      <c r="AB853">
        <f t="shared" ca="1" si="287"/>
        <v>0</v>
      </c>
      <c r="AC853" s="47">
        <f t="shared" ca="1" si="288"/>
        <v>0</v>
      </c>
      <c r="AD853">
        <f ca="1">Inputs!B16+(Inputs!D16-Inputs!B16)*BETAINV(RAND(),Model!H10,Model!I10)</f>
        <v>1.3577667275741256</v>
      </c>
      <c r="AE853">
        <f ca="1">Inputs!E16+(Inputs!G16-Inputs!E16)*BETAINV(RAND(),Model!J10,Model!K10)</f>
        <v>0.45781412749022016</v>
      </c>
      <c r="AF853">
        <f ca="1">(Inputs!H16+(Inputs!J16-Inputs!H16)*BETAINV(RAND(),Model!L10,Model!M10))*Inputs!$C$6</f>
        <v>49657.564106465594</v>
      </c>
      <c r="AG853">
        <f t="shared" ca="1" si="289"/>
        <v>0.62160478971959976</v>
      </c>
      <c r="AH853">
        <f t="shared" ca="1" si="290"/>
        <v>0.41229582515257002</v>
      </c>
      <c r="AI853">
        <f t="shared" ca="1" si="291"/>
        <v>0</v>
      </c>
      <c r="AJ853" s="47">
        <f t="shared" ca="1" si="292"/>
        <v>0</v>
      </c>
      <c r="AK853">
        <f t="shared" ca="1" si="293"/>
        <v>0</v>
      </c>
    </row>
    <row r="854" spans="2:37" x14ac:dyDescent="0.2">
      <c r="B854">
        <f ca="1">Inputs!B12+(Inputs!D12-Inputs!B12)*BETAINV(RAND(),Model!H6,Model!I6)</f>
        <v>2.4147228440989319</v>
      </c>
      <c r="C854">
        <f ca="1">Inputs!E12+(Inputs!G12-Inputs!E12)*BETAINV(RAND(),Model!J6,Model!K6)</f>
        <v>0.44825508349894549</v>
      </c>
      <c r="D854">
        <f ca="1">(Inputs!H12+(Inputs!J12-Inputs!H12)*BETAINV(RAND(),Model!L6,Model!M6))*Inputs!$C$6</f>
        <v>15534.016407159044</v>
      </c>
      <c r="E854">
        <f t="shared" ca="1" si="273"/>
        <v>1.0824117901083778</v>
      </c>
      <c r="F854">
        <f t="shared" ca="1" si="274"/>
        <v>7.9159990291203686E-2</v>
      </c>
      <c r="G854">
        <f t="shared" ca="1" si="275"/>
        <v>0</v>
      </c>
      <c r="H854" s="47">
        <f t="shared" ca="1" si="276"/>
        <v>0</v>
      </c>
      <c r="I854">
        <f ca="1">Inputs!B13+(Inputs!D13-Inputs!B13)*BETAINV(RAND(),Model!H7,Model!I7)</f>
        <v>3.4949749714560281</v>
      </c>
      <c r="J854">
        <f ca="1">Inputs!E13+(Inputs!G13-Inputs!E13)*BETAINV(RAND(),Model!J7,Model!K7)</f>
        <v>0.2084752044694464</v>
      </c>
      <c r="K854">
        <f ca="1">(Inputs!H13+(Inputs!J13-Inputs!H13)*BETAINV(RAND(),Model!L7,Model!M7))*Inputs!$C$6</f>
        <v>44992.997817352356</v>
      </c>
      <c r="L854">
        <f t="shared" ca="1" si="277"/>
        <v>0.72861562178989303</v>
      </c>
      <c r="M854">
        <f t="shared" ca="1" si="278"/>
        <v>0.96729556616324464</v>
      </c>
      <c r="N854">
        <f t="shared" ca="1" si="279"/>
        <v>3</v>
      </c>
      <c r="O854" s="47">
        <f t="shared" ca="1" si="280"/>
        <v>134978.99345205707</v>
      </c>
      <c r="P854">
        <f ca="1">Inputs!B14+(Inputs!D14-Inputs!B14)*BETAINV(RAND(),Model!H8,Model!I8)</f>
        <v>0.274725132969037</v>
      </c>
      <c r="Q854">
        <f ca="1">Inputs!E14+(Inputs!G14-Inputs!E14)*BETAINV(RAND(),Model!J8,Model!K8)</f>
        <v>0.79638739321389684</v>
      </c>
      <c r="R854">
        <f ca="1">(Inputs!H14+(Inputs!J14-Inputs!H14)*BETAINV(RAND(),Model!L8,Model!M8))*Inputs!$C$6</f>
        <v>525083.59734731785</v>
      </c>
      <c r="S854">
        <f t="shared" ca="1" si="281"/>
        <v>0.21878763249555255</v>
      </c>
      <c r="T854">
        <f t="shared" ca="1" si="282"/>
        <v>0.41531819223341071</v>
      </c>
      <c r="U854">
        <f t="shared" ca="1" si="283"/>
        <v>0</v>
      </c>
      <c r="V854" s="47">
        <f t="shared" ca="1" si="284"/>
        <v>0</v>
      </c>
      <c r="W854">
        <f ca="1">Inputs!B15+(Inputs!D15-Inputs!B15)*BETAINV(RAND(),Model!H9,Model!I9)</f>
        <v>2.1051301069799151</v>
      </c>
      <c r="X854">
        <f ca="1">Inputs!E15+(Inputs!G15-Inputs!E15)*BETAINV(RAND(),Model!J9,Model!K9)</f>
        <v>0.49372767573460885</v>
      </c>
      <c r="Y854">
        <f ca="1">(Inputs!H15+(Inputs!J15-Inputs!H15)*BETAINV(RAND(),Model!L9,Model!M9))*Inputs!$C$6</f>
        <v>35599.969420275578</v>
      </c>
      <c r="Z854">
        <f t="shared" ca="1" si="285"/>
        <v>1.0393609948381419</v>
      </c>
      <c r="AA854">
        <f t="shared" ca="1" si="286"/>
        <v>0.80507519159896912</v>
      </c>
      <c r="AB854">
        <f t="shared" ca="1" si="287"/>
        <v>2</v>
      </c>
      <c r="AC854" s="47">
        <f t="shared" ca="1" si="288"/>
        <v>71199.938840551156</v>
      </c>
      <c r="AD854">
        <f ca="1">Inputs!B16+(Inputs!D16-Inputs!B16)*BETAINV(RAND(),Model!H10,Model!I10)</f>
        <v>0.58991265433575513</v>
      </c>
      <c r="AE854">
        <f ca="1">Inputs!E16+(Inputs!G16-Inputs!E16)*BETAINV(RAND(),Model!J10,Model!K10)</f>
        <v>0.48360132134446476</v>
      </c>
      <c r="AF854">
        <f ca="1">(Inputs!H16+(Inputs!J16-Inputs!H16)*BETAINV(RAND(),Model!L10,Model!M10))*Inputs!$C$6</f>
        <v>36288.649135445303</v>
      </c>
      <c r="AG854">
        <f t="shared" ca="1" si="289"/>
        <v>0.28528253911459167</v>
      </c>
      <c r="AH854">
        <f t="shared" ca="1" si="290"/>
        <v>8.7037218302246755E-2</v>
      </c>
      <c r="AI854">
        <f t="shared" ca="1" si="291"/>
        <v>0</v>
      </c>
      <c r="AJ854" s="47">
        <f t="shared" ca="1" si="292"/>
        <v>0</v>
      </c>
      <c r="AK854">
        <f t="shared" ca="1" si="293"/>
        <v>206178.93229260822</v>
      </c>
    </row>
    <row r="855" spans="2:37" x14ac:dyDescent="0.2">
      <c r="B855">
        <f ca="1">Inputs!B12+(Inputs!D12-Inputs!B12)*BETAINV(RAND(),Model!H6,Model!I6)</f>
        <v>1.8810577686046961</v>
      </c>
      <c r="C855">
        <f ca="1">Inputs!E12+(Inputs!G12-Inputs!E12)*BETAINV(RAND(),Model!J6,Model!K6)</f>
        <v>0.33618056845042299</v>
      </c>
      <c r="D855">
        <f ca="1">(Inputs!H12+(Inputs!J12-Inputs!H12)*BETAINV(RAND(),Model!L6,Model!M6))*Inputs!$C$6</f>
        <v>16740.109103272167</v>
      </c>
      <c r="E855">
        <f t="shared" ca="1" si="273"/>
        <v>0.63237506993761095</v>
      </c>
      <c r="F855">
        <f t="shared" ca="1" si="274"/>
        <v>0.36888824928547248</v>
      </c>
      <c r="G855">
        <f t="shared" ca="1" si="275"/>
        <v>0</v>
      </c>
      <c r="H855" s="47">
        <f t="shared" ca="1" si="276"/>
        <v>0</v>
      </c>
      <c r="I855">
        <f ca="1">Inputs!B13+(Inputs!D13-Inputs!B13)*BETAINV(RAND(),Model!H7,Model!I7)</f>
        <v>1.8699191517959266</v>
      </c>
      <c r="J855">
        <f ca="1">Inputs!E13+(Inputs!G13-Inputs!E13)*BETAINV(RAND(),Model!J7,Model!K7)</f>
        <v>0.34935478539311393</v>
      </c>
      <c r="K855">
        <f ca="1">(Inputs!H13+(Inputs!J13-Inputs!H13)*BETAINV(RAND(),Model!L7,Model!M7))*Inputs!$C$6</f>
        <v>48723.18176834409</v>
      </c>
      <c r="L855">
        <f t="shared" ca="1" si="277"/>
        <v>0.65326520397813959</v>
      </c>
      <c r="M855">
        <f t="shared" ca="1" si="278"/>
        <v>0.76690126029459793</v>
      </c>
      <c r="N855">
        <f t="shared" ca="1" si="279"/>
        <v>1</v>
      </c>
      <c r="O855" s="47">
        <f t="shared" ca="1" si="280"/>
        <v>48723.18176834409</v>
      </c>
      <c r="P855">
        <f ca="1">Inputs!B14+(Inputs!D14-Inputs!B14)*BETAINV(RAND(),Model!H8,Model!I8)</f>
        <v>0.1003251121754081</v>
      </c>
      <c r="Q855">
        <f ca="1">Inputs!E14+(Inputs!G14-Inputs!E14)*BETAINV(RAND(),Model!J8,Model!K8)</f>
        <v>0.64722620648998597</v>
      </c>
      <c r="R855">
        <f ca="1">(Inputs!H14+(Inputs!J14-Inputs!H14)*BETAINV(RAND(),Model!L8,Model!M8))*Inputs!$C$6</f>
        <v>529238.53826922434</v>
      </c>
      <c r="S855">
        <f t="shared" ca="1" si="281"/>
        <v>6.4933041768971689E-2</v>
      </c>
      <c r="T855">
        <f t="shared" ca="1" si="282"/>
        <v>1.1367194432519323E-2</v>
      </c>
      <c r="U855">
        <f t="shared" ca="1" si="283"/>
        <v>0</v>
      </c>
      <c r="V855" s="47">
        <f t="shared" ca="1" si="284"/>
        <v>0</v>
      </c>
      <c r="W855">
        <f ca="1">Inputs!B15+(Inputs!D15-Inputs!B15)*BETAINV(RAND(),Model!H9,Model!I9)</f>
        <v>2.4416424691223835</v>
      </c>
      <c r="X855">
        <f ca="1">Inputs!E15+(Inputs!G15-Inputs!E15)*BETAINV(RAND(),Model!J9,Model!K9)</f>
        <v>0.42757542278327365</v>
      </c>
      <c r="Y855">
        <f ca="1">(Inputs!H15+(Inputs!J15-Inputs!H15)*BETAINV(RAND(),Model!L9,Model!M9))*Inputs!$C$6</f>
        <v>42480.072090964022</v>
      </c>
      <c r="Z855">
        <f t="shared" ca="1" si="285"/>
        <v>1.0439863110205994</v>
      </c>
      <c r="AA855">
        <f t="shared" ca="1" si="286"/>
        <v>0.33415059220435617</v>
      </c>
      <c r="AB855">
        <f t="shared" ca="1" si="287"/>
        <v>0</v>
      </c>
      <c r="AC855" s="47">
        <f t="shared" ca="1" si="288"/>
        <v>0</v>
      </c>
      <c r="AD855">
        <f ca="1">Inputs!B16+(Inputs!D16-Inputs!B16)*BETAINV(RAND(),Model!H10,Model!I10)</f>
        <v>0.56005059662061263</v>
      </c>
      <c r="AE855">
        <f ca="1">Inputs!E16+(Inputs!G16-Inputs!E16)*BETAINV(RAND(),Model!J10,Model!K10)</f>
        <v>0.70023372032552667</v>
      </c>
      <c r="AF855">
        <f ca="1">(Inputs!H16+(Inputs!J16-Inputs!H16)*BETAINV(RAND(),Model!L10,Model!M10))*Inputs!$C$6</f>
        <v>128176.1369995163</v>
      </c>
      <c r="AG855">
        <f t="shared" ca="1" si="289"/>
        <v>0.3921663128421824</v>
      </c>
      <c r="AH855">
        <f t="shared" ca="1" si="290"/>
        <v>0.7393144681364574</v>
      </c>
      <c r="AI855">
        <f t="shared" ca="1" si="291"/>
        <v>1</v>
      </c>
      <c r="AJ855" s="47">
        <f t="shared" ca="1" si="292"/>
        <v>128176.1369995163</v>
      </c>
      <c r="AK855">
        <f t="shared" ca="1" si="293"/>
        <v>176899.31876786039</v>
      </c>
    </row>
    <row r="856" spans="2:37" x14ac:dyDescent="0.2">
      <c r="B856">
        <f ca="1">Inputs!B12+(Inputs!D12-Inputs!B12)*BETAINV(RAND(),Model!H6,Model!I6)</f>
        <v>3.0100117732470739</v>
      </c>
      <c r="C856">
        <f ca="1">Inputs!E12+(Inputs!G12-Inputs!E12)*BETAINV(RAND(),Model!J6,Model!K6)</f>
        <v>0.20536497081064495</v>
      </c>
      <c r="D856">
        <f ca="1">(Inputs!H12+(Inputs!J12-Inputs!H12)*BETAINV(RAND(),Model!L6,Model!M6))*Inputs!$C$6</f>
        <v>39342.539171730743</v>
      </c>
      <c r="E856">
        <f t="shared" ca="1" si="273"/>
        <v>0.61815097995258295</v>
      </c>
      <c r="F856">
        <f t="shared" ca="1" si="274"/>
        <v>0.98833541150592574</v>
      </c>
      <c r="G856">
        <f t="shared" ca="1" si="275"/>
        <v>3</v>
      </c>
      <c r="H856" s="47">
        <f t="shared" ca="1" si="276"/>
        <v>118027.61751519222</v>
      </c>
      <c r="I856">
        <f ca="1">Inputs!B13+(Inputs!D13-Inputs!B13)*BETAINV(RAND(),Model!H7,Model!I7)</f>
        <v>1.2210678091525358</v>
      </c>
      <c r="J856">
        <f ca="1">Inputs!E13+(Inputs!G13-Inputs!E13)*BETAINV(RAND(),Model!J7,Model!K7)</f>
        <v>0.30063697532274081</v>
      </c>
      <c r="K856">
        <f ca="1">(Inputs!H13+(Inputs!J13-Inputs!H13)*BETAINV(RAND(),Model!L7,Model!M7))*Inputs!$C$6</f>
        <v>16757.387649977289</v>
      </c>
      <c r="L856">
        <f t="shared" ca="1" si="277"/>
        <v>0.36709813280758408</v>
      </c>
      <c r="M856">
        <f t="shared" ca="1" si="278"/>
        <v>0.31360576265947449</v>
      </c>
      <c r="N856">
        <f t="shared" ca="1" si="279"/>
        <v>0</v>
      </c>
      <c r="O856" s="47">
        <f t="shared" ca="1" si="280"/>
        <v>0</v>
      </c>
      <c r="P856">
        <f ca="1">Inputs!B14+(Inputs!D14-Inputs!B14)*BETAINV(RAND(),Model!H8,Model!I8)</f>
        <v>0.28339957745900096</v>
      </c>
      <c r="Q856">
        <f ca="1">Inputs!E14+(Inputs!G14-Inputs!E14)*BETAINV(RAND(),Model!J8,Model!K8)</f>
        <v>0.4663359521653942</v>
      </c>
      <c r="R856">
        <f ca="1">(Inputs!H14+(Inputs!J14-Inputs!H14)*BETAINV(RAND(),Model!L8,Model!M8))*Inputs!$C$6</f>
        <v>228424.17789905216</v>
      </c>
      <c r="S856">
        <f t="shared" ca="1" si="281"/>
        <v>0.13215941179761359</v>
      </c>
      <c r="T856">
        <f t="shared" ca="1" si="282"/>
        <v>0.149755295306362</v>
      </c>
      <c r="U856">
        <f t="shared" ca="1" si="283"/>
        <v>0</v>
      </c>
      <c r="V856" s="47">
        <f t="shared" ca="1" si="284"/>
        <v>0</v>
      </c>
      <c r="W856">
        <f ca="1">Inputs!B15+(Inputs!D15-Inputs!B15)*BETAINV(RAND(),Model!H9,Model!I9)</f>
        <v>0.5661467951407656</v>
      </c>
      <c r="X856">
        <f ca="1">Inputs!E15+(Inputs!G15-Inputs!E15)*BETAINV(RAND(),Model!J9,Model!K9)</f>
        <v>0.42160087020758208</v>
      </c>
      <c r="Y856">
        <f ca="1">(Inputs!H15+(Inputs!J15-Inputs!H15)*BETAINV(RAND(),Model!L9,Model!M9))*Inputs!$C$6</f>
        <v>16938.992996802797</v>
      </c>
      <c r="Z856">
        <f t="shared" ca="1" si="285"/>
        <v>0.23868798149658049</v>
      </c>
      <c r="AA856">
        <f t="shared" ca="1" si="286"/>
        <v>0.66718213317368535</v>
      </c>
      <c r="AB856">
        <f t="shared" ca="1" si="287"/>
        <v>0</v>
      </c>
      <c r="AC856" s="47">
        <f t="shared" ca="1" si="288"/>
        <v>0</v>
      </c>
      <c r="AD856">
        <f ca="1">Inputs!B16+(Inputs!D16-Inputs!B16)*BETAINV(RAND(),Model!H10,Model!I10)</f>
        <v>0.7442773526789761</v>
      </c>
      <c r="AE856">
        <f ca="1">Inputs!E16+(Inputs!G16-Inputs!E16)*BETAINV(RAND(),Model!J10,Model!K10)</f>
        <v>0.57016086293535051</v>
      </c>
      <c r="AF856">
        <f ca="1">(Inputs!H16+(Inputs!J16-Inputs!H16)*BETAINV(RAND(),Model!L10,Model!M10))*Inputs!$C$6</f>
        <v>56359.003409958241</v>
      </c>
      <c r="AG856">
        <f t="shared" ca="1" si="289"/>
        <v>0.42435781766668323</v>
      </c>
      <c r="AH856">
        <f t="shared" ca="1" si="290"/>
        <v>0.62919728959552823</v>
      </c>
      <c r="AI856">
        <f t="shared" ca="1" si="291"/>
        <v>0</v>
      </c>
      <c r="AJ856" s="47">
        <f t="shared" ca="1" si="292"/>
        <v>0</v>
      </c>
      <c r="AK856">
        <f t="shared" ca="1" si="293"/>
        <v>118027.61751519222</v>
      </c>
    </row>
    <row r="857" spans="2:37" x14ac:dyDescent="0.2">
      <c r="B857">
        <f ca="1">Inputs!B12+(Inputs!D12-Inputs!B12)*BETAINV(RAND(),Model!H6,Model!I6)</f>
        <v>4.8413325163451919</v>
      </c>
      <c r="C857">
        <f ca="1">Inputs!E12+(Inputs!G12-Inputs!E12)*BETAINV(RAND(),Model!J6,Model!K6)</f>
        <v>0.3402713841337609</v>
      </c>
      <c r="D857">
        <f ca="1">(Inputs!H12+(Inputs!J12-Inputs!H12)*BETAINV(RAND(),Model!L6,Model!M6))*Inputs!$C$6</f>
        <v>28945.155526993516</v>
      </c>
      <c r="E857">
        <f t="shared" ca="1" si="273"/>
        <v>1.647366916388562</v>
      </c>
      <c r="F857">
        <f t="shared" ca="1" si="274"/>
        <v>0.28904884910623296</v>
      </c>
      <c r="G857">
        <f t="shared" ca="1" si="275"/>
        <v>1</v>
      </c>
      <c r="H857" s="47">
        <f t="shared" ca="1" si="276"/>
        <v>28945.155526993516</v>
      </c>
      <c r="I857">
        <f ca="1">Inputs!B13+(Inputs!D13-Inputs!B13)*BETAINV(RAND(),Model!H7,Model!I7)</f>
        <v>2.8102960544247448</v>
      </c>
      <c r="J857">
        <f ca="1">Inputs!E13+(Inputs!G13-Inputs!E13)*BETAINV(RAND(),Model!J7,Model!K7)</f>
        <v>0.29864165967612638</v>
      </c>
      <c r="K857">
        <f ca="1">(Inputs!H13+(Inputs!J13-Inputs!H13)*BETAINV(RAND(),Model!L7,Model!M7))*Inputs!$C$6</f>
        <v>32740.296613127219</v>
      </c>
      <c r="L857">
        <f t="shared" ca="1" si="277"/>
        <v>0.83927147787467538</v>
      </c>
      <c r="M857">
        <f t="shared" ca="1" si="278"/>
        <v>0.16191192436424062</v>
      </c>
      <c r="N857">
        <f t="shared" ca="1" si="279"/>
        <v>0</v>
      </c>
      <c r="O857" s="47">
        <f t="shared" ca="1" si="280"/>
        <v>0</v>
      </c>
      <c r="P857">
        <f ca="1">Inputs!B14+(Inputs!D14-Inputs!B14)*BETAINV(RAND(),Model!H8,Model!I8)</f>
        <v>0.17102134250636081</v>
      </c>
      <c r="Q857">
        <f ca="1">Inputs!E14+(Inputs!G14-Inputs!E14)*BETAINV(RAND(),Model!J8,Model!K8)</f>
        <v>0.67556283452708865</v>
      </c>
      <c r="R857">
        <f ca="1">(Inputs!H14+(Inputs!J14-Inputs!H14)*BETAINV(RAND(),Model!L8,Model!M8))*Inputs!$C$6</f>
        <v>438898.71859208849</v>
      </c>
      <c r="S857">
        <f t="shared" ca="1" si="281"/>
        <v>0.11553566290822517</v>
      </c>
      <c r="T857">
        <f t="shared" ca="1" si="282"/>
        <v>9.4079581220134378E-2</v>
      </c>
      <c r="U857">
        <f t="shared" ca="1" si="283"/>
        <v>0</v>
      </c>
      <c r="V857" s="47">
        <f t="shared" ca="1" si="284"/>
        <v>0</v>
      </c>
      <c r="W857">
        <f ca="1">Inputs!B15+(Inputs!D15-Inputs!B15)*BETAINV(RAND(),Model!H9,Model!I9)</f>
        <v>0.39850510878326695</v>
      </c>
      <c r="X857">
        <f ca="1">Inputs!E15+(Inputs!G15-Inputs!E15)*BETAINV(RAND(),Model!J9,Model!K9)</f>
        <v>0.32778002560439468</v>
      </c>
      <c r="Y857">
        <f ca="1">(Inputs!H15+(Inputs!J15-Inputs!H15)*BETAINV(RAND(),Model!L9,Model!M9))*Inputs!$C$6</f>
        <v>24972.211864369718</v>
      </c>
      <c r="Z857">
        <f t="shared" ca="1" si="285"/>
        <v>0.13062201476046131</v>
      </c>
      <c r="AA857">
        <f t="shared" ca="1" si="286"/>
        <v>0.3216882067171748</v>
      </c>
      <c r="AB857">
        <f t="shared" ca="1" si="287"/>
        <v>0</v>
      </c>
      <c r="AC857" s="47">
        <f t="shared" ca="1" si="288"/>
        <v>0</v>
      </c>
      <c r="AD857">
        <f ca="1">Inputs!B16+(Inputs!D16-Inputs!B16)*BETAINV(RAND(),Model!H10,Model!I10)</f>
        <v>0.41902079469600151</v>
      </c>
      <c r="AE857">
        <f ca="1">Inputs!E16+(Inputs!G16-Inputs!E16)*BETAINV(RAND(),Model!J10,Model!K10)</f>
        <v>0.5595024414295281</v>
      </c>
      <c r="AF857">
        <f ca="1">(Inputs!H16+(Inputs!J16-Inputs!H16)*BETAINV(RAND(),Model!L10,Model!M10))*Inputs!$C$6</f>
        <v>141922.65687035315</v>
      </c>
      <c r="AG857">
        <f t="shared" ca="1" si="289"/>
        <v>0.2344431576421539</v>
      </c>
      <c r="AH857">
        <f t="shared" ca="1" si="290"/>
        <v>0.56942036219950032</v>
      </c>
      <c r="AI857">
        <f t="shared" ca="1" si="291"/>
        <v>0</v>
      </c>
      <c r="AJ857" s="47">
        <f t="shared" ca="1" si="292"/>
        <v>0</v>
      </c>
      <c r="AK857">
        <f t="shared" ca="1" si="293"/>
        <v>28945.155526993516</v>
      </c>
    </row>
    <row r="858" spans="2:37" x14ac:dyDescent="0.2">
      <c r="B858">
        <f ca="1">Inputs!B12+(Inputs!D12-Inputs!B12)*BETAINV(RAND(),Model!H6,Model!I6)</f>
        <v>4.7335775903701025</v>
      </c>
      <c r="C858">
        <f ca="1">Inputs!E12+(Inputs!G12-Inputs!E12)*BETAINV(RAND(),Model!J6,Model!K6)</f>
        <v>0.25043234926154412</v>
      </c>
      <c r="D858">
        <f ca="1">(Inputs!H12+(Inputs!J12-Inputs!H12)*BETAINV(RAND(),Model!L6,Model!M6))*Inputs!$C$6</f>
        <v>31648.915359548926</v>
      </c>
      <c r="E858">
        <f t="shared" ca="1" si="273"/>
        <v>1.185440956368184</v>
      </c>
      <c r="F858">
        <f t="shared" ca="1" si="274"/>
        <v>0.18917891703538925</v>
      </c>
      <c r="G858">
        <f t="shared" ca="1" si="275"/>
        <v>0</v>
      </c>
      <c r="H858" s="47">
        <f t="shared" ca="1" si="276"/>
        <v>0</v>
      </c>
      <c r="I858">
        <f ca="1">Inputs!B13+(Inputs!D13-Inputs!B13)*BETAINV(RAND(),Model!H7,Model!I7)</f>
        <v>1.2823326696670412</v>
      </c>
      <c r="J858">
        <f ca="1">Inputs!E13+(Inputs!G13-Inputs!E13)*BETAINV(RAND(),Model!J7,Model!K7)</f>
        <v>0.16725828769786388</v>
      </c>
      <c r="K858">
        <f ca="1">(Inputs!H13+(Inputs!J13-Inputs!H13)*BETAINV(RAND(),Model!L7,Model!M7))*Inputs!$C$6</f>
        <v>39383.341046953778</v>
      </c>
      <c r="L858">
        <f t="shared" ca="1" si="277"/>
        <v>0.21448076658753981</v>
      </c>
      <c r="M858">
        <f t="shared" ca="1" si="278"/>
        <v>0.89266062597672502</v>
      </c>
      <c r="N858">
        <f t="shared" ca="1" si="279"/>
        <v>1</v>
      </c>
      <c r="O858" s="47">
        <f t="shared" ca="1" si="280"/>
        <v>39383.341046953778</v>
      </c>
      <c r="P858">
        <f ca="1">Inputs!B14+(Inputs!D14-Inputs!B14)*BETAINV(RAND(),Model!H8,Model!I8)</f>
        <v>0.4112607012026136</v>
      </c>
      <c r="Q858">
        <f ca="1">Inputs!E14+(Inputs!G14-Inputs!E14)*BETAINV(RAND(),Model!J8,Model!K8)</f>
        <v>0.60762769461519683</v>
      </c>
      <c r="R858">
        <f ca="1">(Inputs!H14+(Inputs!J14-Inputs!H14)*BETAINV(RAND(),Model!L8,Model!M8))*Inputs!$C$6</f>
        <v>497654.37891856569</v>
      </c>
      <c r="S858">
        <f t="shared" ca="1" si="281"/>
        <v>0.24989339175757341</v>
      </c>
      <c r="T858">
        <f t="shared" ca="1" si="282"/>
        <v>0.22829069559326221</v>
      </c>
      <c r="U858">
        <f t="shared" ca="1" si="283"/>
        <v>0</v>
      </c>
      <c r="V858" s="47">
        <f t="shared" ca="1" si="284"/>
        <v>0</v>
      </c>
      <c r="W858">
        <f ca="1">Inputs!B15+(Inputs!D15-Inputs!B15)*BETAINV(RAND(),Model!H9,Model!I9)</f>
        <v>1.1350990092594384</v>
      </c>
      <c r="X858">
        <f ca="1">Inputs!E15+(Inputs!G15-Inputs!E15)*BETAINV(RAND(),Model!J9,Model!K9)</f>
        <v>0.31663804443104809</v>
      </c>
      <c r="Y858">
        <f ca="1">(Inputs!H15+(Inputs!J15-Inputs!H15)*BETAINV(RAND(),Model!L9,Model!M9))*Inputs!$C$6</f>
        <v>26321.423157066547</v>
      </c>
      <c r="Z858">
        <f t="shared" ca="1" si="285"/>
        <v>0.35941553052752873</v>
      </c>
      <c r="AA858">
        <f t="shared" ca="1" si="286"/>
        <v>0.27633015396472627</v>
      </c>
      <c r="AB858">
        <f t="shared" ca="1" si="287"/>
        <v>0</v>
      </c>
      <c r="AC858" s="47">
        <f t="shared" ca="1" si="288"/>
        <v>0</v>
      </c>
      <c r="AD858">
        <f ca="1">Inputs!B16+(Inputs!D16-Inputs!B16)*BETAINV(RAND(),Model!H10,Model!I10)</f>
        <v>0.5803377078384182</v>
      </c>
      <c r="AE858">
        <f ca="1">Inputs!E16+(Inputs!G16-Inputs!E16)*BETAINV(RAND(),Model!J10,Model!K10)</f>
        <v>0.68956148948543028</v>
      </c>
      <c r="AF858">
        <f ca="1">(Inputs!H16+(Inputs!J16-Inputs!H16)*BETAINV(RAND(),Model!L10,Model!M10))*Inputs!$C$6</f>
        <v>55882.627604945534</v>
      </c>
      <c r="AG858">
        <f t="shared" ca="1" si="289"/>
        <v>0.40017853422162014</v>
      </c>
      <c r="AH858">
        <f t="shared" ca="1" si="290"/>
        <v>9.7899556150871092E-2</v>
      </c>
      <c r="AI858">
        <f t="shared" ca="1" si="291"/>
        <v>0</v>
      </c>
      <c r="AJ858" s="47">
        <f t="shared" ca="1" si="292"/>
        <v>0</v>
      </c>
      <c r="AK858">
        <f t="shared" ca="1" si="293"/>
        <v>39383.341046953778</v>
      </c>
    </row>
    <row r="859" spans="2:37" x14ac:dyDescent="0.2">
      <c r="B859">
        <f ca="1">Inputs!B12+(Inputs!D12-Inputs!B12)*BETAINV(RAND(),Model!H6,Model!I6)</f>
        <v>5.6043825530188993</v>
      </c>
      <c r="C859">
        <f ca="1">Inputs!E12+(Inputs!G12-Inputs!E12)*BETAINV(RAND(),Model!J6,Model!K6)</f>
        <v>0.28696301765676629</v>
      </c>
      <c r="D859">
        <f ca="1">(Inputs!H12+(Inputs!J12-Inputs!H12)*BETAINV(RAND(),Model!L6,Model!M6))*Inputs!$C$6</f>
        <v>32694.182592915146</v>
      </c>
      <c r="E859">
        <f t="shared" ca="1" si="273"/>
        <v>1.6082505295172353</v>
      </c>
      <c r="F859">
        <f t="shared" ca="1" si="274"/>
        <v>0.26904302136169245</v>
      </c>
      <c r="G859">
        <f t="shared" ca="1" si="275"/>
        <v>1</v>
      </c>
      <c r="H859" s="47">
        <f t="shared" ca="1" si="276"/>
        <v>32694.182592915146</v>
      </c>
      <c r="I859">
        <f ca="1">Inputs!B13+(Inputs!D13-Inputs!B13)*BETAINV(RAND(),Model!H7,Model!I7)</f>
        <v>2.0300699789808352</v>
      </c>
      <c r="J859">
        <f ca="1">Inputs!E13+(Inputs!G13-Inputs!E13)*BETAINV(RAND(),Model!J7,Model!K7)</f>
        <v>0.32901608598084853</v>
      </c>
      <c r="K859">
        <f ca="1">(Inputs!H13+(Inputs!J13-Inputs!H13)*BETAINV(RAND(),Model!L7,Model!M7))*Inputs!$C$6</f>
        <v>40913.877779543189</v>
      </c>
      <c r="L859">
        <f t="shared" ca="1" si="277"/>
        <v>0.66792567875149789</v>
      </c>
      <c r="M859">
        <f t="shared" ca="1" si="278"/>
        <v>0.94384919315600602</v>
      </c>
      <c r="N859">
        <f t="shared" ca="1" si="279"/>
        <v>2</v>
      </c>
      <c r="O859" s="47">
        <f t="shared" ca="1" si="280"/>
        <v>81827.755559086378</v>
      </c>
      <c r="P859">
        <f ca="1">Inputs!B14+(Inputs!D14-Inputs!B14)*BETAINV(RAND(),Model!H8,Model!I8)</f>
        <v>0.47989773096941002</v>
      </c>
      <c r="Q859">
        <f ca="1">Inputs!E14+(Inputs!G14-Inputs!E14)*BETAINV(RAND(),Model!J8,Model!K8)</f>
        <v>0.76086249879114254</v>
      </c>
      <c r="R859">
        <f ca="1">(Inputs!H14+(Inputs!J14-Inputs!H14)*BETAINV(RAND(),Model!L8,Model!M8))*Inputs!$C$6</f>
        <v>477162.37396640406</v>
      </c>
      <c r="S859">
        <f t="shared" ca="1" si="281"/>
        <v>0.36513618674958476</v>
      </c>
      <c r="T859">
        <f t="shared" ca="1" si="282"/>
        <v>0.69666469131149011</v>
      </c>
      <c r="U859">
        <f t="shared" ca="1" si="283"/>
        <v>1</v>
      </c>
      <c r="V859" s="47">
        <f t="shared" ca="1" si="284"/>
        <v>477162.37396640406</v>
      </c>
      <c r="W859">
        <f ca="1">Inputs!B15+(Inputs!D15-Inputs!B15)*BETAINV(RAND(),Model!H9,Model!I9)</f>
        <v>0.93912734558737054</v>
      </c>
      <c r="X859">
        <f ca="1">Inputs!E15+(Inputs!G15-Inputs!E15)*BETAINV(RAND(),Model!J9,Model!K9)</f>
        <v>0.28713334737010709</v>
      </c>
      <c r="Y859">
        <f ca="1">(Inputs!H15+(Inputs!J15-Inputs!H15)*BETAINV(RAND(),Model!L9,Model!M9))*Inputs!$C$6</f>
        <v>20575.458084169619</v>
      </c>
      <c r="Z859">
        <f t="shared" ca="1" si="285"/>
        <v>0.2696547783453051</v>
      </c>
      <c r="AA859">
        <f t="shared" ca="1" si="286"/>
        <v>0.36635501342402699</v>
      </c>
      <c r="AB859">
        <f t="shared" ca="1" si="287"/>
        <v>0</v>
      </c>
      <c r="AC859" s="47">
        <f t="shared" ca="1" si="288"/>
        <v>0</v>
      </c>
      <c r="AD859">
        <f ca="1">Inputs!B16+(Inputs!D16-Inputs!B16)*BETAINV(RAND(),Model!H10,Model!I10)</f>
        <v>0.39019212086830635</v>
      </c>
      <c r="AE859">
        <f ca="1">Inputs!E16+(Inputs!G16-Inputs!E16)*BETAINV(RAND(),Model!J10,Model!K10)</f>
        <v>0.58445194027161318</v>
      </c>
      <c r="AF859">
        <f ca="1">(Inputs!H16+(Inputs!J16-Inputs!H16)*BETAINV(RAND(),Model!L10,Model!M10))*Inputs!$C$6</f>
        <v>110483.63676618696</v>
      </c>
      <c r="AG859">
        <f t="shared" ca="1" si="289"/>
        <v>0.22804854212017744</v>
      </c>
      <c r="AH859">
        <f t="shared" ca="1" si="290"/>
        <v>0.808505944365007</v>
      </c>
      <c r="AI859">
        <f t="shared" ca="1" si="291"/>
        <v>1</v>
      </c>
      <c r="AJ859" s="47">
        <f t="shared" ca="1" si="292"/>
        <v>110483.63676618696</v>
      </c>
      <c r="AK859">
        <f t="shared" ca="1" si="293"/>
        <v>702167.94888459251</v>
      </c>
    </row>
    <row r="860" spans="2:37" x14ac:dyDescent="0.2">
      <c r="B860">
        <f ca="1">Inputs!B12+(Inputs!D12-Inputs!B12)*BETAINV(RAND(),Model!H6,Model!I6)</f>
        <v>4.7153199216231183</v>
      </c>
      <c r="C860">
        <f ca="1">Inputs!E12+(Inputs!G12-Inputs!E12)*BETAINV(RAND(),Model!J6,Model!K6)</f>
        <v>0.38590128665778139</v>
      </c>
      <c r="D860">
        <f ca="1">(Inputs!H12+(Inputs!J12-Inputs!H12)*BETAINV(RAND(),Model!L6,Model!M6))*Inputs!$C$6</f>
        <v>22761.306244337124</v>
      </c>
      <c r="E860">
        <f t="shared" ca="1" si="273"/>
        <v>1.8196480247574303</v>
      </c>
      <c r="F860">
        <f t="shared" ca="1" si="274"/>
        <v>0.6785351249376721</v>
      </c>
      <c r="G860">
        <f t="shared" ca="1" si="275"/>
        <v>2</v>
      </c>
      <c r="H860" s="47">
        <f t="shared" ca="1" si="276"/>
        <v>45522.612488674247</v>
      </c>
      <c r="I860">
        <f ca="1">Inputs!B13+(Inputs!D13-Inputs!B13)*BETAINV(RAND(),Model!H7,Model!I7)</f>
        <v>1.957364319344242</v>
      </c>
      <c r="J860">
        <f ca="1">Inputs!E13+(Inputs!G13-Inputs!E13)*BETAINV(RAND(),Model!J7,Model!K7)</f>
        <v>0.21412131592361697</v>
      </c>
      <c r="K860">
        <f ca="1">(Inputs!H13+(Inputs!J13-Inputs!H13)*BETAINV(RAND(),Model!L7,Model!M7))*Inputs!$C$6</f>
        <v>43002.989273337844</v>
      </c>
      <c r="L860">
        <f t="shared" ca="1" si="277"/>
        <v>0.41911342379992395</v>
      </c>
      <c r="M860">
        <f t="shared" ca="1" si="278"/>
        <v>0.94738338240456887</v>
      </c>
      <c r="N860">
        <f t="shared" ca="1" si="279"/>
        <v>2</v>
      </c>
      <c r="O860" s="47">
        <f t="shared" ca="1" si="280"/>
        <v>86005.978546675688</v>
      </c>
      <c r="P860">
        <f ca="1">Inputs!B14+(Inputs!D14-Inputs!B14)*BETAINV(RAND(),Model!H8,Model!I8)</f>
        <v>0.22438351492762859</v>
      </c>
      <c r="Q860">
        <f ca="1">Inputs!E14+(Inputs!G14-Inputs!E14)*BETAINV(RAND(),Model!J8,Model!K8)</f>
        <v>0.3419673010130152</v>
      </c>
      <c r="R860">
        <f ca="1">(Inputs!H14+(Inputs!J14-Inputs!H14)*BETAINV(RAND(),Model!L8,Model!M8))*Inputs!$C$6</f>
        <v>372765.86593373644</v>
      </c>
      <c r="S860">
        <f t="shared" ca="1" si="281"/>
        <v>7.6731824991614753E-2</v>
      </c>
      <c r="T860">
        <f t="shared" ca="1" si="282"/>
        <v>0.98042194147449813</v>
      </c>
      <c r="U860">
        <f t="shared" ca="1" si="283"/>
        <v>1</v>
      </c>
      <c r="V860" s="47">
        <f t="shared" ca="1" si="284"/>
        <v>372765.86593373644</v>
      </c>
      <c r="W860">
        <f ca="1">Inputs!B15+(Inputs!D15-Inputs!B15)*BETAINV(RAND(),Model!H9,Model!I9)</f>
        <v>0.42604617283868162</v>
      </c>
      <c r="X860">
        <f ca="1">Inputs!E15+(Inputs!G15-Inputs!E15)*BETAINV(RAND(),Model!J9,Model!K9)</f>
        <v>0.56462374816109639</v>
      </c>
      <c r="Y860">
        <f ca="1">(Inputs!H15+(Inputs!J15-Inputs!H15)*BETAINV(RAND(),Model!L9,Model!M9))*Inputs!$C$6</f>
        <v>37204.27155808753</v>
      </c>
      <c r="Z860">
        <f t="shared" ca="1" si="285"/>
        <v>0.24055578699786673</v>
      </c>
      <c r="AA860">
        <f t="shared" ca="1" si="286"/>
        <v>0.22172061635406426</v>
      </c>
      <c r="AB860">
        <f t="shared" ca="1" si="287"/>
        <v>0</v>
      </c>
      <c r="AC860" s="47">
        <f t="shared" ca="1" si="288"/>
        <v>0</v>
      </c>
      <c r="AD860">
        <f ca="1">Inputs!B16+(Inputs!D16-Inputs!B16)*BETAINV(RAND(),Model!H10,Model!I10)</f>
        <v>0.23439326090647339</v>
      </c>
      <c r="AE860">
        <f ca="1">Inputs!E16+(Inputs!G16-Inputs!E16)*BETAINV(RAND(),Model!J10,Model!K10)</f>
        <v>0.59516927938457531</v>
      </c>
      <c r="AF860">
        <f ca="1">(Inputs!H16+(Inputs!J16-Inputs!H16)*BETAINV(RAND(),Model!L10,Model!M10))*Inputs!$C$6</f>
        <v>92478.736976119151</v>
      </c>
      <c r="AG860">
        <f t="shared" ca="1" si="289"/>
        <v>0.13950366818630652</v>
      </c>
      <c r="AH860">
        <f t="shared" ca="1" si="290"/>
        <v>0.82735611698714184</v>
      </c>
      <c r="AI860">
        <f t="shared" ca="1" si="291"/>
        <v>0</v>
      </c>
      <c r="AJ860" s="47">
        <f t="shared" ca="1" si="292"/>
        <v>0</v>
      </c>
      <c r="AK860">
        <f t="shared" ca="1" si="293"/>
        <v>504294.45696908637</v>
      </c>
    </row>
    <row r="861" spans="2:37" x14ac:dyDescent="0.2">
      <c r="B861">
        <f ca="1">Inputs!B12+(Inputs!D12-Inputs!B12)*BETAINV(RAND(),Model!H6,Model!I6)</f>
        <v>4.9403285975110274</v>
      </c>
      <c r="C861">
        <f ca="1">Inputs!E12+(Inputs!G12-Inputs!E12)*BETAINV(RAND(),Model!J6,Model!K6)</f>
        <v>0.47279668881221004</v>
      </c>
      <c r="D861">
        <f ca="1">(Inputs!H12+(Inputs!J12-Inputs!H12)*BETAINV(RAND(),Model!L6,Model!M6))*Inputs!$C$6</f>
        <v>13856.061691372335</v>
      </c>
      <c r="E861">
        <f t="shared" ca="1" si="273"/>
        <v>2.3357710025474834</v>
      </c>
      <c r="F861">
        <f t="shared" ca="1" si="274"/>
        <v>0.52535638007651275</v>
      </c>
      <c r="G861">
        <f t="shared" ca="1" si="275"/>
        <v>2</v>
      </c>
      <c r="H861" s="47">
        <f t="shared" ca="1" si="276"/>
        <v>27712.12338274467</v>
      </c>
      <c r="I861">
        <f ca="1">Inputs!B13+(Inputs!D13-Inputs!B13)*BETAINV(RAND(),Model!H7,Model!I7)</f>
        <v>1.3354813104606498</v>
      </c>
      <c r="J861">
        <f ca="1">Inputs!E13+(Inputs!G13-Inputs!E13)*BETAINV(RAND(),Model!J7,Model!K7)</f>
        <v>0.26997085528262932</v>
      </c>
      <c r="K861">
        <f ca="1">(Inputs!H13+(Inputs!J13-Inputs!H13)*BETAINV(RAND(),Model!L7,Model!M7))*Inputs!$C$6</f>
        <v>46287.622288416984</v>
      </c>
      <c r="L861">
        <f t="shared" ca="1" si="277"/>
        <v>0.36054103159902823</v>
      </c>
      <c r="M861">
        <f t="shared" ca="1" si="278"/>
        <v>2.2258795177434232E-2</v>
      </c>
      <c r="N861">
        <f t="shared" ca="1" si="279"/>
        <v>0</v>
      </c>
      <c r="O861" s="47">
        <f t="shared" ca="1" si="280"/>
        <v>0</v>
      </c>
      <c r="P861">
        <f ca="1">Inputs!B14+(Inputs!D14-Inputs!B14)*BETAINV(RAND(),Model!H8,Model!I8)</f>
        <v>0.4117225561802903</v>
      </c>
      <c r="Q861">
        <f ca="1">Inputs!E14+(Inputs!G14-Inputs!E14)*BETAINV(RAND(),Model!J8,Model!K8)</f>
        <v>0.74917836677158589</v>
      </c>
      <c r="R861">
        <f ca="1">(Inputs!H14+(Inputs!J14-Inputs!H14)*BETAINV(RAND(),Model!L8,Model!M8))*Inputs!$C$6</f>
        <v>242482.9414463065</v>
      </c>
      <c r="S861">
        <f t="shared" ca="1" si="281"/>
        <v>0.30845363220217242</v>
      </c>
      <c r="T861">
        <f t="shared" ca="1" si="282"/>
        <v>0.36145571169920554</v>
      </c>
      <c r="U861">
        <f t="shared" ca="1" si="283"/>
        <v>0</v>
      </c>
      <c r="V861" s="47">
        <f t="shared" ca="1" si="284"/>
        <v>0</v>
      </c>
      <c r="W861">
        <f ca="1">Inputs!B15+(Inputs!D15-Inputs!B15)*BETAINV(RAND(),Model!H9,Model!I9)</f>
        <v>0.90378642439134116</v>
      </c>
      <c r="X861">
        <f ca="1">Inputs!E15+(Inputs!G15-Inputs!E15)*BETAINV(RAND(),Model!J9,Model!K9)</f>
        <v>0.49485096203404394</v>
      </c>
      <c r="Y861">
        <f ca="1">(Inputs!H15+(Inputs!J15-Inputs!H15)*BETAINV(RAND(),Model!L9,Model!M9))*Inputs!$C$6</f>
        <v>24843.364790258584</v>
      </c>
      <c r="Z861">
        <f t="shared" ca="1" si="285"/>
        <v>0.44723958158336391</v>
      </c>
      <c r="AA861">
        <f t="shared" ca="1" si="286"/>
        <v>5.1281861221674774E-2</v>
      </c>
      <c r="AB861">
        <f t="shared" ca="1" si="287"/>
        <v>0</v>
      </c>
      <c r="AC861" s="47">
        <f t="shared" ca="1" si="288"/>
        <v>0</v>
      </c>
      <c r="AD861">
        <f ca="1">Inputs!B16+(Inputs!D16-Inputs!B16)*BETAINV(RAND(),Model!H10,Model!I10)</f>
        <v>0.89351006840214242</v>
      </c>
      <c r="AE861">
        <f ca="1">Inputs!E16+(Inputs!G16-Inputs!E16)*BETAINV(RAND(),Model!J10,Model!K10)</f>
        <v>0.58512006663756166</v>
      </c>
      <c r="AF861">
        <f ca="1">(Inputs!H16+(Inputs!J16-Inputs!H16)*BETAINV(RAND(),Model!L10,Model!M10))*Inputs!$C$6</f>
        <v>70113.79188151077</v>
      </c>
      <c r="AG861">
        <f t="shared" ca="1" si="289"/>
        <v>0.52281067076479382</v>
      </c>
      <c r="AH861">
        <f t="shared" ca="1" si="290"/>
        <v>0.80823558379956428</v>
      </c>
      <c r="AI861">
        <f t="shared" ca="1" si="291"/>
        <v>1</v>
      </c>
      <c r="AJ861" s="47">
        <f t="shared" ca="1" si="292"/>
        <v>70113.79188151077</v>
      </c>
      <c r="AK861">
        <f t="shared" ca="1" si="293"/>
        <v>97825.91526425544</v>
      </c>
    </row>
    <row r="862" spans="2:37" x14ac:dyDescent="0.2">
      <c r="B862">
        <f ca="1">Inputs!B12+(Inputs!D12-Inputs!B12)*BETAINV(RAND(),Model!H6,Model!I6)</f>
        <v>3.392386644768977</v>
      </c>
      <c r="C862">
        <f ca="1">Inputs!E12+(Inputs!G12-Inputs!E12)*BETAINV(RAND(),Model!J6,Model!K6)</f>
        <v>0.18758445754760031</v>
      </c>
      <c r="D862">
        <f ca="1">(Inputs!H12+(Inputs!J12-Inputs!H12)*BETAINV(RAND(),Model!L6,Model!M6))*Inputs!$C$6</f>
        <v>21155.567407075338</v>
      </c>
      <c r="E862">
        <f t="shared" ca="1" si="273"/>
        <v>0.63635900855071237</v>
      </c>
      <c r="F862">
        <f t="shared" ca="1" si="274"/>
        <v>0.50906733296185691</v>
      </c>
      <c r="G862">
        <f t="shared" ca="1" si="275"/>
        <v>0</v>
      </c>
      <c r="H862" s="47">
        <f t="shared" ca="1" si="276"/>
        <v>0</v>
      </c>
      <c r="I862">
        <f ca="1">Inputs!B13+(Inputs!D13-Inputs!B13)*BETAINV(RAND(),Model!H7,Model!I7)</f>
        <v>1.0712409920166532</v>
      </c>
      <c r="J862">
        <f ca="1">Inputs!E13+(Inputs!G13-Inputs!E13)*BETAINV(RAND(),Model!J7,Model!K7)</f>
        <v>0.25575620647276426</v>
      </c>
      <c r="K862">
        <f ca="1">(Inputs!H13+(Inputs!J13-Inputs!H13)*BETAINV(RAND(),Model!L7,Model!M7))*Inputs!$C$6</f>
        <v>34246.329135035834</v>
      </c>
      <c r="L862">
        <f t="shared" ca="1" si="277"/>
        <v>0.27397653233629998</v>
      </c>
      <c r="M862">
        <f t="shared" ca="1" si="278"/>
        <v>0.80447605732675032</v>
      </c>
      <c r="N862">
        <f t="shared" ca="1" si="279"/>
        <v>1</v>
      </c>
      <c r="O862" s="47">
        <f t="shared" ca="1" si="280"/>
        <v>34246.329135035834</v>
      </c>
      <c r="P862">
        <f ca="1">Inputs!B14+(Inputs!D14-Inputs!B14)*BETAINV(RAND(),Model!H8,Model!I8)</f>
        <v>0.35638643332575148</v>
      </c>
      <c r="Q862">
        <f ca="1">Inputs!E14+(Inputs!G14-Inputs!E14)*BETAINV(RAND(),Model!J8,Model!K8)</f>
        <v>0.56327753868590513</v>
      </c>
      <c r="R862">
        <f ca="1">(Inputs!H14+(Inputs!J14-Inputs!H14)*BETAINV(RAND(),Model!L8,Model!M8))*Inputs!$C$6</f>
        <v>272267.31224677543</v>
      </c>
      <c r="S862">
        <f t="shared" ca="1" si="281"/>
        <v>0.20074447298477774</v>
      </c>
      <c r="T862">
        <f t="shared" ca="1" si="282"/>
        <v>0.20886945535798018</v>
      </c>
      <c r="U862">
        <f t="shared" ca="1" si="283"/>
        <v>0</v>
      </c>
      <c r="V862" s="47">
        <f t="shared" ca="1" si="284"/>
        <v>0</v>
      </c>
      <c r="W862">
        <f ca="1">Inputs!B15+(Inputs!D15-Inputs!B15)*BETAINV(RAND(),Model!H9,Model!I9)</f>
        <v>2.2677647749595344</v>
      </c>
      <c r="X862">
        <f ca="1">Inputs!E15+(Inputs!G15-Inputs!E15)*BETAINV(RAND(),Model!J9,Model!K9)</f>
        <v>0.36770059141301981</v>
      </c>
      <c r="Y862">
        <f ca="1">(Inputs!H15+(Inputs!J15-Inputs!H15)*BETAINV(RAND(),Model!L9,Model!M9))*Inputs!$C$6</f>
        <v>43726.983360195118</v>
      </c>
      <c r="Z862">
        <f t="shared" ca="1" si="285"/>
        <v>0.83385844893823458</v>
      </c>
      <c r="AA862">
        <f t="shared" ca="1" si="286"/>
        <v>0.3727622229073545</v>
      </c>
      <c r="AB862">
        <f t="shared" ca="1" si="287"/>
        <v>0</v>
      </c>
      <c r="AC862" s="47">
        <f t="shared" ca="1" si="288"/>
        <v>0</v>
      </c>
      <c r="AD862">
        <f ca="1">Inputs!B16+(Inputs!D16-Inputs!B16)*BETAINV(RAND(),Model!H10,Model!I10)</f>
        <v>0.29228180823071859</v>
      </c>
      <c r="AE862">
        <f ca="1">Inputs!E16+(Inputs!G16-Inputs!E16)*BETAINV(RAND(),Model!J10,Model!K10)</f>
        <v>0.63197537659510505</v>
      </c>
      <c r="AF862">
        <f ca="1">(Inputs!H16+(Inputs!J16-Inputs!H16)*BETAINV(RAND(),Model!L10,Model!M10))*Inputs!$C$6</f>
        <v>103187.29681993734</v>
      </c>
      <c r="AG862">
        <f t="shared" ca="1" si="289"/>
        <v>0.18471490582850666</v>
      </c>
      <c r="AH862">
        <f t="shared" ca="1" si="290"/>
        <v>0.35268187680693086</v>
      </c>
      <c r="AI862">
        <f t="shared" ca="1" si="291"/>
        <v>0</v>
      </c>
      <c r="AJ862" s="47">
        <f t="shared" ca="1" si="292"/>
        <v>0</v>
      </c>
      <c r="AK862">
        <f t="shared" ca="1" si="293"/>
        <v>34246.329135035834</v>
      </c>
    </row>
    <row r="863" spans="2:37" x14ac:dyDescent="0.2">
      <c r="B863">
        <f ca="1">Inputs!B12+(Inputs!D12-Inputs!B12)*BETAINV(RAND(),Model!H6,Model!I6)</f>
        <v>4.7156454717394665</v>
      </c>
      <c r="C863">
        <f ca="1">Inputs!E12+(Inputs!G12-Inputs!E12)*BETAINV(RAND(),Model!J6,Model!K6)</f>
        <v>0.20616242327942388</v>
      </c>
      <c r="D863">
        <f ca="1">(Inputs!H12+(Inputs!J12-Inputs!H12)*BETAINV(RAND(),Model!L6,Model!M6))*Inputs!$C$6</f>
        <v>13872.667427355598</v>
      </c>
      <c r="E863">
        <f t="shared" ca="1" si="273"/>
        <v>0.97218889778045037</v>
      </c>
      <c r="F863">
        <f t="shared" ca="1" si="274"/>
        <v>0.20559588459835221</v>
      </c>
      <c r="G863">
        <f t="shared" ca="1" si="275"/>
        <v>0</v>
      </c>
      <c r="H863" s="47">
        <f t="shared" ca="1" si="276"/>
        <v>0</v>
      </c>
      <c r="I863">
        <f ca="1">Inputs!B13+(Inputs!D13-Inputs!B13)*BETAINV(RAND(),Model!H7,Model!I7)</f>
        <v>2.6646699384037595</v>
      </c>
      <c r="J863">
        <f ca="1">Inputs!E13+(Inputs!G13-Inputs!E13)*BETAINV(RAND(),Model!J7,Model!K7)</f>
        <v>0.19970134547872492</v>
      </c>
      <c r="K863">
        <f ca="1">(Inputs!H13+(Inputs!J13-Inputs!H13)*BETAINV(RAND(),Model!L7,Model!M7))*Inputs!$C$6</f>
        <v>53741.78986286428</v>
      </c>
      <c r="L863">
        <f t="shared" ca="1" si="277"/>
        <v>0.53213817195594182</v>
      </c>
      <c r="M863">
        <f t="shared" ca="1" si="278"/>
        <v>0.70787195508599154</v>
      </c>
      <c r="N863">
        <f t="shared" ca="1" si="279"/>
        <v>1</v>
      </c>
      <c r="O863" s="47">
        <f t="shared" ca="1" si="280"/>
        <v>53741.78986286428</v>
      </c>
      <c r="P863">
        <f ca="1">Inputs!B14+(Inputs!D14-Inputs!B14)*BETAINV(RAND(),Model!H8,Model!I8)</f>
        <v>0.40144216664988286</v>
      </c>
      <c r="Q863">
        <f ca="1">Inputs!E14+(Inputs!G14-Inputs!E14)*BETAINV(RAND(),Model!J8,Model!K8)</f>
        <v>0.5878506200416832</v>
      </c>
      <c r="R863">
        <f ca="1">(Inputs!H14+(Inputs!J14-Inputs!H14)*BETAINV(RAND(),Model!L8,Model!M8))*Inputs!$C$6</f>
        <v>539756.65918444307</v>
      </c>
      <c r="S863">
        <f t="shared" ca="1" si="281"/>
        <v>0.23598802657601037</v>
      </c>
      <c r="T863">
        <f t="shared" ca="1" si="282"/>
        <v>0.39196763447157257</v>
      </c>
      <c r="U863">
        <f t="shared" ca="1" si="283"/>
        <v>0</v>
      </c>
      <c r="V863" s="47">
        <f t="shared" ca="1" si="284"/>
        <v>0</v>
      </c>
      <c r="W863">
        <f ca="1">Inputs!B15+(Inputs!D15-Inputs!B15)*BETAINV(RAND(),Model!H9,Model!I9)</f>
        <v>0.72703253409186896</v>
      </c>
      <c r="X863">
        <f ca="1">Inputs!E15+(Inputs!G15-Inputs!E15)*BETAINV(RAND(),Model!J9,Model!K9)</f>
        <v>0.50500340537458177</v>
      </c>
      <c r="Y863">
        <f ca="1">(Inputs!H15+(Inputs!J15-Inputs!H15)*BETAINV(RAND(),Model!L9,Model!M9))*Inputs!$C$6</f>
        <v>69579.913811505772</v>
      </c>
      <c r="Z863">
        <f t="shared" ca="1" si="285"/>
        <v>0.36715390553450555</v>
      </c>
      <c r="AA863">
        <f t="shared" ca="1" si="286"/>
        <v>0.49786451701116285</v>
      </c>
      <c r="AB863">
        <f t="shared" ca="1" si="287"/>
        <v>0</v>
      </c>
      <c r="AC863" s="47">
        <f t="shared" ca="1" si="288"/>
        <v>0</v>
      </c>
      <c r="AD863">
        <f ca="1">Inputs!B16+(Inputs!D16-Inputs!B16)*BETAINV(RAND(),Model!H10,Model!I10)</f>
        <v>0.81640162623859158</v>
      </c>
      <c r="AE863">
        <f ca="1">Inputs!E16+(Inputs!G16-Inputs!E16)*BETAINV(RAND(),Model!J10,Model!K10)</f>
        <v>0.69580291023152585</v>
      </c>
      <c r="AF863">
        <f ca="1">(Inputs!H16+(Inputs!J16-Inputs!H16)*BETAINV(RAND(),Model!L10,Model!M10))*Inputs!$C$6</f>
        <v>97273.331869881236</v>
      </c>
      <c r="AG863">
        <f t="shared" ca="1" si="289"/>
        <v>0.56805462745456248</v>
      </c>
      <c r="AH863">
        <f t="shared" ca="1" si="290"/>
        <v>0.45199787655425328</v>
      </c>
      <c r="AI863">
        <f t="shared" ca="1" si="291"/>
        <v>0</v>
      </c>
      <c r="AJ863" s="47">
        <f t="shared" ca="1" si="292"/>
        <v>0</v>
      </c>
      <c r="AK863">
        <f t="shared" ca="1" si="293"/>
        <v>53741.78986286428</v>
      </c>
    </row>
    <row r="864" spans="2:37" x14ac:dyDescent="0.2">
      <c r="B864">
        <f ca="1">Inputs!B12+(Inputs!D12-Inputs!B12)*BETAINV(RAND(),Model!H6,Model!I6)</f>
        <v>1.096235075828192</v>
      </c>
      <c r="C864">
        <f ca="1">Inputs!E12+(Inputs!G12-Inputs!E12)*BETAINV(RAND(),Model!J6,Model!K6)</f>
        <v>0.32142886140206883</v>
      </c>
      <c r="D864">
        <f ca="1">(Inputs!H12+(Inputs!J12-Inputs!H12)*BETAINV(RAND(),Model!L6,Model!M6))*Inputs!$C$6</f>
        <v>37453.208309703463</v>
      </c>
      <c r="E864">
        <f t="shared" ca="1" si="273"/>
        <v>0.35236159225246633</v>
      </c>
      <c r="F864">
        <f t="shared" ca="1" si="274"/>
        <v>0.52412809597806964</v>
      </c>
      <c r="G864">
        <f t="shared" ca="1" si="275"/>
        <v>0</v>
      </c>
      <c r="H864" s="47">
        <f t="shared" ca="1" si="276"/>
        <v>0</v>
      </c>
      <c r="I864">
        <f ca="1">Inputs!B13+(Inputs!D13-Inputs!B13)*BETAINV(RAND(),Model!H7,Model!I7)</f>
        <v>2.9160614075858069</v>
      </c>
      <c r="J864">
        <f ca="1">Inputs!E13+(Inputs!G13-Inputs!E13)*BETAINV(RAND(),Model!J7,Model!K7)</f>
        <v>0.28705044414062642</v>
      </c>
      <c r="K864">
        <f ca="1">(Inputs!H13+(Inputs!J13-Inputs!H13)*BETAINV(RAND(),Model!L7,Model!M7))*Inputs!$C$6</f>
        <v>32254.492777808162</v>
      </c>
      <c r="L864">
        <f t="shared" ca="1" si="277"/>
        <v>0.83705672218884608</v>
      </c>
      <c r="M864">
        <f t="shared" ca="1" si="278"/>
        <v>5.3544656596327789E-2</v>
      </c>
      <c r="N864">
        <f t="shared" ca="1" si="279"/>
        <v>0</v>
      </c>
      <c r="O864" s="47">
        <f t="shared" ca="1" si="280"/>
        <v>0</v>
      </c>
      <c r="P864">
        <f ca="1">Inputs!B14+(Inputs!D14-Inputs!B14)*BETAINV(RAND(),Model!H8,Model!I8)</f>
        <v>0.16359511426185658</v>
      </c>
      <c r="Q864">
        <f ca="1">Inputs!E14+(Inputs!G14-Inputs!E14)*BETAINV(RAND(),Model!J8,Model!K8)</f>
        <v>0.58417391044028777</v>
      </c>
      <c r="R864">
        <f ca="1">(Inputs!H14+(Inputs!J14-Inputs!H14)*BETAINV(RAND(),Model!L8,Model!M8))*Inputs!$C$6</f>
        <v>414998.57366168557</v>
      </c>
      <c r="S864">
        <f t="shared" ca="1" si="281"/>
        <v>9.5567997627274442E-2</v>
      </c>
      <c r="T864">
        <f t="shared" ca="1" si="282"/>
        <v>0.44487352984649409</v>
      </c>
      <c r="U864">
        <f t="shared" ca="1" si="283"/>
        <v>0</v>
      </c>
      <c r="V864" s="47">
        <f t="shared" ca="1" si="284"/>
        <v>0</v>
      </c>
      <c r="W864">
        <f ca="1">Inputs!B15+(Inputs!D15-Inputs!B15)*BETAINV(RAND(),Model!H9,Model!I9)</f>
        <v>0.63350144870573288</v>
      </c>
      <c r="X864">
        <f ca="1">Inputs!E15+(Inputs!G15-Inputs!E15)*BETAINV(RAND(),Model!J9,Model!K9)</f>
        <v>0.53385810798745537</v>
      </c>
      <c r="Y864">
        <f ca="1">(Inputs!H15+(Inputs!J15-Inputs!H15)*BETAINV(RAND(),Model!L9,Model!M9))*Inputs!$C$6</f>
        <v>50913.908701079927</v>
      </c>
      <c r="Z864">
        <f t="shared" ca="1" si="285"/>
        <v>0.33819988481335456</v>
      </c>
      <c r="AA864">
        <f t="shared" ca="1" si="286"/>
        <v>1.3072400828419539E-2</v>
      </c>
      <c r="AB864">
        <f t="shared" ca="1" si="287"/>
        <v>0</v>
      </c>
      <c r="AC864" s="47">
        <f t="shared" ca="1" si="288"/>
        <v>0</v>
      </c>
      <c r="AD864">
        <f ca="1">Inputs!B16+(Inputs!D16-Inputs!B16)*BETAINV(RAND(),Model!H10,Model!I10)</f>
        <v>0.75847266350532205</v>
      </c>
      <c r="AE864">
        <f ca="1">Inputs!E16+(Inputs!G16-Inputs!E16)*BETAINV(RAND(),Model!J10,Model!K10)</f>
        <v>0.70434164419903822</v>
      </c>
      <c r="AF864">
        <f ca="1">(Inputs!H16+(Inputs!J16-Inputs!H16)*BETAINV(RAND(),Model!L10,Model!M10))*Inputs!$C$6</f>
        <v>70008.900478197262</v>
      </c>
      <c r="AG864">
        <f t="shared" ca="1" si="289"/>
        <v>0.53422388289336242</v>
      </c>
      <c r="AH864">
        <f t="shared" ca="1" si="290"/>
        <v>0.55280325056305213</v>
      </c>
      <c r="AI864">
        <f t="shared" ca="1" si="291"/>
        <v>0</v>
      </c>
      <c r="AJ864" s="47">
        <f t="shared" ca="1" si="292"/>
        <v>0</v>
      </c>
      <c r="AK864">
        <f t="shared" ca="1" si="293"/>
        <v>0</v>
      </c>
    </row>
    <row r="865" spans="2:37" x14ac:dyDescent="0.2">
      <c r="B865">
        <f ca="1">Inputs!B12+(Inputs!D12-Inputs!B12)*BETAINV(RAND(),Model!H6,Model!I6)</f>
        <v>5.3630157681408086</v>
      </c>
      <c r="C865">
        <f ca="1">Inputs!E12+(Inputs!G12-Inputs!E12)*BETAINV(RAND(),Model!J6,Model!K6)</f>
        <v>0.24225714142335375</v>
      </c>
      <c r="D865">
        <f ca="1">(Inputs!H12+(Inputs!J12-Inputs!H12)*BETAINV(RAND(),Model!L6,Model!M6))*Inputs!$C$6</f>
        <v>21679.911111672114</v>
      </c>
      <c r="E865">
        <f t="shared" ca="1" si="273"/>
        <v>1.299228869398164</v>
      </c>
      <c r="F865">
        <f t="shared" ca="1" si="274"/>
        <v>9.1009569079277264E-2</v>
      </c>
      <c r="G865">
        <f t="shared" ca="1" si="275"/>
        <v>0</v>
      </c>
      <c r="H865" s="47">
        <f t="shared" ca="1" si="276"/>
        <v>0</v>
      </c>
      <c r="I865">
        <f ca="1">Inputs!B13+(Inputs!D13-Inputs!B13)*BETAINV(RAND(),Model!H7,Model!I7)</f>
        <v>2.6130164544190779</v>
      </c>
      <c r="J865">
        <f ca="1">Inputs!E13+(Inputs!G13-Inputs!E13)*BETAINV(RAND(),Model!J7,Model!K7)</f>
        <v>0.25543551931012276</v>
      </c>
      <c r="K865">
        <f ca="1">(Inputs!H13+(Inputs!J13-Inputs!H13)*BETAINV(RAND(),Model!L7,Model!M7))*Inputs!$C$6</f>
        <v>27897.771883829759</v>
      </c>
      <c r="L865">
        <f t="shared" ca="1" si="277"/>
        <v>0.66745721500043287</v>
      </c>
      <c r="M865">
        <f t="shared" ca="1" si="278"/>
        <v>0.67002631968643023</v>
      </c>
      <c r="N865">
        <f t="shared" ca="1" si="279"/>
        <v>1</v>
      </c>
      <c r="O865" s="47">
        <f t="shared" ca="1" si="280"/>
        <v>27897.771883829759</v>
      </c>
      <c r="P865">
        <f ca="1">Inputs!B14+(Inputs!D14-Inputs!B14)*BETAINV(RAND(),Model!H8,Model!I8)</f>
        <v>0.30760683873763095</v>
      </c>
      <c r="Q865">
        <f ca="1">Inputs!E14+(Inputs!G14-Inputs!E14)*BETAINV(RAND(),Model!J8,Model!K8)</f>
        <v>0.65473651370179198</v>
      </c>
      <c r="R865">
        <f ca="1">(Inputs!H14+(Inputs!J14-Inputs!H14)*BETAINV(RAND(),Model!L8,Model!M8))*Inputs!$C$6</f>
        <v>248614.06770180375</v>
      </c>
      <c r="S865">
        <f t="shared" ca="1" si="281"/>
        <v>0.20140142918590581</v>
      </c>
      <c r="T865">
        <f t="shared" ca="1" si="282"/>
        <v>0.31502517507523964</v>
      </c>
      <c r="U865">
        <f t="shared" ca="1" si="283"/>
        <v>0</v>
      </c>
      <c r="V865" s="47">
        <f t="shared" ca="1" si="284"/>
        <v>0</v>
      </c>
      <c r="W865">
        <f ca="1">Inputs!B15+(Inputs!D15-Inputs!B15)*BETAINV(RAND(),Model!H9,Model!I9)</f>
        <v>1.3550292294624739</v>
      </c>
      <c r="X865">
        <f ca="1">Inputs!E15+(Inputs!G15-Inputs!E15)*BETAINV(RAND(),Model!J9,Model!K9)</f>
        <v>0.48939754251057993</v>
      </c>
      <c r="Y865">
        <f ca="1">(Inputs!H15+(Inputs!J15-Inputs!H15)*BETAINV(RAND(),Model!L9,Model!M9))*Inputs!$C$6</f>
        <v>18585.540312430308</v>
      </c>
      <c r="Z865">
        <f t="shared" ca="1" si="285"/>
        <v>0.66314797492893951</v>
      </c>
      <c r="AA865">
        <f t="shared" ca="1" si="286"/>
        <v>0.14557857586061118</v>
      </c>
      <c r="AB865">
        <f t="shared" ca="1" si="287"/>
        <v>0</v>
      </c>
      <c r="AC865" s="47">
        <f t="shared" ca="1" si="288"/>
        <v>0</v>
      </c>
      <c r="AD865">
        <f ca="1">Inputs!B16+(Inputs!D16-Inputs!B16)*BETAINV(RAND(),Model!H10,Model!I10)</f>
        <v>0.87009984846337018</v>
      </c>
      <c r="AE865">
        <f ca="1">Inputs!E16+(Inputs!G16-Inputs!E16)*BETAINV(RAND(),Model!J10,Model!K10)</f>
        <v>0.65100742596176153</v>
      </c>
      <c r="AF865">
        <f ca="1">(Inputs!H16+(Inputs!J16-Inputs!H16)*BETAINV(RAND(),Model!L10,Model!M10))*Inputs!$C$6</f>
        <v>67205.001238477882</v>
      </c>
      <c r="AG865">
        <f t="shared" ca="1" si="289"/>
        <v>0.56644146267785744</v>
      </c>
      <c r="AH865">
        <f t="shared" ca="1" si="290"/>
        <v>0.27647935166629278</v>
      </c>
      <c r="AI865">
        <f t="shared" ca="1" si="291"/>
        <v>0</v>
      </c>
      <c r="AJ865" s="47">
        <f t="shared" ca="1" si="292"/>
        <v>0</v>
      </c>
      <c r="AK865">
        <f t="shared" ca="1" si="293"/>
        <v>27897.771883829759</v>
      </c>
    </row>
    <row r="866" spans="2:37" x14ac:dyDescent="0.2">
      <c r="B866">
        <f ca="1">Inputs!B12+(Inputs!D12-Inputs!B12)*BETAINV(RAND(),Model!H6,Model!I6)</f>
        <v>3.9529368204553292</v>
      </c>
      <c r="C866">
        <f ca="1">Inputs!E12+(Inputs!G12-Inputs!E12)*BETAINV(RAND(),Model!J6,Model!K6)</f>
        <v>0.3822817783250263</v>
      </c>
      <c r="D866">
        <f ca="1">(Inputs!H12+(Inputs!J12-Inputs!H12)*BETAINV(RAND(),Model!L6,Model!M6))*Inputs!$C$6</f>
        <v>29272.435107650934</v>
      </c>
      <c r="E866">
        <f t="shared" ca="1" si="273"/>
        <v>1.5111357173301385</v>
      </c>
      <c r="F866">
        <f t="shared" ca="1" si="274"/>
        <v>0.95821302785513596</v>
      </c>
      <c r="G866">
        <f t="shared" ca="1" si="275"/>
        <v>4</v>
      </c>
      <c r="H866" s="47">
        <f t="shared" ca="1" si="276"/>
        <v>117089.74043060374</v>
      </c>
      <c r="I866">
        <f ca="1">Inputs!B13+(Inputs!D13-Inputs!B13)*BETAINV(RAND(),Model!H7,Model!I7)</f>
        <v>3.2848679785229251</v>
      </c>
      <c r="J866">
        <f ca="1">Inputs!E13+(Inputs!G13-Inputs!E13)*BETAINV(RAND(),Model!J7,Model!K7)</f>
        <v>0.16685644891698315</v>
      </c>
      <c r="K866">
        <f ca="1">(Inputs!H13+(Inputs!J13-Inputs!H13)*BETAINV(RAND(),Model!L7,Model!M7))*Inputs!$C$6</f>
        <v>53583.323198081722</v>
      </c>
      <c r="L866">
        <f t="shared" ca="1" si="277"/>
        <v>0.54810140605744417</v>
      </c>
      <c r="M866">
        <f t="shared" ca="1" si="278"/>
        <v>0.5540338451861414</v>
      </c>
      <c r="N866">
        <f t="shared" ca="1" si="279"/>
        <v>0</v>
      </c>
      <c r="O866" s="47">
        <f t="shared" ca="1" si="280"/>
        <v>0</v>
      </c>
      <c r="P866">
        <f ca="1">Inputs!B14+(Inputs!D14-Inputs!B14)*BETAINV(RAND(),Model!H8,Model!I8)</f>
        <v>0.22887896116332412</v>
      </c>
      <c r="Q866">
        <f ca="1">Inputs!E14+(Inputs!G14-Inputs!E14)*BETAINV(RAND(),Model!J8,Model!K8)</f>
        <v>0.52423315310921748</v>
      </c>
      <c r="R866">
        <f ca="1">(Inputs!H14+(Inputs!J14-Inputs!H14)*BETAINV(RAND(),Model!L8,Model!M8))*Inputs!$C$6</f>
        <v>416566.31623113219</v>
      </c>
      <c r="S866">
        <f t="shared" ca="1" si="281"/>
        <v>0.11998593949101154</v>
      </c>
      <c r="T866">
        <f t="shared" ca="1" si="282"/>
        <v>0.11910782737656267</v>
      </c>
      <c r="U866">
        <f t="shared" ca="1" si="283"/>
        <v>0</v>
      </c>
      <c r="V866" s="47">
        <f t="shared" ca="1" si="284"/>
        <v>0</v>
      </c>
      <c r="W866">
        <f ca="1">Inputs!B15+(Inputs!D15-Inputs!B15)*BETAINV(RAND(),Model!H9,Model!I9)</f>
        <v>1.4626447031257728</v>
      </c>
      <c r="X866">
        <f ca="1">Inputs!E15+(Inputs!G15-Inputs!E15)*BETAINV(RAND(),Model!J9,Model!K9)</f>
        <v>0.39507337366480466</v>
      </c>
      <c r="Y866">
        <f ca="1">(Inputs!H15+(Inputs!J15-Inputs!H15)*BETAINV(RAND(),Model!L9,Model!M9))*Inputs!$C$6</f>
        <v>22148.278624271054</v>
      </c>
      <c r="Z866">
        <f t="shared" ca="1" si="285"/>
        <v>0.57785197733685567</v>
      </c>
      <c r="AA866">
        <f t="shared" ca="1" si="286"/>
        <v>0.86532034213924947</v>
      </c>
      <c r="AB866">
        <f t="shared" ca="1" si="287"/>
        <v>1</v>
      </c>
      <c r="AC866" s="47">
        <f t="shared" ca="1" si="288"/>
        <v>22148.278624271054</v>
      </c>
      <c r="AD866">
        <f ca="1">Inputs!B16+(Inputs!D16-Inputs!B16)*BETAINV(RAND(),Model!H10,Model!I10)</f>
        <v>0.62451817799399123</v>
      </c>
      <c r="AE866">
        <f ca="1">Inputs!E16+(Inputs!G16-Inputs!E16)*BETAINV(RAND(),Model!J10,Model!K10)</f>
        <v>0.62714785314032417</v>
      </c>
      <c r="AF866">
        <f ca="1">(Inputs!H16+(Inputs!J16-Inputs!H16)*BETAINV(RAND(),Model!L10,Model!M10))*Inputs!$C$6</f>
        <v>57220.501705045986</v>
      </c>
      <c r="AG866">
        <f t="shared" ca="1" si="289"/>
        <v>0.39166523457603847</v>
      </c>
      <c r="AH866">
        <f t="shared" ca="1" si="290"/>
        <v>0.55885296324473965</v>
      </c>
      <c r="AI866">
        <f t="shared" ca="1" si="291"/>
        <v>0</v>
      </c>
      <c r="AJ866" s="47">
        <f t="shared" ca="1" si="292"/>
        <v>0</v>
      </c>
      <c r="AK866">
        <f t="shared" ca="1" si="293"/>
        <v>139238.01905487478</v>
      </c>
    </row>
    <row r="867" spans="2:37" x14ac:dyDescent="0.2">
      <c r="B867">
        <f ca="1">Inputs!B12+(Inputs!D12-Inputs!B12)*BETAINV(RAND(),Model!H6,Model!I6)</f>
        <v>3.6711312254679669</v>
      </c>
      <c r="C867">
        <f ca="1">Inputs!E12+(Inputs!G12-Inputs!E12)*BETAINV(RAND(),Model!J6,Model!K6)</f>
        <v>0.39203806824991139</v>
      </c>
      <c r="D867">
        <f ca="1">(Inputs!H12+(Inputs!J12-Inputs!H12)*BETAINV(RAND(),Model!L6,Model!M6))*Inputs!$C$6</f>
        <v>36236.592315170099</v>
      </c>
      <c r="E867">
        <f t="shared" ca="1" si="273"/>
        <v>1.4392231939243916</v>
      </c>
      <c r="F867">
        <f t="shared" ca="1" si="274"/>
        <v>0.45785607253739524</v>
      </c>
      <c r="G867">
        <f t="shared" ca="1" si="275"/>
        <v>1</v>
      </c>
      <c r="H867" s="47">
        <f t="shared" ca="1" si="276"/>
        <v>36236.592315170099</v>
      </c>
      <c r="I867">
        <f ca="1">Inputs!B13+(Inputs!D13-Inputs!B13)*BETAINV(RAND(),Model!H7,Model!I7)</f>
        <v>2.4374540397503885</v>
      </c>
      <c r="J867">
        <f ca="1">Inputs!E13+(Inputs!G13-Inputs!E13)*BETAINV(RAND(),Model!J7,Model!K7)</f>
        <v>0.26624386253257787</v>
      </c>
      <c r="K867">
        <f ca="1">(Inputs!H13+(Inputs!J13-Inputs!H13)*BETAINV(RAND(),Model!L7,Model!M7))*Inputs!$C$6</f>
        <v>55060.513306672983</v>
      </c>
      <c r="L867">
        <f t="shared" ca="1" si="277"/>
        <v>0.64895717828877908</v>
      </c>
      <c r="M867">
        <f t="shared" ca="1" si="278"/>
        <v>0.16010808361318085</v>
      </c>
      <c r="N867">
        <f t="shared" ca="1" si="279"/>
        <v>0</v>
      </c>
      <c r="O867" s="47">
        <f t="shared" ca="1" si="280"/>
        <v>0</v>
      </c>
      <c r="P867">
        <f ca="1">Inputs!B14+(Inputs!D14-Inputs!B14)*BETAINV(RAND(),Model!H8,Model!I8)</f>
        <v>0.3133783294363035</v>
      </c>
      <c r="Q867">
        <f ca="1">Inputs!E14+(Inputs!G14-Inputs!E14)*BETAINV(RAND(),Model!J8,Model!K8)</f>
        <v>0.54003456093941349</v>
      </c>
      <c r="R867">
        <f ca="1">(Inputs!H14+(Inputs!J14-Inputs!H14)*BETAINV(RAND(),Model!L8,Model!M8))*Inputs!$C$6</f>
        <v>267001.02881845599</v>
      </c>
      <c r="S867">
        <f t="shared" ca="1" si="281"/>
        <v>0.16923512854506104</v>
      </c>
      <c r="T867">
        <f t="shared" ca="1" si="282"/>
        <v>0.64639749910230215</v>
      </c>
      <c r="U867">
        <f t="shared" ca="1" si="283"/>
        <v>0</v>
      </c>
      <c r="V867" s="47">
        <f t="shared" ca="1" si="284"/>
        <v>0</v>
      </c>
      <c r="W867">
        <f ca="1">Inputs!B15+(Inputs!D15-Inputs!B15)*BETAINV(RAND(),Model!H9,Model!I9)</f>
        <v>1.2234433519760983</v>
      </c>
      <c r="X867">
        <f ca="1">Inputs!E15+(Inputs!G15-Inputs!E15)*BETAINV(RAND(),Model!J9,Model!K9)</f>
        <v>0.35988978318332537</v>
      </c>
      <c r="Y867">
        <f ca="1">(Inputs!H15+(Inputs!J15-Inputs!H15)*BETAINV(RAND(),Model!L9,Model!M9))*Inputs!$C$6</f>
        <v>41059.904349013515</v>
      </c>
      <c r="Z867">
        <f t="shared" ca="1" si="285"/>
        <v>0.44030476267975888</v>
      </c>
      <c r="AA867">
        <f t="shared" ca="1" si="286"/>
        <v>0.90385758209540201</v>
      </c>
      <c r="AB867">
        <f t="shared" ca="1" si="287"/>
        <v>1</v>
      </c>
      <c r="AC867" s="47">
        <f t="shared" ca="1" si="288"/>
        <v>41059.904349013515</v>
      </c>
      <c r="AD867">
        <f ca="1">Inputs!B16+(Inputs!D16-Inputs!B16)*BETAINV(RAND(),Model!H10,Model!I10)</f>
        <v>0.57134223748357527</v>
      </c>
      <c r="AE867">
        <f ca="1">Inputs!E16+(Inputs!G16-Inputs!E16)*BETAINV(RAND(),Model!J10,Model!K10)</f>
        <v>0.70701445744806191</v>
      </c>
      <c r="AF867">
        <f ca="1">(Inputs!H16+(Inputs!J16-Inputs!H16)*BETAINV(RAND(),Model!L10,Model!M10))*Inputs!$C$6</f>
        <v>105271.62754946329</v>
      </c>
      <c r="AG867">
        <f t="shared" ca="1" si="289"/>
        <v>0.40394722205161171</v>
      </c>
      <c r="AH867">
        <f t="shared" ca="1" si="290"/>
        <v>0.55560711935369456</v>
      </c>
      <c r="AI867">
        <f t="shared" ca="1" si="291"/>
        <v>0</v>
      </c>
      <c r="AJ867" s="47">
        <f t="shared" ca="1" si="292"/>
        <v>0</v>
      </c>
      <c r="AK867">
        <f t="shared" ca="1" si="293"/>
        <v>77296.496664183622</v>
      </c>
    </row>
    <row r="868" spans="2:37" x14ac:dyDescent="0.2">
      <c r="B868">
        <f ca="1">Inputs!B12+(Inputs!D12-Inputs!B12)*BETAINV(RAND(),Model!H6,Model!I6)</f>
        <v>3.9352405362799621</v>
      </c>
      <c r="C868">
        <f ca="1">Inputs!E12+(Inputs!G12-Inputs!E12)*BETAINV(RAND(),Model!J6,Model!K6)</f>
        <v>0.23502310846398677</v>
      </c>
      <c r="D868">
        <f ca="1">(Inputs!H12+(Inputs!J12-Inputs!H12)*BETAINV(RAND(),Model!L6,Model!M6))*Inputs!$C$6</f>
        <v>23025.482269897719</v>
      </c>
      <c r="E868">
        <f t="shared" ca="1" si="273"/>
        <v>0.92487246339000295</v>
      </c>
      <c r="F868">
        <f t="shared" ca="1" si="274"/>
        <v>2.9968000572670239E-2</v>
      </c>
      <c r="G868">
        <f t="shared" ca="1" si="275"/>
        <v>0</v>
      </c>
      <c r="H868" s="47">
        <f t="shared" ca="1" si="276"/>
        <v>0</v>
      </c>
      <c r="I868">
        <f ca="1">Inputs!B13+(Inputs!D13-Inputs!B13)*BETAINV(RAND(),Model!H7,Model!I7)</f>
        <v>3.2105932649969482</v>
      </c>
      <c r="J868">
        <f ca="1">Inputs!E13+(Inputs!G13-Inputs!E13)*BETAINV(RAND(),Model!J7,Model!K7)</f>
        <v>0.3919138814056059</v>
      </c>
      <c r="K868">
        <f ca="1">(Inputs!H13+(Inputs!J13-Inputs!H13)*BETAINV(RAND(),Model!L7,Model!M7))*Inputs!$C$6</f>
        <v>54420.251970811958</v>
      </c>
      <c r="L868">
        <f t="shared" ca="1" si="277"/>
        <v>1.258276068099651</v>
      </c>
      <c r="M868">
        <f t="shared" ca="1" si="278"/>
        <v>0.97882653477745984</v>
      </c>
      <c r="N868">
        <f t="shared" ca="1" si="279"/>
        <v>4</v>
      </c>
      <c r="O868" s="47">
        <f t="shared" ca="1" si="280"/>
        <v>217681.00788324783</v>
      </c>
      <c r="P868">
        <f ca="1">Inputs!B14+(Inputs!D14-Inputs!B14)*BETAINV(RAND(),Model!H8,Model!I8)</f>
        <v>0.20217467478130943</v>
      </c>
      <c r="Q868">
        <f ca="1">Inputs!E14+(Inputs!G14-Inputs!E14)*BETAINV(RAND(),Model!J8,Model!K8)</f>
        <v>0.77514057934273395</v>
      </c>
      <c r="R868">
        <f ca="1">(Inputs!H14+(Inputs!J14-Inputs!H14)*BETAINV(RAND(),Model!L8,Model!M8))*Inputs!$C$6</f>
        <v>452405.27660702588</v>
      </c>
      <c r="S868">
        <f t="shared" ca="1" si="281"/>
        <v>0.15671379453841303</v>
      </c>
      <c r="T868">
        <f t="shared" ca="1" si="282"/>
        <v>0.21997001898892521</v>
      </c>
      <c r="U868">
        <f t="shared" ca="1" si="283"/>
        <v>0</v>
      </c>
      <c r="V868" s="47">
        <f t="shared" ca="1" si="284"/>
        <v>0</v>
      </c>
      <c r="W868">
        <f ca="1">Inputs!B15+(Inputs!D15-Inputs!B15)*BETAINV(RAND(),Model!H9,Model!I9)</f>
        <v>0.41008821956302716</v>
      </c>
      <c r="X868">
        <f ca="1">Inputs!E15+(Inputs!G15-Inputs!E15)*BETAINV(RAND(),Model!J9,Model!K9)</f>
        <v>0.47479105931881849</v>
      </c>
      <c r="Y868">
        <f ca="1">(Inputs!H15+(Inputs!J15-Inputs!H15)*BETAINV(RAND(),Model!L9,Model!M9))*Inputs!$C$6</f>
        <v>11579.312948666058</v>
      </c>
      <c r="Z868">
        <f t="shared" ca="1" si="285"/>
        <v>0.19470622018049788</v>
      </c>
      <c r="AA868">
        <f t="shared" ca="1" si="286"/>
        <v>0.90776117319837579</v>
      </c>
      <c r="AB868">
        <f t="shared" ca="1" si="287"/>
        <v>1</v>
      </c>
      <c r="AC868" s="47">
        <f t="shared" ca="1" si="288"/>
        <v>11579.312948666058</v>
      </c>
      <c r="AD868">
        <f ca="1">Inputs!B16+(Inputs!D16-Inputs!B16)*BETAINV(RAND(),Model!H10,Model!I10)</f>
        <v>0.36155191236892914</v>
      </c>
      <c r="AE868">
        <f ca="1">Inputs!E16+(Inputs!G16-Inputs!E16)*BETAINV(RAND(),Model!J10,Model!K10)</f>
        <v>0.41383130125194084</v>
      </c>
      <c r="AF868">
        <f ca="1">(Inputs!H16+(Inputs!J16-Inputs!H16)*BETAINV(RAND(),Model!L10,Model!M10))*Inputs!$C$6</f>
        <v>105596.47710726819</v>
      </c>
      <c r="AG868">
        <f t="shared" ca="1" si="289"/>
        <v>0.14962149836576163</v>
      </c>
      <c r="AH868">
        <f t="shared" ca="1" si="290"/>
        <v>0.72962157994676624</v>
      </c>
      <c r="AI868">
        <f t="shared" ca="1" si="291"/>
        <v>0</v>
      </c>
      <c r="AJ868" s="47">
        <f t="shared" ca="1" si="292"/>
        <v>0</v>
      </c>
      <c r="AK868">
        <f t="shared" ca="1" si="293"/>
        <v>229260.32083191388</v>
      </c>
    </row>
    <row r="869" spans="2:37" x14ac:dyDescent="0.2">
      <c r="B869">
        <f ca="1">Inputs!B12+(Inputs!D12-Inputs!B12)*BETAINV(RAND(),Model!H6,Model!I6)</f>
        <v>7.3484669101587166</v>
      </c>
      <c r="C869">
        <f ca="1">Inputs!E12+(Inputs!G12-Inputs!E12)*BETAINV(RAND(),Model!J6,Model!K6)</f>
        <v>0.27627444674863061</v>
      </c>
      <c r="D869">
        <f ca="1">(Inputs!H12+(Inputs!J12-Inputs!H12)*BETAINV(RAND(),Model!L6,Model!M6))*Inputs!$C$6</f>
        <v>33429.437893205883</v>
      </c>
      <c r="E869">
        <f t="shared" ca="1" si="273"/>
        <v>2.0301936300547183</v>
      </c>
      <c r="F869">
        <f t="shared" ca="1" si="274"/>
        <v>0.59928055661740987</v>
      </c>
      <c r="G869">
        <f t="shared" ca="1" si="275"/>
        <v>2</v>
      </c>
      <c r="H869" s="47">
        <f t="shared" ca="1" si="276"/>
        <v>66858.875786411765</v>
      </c>
      <c r="I869">
        <f ca="1">Inputs!B13+(Inputs!D13-Inputs!B13)*BETAINV(RAND(),Model!H7,Model!I7)</f>
        <v>1.7861813556902635</v>
      </c>
      <c r="J869">
        <f ca="1">Inputs!E13+(Inputs!G13-Inputs!E13)*BETAINV(RAND(),Model!J7,Model!K7)</f>
        <v>0.2359527177546184</v>
      </c>
      <c r="K869">
        <f ca="1">(Inputs!H13+(Inputs!J13-Inputs!H13)*BETAINV(RAND(),Model!L7,Model!M7))*Inputs!$C$6</f>
        <v>47904.742161848488</v>
      </c>
      <c r="L869">
        <f t="shared" ca="1" si="277"/>
        <v>0.42145434527774639</v>
      </c>
      <c r="M869">
        <f t="shared" ca="1" si="278"/>
        <v>0.38167322024987516</v>
      </c>
      <c r="N869">
        <f t="shared" ca="1" si="279"/>
        <v>0</v>
      </c>
      <c r="O869" s="47">
        <f t="shared" ca="1" si="280"/>
        <v>0</v>
      </c>
      <c r="P869">
        <f ca="1">Inputs!B14+(Inputs!D14-Inputs!B14)*BETAINV(RAND(),Model!H8,Model!I8)</f>
        <v>0.3113421935523385</v>
      </c>
      <c r="Q869">
        <f ca="1">Inputs!E14+(Inputs!G14-Inputs!E14)*BETAINV(RAND(),Model!J8,Model!K8)</f>
        <v>0.59704692166231366</v>
      </c>
      <c r="R869">
        <f ca="1">(Inputs!H14+(Inputs!J14-Inputs!H14)*BETAINV(RAND(),Model!L8,Model!M8))*Inputs!$C$6</f>
        <v>379619.42697517347</v>
      </c>
      <c r="S869">
        <f t="shared" ca="1" si="281"/>
        <v>0.18588589824401594</v>
      </c>
      <c r="T869">
        <f t="shared" ca="1" si="282"/>
        <v>0.71271672653493034</v>
      </c>
      <c r="U869">
        <f t="shared" ca="1" si="283"/>
        <v>0</v>
      </c>
      <c r="V869" s="47">
        <f t="shared" ca="1" si="284"/>
        <v>0</v>
      </c>
      <c r="W869">
        <f ca="1">Inputs!B15+(Inputs!D15-Inputs!B15)*BETAINV(RAND(),Model!H9,Model!I9)</f>
        <v>1.8933358572024608</v>
      </c>
      <c r="X869">
        <f ca="1">Inputs!E15+(Inputs!G15-Inputs!E15)*BETAINV(RAND(),Model!J9,Model!K9)</f>
        <v>0.37431765046526622</v>
      </c>
      <c r="Y869">
        <f ca="1">(Inputs!H15+(Inputs!J15-Inputs!H15)*BETAINV(RAND(),Model!L9,Model!M9))*Inputs!$C$6</f>
        <v>11921.793583666085</v>
      </c>
      <c r="Z869">
        <f t="shared" ca="1" si="285"/>
        <v>0.70870902960966586</v>
      </c>
      <c r="AA869">
        <f t="shared" ca="1" si="286"/>
        <v>0.69111755057605695</v>
      </c>
      <c r="AB869">
        <f t="shared" ca="1" si="287"/>
        <v>1</v>
      </c>
      <c r="AC869" s="47">
        <f t="shared" ca="1" si="288"/>
        <v>11921.793583666085</v>
      </c>
      <c r="AD869">
        <f ca="1">Inputs!B16+(Inputs!D16-Inputs!B16)*BETAINV(RAND(),Model!H10,Model!I10)</f>
        <v>0.55225681615688926</v>
      </c>
      <c r="AE869">
        <f ca="1">Inputs!E16+(Inputs!G16-Inputs!E16)*BETAINV(RAND(),Model!J10,Model!K10)</f>
        <v>0.6672989636979092</v>
      </c>
      <c r="AF869">
        <f ca="1">(Inputs!H16+(Inputs!J16-Inputs!H16)*BETAINV(RAND(),Model!L10,Model!M10))*Inputs!$C$6</f>
        <v>154059.91040925146</v>
      </c>
      <c r="AG869">
        <f t="shared" ca="1" si="289"/>
        <v>0.36852040111659895</v>
      </c>
      <c r="AH869">
        <f t="shared" ca="1" si="290"/>
        <v>0.98779430558902337</v>
      </c>
      <c r="AI869">
        <f t="shared" ca="1" si="291"/>
        <v>2</v>
      </c>
      <c r="AJ869" s="47">
        <f t="shared" ca="1" si="292"/>
        <v>308119.82081850292</v>
      </c>
      <c r="AK869">
        <f t="shared" ca="1" si="293"/>
        <v>386900.49018858076</v>
      </c>
    </row>
    <row r="870" spans="2:37" x14ac:dyDescent="0.2">
      <c r="B870">
        <f ca="1">Inputs!B12+(Inputs!D12-Inputs!B12)*BETAINV(RAND(),Model!H6,Model!I6)</f>
        <v>5.731570061501932</v>
      </c>
      <c r="C870">
        <f ca="1">Inputs!E12+(Inputs!G12-Inputs!E12)*BETAINV(RAND(),Model!J6,Model!K6)</f>
        <v>0.29754092519634956</v>
      </c>
      <c r="D870">
        <f ca="1">(Inputs!H12+(Inputs!J12-Inputs!H12)*BETAINV(RAND(),Model!L6,Model!M6))*Inputs!$C$6</f>
        <v>18063.306097266024</v>
      </c>
      <c r="E870">
        <f t="shared" ca="1" si="273"/>
        <v>1.705376658926983</v>
      </c>
      <c r="F870">
        <f t="shared" ca="1" si="274"/>
        <v>0.17898461395849197</v>
      </c>
      <c r="G870">
        <f t="shared" ca="1" si="275"/>
        <v>0</v>
      </c>
      <c r="H870" s="47">
        <f t="shared" ca="1" si="276"/>
        <v>0</v>
      </c>
      <c r="I870">
        <f ca="1">Inputs!B13+(Inputs!D13-Inputs!B13)*BETAINV(RAND(),Model!H7,Model!I7)</f>
        <v>0.73890157180667071</v>
      </c>
      <c r="J870">
        <f ca="1">Inputs!E13+(Inputs!G13-Inputs!E13)*BETAINV(RAND(),Model!J7,Model!K7)</f>
        <v>0.28472471080341832</v>
      </c>
      <c r="K870">
        <f ca="1">(Inputs!H13+(Inputs!J13-Inputs!H13)*BETAINV(RAND(),Model!L7,Model!M7))*Inputs!$C$6</f>
        <v>19070.942899517817</v>
      </c>
      <c r="L870">
        <f t="shared" ca="1" si="277"/>
        <v>0.21038353634484555</v>
      </c>
      <c r="M870">
        <f t="shared" ca="1" si="278"/>
        <v>0.36111029926913485</v>
      </c>
      <c r="N870">
        <f t="shared" ca="1" si="279"/>
        <v>0</v>
      </c>
      <c r="O870" s="47">
        <f t="shared" ca="1" si="280"/>
        <v>0</v>
      </c>
      <c r="P870">
        <f ca="1">Inputs!B14+(Inputs!D14-Inputs!B14)*BETAINV(RAND(),Model!H8,Model!I8)</f>
        <v>0.20881556898996445</v>
      </c>
      <c r="Q870">
        <f ca="1">Inputs!E14+(Inputs!G14-Inputs!E14)*BETAINV(RAND(),Model!J8,Model!K8)</f>
        <v>0.68545020910796806</v>
      </c>
      <c r="R870">
        <f ca="1">(Inputs!H14+(Inputs!J14-Inputs!H14)*BETAINV(RAND(),Model!L8,Model!M8))*Inputs!$C$6</f>
        <v>327119.06194749876</v>
      </c>
      <c r="S870">
        <f t="shared" ca="1" si="281"/>
        <v>0.14313267542917046</v>
      </c>
      <c r="T870">
        <f t="shared" ca="1" si="282"/>
        <v>0.94242004935504953</v>
      </c>
      <c r="U870">
        <f t="shared" ca="1" si="283"/>
        <v>1</v>
      </c>
      <c r="V870" s="47">
        <f t="shared" ca="1" si="284"/>
        <v>327119.06194749876</v>
      </c>
      <c r="W870">
        <f ca="1">Inputs!B15+(Inputs!D15-Inputs!B15)*BETAINV(RAND(),Model!H9,Model!I9)</f>
        <v>1.0455041846050699</v>
      </c>
      <c r="X870">
        <f ca="1">Inputs!E15+(Inputs!G15-Inputs!E15)*BETAINV(RAND(),Model!J9,Model!K9)</f>
        <v>0.54212111495765791</v>
      </c>
      <c r="Y870">
        <f ca="1">(Inputs!H15+(Inputs!J15-Inputs!H15)*BETAINV(RAND(),Model!L9,Model!M9))*Inputs!$C$6</f>
        <v>13518.307138830607</v>
      </c>
      <c r="Z870">
        <f t="shared" ca="1" si="285"/>
        <v>0.56678989425099746</v>
      </c>
      <c r="AA870">
        <f t="shared" ca="1" si="286"/>
        <v>0.90090181816191572</v>
      </c>
      <c r="AB870">
        <f t="shared" ca="1" si="287"/>
        <v>2</v>
      </c>
      <c r="AC870" s="47">
        <f t="shared" ca="1" si="288"/>
        <v>27036.614277661214</v>
      </c>
      <c r="AD870">
        <f ca="1">Inputs!B16+(Inputs!D16-Inputs!B16)*BETAINV(RAND(),Model!H10,Model!I10)</f>
        <v>1.1976500364117624</v>
      </c>
      <c r="AE870">
        <f ca="1">Inputs!E16+(Inputs!G16-Inputs!E16)*BETAINV(RAND(),Model!J10,Model!K10)</f>
        <v>0.61859159433033106</v>
      </c>
      <c r="AF870">
        <f ca="1">(Inputs!H16+(Inputs!J16-Inputs!H16)*BETAINV(RAND(),Model!L10,Model!M10))*Inputs!$C$6</f>
        <v>88492.237300303314</v>
      </c>
      <c r="AG870">
        <f t="shared" ca="1" si="289"/>
        <v>0.74085624547373119</v>
      </c>
      <c r="AH870">
        <f t="shared" ca="1" si="290"/>
        <v>0.64373465124941931</v>
      </c>
      <c r="AI870">
        <f t="shared" ca="1" si="291"/>
        <v>1</v>
      </c>
      <c r="AJ870" s="47">
        <f t="shared" ca="1" si="292"/>
        <v>88492.237300303314</v>
      </c>
      <c r="AK870">
        <f t="shared" ca="1" si="293"/>
        <v>442647.91352546326</v>
      </c>
    </row>
    <row r="871" spans="2:37" x14ac:dyDescent="0.2">
      <c r="B871">
        <f ca="1">Inputs!B12+(Inputs!D12-Inputs!B12)*BETAINV(RAND(),Model!H6,Model!I6)</f>
        <v>2.2360837551662969</v>
      </c>
      <c r="C871">
        <f ca="1">Inputs!E12+(Inputs!G12-Inputs!E12)*BETAINV(RAND(),Model!J6,Model!K6)</f>
        <v>0.2486760967421365</v>
      </c>
      <c r="D871">
        <f ca="1">(Inputs!H12+(Inputs!J12-Inputs!H12)*BETAINV(RAND(),Model!L6,Model!M6))*Inputs!$C$6</f>
        <v>33868.385181712998</v>
      </c>
      <c r="E871">
        <f t="shared" ca="1" si="273"/>
        <v>0.55606058022325389</v>
      </c>
      <c r="F871">
        <f t="shared" ca="1" si="274"/>
        <v>0.14811955895589446</v>
      </c>
      <c r="G871">
        <f t="shared" ca="1" si="275"/>
        <v>0</v>
      </c>
      <c r="H871" s="47">
        <f t="shared" ca="1" si="276"/>
        <v>0</v>
      </c>
      <c r="I871">
        <f ca="1">Inputs!B13+(Inputs!D13-Inputs!B13)*BETAINV(RAND(),Model!H7,Model!I7)</f>
        <v>3.4069010097058308</v>
      </c>
      <c r="J871">
        <f ca="1">Inputs!E13+(Inputs!G13-Inputs!E13)*BETAINV(RAND(),Model!J7,Model!K7)</f>
        <v>0.21368091249946886</v>
      </c>
      <c r="K871">
        <f ca="1">(Inputs!H13+(Inputs!J13-Inputs!H13)*BETAINV(RAND(),Model!L7,Model!M7))*Inputs!$C$6</f>
        <v>16237.101938672979</v>
      </c>
      <c r="L871">
        <f t="shared" ca="1" si="277"/>
        <v>0.72798971654930367</v>
      </c>
      <c r="M871">
        <f t="shared" ca="1" si="278"/>
        <v>0.69974247308868875</v>
      </c>
      <c r="N871">
        <f t="shared" ca="1" si="279"/>
        <v>1</v>
      </c>
      <c r="O871" s="47">
        <f t="shared" ca="1" si="280"/>
        <v>16237.101938672979</v>
      </c>
      <c r="P871">
        <f ca="1">Inputs!B14+(Inputs!D14-Inputs!B14)*BETAINV(RAND(),Model!H8,Model!I8)</f>
        <v>0.34837184989440528</v>
      </c>
      <c r="Q871">
        <f ca="1">Inputs!E14+(Inputs!G14-Inputs!E14)*BETAINV(RAND(),Model!J8,Model!K8)</f>
        <v>0.70243215715751839</v>
      </c>
      <c r="R871">
        <f ca="1">(Inputs!H14+(Inputs!J14-Inputs!H14)*BETAINV(RAND(),Model!L8,Model!M8))*Inputs!$C$6</f>
        <v>371750.17328480328</v>
      </c>
      <c r="S871">
        <f t="shared" ca="1" si="281"/>
        <v>0.2447075900142823</v>
      </c>
      <c r="T871">
        <f t="shared" ca="1" si="282"/>
        <v>0.48679963723565089</v>
      </c>
      <c r="U871">
        <f t="shared" ca="1" si="283"/>
        <v>0</v>
      </c>
      <c r="V871" s="47">
        <f t="shared" ca="1" si="284"/>
        <v>0</v>
      </c>
      <c r="W871">
        <f ca="1">Inputs!B15+(Inputs!D15-Inputs!B15)*BETAINV(RAND(),Model!H9,Model!I9)</f>
        <v>1.4475027543159118</v>
      </c>
      <c r="X871">
        <f ca="1">Inputs!E15+(Inputs!G15-Inputs!E15)*BETAINV(RAND(),Model!J9,Model!K9)</f>
        <v>0.25055705419936875</v>
      </c>
      <c r="Y871">
        <f ca="1">(Inputs!H15+(Inputs!J15-Inputs!H15)*BETAINV(RAND(),Model!L9,Model!M9))*Inputs!$C$6</f>
        <v>28561.47046667384</v>
      </c>
      <c r="Z871">
        <f t="shared" ca="1" si="285"/>
        <v>0.36268202606686745</v>
      </c>
      <c r="AA871">
        <f t="shared" ca="1" si="286"/>
        <v>7.3548679837042163E-2</v>
      </c>
      <c r="AB871">
        <f t="shared" ca="1" si="287"/>
        <v>0</v>
      </c>
      <c r="AC871" s="47">
        <f t="shared" ca="1" si="288"/>
        <v>0</v>
      </c>
      <c r="AD871">
        <f ca="1">Inputs!B16+(Inputs!D16-Inputs!B16)*BETAINV(RAND(),Model!H10,Model!I10)</f>
        <v>0.73090898740837962</v>
      </c>
      <c r="AE871">
        <f ca="1">Inputs!E16+(Inputs!G16-Inputs!E16)*BETAINV(RAND(),Model!J10,Model!K10)</f>
        <v>0.54373375639913124</v>
      </c>
      <c r="AF871">
        <f ca="1">(Inputs!H16+(Inputs!J16-Inputs!H16)*BETAINV(RAND(),Model!L10,Model!M10))*Inputs!$C$6</f>
        <v>131851.32023499114</v>
      </c>
      <c r="AG871">
        <f t="shared" ca="1" si="289"/>
        <v>0.39741988930944355</v>
      </c>
      <c r="AH871">
        <f t="shared" ca="1" si="290"/>
        <v>0.13803218846215803</v>
      </c>
      <c r="AI871">
        <f t="shared" ca="1" si="291"/>
        <v>0</v>
      </c>
      <c r="AJ871" s="47">
        <f t="shared" ca="1" si="292"/>
        <v>0</v>
      </c>
      <c r="AK871">
        <f t="shared" ca="1" si="293"/>
        <v>16237.101938672979</v>
      </c>
    </row>
    <row r="872" spans="2:37" x14ac:dyDescent="0.2">
      <c r="B872">
        <f ca="1">Inputs!B12+(Inputs!D12-Inputs!B12)*BETAINV(RAND(),Model!H6,Model!I6)</f>
        <v>5.3338970317394345</v>
      </c>
      <c r="C872">
        <f ca="1">Inputs!E12+(Inputs!G12-Inputs!E12)*BETAINV(RAND(),Model!J6,Model!K6)</f>
        <v>0.40187897322434507</v>
      </c>
      <c r="D872">
        <f ca="1">(Inputs!H12+(Inputs!J12-Inputs!H12)*BETAINV(RAND(),Model!L6,Model!M6))*Inputs!$C$6</f>
        <v>44960.962921043349</v>
      </c>
      <c r="E872">
        <f t="shared" ca="1" si="273"/>
        <v>2.1435810623998259</v>
      </c>
      <c r="F872">
        <f t="shared" ca="1" si="274"/>
        <v>0.83341294463472726</v>
      </c>
      <c r="G872">
        <f t="shared" ca="1" si="275"/>
        <v>4</v>
      </c>
      <c r="H872" s="47">
        <f t="shared" ca="1" si="276"/>
        <v>179843.85168417339</v>
      </c>
      <c r="I872">
        <f ca="1">Inputs!B13+(Inputs!D13-Inputs!B13)*BETAINV(RAND(),Model!H7,Model!I7)</f>
        <v>2.5152988131545682</v>
      </c>
      <c r="J872">
        <f ca="1">Inputs!E13+(Inputs!G13-Inputs!E13)*BETAINV(RAND(),Model!J7,Model!K7)</f>
        <v>0.13346418365600654</v>
      </c>
      <c r="K872">
        <f ca="1">(Inputs!H13+(Inputs!J13-Inputs!H13)*BETAINV(RAND(),Model!L7,Model!M7))*Inputs!$C$6</f>
        <v>53571.319154119847</v>
      </c>
      <c r="L872">
        <f t="shared" ca="1" si="277"/>
        <v>0.33570230274859658</v>
      </c>
      <c r="M872">
        <f t="shared" ca="1" si="278"/>
        <v>6.0012888207980453E-2</v>
      </c>
      <c r="N872">
        <f t="shared" ca="1" si="279"/>
        <v>0</v>
      </c>
      <c r="O872" s="47">
        <f t="shared" ca="1" si="280"/>
        <v>0</v>
      </c>
      <c r="P872">
        <f ca="1">Inputs!B14+(Inputs!D14-Inputs!B14)*BETAINV(RAND(),Model!H8,Model!I8)</f>
        <v>0.2231901784216031</v>
      </c>
      <c r="Q872">
        <f ca="1">Inputs!E14+(Inputs!G14-Inputs!E14)*BETAINV(RAND(),Model!J8,Model!K8)</f>
        <v>0.56173016021308775</v>
      </c>
      <c r="R872">
        <f ca="1">(Inputs!H14+(Inputs!J14-Inputs!H14)*BETAINV(RAND(),Model!L8,Model!M8))*Inputs!$C$6</f>
        <v>386808.15755622834</v>
      </c>
      <c r="S872">
        <f t="shared" ca="1" si="281"/>
        <v>0.12537265468275474</v>
      </c>
      <c r="T872">
        <f t="shared" ca="1" si="282"/>
        <v>0.80818954297415657</v>
      </c>
      <c r="U872">
        <f t="shared" ca="1" si="283"/>
        <v>0</v>
      </c>
      <c r="V872" s="47">
        <f t="shared" ca="1" si="284"/>
        <v>0</v>
      </c>
      <c r="W872">
        <f ca="1">Inputs!B15+(Inputs!D15-Inputs!B15)*BETAINV(RAND(),Model!H9,Model!I9)</f>
        <v>0.52074286369859613</v>
      </c>
      <c r="X872">
        <f ca="1">Inputs!E15+(Inputs!G15-Inputs!E15)*BETAINV(RAND(),Model!J9,Model!K9)</f>
        <v>0.49116844139732208</v>
      </c>
      <c r="Y872">
        <f ca="1">(Inputs!H15+(Inputs!J15-Inputs!H15)*BETAINV(RAND(),Model!L9,Model!M9))*Inputs!$C$6</f>
        <v>28143.070243476206</v>
      </c>
      <c r="Z872">
        <f t="shared" ca="1" si="285"/>
        <v>0.25577246073161758</v>
      </c>
      <c r="AA872">
        <f t="shared" ca="1" si="286"/>
        <v>7.1955698125962919E-2</v>
      </c>
      <c r="AB872">
        <f t="shared" ca="1" si="287"/>
        <v>0</v>
      </c>
      <c r="AC872" s="47">
        <f t="shared" ca="1" si="288"/>
        <v>0</v>
      </c>
      <c r="AD872">
        <f ca="1">Inputs!B16+(Inputs!D16-Inputs!B16)*BETAINV(RAND(),Model!H10,Model!I10)</f>
        <v>0.71745002138119207</v>
      </c>
      <c r="AE872">
        <f ca="1">Inputs!E16+(Inputs!G16-Inputs!E16)*BETAINV(RAND(),Model!J10,Model!K10)</f>
        <v>0.69756934005344928</v>
      </c>
      <c r="AF872">
        <f ca="1">(Inputs!H16+(Inputs!J16-Inputs!H16)*BETAINV(RAND(),Model!L10,Model!M10))*Inputs!$C$6</f>
        <v>75989.227502831811</v>
      </c>
      <c r="AG872">
        <f t="shared" ca="1" si="289"/>
        <v>0.50047113793621123</v>
      </c>
      <c r="AH872">
        <f t="shared" ca="1" si="290"/>
        <v>0.93071827122425288</v>
      </c>
      <c r="AI872">
        <f t="shared" ca="1" si="291"/>
        <v>2</v>
      </c>
      <c r="AJ872" s="47">
        <f t="shared" ca="1" si="292"/>
        <v>151978.45500566362</v>
      </c>
      <c r="AK872">
        <f t="shared" ca="1" si="293"/>
        <v>331822.30668983702</v>
      </c>
    </row>
    <row r="873" spans="2:37" x14ac:dyDescent="0.2">
      <c r="B873">
        <f ca="1">Inputs!B12+(Inputs!D12-Inputs!B12)*BETAINV(RAND(),Model!H6,Model!I6)</f>
        <v>2.9713171436473527</v>
      </c>
      <c r="C873">
        <f ca="1">Inputs!E12+(Inputs!G12-Inputs!E12)*BETAINV(RAND(),Model!J6,Model!K6)</f>
        <v>0.24941651667736298</v>
      </c>
      <c r="D873">
        <f ca="1">(Inputs!H12+(Inputs!J12-Inputs!H12)*BETAINV(RAND(),Model!L6,Model!M6))*Inputs!$C$6</f>
        <v>23223.35907350454</v>
      </c>
      <c r="E873">
        <f t="shared" ca="1" si="273"/>
        <v>0.7410955719122545</v>
      </c>
      <c r="F873">
        <f t="shared" ca="1" si="274"/>
        <v>0.88183928923245403</v>
      </c>
      <c r="G873">
        <f t="shared" ca="1" si="275"/>
        <v>2</v>
      </c>
      <c r="H873" s="47">
        <f t="shared" ca="1" si="276"/>
        <v>46446.71814700908</v>
      </c>
      <c r="I873">
        <f ca="1">Inputs!B13+(Inputs!D13-Inputs!B13)*BETAINV(RAND(),Model!H7,Model!I7)</f>
        <v>1.2911752973030002</v>
      </c>
      <c r="J873">
        <f ca="1">Inputs!E13+(Inputs!G13-Inputs!E13)*BETAINV(RAND(),Model!J7,Model!K7)</f>
        <v>0.29498224973040121</v>
      </c>
      <c r="K873">
        <f ca="1">(Inputs!H13+(Inputs!J13-Inputs!H13)*BETAINV(RAND(),Model!L7,Model!M7))*Inputs!$C$6</f>
        <v>10525.267452163536</v>
      </c>
      <c r="L873">
        <f t="shared" ca="1" si="277"/>
        <v>0.38087379399475862</v>
      </c>
      <c r="M873">
        <f t="shared" ca="1" si="278"/>
        <v>0.52308618707609011</v>
      </c>
      <c r="N873">
        <f t="shared" ca="1" si="279"/>
        <v>0</v>
      </c>
      <c r="O873" s="47">
        <f t="shared" ca="1" si="280"/>
        <v>0</v>
      </c>
      <c r="P873">
        <f ca="1">Inputs!B14+(Inputs!D14-Inputs!B14)*BETAINV(RAND(),Model!H8,Model!I8)</f>
        <v>0.21713613305720889</v>
      </c>
      <c r="Q873">
        <f ca="1">Inputs!E14+(Inputs!G14-Inputs!E14)*BETAINV(RAND(),Model!J8,Model!K8)</f>
        <v>0.60635605727803976</v>
      </c>
      <c r="R873">
        <f ca="1">(Inputs!H14+(Inputs!J14-Inputs!H14)*BETAINV(RAND(),Model!L8,Model!M8))*Inputs!$C$6</f>
        <v>487243.82808172138</v>
      </c>
      <c r="S873">
        <f t="shared" ca="1" si="281"/>
        <v>0.13166180953316903</v>
      </c>
      <c r="T873">
        <f t="shared" ca="1" si="282"/>
        <v>0.32842127969660351</v>
      </c>
      <c r="U873">
        <f t="shared" ca="1" si="283"/>
        <v>0</v>
      </c>
      <c r="V873" s="47">
        <f t="shared" ca="1" si="284"/>
        <v>0</v>
      </c>
      <c r="W873">
        <f ca="1">Inputs!B15+(Inputs!D15-Inputs!B15)*BETAINV(RAND(),Model!H9,Model!I9)</f>
        <v>2.581063613569301</v>
      </c>
      <c r="X873">
        <f ca="1">Inputs!E15+(Inputs!G15-Inputs!E15)*BETAINV(RAND(),Model!J9,Model!K9)</f>
        <v>0.43159035167854787</v>
      </c>
      <c r="Y873">
        <f ca="1">(Inputs!H15+(Inputs!J15-Inputs!H15)*BETAINV(RAND(),Model!L9,Model!M9))*Inputs!$C$6</f>
        <v>30517.2954068744</v>
      </c>
      <c r="Z873">
        <f t="shared" ca="1" si="285"/>
        <v>1.1139621526850783</v>
      </c>
      <c r="AA873">
        <f t="shared" ca="1" si="286"/>
        <v>0.44247064221996746</v>
      </c>
      <c r="AB873">
        <f t="shared" ca="1" si="287"/>
        <v>1</v>
      </c>
      <c r="AC873" s="47">
        <f t="shared" ca="1" si="288"/>
        <v>30517.2954068744</v>
      </c>
      <c r="AD873">
        <f ca="1">Inputs!B16+(Inputs!D16-Inputs!B16)*BETAINV(RAND(),Model!H10,Model!I10)</f>
        <v>0.71796822820606487</v>
      </c>
      <c r="AE873">
        <f ca="1">Inputs!E16+(Inputs!G16-Inputs!E16)*BETAINV(RAND(),Model!J10,Model!K10)</f>
        <v>0.57998110142937609</v>
      </c>
      <c r="AF873">
        <f ca="1">(Inputs!H16+(Inputs!J16-Inputs!H16)*BETAINV(RAND(),Model!L10,Model!M10))*Inputs!$C$6</f>
        <v>61975.302004918274</v>
      </c>
      <c r="AG873">
        <f t="shared" ca="1" si="289"/>
        <v>0.41640800378625115</v>
      </c>
      <c r="AH873">
        <f t="shared" ca="1" si="290"/>
        <v>0.17510065738181213</v>
      </c>
      <c r="AI873">
        <f t="shared" ca="1" si="291"/>
        <v>0</v>
      </c>
      <c r="AJ873" s="47">
        <f t="shared" ca="1" si="292"/>
        <v>0</v>
      </c>
      <c r="AK873">
        <f t="shared" ca="1" si="293"/>
        <v>76964.013553883473</v>
      </c>
    </row>
    <row r="874" spans="2:37" x14ac:dyDescent="0.2">
      <c r="B874">
        <f ca="1">Inputs!B12+(Inputs!D12-Inputs!B12)*BETAINV(RAND(),Model!H6,Model!I6)</f>
        <v>4.0147559455692159</v>
      </c>
      <c r="C874">
        <f ca="1">Inputs!E12+(Inputs!G12-Inputs!E12)*BETAINV(RAND(),Model!J6,Model!K6)</f>
        <v>0.32999472685232983</v>
      </c>
      <c r="D874">
        <f ca="1">(Inputs!H12+(Inputs!J12-Inputs!H12)*BETAINV(RAND(),Model!L6,Model!M6))*Inputs!$C$6</f>
        <v>15947.104005993513</v>
      </c>
      <c r="E874">
        <f t="shared" ca="1" si="273"/>
        <v>1.3248482916368807</v>
      </c>
      <c r="F874">
        <f t="shared" ca="1" si="274"/>
        <v>0.89358034553228904</v>
      </c>
      <c r="G874">
        <f t="shared" ca="1" si="275"/>
        <v>3</v>
      </c>
      <c r="H874" s="47">
        <f t="shared" ca="1" si="276"/>
        <v>47841.312017980541</v>
      </c>
      <c r="I874">
        <f ca="1">Inputs!B13+(Inputs!D13-Inputs!B13)*BETAINV(RAND(),Model!H7,Model!I7)</f>
        <v>2.2863187627894948</v>
      </c>
      <c r="J874">
        <f ca="1">Inputs!E13+(Inputs!G13-Inputs!E13)*BETAINV(RAND(),Model!J7,Model!K7)</f>
        <v>0.21821569246193681</v>
      </c>
      <c r="K874">
        <f ca="1">(Inputs!H13+(Inputs!J13-Inputs!H13)*BETAINV(RAND(),Model!L7,Model!M7))*Inputs!$C$6</f>
        <v>20209.811521133917</v>
      </c>
      <c r="L874">
        <f t="shared" ca="1" si="277"/>
        <v>0.49891063201082825</v>
      </c>
      <c r="M874">
        <f t="shared" ca="1" si="278"/>
        <v>0.45194529884620271</v>
      </c>
      <c r="N874">
        <f t="shared" ca="1" si="279"/>
        <v>0</v>
      </c>
      <c r="O874" s="47">
        <f t="shared" ca="1" si="280"/>
        <v>0</v>
      </c>
      <c r="P874">
        <f ca="1">Inputs!B14+(Inputs!D14-Inputs!B14)*BETAINV(RAND(),Model!H8,Model!I8)</f>
        <v>0.26319400728157549</v>
      </c>
      <c r="Q874">
        <f ca="1">Inputs!E14+(Inputs!G14-Inputs!E14)*BETAINV(RAND(),Model!J8,Model!K8)</f>
        <v>0.51638421192355433</v>
      </c>
      <c r="R874">
        <f ca="1">(Inputs!H14+(Inputs!J14-Inputs!H14)*BETAINV(RAND(),Model!L8,Model!M8))*Inputs!$C$6</f>
        <v>540288.02302183164</v>
      </c>
      <c r="S874">
        <f t="shared" ca="1" si="281"/>
        <v>0.13590923003309857</v>
      </c>
      <c r="T874">
        <f t="shared" ca="1" si="282"/>
        <v>0.54942716962068872</v>
      </c>
      <c r="U874">
        <f t="shared" ca="1" si="283"/>
        <v>0</v>
      </c>
      <c r="V874" s="47">
        <f t="shared" ca="1" si="284"/>
        <v>0</v>
      </c>
      <c r="W874">
        <f ca="1">Inputs!B15+(Inputs!D15-Inputs!B15)*BETAINV(RAND(),Model!H9,Model!I9)</f>
        <v>0.87785026762102758</v>
      </c>
      <c r="X874">
        <f ca="1">Inputs!E15+(Inputs!G15-Inputs!E15)*BETAINV(RAND(),Model!J9,Model!K9)</f>
        <v>0.43139905629604081</v>
      </c>
      <c r="Y874">
        <f ca="1">(Inputs!H15+(Inputs!J15-Inputs!H15)*BETAINV(RAND(),Model!L9,Model!M9))*Inputs!$C$6</f>
        <v>48846.957074648293</v>
      </c>
      <c r="Z874">
        <f t="shared" ca="1" si="285"/>
        <v>0.37870377702093816</v>
      </c>
      <c r="AA874">
        <f t="shared" ca="1" si="286"/>
        <v>2.9872930647167673E-2</v>
      </c>
      <c r="AB874">
        <f t="shared" ca="1" si="287"/>
        <v>0</v>
      </c>
      <c r="AC874" s="47">
        <f t="shared" ca="1" si="288"/>
        <v>0</v>
      </c>
      <c r="AD874">
        <f ca="1">Inputs!B16+(Inputs!D16-Inputs!B16)*BETAINV(RAND(),Model!H10,Model!I10)</f>
        <v>0.57310178073548723</v>
      </c>
      <c r="AE874">
        <f ca="1">Inputs!E16+(Inputs!G16-Inputs!E16)*BETAINV(RAND(),Model!J10,Model!K10)</f>
        <v>0.61779984800604026</v>
      </c>
      <c r="AF874">
        <f ca="1">(Inputs!H16+(Inputs!J16-Inputs!H16)*BETAINV(RAND(),Model!L10,Model!M10))*Inputs!$C$6</f>
        <v>94720.826569278259</v>
      </c>
      <c r="AG874">
        <f t="shared" ca="1" si="289"/>
        <v>0.35406219303037501</v>
      </c>
      <c r="AH874">
        <f t="shared" ca="1" si="290"/>
        <v>0.48955070392327749</v>
      </c>
      <c r="AI874">
        <f t="shared" ca="1" si="291"/>
        <v>0</v>
      </c>
      <c r="AJ874" s="47">
        <f t="shared" ca="1" si="292"/>
        <v>0</v>
      </c>
      <c r="AK874">
        <f t="shared" ca="1" si="293"/>
        <v>47841.312017980541</v>
      </c>
    </row>
    <row r="875" spans="2:37" x14ac:dyDescent="0.2">
      <c r="B875">
        <f ca="1">Inputs!B12+(Inputs!D12-Inputs!B12)*BETAINV(RAND(),Model!H6,Model!I6)</f>
        <v>4.5942079195484231</v>
      </c>
      <c r="C875">
        <f ca="1">Inputs!E12+(Inputs!G12-Inputs!E12)*BETAINV(RAND(),Model!J6,Model!K6)</f>
        <v>0.35767343006106694</v>
      </c>
      <c r="D875">
        <f ca="1">(Inputs!H12+(Inputs!J12-Inputs!H12)*BETAINV(RAND(),Model!L6,Model!M6))*Inputs!$C$6</f>
        <v>27041.056743595331</v>
      </c>
      <c r="E875">
        <f t="shared" ca="1" si="273"/>
        <v>1.6432261049986028</v>
      </c>
      <c r="F875">
        <f t="shared" ca="1" si="274"/>
        <v>0.37954411560498524</v>
      </c>
      <c r="G875">
        <f t="shared" ca="1" si="275"/>
        <v>1</v>
      </c>
      <c r="H875" s="47">
        <f t="shared" ca="1" si="276"/>
        <v>27041.056743595331</v>
      </c>
      <c r="I875">
        <f ca="1">Inputs!B13+(Inputs!D13-Inputs!B13)*BETAINV(RAND(),Model!H7,Model!I7)</f>
        <v>1.1934648790142526</v>
      </c>
      <c r="J875">
        <f ca="1">Inputs!E13+(Inputs!G13-Inputs!E13)*BETAINV(RAND(),Model!J7,Model!K7)</f>
        <v>0.18538972829470762</v>
      </c>
      <c r="K875">
        <f ca="1">(Inputs!H13+(Inputs!J13-Inputs!H13)*BETAINV(RAND(),Model!L7,Model!M7))*Inputs!$C$6</f>
        <v>20512.418050882941</v>
      </c>
      <c r="L875">
        <f t="shared" ca="1" si="277"/>
        <v>0.22125612964972838</v>
      </c>
      <c r="M875">
        <f t="shared" ca="1" si="278"/>
        <v>0.25987286515548924</v>
      </c>
      <c r="N875">
        <f t="shared" ca="1" si="279"/>
        <v>0</v>
      </c>
      <c r="O875" s="47">
        <f t="shared" ca="1" si="280"/>
        <v>0</v>
      </c>
      <c r="P875">
        <f ca="1">Inputs!B14+(Inputs!D14-Inputs!B14)*BETAINV(RAND(),Model!H8,Model!I8)</f>
        <v>0.610335625250359</v>
      </c>
      <c r="Q875">
        <f ca="1">Inputs!E14+(Inputs!G14-Inputs!E14)*BETAINV(RAND(),Model!J8,Model!K8)</f>
        <v>0.66066288718386745</v>
      </c>
      <c r="R875">
        <f ca="1">(Inputs!H14+(Inputs!J14-Inputs!H14)*BETAINV(RAND(),Model!L8,Model!M8))*Inputs!$C$6</f>
        <v>357219.41468906513</v>
      </c>
      <c r="S875">
        <f t="shared" ca="1" si="281"/>
        <v>0.40322609632907314</v>
      </c>
      <c r="T875">
        <f t="shared" ca="1" si="282"/>
        <v>0.46408750200236981</v>
      </c>
      <c r="U875">
        <f t="shared" ca="1" si="283"/>
        <v>0</v>
      </c>
      <c r="V875" s="47">
        <f t="shared" ca="1" si="284"/>
        <v>0</v>
      </c>
      <c r="W875">
        <f ca="1">Inputs!B15+(Inputs!D15-Inputs!B15)*BETAINV(RAND(),Model!H9,Model!I9)</f>
        <v>1.0444293996047542</v>
      </c>
      <c r="X875">
        <f ca="1">Inputs!E15+(Inputs!G15-Inputs!E15)*BETAINV(RAND(),Model!J9,Model!K9)</f>
        <v>0.41574172908430407</v>
      </c>
      <c r="Y875">
        <f ca="1">(Inputs!H15+(Inputs!J15-Inputs!H15)*BETAINV(RAND(),Model!L9,Model!M9))*Inputs!$C$6</f>
        <v>33741.341434127877</v>
      </c>
      <c r="Z875">
        <f t="shared" ca="1" si="285"/>
        <v>0.43421288449816209</v>
      </c>
      <c r="AA875">
        <f t="shared" ca="1" si="286"/>
        <v>0.21732577646525864</v>
      </c>
      <c r="AB875">
        <f t="shared" ca="1" si="287"/>
        <v>0</v>
      </c>
      <c r="AC875" s="47">
        <f t="shared" ca="1" si="288"/>
        <v>0</v>
      </c>
      <c r="AD875">
        <f ca="1">Inputs!B16+(Inputs!D16-Inputs!B16)*BETAINV(RAND(),Model!H10,Model!I10)</f>
        <v>0.47993111946456207</v>
      </c>
      <c r="AE875">
        <f ca="1">Inputs!E16+(Inputs!G16-Inputs!E16)*BETAINV(RAND(),Model!J10,Model!K10)</f>
        <v>0.65536457863394149</v>
      </c>
      <c r="AF875">
        <f ca="1">(Inputs!H16+(Inputs!J16-Inputs!H16)*BETAINV(RAND(),Model!L10,Model!M10))*Inputs!$C$6</f>
        <v>87641.382071058571</v>
      </c>
      <c r="AG875">
        <f t="shared" ca="1" si="289"/>
        <v>0.31452985588120858</v>
      </c>
      <c r="AH875">
        <f t="shared" ca="1" si="290"/>
        <v>0.85628147279087985</v>
      </c>
      <c r="AI875">
        <f t="shared" ca="1" si="291"/>
        <v>1</v>
      </c>
      <c r="AJ875" s="47">
        <f t="shared" ca="1" si="292"/>
        <v>87641.382071058571</v>
      </c>
      <c r="AK875">
        <f t="shared" ca="1" si="293"/>
        <v>114682.4388146539</v>
      </c>
    </row>
    <row r="876" spans="2:37" x14ac:dyDescent="0.2">
      <c r="B876">
        <f ca="1">Inputs!B12+(Inputs!D12-Inputs!B12)*BETAINV(RAND(),Model!H6,Model!I6)</f>
        <v>1.8746423871035702</v>
      </c>
      <c r="C876">
        <f ca="1">Inputs!E12+(Inputs!G12-Inputs!E12)*BETAINV(RAND(),Model!J6,Model!K6)</f>
        <v>0.20378176925063587</v>
      </c>
      <c r="D876">
        <f ca="1">(Inputs!H12+(Inputs!J12-Inputs!H12)*BETAINV(RAND(),Model!L6,Model!M6))*Inputs!$C$6</f>
        <v>19151.010240941581</v>
      </c>
      <c r="E876">
        <f t="shared" ca="1" si="273"/>
        <v>0.38201794235620096</v>
      </c>
      <c r="F876">
        <f t="shared" ca="1" si="274"/>
        <v>0.98558635628042024</v>
      </c>
      <c r="G876">
        <f t="shared" ca="1" si="275"/>
        <v>2</v>
      </c>
      <c r="H876" s="47">
        <f t="shared" ca="1" si="276"/>
        <v>38302.020481883163</v>
      </c>
      <c r="I876">
        <f ca="1">Inputs!B13+(Inputs!D13-Inputs!B13)*BETAINV(RAND(),Model!H7,Model!I7)</f>
        <v>2.1844241989405084</v>
      </c>
      <c r="J876">
        <f ca="1">Inputs!E13+(Inputs!G13-Inputs!E13)*BETAINV(RAND(),Model!J7,Model!K7)</f>
        <v>0.27469984728001373</v>
      </c>
      <c r="K876">
        <f ca="1">(Inputs!H13+(Inputs!J13-Inputs!H13)*BETAINV(RAND(),Model!L7,Model!M7))*Inputs!$C$6</f>
        <v>40344.366255149384</v>
      </c>
      <c r="L876">
        <f t="shared" ca="1" si="277"/>
        <v>0.60006099384372402</v>
      </c>
      <c r="M876">
        <f t="shared" ca="1" si="278"/>
        <v>0.36523575585858159</v>
      </c>
      <c r="N876">
        <f t="shared" ca="1" si="279"/>
        <v>0</v>
      </c>
      <c r="O876" s="47">
        <f t="shared" ca="1" si="280"/>
        <v>0</v>
      </c>
      <c r="P876">
        <f ca="1">Inputs!B14+(Inputs!D14-Inputs!B14)*BETAINV(RAND(),Model!H8,Model!I8)</f>
        <v>0.36787419123731369</v>
      </c>
      <c r="Q876">
        <f ca="1">Inputs!E14+(Inputs!G14-Inputs!E14)*BETAINV(RAND(),Model!J8,Model!K8)</f>
        <v>0.38812925968773115</v>
      </c>
      <c r="R876">
        <f ca="1">(Inputs!H14+(Inputs!J14-Inputs!H14)*BETAINV(RAND(),Model!L8,Model!M8))*Inputs!$C$6</f>
        <v>283150.11872803298</v>
      </c>
      <c r="S876">
        <f t="shared" ca="1" si="281"/>
        <v>0.14278273750316139</v>
      </c>
      <c r="T876">
        <f t="shared" ca="1" si="282"/>
        <v>0.29185946067794777</v>
      </c>
      <c r="U876">
        <f t="shared" ca="1" si="283"/>
        <v>0</v>
      </c>
      <c r="V876" s="47">
        <f t="shared" ca="1" si="284"/>
        <v>0</v>
      </c>
      <c r="W876">
        <f ca="1">Inputs!B15+(Inputs!D15-Inputs!B15)*BETAINV(RAND(),Model!H9,Model!I9)</f>
        <v>2.648907890992259</v>
      </c>
      <c r="X876">
        <f ca="1">Inputs!E15+(Inputs!G15-Inputs!E15)*BETAINV(RAND(),Model!J9,Model!K9)</f>
        <v>0.4832259018184798</v>
      </c>
      <c r="Y876">
        <f ca="1">(Inputs!H15+(Inputs!J15-Inputs!H15)*BETAINV(RAND(),Model!L9,Model!M9))*Inputs!$C$6</f>
        <v>51656.803878910789</v>
      </c>
      <c r="Z876">
        <f t="shared" ca="1" si="285"/>
        <v>1.2800209044588218</v>
      </c>
      <c r="AA876">
        <f t="shared" ca="1" si="286"/>
        <v>0.25859637533375257</v>
      </c>
      <c r="AB876">
        <f t="shared" ca="1" si="287"/>
        <v>0</v>
      </c>
      <c r="AC876" s="47">
        <f t="shared" ca="1" si="288"/>
        <v>0</v>
      </c>
      <c r="AD876">
        <f ca="1">Inputs!B16+(Inputs!D16-Inputs!B16)*BETAINV(RAND(),Model!H10,Model!I10)</f>
        <v>0.67423989416654639</v>
      </c>
      <c r="AE876">
        <f ca="1">Inputs!E16+(Inputs!G16-Inputs!E16)*BETAINV(RAND(),Model!J10,Model!K10)</f>
        <v>0.56536916601270626</v>
      </c>
      <c r="AF876">
        <f ca="1">(Inputs!H16+(Inputs!J16-Inputs!H16)*BETAINV(RAND(),Model!L10,Model!M10))*Inputs!$C$6</f>
        <v>90293.808986698336</v>
      </c>
      <c r="AG876">
        <f t="shared" ca="1" si="289"/>
        <v>0.38119444665743568</v>
      </c>
      <c r="AH876">
        <f t="shared" ca="1" si="290"/>
        <v>0.95611164271785565</v>
      </c>
      <c r="AI876">
        <f t="shared" ca="1" si="291"/>
        <v>2</v>
      </c>
      <c r="AJ876" s="47">
        <f t="shared" ca="1" si="292"/>
        <v>180587.61797339667</v>
      </c>
      <c r="AK876">
        <f t="shared" ca="1" si="293"/>
        <v>218889.63845527984</v>
      </c>
    </row>
    <row r="877" spans="2:37" x14ac:dyDescent="0.2">
      <c r="B877">
        <f ca="1">Inputs!B12+(Inputs!D12-Inputs!B12)*BETAINV(RAND(),Model!H6,Model!I6)</f>
        <v>2.2352918037044853</v>
      </c>
      <c r="C877">
        <f ca="1">Inputs!E12+(Inputs!G12-Inputs!E12)*BETAINV(RAND(),Model!J6,Model!K6)</f>
        <v>0.4706398295483446</v>
      </c>
      <c r="D877">
        <f ca="1">(Inputs!H12+(Inputs!J12-Inputs!H12)*BETAINV(RAND(),Model!L6,Model!M6))*Inputs!$C$6</f>
        <v>26676.364520530984</v>
      </c>
      <c r="E877">
        <f t="shared" ca="1" si="273"/>
        <v>1.0520173534862907</v>
      </c>
      <c r="F877">
        <f t="shared" ca="1" si="274"/>
        <v>0.22329286038589635</v>
      </c>
      <c r="G877">
        <f t="shared" ca="1" si="275"/>
        <v>0</v>
      </c>
      <c r="H877" s="47">
        <f t="shared" ca="1" si="276"/>
        <v>0</v>
      </c>
      <c r="I877">
        <f ca="1">Inputs!B13+(Inputs!D13-Inputs!B13)*BETAINV(RAND(),Model!H7,Model!I7)</f>
        <v>1.7956932794928493</v>
      </c>
      <c r="J877">
        <f ca="1">Inputs!E13+(Inputs!G13-Inputs!E13)*BETAINV(RAND(),Model!J7,Model!K7)</f>
        <v>0.26833076059470684</v>
      </c>
      <c r="K877">
        <f ca="1">(Inputs!H13+(Inputs!J13-Inputs!H13)*BETAINV(RAND(),Model!L7,Model!M7))*Inputs!$C$6</f>
        <v>14113.891156502861</v>
      </c>
      <c r="L877">
        <f t="shared" ca="1" si="277"/>
        <v>0.48183974348111974</v>
      </c>
      <c r="M877">
        <f t="shared" ca="1" si="278"/>
        <v>0.55632616926697931</v>
      </c>
      <c r="N877">
        <f t="shared" ca="1" si="279"/>
        <v>0</v>
      </c>
      <c r="O877" s="47">
        <f t="shared" ca="1" si="280"/>
        <v>0</v>
      </c>
      <c r="P877">
        <f ca="1">Inputs!B14+(Inputs!D14-Inputs!B14)*BETAINV(RAND(),Model!H8,Model!I8)</f>
        <v>0.13031678645750103</v>
      </c>
      <c r="Q877">
        <f ca="1">Inputs!E14+(Inputs!G14-Inputs!E14)*BETAINV(RAND(),Model!J8,Model!K8)</f>
        <v>0.51106715832734251</v>
      </c>
      <c r="R877">
        <f ca="1">(Inputs!H14+(Inputs!J14-Inputs!H14)*BETAINV(RAND(),Model!L8,Model!M8))*Inputs!$C$6</f>
        <v>503296.15369321947</v>
      </c>
      <c r="S877">
        <f t="shared" ca="1" si="281"/>
        <v>6.6600629737186168E-2</v>
      </c>
      <c r="T877">
        <f t="shared" ca="1" si="282"/>
        <v>0.39020377463440425</v>
      </c>
      <c r="U877">
        <f t="shared" ca="1" si="283"/>
        <v>0</v>
      </c>
      <c r="V877" s="47">
        <f t="shared" ca="1" si="284"/>
        <v>0</v>
      </c>
      <c r="W877">
        <f ca="1">Inputs!B15+(Inputs!D15-Inputs!B15)*BETAINV(RAND(),Model!H9,Model!I9)</f>
        <v>1.905332463962836</v>
      </c>
      <c r="X877">
        <f ca="1">Inputs!E15+(Inputs!G15-Inputs!E15)*BETAINV(RAND(),Model!J9,Model!K9)</f>
        <v>0.57759467774634854</v>
      </c>
      <c r="Y877">
        <f ca="1">(Inputs!H15+(Inputs!J15-Inputs!H15)*BETAINV(RAND(),Model!L9,Model!M9))*Inputs!$C$6</f>
        <v>32110.569239127784</v>
      </c>
      <c r="Z877">
        <f t="shared" ca="1" si="285"/>
        <v>1.1005098905222706</v>
      </c>
      <c r="AA877">
        <f t="shared" ca="1" si="286"/>
        <v>0.91303815026213442</v>
      </c>
      <c r="AB877">
        <f t="shared" ca="1" si="287"/>
        <v>3</v>
      </c>
      <c r="AC877" s="47">
        <f t="shared" ca="1" si="288"/>
        <v>96331.707717383353</v>
      </c>
      <c r="AD877">
        <f ca="1">Inputs!B16+(Inputs!D16-Inputs!B16)*BETAINV(RAND(),Model!H10,Model!I10)</f>
        <v>0.59500831887881622</v>
      </c>
      <c r="AE877">
        <f ca="1">Inputs!E16+(Inputs!G16-Inputs!E16)*BETAINV(RAND(),Model!J10,Model!K10)</f>
        <v>0.66240248700349336</v>
      </c>
      <c r="AF877">
        <f ca="1">(Inputs!H16+(Inputs!J16-Inputs!H16)*BETAINV(RAND(),Model!L10,Model!M10))*Inputs!$C$6</f>
        <v>67918.350562983702</v>
      </c>
      <c r="AG877">
        <f t="shared" ca="1" si="289"/>
        <v>0.3941349902130955</v>
      </c>
      <c r="AH877">
        <f t="shared" ca="1" si="290"/>
        <v>0.74852511681230316</v>
      </c>
      <c r="AI877">
        <f t="shared" ca="1" si="291"/>
        <v>1</v>
      </c>
      <c r="AJ877" s="47">
        <f t="shared" ca="1" si="292"/>
        <v>67918.350562983702</v>
      </c>
      <c r="AK877">
        <f t="shared" ca="1" si="293"/>
        <v>164250.05828036705</v>
      </c>
    </row>
    <row r="878" spans="2:37" x14ac:dyDescent="0.2">
      <c r="B878">
        <f ca="1">Inputs!B12+(Inputs!D12-Inputs!B12)*BETAINV(RAND(),Model!H6,Model!I6)</f>
        <v>1.7189815285595682</v>
      </c>
      <c r="C878">
        <f ca="1">Inputs!E12+(Inputs!G12-Inputs!E12)*BETAINV(RAND(),Model!J6,Model!K6)</f>
        <v>0.42957038250639579</v>
      </c>
      <c r="D878">
        <f ca="1">(Inputs!H12+(Inputs!J12-Inputs!H12)*BETAINV(RAND(),Model!L6,Model!M6))*Inputs!$C$6</f>
        <v>28824.237015583261</v>
      </c>
      <c r="E878">
        <f t="shared" ca="1" si="273"/>
        <v>0.73842355274476268</v>
      </c>
      <c r="F878">
        <f t="shared" ca="1" si="274"/>
        <v>0.30332087085757098</v>
      </c>
      <c r="G878">
        <f t="shared" ca="1" si="275"/>
        <v>0</v>
      </c>
      <c r="H878" s="47">
        <f t="shared" ca="1" si="276"/>
        <v>0</v>
      </c>
      <c r="I878">
        <f ca="1">Inputs!B13+(Inputs!D13-Inputs!B13)*BETAINV(RAND(),Model!H7,Model!I7)</f>
        <v>1.7637153556156571</v>
      </c>
      <c r="J878">
        <f ca="1">Inputs!E13+(Inputs!G13-Inputs!E13)*BETAINV(RAND(),Model!J7,Model!K7)</f>
        <v>0.2948555168831215</v>
      </c>
      <c r="K878">
        <f ca="1">(Inputs!H13+(Inputs!J13-Inputs!H13)*BETAINV(RAND(),Model!L7,Model!M7))*Inputs!$C$6</f>
        <v>36069.791384230397</v>
      </c>
      <c r="L878">
        <f t="shared" ca="1" si="277"/>
        <v>0.52004120281475297</v>
      </c>
      <c r="M878">
        <f t="shared" ca="1" si="278"/>
        <v>0.48994522089666981</v>
      </c>
      <c r="N878">
        <f t="shared" ca="1" si="279"/>
        <v>0</v>
      </c>
      <c r="O878" s="47">
        <f t="shared" ca="1" si="280"/>
        <v>0</v>
      </c>
      <c r="P878">
        <f ca="1">Inputs!B14+(Inputs!D14-Inputs!B14)*BETAINV(RAND(),Model!H8,Model!I8)</f>
        <v>0.15785729843673382</v>
      </c>
      <c r="Q878">
        <f ca="1">Inputs!E14+(Inputs!G14-Inputs!E14)*BETAINV(RAND(),Model!J8,Model!K8)</f>
        <v>0.76213215971924941</v>
      </c>
      <c r="R878">
        <f ca="1">(Inputs!H14+(Inputs!J14-Inputs!H14)*BETAINV(RAND(),Model!L8,Model!M8))*Inputs!$C$6</f>
        <v>528039.06750254089</v>
      </c>
      <c r="S878">
        <f t="shared" ca="1" si="281"/>
        <v>0.12030812378503404</v>
      </c>
      <c r="T878">
        <f t="shared" ca="1" si="282"/>
        <v>0.33547903716843508</v>
      </c>
      <c r="U878">
        <f t="shared" ca="1" si="283"/>
        <v>0</v>
      </c>
      <c r="V878" s="47">
        <f t="shared" ca="1" si="284"/>
        <v>0</v>
      </c>
      <c r="W878">
        <f ca="1">Inputs!B15+(Inputs!D15-Inputs!B15)*BETAINV(RAND(),Model!H9,Model!I9)</f>
        <v>1.2122685069021335</v>
      </c>
      <c r="X878">
        <f ca="1">Inputs!E15+(Inputs!G15-Inputs!E15)*BETAINV(RAND(),Model!J9,Model!K9)</f>
        <v>0.60206214833322969</v>
      </c>
      <c r="Y878">
        <f ca="1">(Inputs!H15+(Inputs!J15-Inputs!H15)*BETAINV(RAND(),Model!L9,Model!M9))*Inputs!$C$6</f>
        <v>40973.024569551933</v>
      </c>
      <c r="Z878">
        <f t="shared" ca="1" si="285"/>
        <v>0.72986098162221513</v>
      </c>
      <c r="AA878">
        <f t="shared" ca="1" si="286"/>
        <v>0.48281772059496764</v>
      </c>
      <c r="AB878">
        <f t="shared" ca="1" si="287"/>
        <v>1</v>
      </c>
      <c r="AC878" s="47">
        <f t="shared" ca="1" si="288"/>
        <v>40973.024569551933</v>
      </c>
      <c r="AD878">
        <f ca="1">Inputs!B16+(Inputs!D16-Inputs!B16)*BETAINV(RAND(),Model!H10,Model!I10)</f>
        <v>0.3750642973914925</v>
      </c>
      <c r="AE878">
        <f ca="1">Inputs!E16+(Inputs!G16-Inputs!E16)*BETAINV(RAND(),Model!J10,Model!K10)</f>
        <v>0.54425466933602662</v>
      </c>
      <c r="AF878">
        <f ca="1">(Inputs!H16+(Inputs!J16-Inputs!H16)*BETAINV(RAND(),Model!L10,Model!M10))*Inputs!$C$6</f>
        <v>140245.17171516616</v>
      </c>
      <c r="AG878">
        <f t="shared" ca="1" si="289"/>
        <v>0.2041304951565559</v>
      </c>
      <c r="AH878">
        <f t="shared" ca="1" si="290"/>
        <v>0.93022773768350475</v>
      </c>
      <c r="AI878">
        <f t="shared" ca="1" si="291"/>
        <v>1</v>
      </c>
      <c r="AJ878" s="47">
        <f t="shared" ca="1" si="292"/>
        <v>140245.17171516616</v>
      </c>
      <c r="AK878">
        <f t="shared" ca="1" si="293"/>
        <v>181218.19628471808</v>
      </c>
    </row>
    <row r="879" spans="2:37" x14ac:dyDescent="0.2">
      <c r="B879">
        <f ca="1">Inputs!B12+(Inputs!D12-Inputs!B12)*BETAINV(RAND(),Model!H6,Model!I6)</f>
        <v>3.9401719645039832</v>
      </c>
      <c r="C879">
        <f ca="1">Inputs!E12+(Inputs!G12-Inputs!E12)*BETAINV(RAND(),Model!J6,Model!K6)</f>
        <v>0.34190430112801884</v>
      </c>
      <c r="D879">
        <f ca="1">(Inputs!H12+(Inputs!J12-Inputs!H12)*BETAINV(RAND(),Model!L6,Model!M6))*Inputs!$C$6</f>
        <v>9604.6799210572863</v>
      </c>
      <c r="E879">
        <f t="shared" ca="1" si="273"/>
        <v>1.3471617418479473</v>
      </c>
      <c r="F879">
        <f t="shared" ca="1" si="274"/>
        <v>0.86389408725755534</v>
      </c>
      <c r="G879">
        <f t="shared" ca="1" si="275"/>
        <v>3</v>
      </c>
      <c r="H879" s="47">
        <f t="shared" ca="1" si="276"/>
        <v>28814.039763171859</v>
      </c>
      <c r="I879">
        <f ca="1">Inputs!B13+(Inputs!D13-Inputs!B13)*BETAINV(RAND(),Model!H7,Model!I7)</f>
        <v>1.0894457548387273</v>
      </c>
      <c r="J879">
        <f ca="1">Inputs!E13+(Inputs!G13-Inputs!E13)*BETAINV(RAND(),Model!J7,Model!K7)</f>
        <v>0.19625648235996551</v>
      </c>
      <c r="K879">
        <f ca="1">(Inputs!H13+(Inputs!J13-Inputs!H13)*BETAINV(RAND(),Model!L7,Model!M7))*Inputs!$C$6</f>
        <v>41977.5003808826</v>
      </c>
      <c r="L879">
        <f t="shared" ca="1" si="277"/>
        <v>0.21381079156664601</v>
      </c>
      <c r="M879">
        <f t="shared" ca="1" si="278"/>
        <v>0.6164284230541891</v>
      </c>
      <c r="N879">
        <f t="shared" ca="1" si="279"/>
        <v>0</v>
      </c>
      <c r="O879" s="47">
        <f t="shared" ca="1" si="280"/>
        <v>0</v>
      </c>
      <c r="P879">
        <f ca="1">Inputs!B14+(Inputs!D14-Inputs!B14)*BETAINV(RAND(),Model!H8,Model!I8)</f>
        <v>0.28128442101567797</v>
      </c>
      <c r="Q879">
        <f ca="1">Inputs!E14+(Inputs!G14-Inputs!E14)*BETAINV(RAND(),Model!J8,Model!K8)</f>
        <v>0.72409005200076804</v>
      </c>
      <c r="R879">
        <f ca="1">(Inputs!H14+(Inputs!J14-Inputs!H14)*BETAINV(RAND(),Model!L8,Model!M8))*Inputs!$C$6</f>
        <v>293967.64384053822</v>
      </c>
      <c r="S879">
        <f t="shared" ca="1" si="281"/>
        <v>0.2036752510402482</v>
      </c>
      <c r="T879">
        <f t="shared" ca="1" si="282"/>
        <v>0.5087456166102533</v>
      </c>
      <c r="U879">
        <f t="shared" ca="1" si="283"/>
        <v>0</v>
      </c>
      <c r="V879" s="47">
        <f t="shared" ca="1" si="284"/>
        <v>0</v>
      </c>
      <c r="W879">
        <f ca="1">Inputs!B15+(Inputs!D15-Inputs!B15)*BETAINV(RAND(),Model!H9,Model!I9)</f>
        <v>1.0501448678202052</v>
      </c>
      <c r="X879">
        <f ca="1">Inputs!E15+(Inputs!G15-Inputs!E15)*BETAINV(RAND(),Model!J9,Model!K9)</f>
        <v>0.32947906517913528</v>
      </c>
      <c r="Y879">
        <f ca="1">(Inputs!H15+(Inputs!J15-Inputs!H15)*BETAINV(RAND(),Model!L9,Model!M9))*Inputs!$C$6</f>
        <v>57674.699508661564</v>
      </c>
      <c r="Z879">
        <f t="shared" ca="1" si="285"/>
        <v>0.34600074935206782</v>
      </c>
      <c r="AA879">
        <f t="shared" ca="1" si="286"/>
        <v>0.50293772006811943</v>
      </c>
      <c r="AB879">
        <f t="shared" ca="1" si="287"/>
        <v>0</v>
      </c>
      <c r="AC879" s="47">
        <f t="shared" ca="1" si="288"/>
        <v>0</v>
      </c>
      <c r="AD879">
        <f ca="1">Inputs!B16+(Inputs!D16-Inputs!B16)*BETAINV(RAND(),Model!H10,Model!I10)</f>
        <v>1.269134817309177</v>
      </c>
      <c r="AE879">
        <f ca="1">Inputs!E16+(Inputs!G16-Inputs!E16)*BETAINV(RAND(),Model!J10,Model!K10)</f>
        <v>0.59591348981134296</v>
      </c>
      <c r="AF879">
        <f ca="1">(Inputs!H16+(Inputs!J16-Inputs!H16)*BETAINV(RAND(),Model!L10,Model!M10))*Inputs!$C$6</f>
        <v>62817.628412586135</v>
      </c>
      <c r="AG879">
        <f t="shared" ca="1" si="289"/>
        <v>0.75629455802379286</v>
      </c>
      <c r="AH879">
        <f t="shared" ca="1" si="290"/>
        <v>0.49030037392394432</v>
      </c>
      <c r="AI879">
        <f t="shared" ca="1" si="291"/>
        <v>1</v>
      </c>
      <c r="AJ879" s="47">
        <f t="shared" ca="1" si="292"/>
        <v>62817.628412586135</v>
      </c>
      <c r="AK879">
        <f t="shared" ca="1" si="293"/>
        <v>91631.668175757994</v>
      </c>
    </row>
    <row r="880" spans="2:37" x14ac:dyDescent="0.2">
      <c r="B880">
        <f ca="1">Inputs!B12+(Inputs!D12-Inputs!B12)*BETAINV(RAND(),Model!H6,Model!I6)</f>
        <v>3.5669581698856945</v>
      </c>
      <c r="C880">
        <f ca="1">Inputs!E12+(Inputs!G12-Inputs!E12)*BETAINV(RAND(),Model!J6,Model!K6)</f>
        <v>0.36402007379560075</v>
      </c>
      <c r="D880">
        <f ca="1">(Inputs!H12+(Inputs!J12-Inputs!H12)*BETAINV(RAND(),Model!L6,Model!M6))*Inputs!$C$6</f>
        <v>36961.285130032782</v>
      </c>
      <c r="E880">
        <f t="shared" ca="1" si="273"/>
        <v>1.2984443762276114</v>
      </c>
      <c r="F880">
        <f t="shared" ca="1" si="274"/>
        <v>0.34319693133140761</v>
      </c>
      <c r="G880">
        <f t="shared" ca="1" si="275"/>
        <v>1</v>
      </c>
      <c r="H880" s="47">
        <f t="shared" ca="1" si="276"/>
        <v>36961.285130032782</v>
      </c>
      <c r="I880">
        <f ca="1">Inputs!B13+(Inputs!D13-Inputs!B13)*BETAINV(RAND(),Model!H7,Model!I7)</f>
        <v>3.1637559936456134</v>
      </c>
      <c r="J880">
        <f ca="1">Inputs!E13+(Inputs!G13-Inputs!E13)*BETAINV(RAND(),Model!J7,Model!K7)</f>
        <v>0.24641840984265981</v>
      </c>
      <c r="K880">
        <f ca="1">(Inputs!H13+(Inputs!J13-Inputs!H13)*BETAINV(RAND(),Model!L7,Model!M7))*Inputs!$C$6</f>
        <v>17140.066710443494</v>
      </c>
      <c r="L880">
        <f t="shared" ca="1" si="277"/>
        <v>0.77960772108433618</v>
      </c>
      <c r="M880">
        <f t="shared" ca="1" si="278"/>
        <v>0.71970600137927532</v>
      </c>
      <c r="N880">
        <f t="shared" ca="1" si="279"/>
        <v>1</v>
      </c>
      <c r="O880" s="47">
        <f t="shared" ca="1" si="280"/>
        <v>17140.066710443494</v>
      </c>
      <c r="P880">
        <f ca="1">Inputs!B14+(Inputs!D14-Inputs!B14)*BETAINV(RAND(),Model!H8,Model!I8)</f>
        <v>0.47119611608281553</v>
      </c>
      <c r="Q880">
        <f ca="1">Inputs!E14+(Inputs!G14-Inputs!E14)*BETAINV(RAND(),Model!J8,Model!K8)</f>
        <v>0.72833801130598719</v>
      </c>
      <c r="R880">
        <f ca="1">(Inputs!H14+(Inputs!J14-Inputs!H14)*BETAINV(RAND(),Model!L8,Model!M8))*Inputs!$C$6</f>
        <v>366763.77161691873</v>
      </c>
      <c r="S880">
        <f t="shared" ca="1" si="281"/>
        <v>0.34319004212286297</v>
      </c>
      <c r="T880">
        <f t="shared" ca="1" si="282"/>
        <v>0.27953816005007648</v>
      </c>
      <c r="U880">
        <f t="shared" ca="1" si="283"/>
        <v>0</v>
      </c>
      <c r="V880" s="47">
        <f t="shared" ca="1" si="284"/>
        <v>0</v>
      </c>
      <c r="W880">
        <f ca="1">Inputs!B15+(Inputs!D15-Inputs!B15)*BETAINV(RAND(),Model!H9,Model!I9)</f>
        <v>1.1796968833391479</v>
      </c>
      <c r="X880">
        <f ca="1">Inputs!E15+(Inputs!G15-Inputs!E15)*BETAINV(RAND(),Model!J9,Model!K9)</f>
        <v>0.25677753500688499</v>
      </c>
      <c r="Y880">
        <f ca="1">(Inputs!H15+(Inputs!J15-Inputs!H15)*BETAINV(RAND(),Model!L9,Model!M9))*Inputs!$C$6</f>
        <v>36287.592853527771</v>
      </c>
      <c r="Z880">
        <f t="shared" ca="1" si="285"/>
        <v>0.30291965775913116</v>
      </c>
      <c r="AA880">
        <f t="shared" ca="1" si="286"/>
        <v>0.14241468758358111</v>
      </c>
      <c r="AB880">
        <f t="shared" ca="1" si="287"/>
        <v>0</v>
      </c>
      <c r="AC880" s="47">
        <f t="shared" ca="1" si="288"/>
        <v>0</v>
      </c>
      <c r="AD880">
        <f ca="1">Inputs!B16+(Inputs!D16-Inputs!B16)*BETAINV(RAND(),Model!H10,Model!I10)</f>
        <v>0.74222998379706162</v>
      </c>
      <c r="AE880">
        <f ca="1">Inputs!E16+(Inputs!G16-Inputs!E16)*BETAINV(RAND(),Model!J10,Model!K10)</f>
        <v>0.49570372392768852</v>
      </c>
      <c r="AF880">
        <f ca="1">(Inputs!H16+(Inputs!J16-Inputs!H16)*BETAINV(RAND(),Model!L10,Model!M10))*Inputs!$C$6</f>
        <v>65618.002737964664</v>
      </c>
      <c r="AG880">
        <f t="shared" ca="1" si="289"/>
        <v>0.36792616697899133</v>
      </c>
      <c r="AH880">
        <f t="shared" ca="1" si="290"/>
        <v>0.97879968509529447</v>
      </c>
      <c r="AI880">
        <f t="shared" ca="1" si="291"/>
        <v>2</v>
      </c>
      <c r="AJ880" s="47">
        <f t="shared" ca="1" si="292"/>
        <v>131236.00547592933</v>
      </c>
      <c r="AK880">
        <f t="shared" ca="1" si="293"/>
        <v>185337.3573164056</v>
      </c>
    </row>
    <row r="881" spans="2:37" x14ac:dyDescent="0.2">
      <c r="B881">
        <f ca="1">Inputs!B12+(Inputs!D12-Inputs!B12)*BETAINV(RAND(),Model!H6,Model!I6)</f>
        <v>3.4827773398456934</v>
      </c>
      <c r="C881">
        <f ca="1">Inputs!E12+(Inputs!G12-Inputs!E12)*BETAINV(RAND(),Model!J6,Model!K6)</f>
        <v>0.20420045714998183</v>
      </c>
      <c r="D881">
        <f ca="1">(Inputs!H12+(Inputs!J12-Inputs!H12)*BETAINV(RAND(),Model!L6,Model!M6))*Inputs!$C$6</f>
        <v>49167.412688324541</v>
      </c>
      <c r="E881">
        <f t="shared" ca="1" si="273"/>
        <v>0.71118472494808826</v>
      </c>
      <c r="F881">
        <f t="shared" ca="1" si="274"/>
        <v>0.34459936550593584</v>
      </c>
      <c r="G881">
        <f t="shared" ca="1" si="275"/>
        <v>0</v>
      </c>
      <c r="H881" s="47">
        <f t="shared" ca="1" si="276"/>
        <v>0</v>
      </c>
      <c r="I881">
        <f ca="1">Inputs!B13+(Inputs!D13-Inputs!B13)*BETAINV(RAND(),Model!H7,Model!I7)</f>
        <v>1.5683303930834946</v>
      </c>
      <c r="J881">
        <f ca="1">Inputs!E13+(Inputs!G13-Inputs!E13)*BETAINV(RAND(),Model!J7,Model!K7)</f>
        <v>0.39135771333582958</v>
      </c>
      <c r="K881">
        <f ca="1">(Inputs!H13+(Inputs!J13-Inputs!H13)*BETAINV(RAND(),Model!L7,Model!M7))*Inputs!$C$6</f>
        <v>26301.772145352639</v>
      </c>
      <c r="L881">
        <f t="shared" ca="1" si="277"/>
        <v>0.61377819639223918</v>
      </c>
      <c r="M881">
        <f t="shared" ca="1" si="278"/>
        <v>4.5595380453107293E-3</v>
      </c>
      <c r="N881">
        <f t="shared" ca="1" si="279"/>
        <v>0</v>
      </c>
      <c r="O881" s="47">
        <f t="shared" ca="1" si="280"/>
        <v>0</v>
      </c>
      <c r="P881">
        <f ca="1">Inputs!B14+(Inputs!D14-Inputs!B14)*BETAINV(RAND(),Model!H8,Model!I8)</f>
        <v>0.15467098461510123</v>
      </c>
      <c r="Q881">
        <f ca="1">Inputs!E14+(Inputs!G14-Inputs!E14)*BETAINV(RAND(),Model!J8,Model!K8)</f>
        <v>0.81397586887339535</v>
      </c>
      <c r="R881">
        <f ca="1">(Inputs!H14+(Inputs!J14-Inputs!H14)*BETAINV(RAND(),Model!L8,Model!M8))*Inputs!$C$6</f>
        <v>308212.3143752052</v>
      </c>
      <c r="S881">
        <f t="shared" ca="1" si="281"/>
        <v>0.1258984490915806</v>
      </c>
      <c r="T881">
        <f t="shared" ca="1" si="282"/>
        <v>8.5791343581810287E-3</v>
      </c>
      <c r="U881">
        <f t="shared" ca="1" si="283"/>
        <v>0</v>
      </c>
      <c r="V881" s="47">
        <f t="shared" ca="1" si="284"/>
        <v>0</v>
      </c>
      <c r="W881">
        <f ca="1">Inputs!B15+(Inputs!D15-Inputs!B15)*BETAINV(RAND(),Model!H9,Model!I9)</f>
        <v>1.0824653272340818</v>
      </c>
      <c r="X881">
        <f ca="1">Inputs!E15+(Inputs!G15-Inputs!E15)*BETAINV(RAND(),Model!J9,Model!K9)</f>
        <v>0.49901685908238902</v>
      </c>
      <c r="Y881">
        <f ca="1">(Inputs!H15+(Inputs!J15-Inputs!H15)*BETAINV(RAND(),Model!L9,Model!M9))*Inputs!$C$6</f>
        <v>29676.37528098085</v>
      </c>
      <c r="Z881">
        <f t="shared" ca="1" si="285"/>
        <v>0.54016844766194194</v>
      </c>
      <c r="AA881">
        <f t="shared" ca="1" si="286"/>
        <v>0.66183701826437102</v>
      </c>
      <c r="AB881">
        <f t="shared" ca="1" si="287"/>
        <v>1</v>
      </c>
      <c r="AC881" s="47">
        <f t="shared" ca="1" si="288"/>
        <v>29676.37528098085</v>
      </c>
      <c r="AD881">
        <f ca="1">Inputs!B16+(Inputs!D16-Inputs!B16)*BETAINV(RAND(),Model!H10,Model!I10)</f>
        <v>0.55494944041957184</v>
      </c>
      <c r="AE881">
        <f ca="1">Inputs!E16+(Inputs!G16-Inputs!E16)*BETAINV(RAND(),Model!J10,Model!K10)</f>
        <v>0.6462549906603412</v>
      </c>
      <c r="AF881">
        <f ca="1">(Inputs!H16+(Inputs!J16-Inputs!H16)*BETAINV(RAND(),Model!L10,Model!M10))*Inputs!$C$6</f>
        <v>57987.733003917638</v>
      </c>
      <c r="AG881">
        <f t="shared" ca="1" si="289"/>
        <v>0.35863884543531199</v>
      </c>
      <c r="AH881">
        <f t="shared" ca="1" si="290"/>
        <v>0.38410757580842836</v>
      </c>
      <c r="AI881">
        <f t="shared" ca="1" si="291"/>
        <v>0</v>
      </c>
      <c r="AJ881" s="47">
        <f t="shared" ca="1" si="292"/>
        <v>0</v>
      </c>
      <c r="AK881">
        <f t="shared" ca="1" si="293"/>
        <v>29676.37528098085</v>
      </c>
    </row>
    <row r="882" spans="2:37" x14ac:dyDescent="0.2">
      <c r="B882">
        <f ca="1">Inputs!B12+(Inputs!D12-Inputs!B12)*BETAINV(RAND(),Model!H6,Model!I6)</f>
        <v>5.1083535579791803</v>
      </c>
      <c r="C882">
        <f ca="1">Inputs!E12+(Inputs!G12-Inputs!E12)*BETAINV(RAND(),Model!J6,Model!K6)</f>
        <v>0.42628554186316148</v>
      </c>
      <c r="D882">
        <f ca="1">(Inputs!H12+(Inputs!J12-Inputs!H12)*BETAINV(RAND(),Model!L6,Model!M6))*Inputs!$C$6</f>
        <v>11661.053468239643</v>
      </c>
      <c r="E882">
        <f t="shared" ca="1" si="273"/>
        <v>2.1776172644917637</v>
      </c>
      <c r="F882">
        <f t="shared" ca="1" si="274"/>
        <v>6.9981638727762641E-2</v>
      </c>
      <c r="G882">
        <f t="shared" ca="1" si="275"/>
        <v>0</v>
      </c>
      <c r="H882" s="47">
        <f t="shared" ca="1" si="276"/>
        <v>0</v>
      </c>
      <c r="I882">
        <f ca="1">Inputs!B13+(Inputs!D13-Inputs!B13)*BETAINV(RAND(),Model!H7,Model!I7)</f>
        <v>2.8166511278807249</v>
      </c>
      <c r="J882">
        <f ca="1">Inputs!E13+(Inputs!G13-Inputs!E13)*BETAINV(RAND(),Model!J7,Model!K7)</f>
        <v>0.19871663355288516</v>
      </c>
      <c r="K882">
        <f ca="1">(Inputs!H13+(Inputs!J13-Inputs!H13)*BETAINV(RAND(),Model!L7,Model!M7))*Inputs!$C$6</f>
        <v>29998.096166245468</v>
      </c>
      <c r="L882">
        <f t="shared" ca="1" si="277"/>
        <v>0.5597154300253947</v>
      </c>
      <c r="M882">
        <f t="shared" ca="1" si="278"/>
        <v>6.1437298143205421E-3</v>
      </c>
      <c r="N882">
        <f t="shared" ca="1" si="279"/>
        <v>0</v>
      </c>
      <c r="O882" s="47">
        <f t="shared" ca="1" si="280"/>
        <v>0</v>
      </c>
      <c r="P882">
        <f ca="1">Inputs!B14+(Inputs!D14-Inputs!B14)*BETAINV(RAND(),Model!H8,Model!I8)</f>
        <v>0.36695496411770778</v>
      </c>
      <c r="Q882">
        <f ca="1">Inputs!E14+(Inputs!G14-Inputs!E14)*BETAINV(RAND(),Model!J8,Model!K8)</f>
        <v>0.65117077444530524</v>
      </c>
      <c r="R882">
        <f ca="1">(Inputs!H14+(Inputs!J14-Inputs!H14)*BETAINV(RAND(),Model!L8,Model!M8))*Inputs!$C$6</f>
        <v>571926.75717299443</v>
      </c>
      <c r="S882">
        <f t="shared" ca="1" si="281"/>
        <v>0.23895034817107697</v>
      </c>
      <c r="T882">
        <f t="shared" ca="1" si="282"/>
        <v>9.2478105971676161E-2</v>
      </c>
      <c r="U882">
        <f t="shared" ca="1" si="283"/>
        <v>0</v>
      </c>
      <c r="V882" s="47">
        <f t="shared" ca="1" si="284"/>
        <v>0</v>
      </c>
      <c r="W882">
        <f ca="1">Inputs!B15+(Inputs!D15-Inputs!B15)*BETAINV(RAND(),Model!H9,Model!I9)</f>
        <v>2.1694007846163958</v>
      </c>
      <c r="X882">
        <f ca="1">Inputs!E15+(Inputs!G15-Inputs!E15)*BETAINV(RAND(),Model!J9,Model!K9)</f>
        <v>0.44874368002168641</v>
      </c>
      <c r="Y882">
        <f ca="1">(Inputs!H15+(Inputs!J15-Inputs!H15)*BETAINV(RAND(),Model!L9,Model!M9))*Inputs!$C$6</f>
        <v>32994.267794641382</v>
      </c>
      <c r="Z882">
        <f t="shared" ca="1" si="285"/>
        <v>0.97350489153069542</v>
      </c>
      <c r="AA882">
        <f t="shared" ca="1" si="286"/>
        <v>0.11944066075325066</v>
      </c>
      <c r="AB882">
        <f t="shared" ca="1" si="287"/>
        <v>0</v>
      </c>
      <c r="AC882" s="47">
        <f t="shared" ca="1" si="288"/>
        <v>0</v>
      </c>
      <c r="AD882">
        <f ca="1">Inputs!B16+(Inputs!D16-Inputs!B16)*BETAINV(RAND(),Model!H10,Model!I10)</f>
        <v>0.42426889792205125</v>
      </c>
      <c r="AE882">
        <f ca="1">Inputs!E16+(Inputs!G16-Inputs!E16)*BETAINV(RAND(),Model!J10,Model!K10)</f>
        <v>0.5747103379118107</v>
      </c>
      <c r="AF882">
        <f ca="1">(Inputs!H16+(Inputs!J16-Inputs!H16)*BETAINV(RAND(),Model!L10,Model!M10))*Inputs!$C$6</f>
        <v>111722.15106693996</v>
      </c>
      <c r="AG882">
        <f t="shared" ca="1" si="289"/>
        <v>0.24383172169025361</v>
      </c>
      <c r="AH882">
        <f t="shared" ca="1" si="290"/>
        <v>2.3689890290715665E-2</v>
      </c>
      <c r="AI882">
        <f t="shared" ca="1" si="291"/>
        <v>0</v>
      </c>
      <c r="AJ882" s="47">
        <f t="shared" ca="1" si="292"/>
        <v>0</v>
      </c>
      <c r="AK882">
        <f t="shared" ca="1" si="293"/>
        <v>0</v>
      </c>
    </row>
    <row r="883" spans="2:37" x14ac:dyDescent="0.2">
      <c r="B883">
        <f ca="1">Inputs!B12+(Inputs!D12-Inputs!B12)*BETAINV(RAND(),Model!H6,Model!I6)</f>
        <v>3.2220571319732736</v>
      </c>
      <c r="C883">
        <f ca="1">Inputs!E12+(Inputs!G12-Inputs!E12)*BETAINV(RAND(),Model!J6,Model!K6)</f>
        <v>0.414062954110054</v>
      </c>
      <c r="D883">
        <f ca="1">(Inputs!H12+(Inputs!J12-Inputs!H12)*BETAINV(RAND(),Model!L6,Model!M6))*Inputs!$C$6</f>
        <v>13066.757095633962</v>
      </c>
      <c r="E883">
        <f t="shared" ca="1" si="273"/>
        <v>1.3341344943762219</v>
      </c>
      <c r="F883">
        <f t="shared" ca="1" si="274"/>
        <v>0.18912083884427833</v>
      </c>
      <c r="G883">
        <f t="shared" ca="1" si="275"/>
        <v>0</v>
      </c>
      <c r="H883" s="47">
        <f t="shared" ca="1" si="276"/>
        <v>0</v>
      </c>
      <c r="I883">
        <f ca="1">Inputs!B13+(Inputs!D13-Inputs!B13)*BETAINV(RAND(),Model!H7,Model!I7)</f>
        <v>0.90998131464691112</v>
      </c>
      <c r="J883">
        <f ca="1">Inputs!E13+(Inputs!G13-Inputs!E13)*BETAINV(RAND(),Model!J7,Model!K7)</f>
        <v>0.3891551979759974</v>
      </c>
      <c r="K883">
        <f ca="1">(Inputs!H13+(Inputs!J13-Inputs!H13)*BETAINV(RAND(),Model!L7,Model!M7))*Inputs!$C$6</f>
        <v>17005.148942601612</v>
      </c>
      <c r="L883">
        <f t="shared" ca="1" si="277"/>
        <v>0.35412395865587709</v>
      </c>
      <c r="M883">
        <f t="shared" ca="1" si="278"/>
        <v>0.61077954135329982</v>
      </c>
      <c r="N883">
        <f t="shared" ca="1" si="279"/>
        <v>0</v>
      </c>
      <c r="O883" s="47">
        <f t="shared" ca="1" si="280"/>
        <v>0</v>
      </c>
      <c r="P883">
        <f ca="1">Inputs!B14+(Inputs!D14-Inputs!B14)*BETAINV(RAND(),Model!H8,Model!I8)</f>
        <v>0.30091167657432144</v>
      </c>
      <c r="Q883">
        <f ca="1">Inputs!E14+(Inputs!G14-Inputs!E14)*BETAINV(RAND(),Model!J8,Model!K8)</f>
        <v>0.64139042188642936</v>
      </c>
      <c r="R883">
        <f ca="1">(Inputs!H14+(Inputs!J14-Inputs!H14)*BETAINV(RAND(),Model!L8,Model!M8))*Inputs!$C$6</f>
        <v>399626.79168823292</v>
      </c>
      <c r="S883">
        <f t="shared" ca="1" si="281"/>
        <v>0.1930018671885568</v>
      </c>
      <c r="T883">
        <f t="shared" ca="1" si="282"/>
        <v>0.80791795962786206</v>
      </c>
      <c r="U883">
        <f t="shared" ca="1" si="283"/>
        <v>0</v>
      </c>
      <c r="V883" s="47">
        <f t="shared" ca="1" si="284"/>
        <v>0</v>
      </c>
      <c r="W883">
        <f ca="1">Inputs!B15+(Inputs!D15-Inputs!B15)*BETAINV(RAND(),Model!H9,Model!I9)</f>
        <v>0.73539769139719247</v>
      </c>
      <c r="X883">
        <f ca="1">Inputs!E15+(Inputs!G15-Inputs!E15)*BETAINV(RAND(),Model!J9,Model!K9)</f>
        <v>0.49805275615124545</v>
      </c>
      <c r="Y883">
        <f ca="1">(Inputs!H15+(Inputs!J15-Inputs!H15)*BETAINV(RAND(),Model!L9,Model!M9))*Inputs!$C$6</f>
        <v>32464.591367137014</v>
      </c>
      <c r="Z883">
        <f t="shared" ca="1" si="285"/>
        <v>0.36626684706763474</v>
      </c>
      <c r="AA883">
        <f t="shared" ca="1" si="286"/>
        <v>0.57225684876193328</v>
      </c>
      <c r="AB883">
        <f t="shared" ca="1" si="287"/>
        <v>0</v>
      </c>
      <c r="AC883" s="47">
        <f t="shared" ca="1" si="288"/>
        <v>0</v>
      </c>
      <c r="AD883">
        <f ca="1">Inputs!B16+(Inputs!D16-Inputs!B16)*BETAINV(RAND(),Model!H10,Model!I10)</f>
        <v>0.86700522931229451</v>
      </c>
      <c r="AE883">
        <f ca="1">Inputs!E16+(Inputs!G16-Inputs!E16)*BETAINV(RAND(),Model!J10,Model!K10)</f>
        <v>0.5360512734835271</v>
      </c>
      <c r="AF883">
        <f ca="1">(Inputs!H16+(Inputs!J16-Inputs!H16)*BETAINV(RAND(),Model!L10,Model!M10))*Inputs!$C$6</f>
        <v>38717.094070405852</v>
      </c>
      <c r="AG883">
        <f t="shared" ca="1" si="289"/>
        <v>0.46475925728973294</v>
      </c>
      <c r="AH883">
        <f t="shared" ca="1" si="290"/>
        <v>0.2313648592973937</v>
      </c>
      <c r="AI883">
        <f t="shared" ca="1" si="291"/>
        <v>0</v>
      </c>
      <c r="AJ883" s="47">
        <f t="shared" ca="1" si="292"/>
        <v>0</v>
      </c>
      <c r="AK883">
        <f t="shared" ca="1" si="293"/>
        <v>0</v>
      </c>
    </row>
    <row r="884" spans="2:37" x14ac:dyDescent="0.2">
      <c r="B884">
        <f ca="1">Inputs!B12+(Inputs!D12-Inputs!B12)*BETAINV(RAND(),Model!H6,Model!I6)</f>
        <v>2.1592054002672088</v>
      </c>
      <c r="C884">
        <f ca="1">Inputs!E12+(Inputs!G12-Inputs!E12)*BETAINV(RAND(),Model!J6,Model!K6)</f>
        <v>0.20660625393439783</v>
      </c>
      <c r="D884">
        <f ca="1">(Inputs!H12+(Inputs!J12-Inputs!H12)*BETAINV(RAND(),Model!L6,Model!M6))*Inputs!$C$6</f>
        <v>12718.230197583754</v>
      </c>
      <c r="E884">
        <f t="shared" ca="1" si="273"/>
        <v>0.44610533922413004</v>
      </c>
      <c r="F884">
        <f t="shared" ca="1" si="274"/>
        <v>0.61476559388373597</v>
      </c>
      <c r="G884">
        <f t="shared" ca="1" si="275"/>
        <v>0</v>
      </c>
      <c r="H884" s="47">
        <f t="shared" ca="1" si="276"/>
        <v>0</v>
      </c>
      <c r="I884">
        <f ca="1">Inputs!B13+(Inputs!D13-Inputs!B13)*BETAINV(RAND(),Model!H7,Model!I7)</f>
        <v>1.8552804888327703</v>
      </c>
      <c r="J884">
        <f ca="1">Inputs!E13+(Inputs!G13-Inputs!E13)*BETAINV(RAND(),Model!J7,Model!K7)</f>
        <v>0.38080672641165447</v>
      </c>
      <c r="K884">
        <f ca="1">(Inputs!H13+(Inputs!J13-Inputs!H13)*BETAINV(RAND(),Model!L7,Model!M7))*Inputs!$C$6</f>
        <v>65036.951799144372</v>
      </c>
      <c r="L884">
        <f t="shared" ca="1" si="277"/>
        <v>0.70650328952782138</v>
      </c>
      <c r="M884">
        <f t="shared" ca="1" si="278"/>
        <v>0.76003547994884524</v>
      </c>
      <c r="N884">
        <f t="shared" ca="1" si="279"/>
        <v>1</v>
      </c>
      <c r="O884" s="47">
        <f t="shared" ca="1" si="280"/>
        <v>65036.951799144372</v>
      </c>
      <c r="P884">
        <f ca="1">Inputs!B14+(Inputs!D14-Inputs!B14)*BETAINV(RAND(),Model!H8,Model!I8)</f>
        <v>0.42761074826570067</v>
      </c>
      <c r="Q884">
        <f ca="1">Inputs!E14+(Inputs!G14-Inputs!E14)*BETAINV(RAND(),Model!J8,Model!K8)</f>
        <v>0.53931991836331883</v>
      </c>
      <c r="R884">
        <f ca="1">(Inputs!H14+(Inputs!J14-Inputs!H14)*BETAINV(RAND(),Model!L8,Model!M8))*Inputs!$C$6</f>
        <v>353360.06444036972</v>
      </c>
      <c r="S884">
        <f t="shared" ca="1" si="281"/>
        <v>0.23061899384593537</v>
      </c>
      <c r="T884">
        <f t="shared" ca="1" si="282"/>
        <v>0.71761186510685659</v>
      </c>
      <c r="U884">
        <f t="shared" ca="1" si="283"/>
        <v>0</v>
      </c>
      <c r="V884" s="47">
        <f t="shared" ca="1" si="284"/>
        <v>0</v>
      </c>
      <c r="W884">
        <f ca="1">Inputs!B15+(Inputs!D15-Inputs!B15)*BETAINV(RAND(),Model!H9,Model!I9)</f>
        <v>0.56547444379568779</v>
      </c>
      <c r="X884">
        <f ca="1">Inputs!E15+(Inputs!G15-Inputs!E15)*BETAINV(RAND(),Model!J9,Model!K9)</f>
        <v>0.50524440255193759</v>
      </c>
      <c r="Y884">
        <f ca="1">(Inputs!H15+(Inputs!J15-Inputs!H15)*BETAINV(RAND(),Model!L9,Model!M9))*Inputs!$C$6</f>
        <v>12308.874200387816</v>
      </c>
      <c r="Z884">
        <f t="shared" ca="1" si="285"/>
        <v>0.28570279751394151</v>
      </c>
      <c r="AA884">
        <f t="shared" ca="1" si="286"/>
        <v>0.56713951908993421</v>
      </c>
      <c r="AB884">
        <f t="shared" ca="1" si="287"/>
        <v>0</v>
      </c>
      <c r="AC884" s="47">
        <f t="shared" ca="1" si="288"/>
        <v>0</v>
      </c>
      <c r="AD884">
        <f ca="1">Inputs!B16+(Inputs!D16-Inputs!B16)*BETAINV(RAND(),Model!H10,Model!I10)</f>
        <v>0.32237652857559929</v>
      </c>
      <c r="AE884">
        <f ca="1">Inputs!E16+(Inputs!G16-Inputs!E16)*BETAINV(RAND(),Model!J10,Model!K10)</f>
        <v>0.62454999249771437</v>
      </c>
      <c r="AF884">
        <f ca="1">(Inputs!H16+(Inputs!J16-Inputs!H16)*BETAINV(RAND(),Model!L10,Model!M10))*Inputs!$C$6</f>
        <v>54611.72893615361</v>
      </c>
      <c r="AG884">
        <f t="shared" ca="1" si="289"/>
        <v>0.20134025850332973</v>
      </c>
      <c r="AH884">
        <f t="shared" ca="1" si="290"/>
        <v>0.10163991808283757</v>
      </c>
      <c r="AI884">
        <f t="shared" ca="1" si="291"/>
        <v>0</v>
      </c>
      <c r="AJ884" s="47">
        <f t="shared" ca="1" si="292"/>
        <v>0</v>
      </c>
      <c r="AK884">
        <f t="shared" ca="1" si="293"/>
        <v>65036.951799144372</v>
      </c>
    </row>
    <row r="885" spans="2:37" x14ac:dyDescent="0.2">
      <c r="B885">
        <f ca="1">Inputs!B12+(Inputs!D12-Inputs!B12)*BETAINV(RAND(),Model!H6,Model!I6)</f>
        <v>2.4524663215944691</v>
      </c>
      <c r="C885">
        <f ca="1">Inputs!E12+(Inputs!G12-Inputs!E12)*BETAINV(RAND(),Model!J6,Model!K6)</f>
        <v>0.26073094121399076</v>
      </c>
      <c r="D885">
        <f ca="1">(Inputs!H12+(Inputs!J12-Inputs!H12)*BETAINV(RAND(),Model!L6,Model!M6))*Inputs!$C$6</f>
        <v>34900.459509385706</v>
      </c>
      <c r="E885">
        <f t="shared" ca="1" si="273"/>
        <v>0.63943385232493966</v>
      </c>
      <c r="F885">
        <f t="shared" ca="1" si="274"/>
        <v>0.44785587309477715</v>
      </c>
      <c r="G885">
        <f t="shared" ca="1" si="275"/>
        <v>0</v>
      </c>
      <c r="H885" s="47">
        <f t="shared" ca="1" si="276"/>
        <v>0</v>
      </c>
      <c r="I885">
        <f ca="1">Inputs!B13+(Inputs!D13-Inputs!B13)*BETAINV(RAND(),Model!H7,Model!I7)</f>
        <v>2.0965948121735005</v>
      </c>
      <c r="J885">
        <f ca="1">Inputs!E13+(Inputs!G13-Inputs!E13)*BETAINV(RAND(),Model!J7,Model!K7)</f>
        <v>0.31313137792510148</v>
      </c>
      <c r="K885">
        <f ca="1">(Inputs!H13+(Inputs!J13-Inputs!H13)*BETAINV(RAND(),Model!L7,Model!M7))*Inputs!$C$6</f>
        <v>23442.576881968707</v>
      </c>
      <c r="L885">
        <f t="shared" ca="1" si="277"/>
        <v>0.65650962248650757</v>
      </c>
      <c r="M885">
        <f t="shared" ca="1" si="278"/>
        <v>0.47090621024473878</v>
      </c>
      <c r="N885">
        <f t="shared" ca="1" si="279"/>
        <v>0</v>
      </c>
      <c r="O885" s="47">
        <f t="shared" ca="1" si="280"/>
        <v>0</v>
      </c>
      <c r="P885">
        <f ca="1">Inputs!B14+(Inputs!D14-Inputs!B14)*BETAINV(RAND(),Model!H8,Model!I8)</f>
        <v>0.49598871145621748</v>
      </c>
      <c r="Q885">
        <f ca="1">Inputs!E14+(Inputs!G14-Inputs!E14)*BETAINV(RAND(),Model!J8,Model!K8)</f>
        <v>0.59893460389574527</v>
      </c>
      <c r="R885">
        <f ca="1">(Inputs!H14+(Inputs!J14-Inputs!H14)*BETAINV(RAND(),Model!L8,Model!M8))*Inputs!$C$6</f>
        <v>187333.14255427732</v>
      </c>
      <c r="S885">
        <f t="shared" ca="1" si="281"/>
        <v>0.29706480243279071</v>
      </c>
      <c r="T885">
        <f t="shared" ca="1" si="282"/>
        <v>0.54902714526558716</v>
      </c>
      <c r="U885">
        <f t="shared" ca="1" si="283"/>
        <v>0</v>
      </c>
      <c r="V885" s="47">
        <f t="shared" ca="1" si="284"/>
        <v>0</v>
      </c>
      <c r="W885">
        <f ca="1">Inputs!B15+(Inputs!D15-Inputs!B15)*BETAINV(RAND(),Model!H9,Model!I9)</f>
        <v>1.1583352854268849</v>
      </c>
      <c r="X885">
        <f ca="1">Inputs!E15+(Inputs!G15-Inputs!E15)*BETAINV(RAND(),Model!J9,Model!K9)</f>
        <v>0.35363792612512523</v>
      </c>
      <c r="Y885">
        <f ca="1">(Inputs!H15+(Inputs!J15-Inputs!H15)*BETAINV(RAND(),Model!L9,Model!M9))*Inputs!$C$6</f>
        <v>54653.74120590237</v>
      </c>
      <c r="Z885">
        <f t="shared" ca="1" si="285"/>
        <v>0.40963128809591859</v>
      </c>
      <c r="AA885">
        <f t="shared" ca="1" si="286"/>
        <v>0.41268350649937213</v>
      </c>
      <c r="AB885">
        <f t="shared" ca="1" si="287"/>
        <v>0</v>
      </c>
      <c r="AC885" s="47">
        <f t="shared" ca="1" si="288"/>
        <v>0</v>
      </c>
      <c r="AD885">
        <f ca="1">Inputs!B16+(Inputs!D16-Inputs!B16)*BETAINV(RAND(),Model!H10,Model!I10)</f>
        <v>0.84104467852734111</v>
      </c>
      <c r="AE885">
        <f ca="1">Inputs!E16+(Inputs!G16-Inputs!E16)*BETAINV(RAND(),Model!J10,Model!K10)</f>
        <v>0.62305010733246569</v>
      </c>
      <c r="AF885">
        <f ca="1">(Inputs!H16+(Inputs!J16-Inputs!H16)*BETAINV(RAND(),Model!L10,Model!M10))*Inputs!$C$6</f>
        <v>66360.438198096352</v>
      </c>
      <c r="AG885">
        <f t="shared" ca="1" si="289"/>
        <v>0.524012977227859</v>
      </c>
      <c r="AH885">
        <f t="shared" ca="1" si="290"/>
        <v>9.5885348800431092E-2</v>
      </c>
      <c r="AI885">
        <f t="shared" ca="1" si="291"/>
        <v>0</v>
      </c>
      <c r="AJ885" s="47">
        <f t="shared" ca="1" si="292"/>
        <v>0</v>
      </c>
      <c r="AK885">
        <f t="shared" ca="1" si="293"/>
        <v>0</v>
      </c>
    </row>
    <row r="886" spans="2:37" x14ac:dyDescent="0.2">
      <c r="B886">
        <f ca="1">Inputs!B12+(Inputs!D12-Inputs!B12)*BETAINV(RAND(),Model!H6,Model!I6)</f>
        <v>2.6834703280420635</v>
      </c>
      <c r="C886">
        <f ca="1">Inputs!E12+(Inputs!G12-Inputs!E12)*BETAINV(RAND(),Model!J6,Model!K6)</f>
        <v>0.30905351726673219</v>
      </c>
      <c r="D886">
        <f ca="1">(Inputs!H12+(Inputs!J12-Inputs!H12)*BETAINV(RAND(),Model!L6,Model!M6))*Inputs!$C$6</f>
        <v>35774.35899063207</v>
      </c>
      <c r="E886">
        <f t="shared" ca="1" si="273"/>
        <v>0.82933594336231142</v>
      </c>
      <c r="F886">
        <f t="shared" ca="1" si="274"/>
        <v>0.7363305990577218</v>
      </c>
      <c r="G886">
        <f t="shared" ca="1" si="275"/>
        <v>1</v>
      </c>
      <c r="H886" s="47">
        <f t="shared" ca="1" si="276"/>
        <v>35774.35899063207</v>
      </c>
      <c r="I886">
        <f ca="1">Inputs!B13+(Inputs!D13-Inputs!B13)*BETAINV(RAND(),Model!H7,Model!I7)</f>
        <v>1.2430504556857571</v>
      </c>
      <c r="J886">
        <f ca="1">Inputs!E13+(Inputs!G13-Inputs!E13)*BETAINV(RAND(),Model!J7,Model!K7)</f>
        <v>0.33859465073449624</v>
      </c>
      <c r="K886">
        <f ca="1">(Inputs!H13+(Inputs!J13-Inputs!H13)*BETAINV(RAND(),Model!L7,Model!M7))*Inputs!$C$6</f>
        <v>22666.026236948746</v>
      </c>
      <c r="L886">
        <f t="shared" ca="1" si="277"/>
        <v>0.42089023488827532</v>
      </c>
      <c r="M886">
        <f t="shared" ca="1" si="278"/>
        <v>0.64533446361801972</v>
      </c>
      <c r="N886">
        <f t="shared" ca="1" si="279"/>
        <v>0</v>
      </c>
      <c r="O886" s="47">
        <f t="shared" ca="1" si="280"/>
        <v>0</v>
      </c>
      <c r="P886">
        <f ca="1">Inputs!B14+(Inputs!D14-Inputs!B14)*BETAINV(RAND(),Model!H8,Model!I8)</f>
        <v>0.36343986460043365</v>
      </c>
      <c r="Q886">
        <f ca="1">Inputs!E14+(Inputs!G14-Inputs!E14)*BETAINV(RAND(),Model!J8,Model!K8)</f>
        <v>0.36310875614791155</v>
      </c>
      <c r="R886">
        <f ca="1">(Inputs!H14+(Inputs!J14-Inputs!H14)*BETAINV(RAND(),Model!L8,Model!M8))*Inputs!$C$6</f>
        <v>318728.0648650013</v>
      </c>
      <c r="S886">
        <f t="shared" ca="1" si="281"/>
        <v>0.13196819716962885</v>
      </c>
      <c r="T886">
        <f t="shared" ca="1" si="282"/>
        <v>0.2632688134582486</v>
      </c>
      <c r="U886">
        <f t="shared" ca="1" si="283"/>
        <v>0</v>
      </c>
      <c r="V886" s="47">
        <f t="shared" ca="1" si="284"/>
        <v>0</v>
      </c>
      <c r="W886">
        <f ca="1">Inputs!B15+(Inputs!D15-Inputs!B15)*BETAINV(RAND(),Model!H9,Model!I9)</f>
        <v>0.39700469712307468</v>
      </c>
      <c r="X886">
        <f ca="1">Inputs!E15+(Inputs!G15-Inputs!E15)*BETAINV(RAND(),Model!J9,Model!K9)</f>
        <v>0.45533608368645379</v>
      </c>
      <c r="Y886">
        <f ca="1">(Inputs!H15+(Inputs!J15-Inputs!H15)*BETAINV(RAND(),Model!L9,Model!M9))*Inputs!$C$6</f>
        <v>27759.297735063781</v>
      </c>
      <c r="Z886">
        <f t="shared" ca="1" si="285"/>
        <v>0.18077056399314756</v>
      </c>
      <c r="AA886">
        <f t="shared" ca="1" si="286"/>
        <v>0.32884072333514314</v>
      </c>
      <c r="AB886">
        <f t="shared" ca="1" si="287"/>
        <v>0</v>
      </c>
      <c r="AC886" s="47">
        <f t="shared" ca="1" si="288"/>
        <v>0</v>
      </c>
      <c r="AD886">
        <f ca="1">Inputs!B16+(Inputs!D16-Inputs!B16)*BETAINV(RAND(),Model!H10,Model!I10)</f>
        <v>0.64803048749740189</v>
      </c>
      <c r="AE886">
        <f ca="1">Inputs!E16+(Inputs!G16-Inputs!E16)*BETAINV(RAND(),Model!J10,Model!K10)</f>
        <v>0.68633179840121561</v>
      </c>
      <c r="AF886">
        <f ca="1">(Inputs!H16+(Inputs!J16-Inputs!H16)*BETAINV(RAND(),Model!L10,Model!M10))*Inputs!$C$6</f>
        <v>58940.295951403583</v>
      </c>
      <c r="AG886">
        <f t="shared" ca="1" si="289"/>
        <v>0.44476392990290831</v>
      </c>
      <c r="AH886">
        <f t="shared" ca="1" si="290"/>
        <v>0.16122752551140229</v>
      </c>
      <c r="AI886">
        <f t="shared" ca="1" si="291"/>
        <v>0</v>
      </c>
      <c r="AJ886" s="47">
        <f t="shared" ca="1" si="292"/>
        <v>0</v>
      </c>
      <c r="AK886">
        <f t="shared" ca="1" si="293"/>
        <v>35774.35899063207</v>
      </c>
    </row>
    <row r="887" spans="2:37" x14ac:dyDescent="0.2">
      <c r="B887">
        <f ca="1">Inputs!B12+(Inputs!D12-Inputs!B12)*BETAINV(RAND(),Model!H6,Model!I6)</f>
        <v>4.7827247722138155</v>
      </c>
      <c r="C887">
        <f ca="1">Inputs!E12+(Inputs!G12-Inputs!E12)*BETAINV(RAND(),Model!J6,Model!K6)</f>
        <v>0.2882728651026758</v>
      </c>
      <c r="D887">
        <f ca="1">(Inputs!H12+(Inputs!J12-Inputs!H12)*BETAINV(RAND(),Model!L6,Model!M6))*Inputs!$C$6</f>
        <v>34430.14392633563</v>
      </c>
      <c r="E887">
        <f t="shared" ca="1" si="273"/>
        <v>1.378729773083619</v>
      </c>
      <c r="F887">
        <f t="shared" ca="1" si="274"/>
        <v>0.82222624566396796</v>
      </c>
      <c r="G887">
        <f t="shared" ca="1" si="275"/>
        <v>2</v>
      </c>
      <c r="H887" s="47">
        <f t="shared" ca="1" si="276"/>
        <v>68860.287852671259</v>
      </c>
      <c r="I887">
        <f ca="1">Inputs!B13+(Inputs!D13-Inputs!B13)*BETAINV(RAND(),Model!H7,Model!I7)</f>
        <v>1.3473632790651131</v>
      </c>
      <c r="J887">
        <f ca="1">Inputs!E13+(Inputs!G13-Inputs!E13)*BETAINV(RAND(),Model!J7,Model!K7)</f>
        <v>0.29688474680308752</v>
      </c>
      <c r="K887">
        <f ca="1">(Inputs!H13+(Inputs!J13-Inputs!H13)*BETAINV(RAND(),Model!L7,Model!M7))*Inputs!$C$6</f>
        <v>32368.836790824607</v>
      </c>
      <c r="L887">
        <f t="shared" ca="1" si="277"/>
        <v>0.40001160595702384</v>
      </c>
      <c r="M887">
        <f t="shared" ca="1" si="278"/>
        <v>6.4983299810245421E-2</v>
      </c>
      <c r="N887">
        <f t="shared" ca="1" si="279"/>
        <v>0</v>
      </c>
      <c r="O887" s="47">
        <f t="shared" ca="1" si="280"/>
        <v>0</v>
      </c>
      <c r="P887">
        <f ca="1">Inputs!B14+(Inputs!D14-Inputs!B14)*BETAINV(RAND(),Model!H8,Model!I8)</f>
        <v>0.40071781131592998</v>
      </c>
      <c r="Q887">
        <f ca="1">Inputs!E14+(Inputs!G14-Inputs!E14)*BETAINV(RAND(),Model!J8,Model!K8)</f>
        <v>0.4498390223303752</v>
      </c>
      <c r="R887">
        <f ca="1">(Inputs!H14+(Inputs!J14-Inputs!H14)*BETAINV(RAND(),Model!L8,Model!M8))*Inputs!$C$6</f>
        <v>330302.95539159782</v>
      </c>
      <c r="S887">
        <f t="shared" ca="1" si="281"/>
        <v>0.1802585084727257</v>
      </c>
      <c r="T887">
        <f t="shared" ca="1" si="282"/>
        <v>0.92041704247890876</v>
      </c>
      <c r="U887">
        <f t="shared" ca="1" si="283"/>
        <v>1</v>
      </c>
      <c r="V887" s="47">
        <f t="shared" ca="1" si="284"/>
        <v>330302.95539159782</v>
      </c>
      <c r="W887">
        <f ca="1">Inputs!B15+(Inputs!D15-Inputs!B15)*BETAINV(RAND(),Model!H9,Model!I9)</f>
        <v>1.1672672273673907</v>
      </c>
      <c r="X887">
        <f ca="1">Inputs!E15+(Inputs!G15-Inputs!E15)*BETAINV(RAND(),Model!J9,Model!K9)</f>
        <v>0.43748093072958916</v>
      </c>
      <c r="Y887">
        <f ca="1">(Inputs!H15+(Inputs!J15-Inputs!H15)*BETAINV(RAND(),Model!L9,Model!M9))*Inputs!$C$6</f>
        <v>44532.28773641977</v>
      </c>
      <c r="Z887">
        <f t="shared" ca="1" si="285"/>
        <v>0.51065715303883308</v>
      </c>
      <c r="AA887">
        <f t="shared" ca="1" si="286"/>
        <v>0.85674533031689837</v>
      </c>
      <c r="AB887">
        <f t="shared" ca="1" si="287"/>
        <v>1</v>
      </c>
      <c r="AC887" s="47">
        <f t="shared" ca="1" si="288"/>
        <v>44532.28773641977</v>
      </c>
      <c r="AD887">
        <f ca="1">Inputs!B16+(Inputs!D16-Inputs!B16)*BETAINV(RAND(),Model!H10,Model!I10)</f>
        <v>0.71865762414407675</v>
      </c>
      <c r="AE887">
        <f ca="1">Inputs!E16+(Inputs!G16-Inputs!E16)*BETAINV(RAND(),Model!J10,Model!K10)</f>
        <v>0.5921970667749118</v>
      </c>
      <c r="AF887">
        <f ca="1">(Inputs!H16+(Inputs!J16-Inputs!H16)*BETAINV(RAND(),Model!L10,Model!M10))*Inputs!$C$6</f>
        <v>90340.215462012507</v>
      </c>
      <c r="AG887">
        <f t="shared" ca="1" si="289"/>
        <v>0.42558693703354927</v>
      </c>
      <c r="AH887">
        <f t="shared" ca="1" si="290"/>
        <v>0.31279237895036371</v>
      </c>
      <c r="AI887">
        <f t="shared" ca="1" si="291"/>
        <v>0</v>
      </c>
      <c r="AJ887" s="47">
        <f t="shared" ca="1" si="292"/>
        <v>0</v>
      </c>
      <c r="AK887">
        <f t="shared" ca="1" si="293"/>
        <v>443695.53098068881</v>
      </c>
    </row>
    <row r="888" spans="2:37" x14ac:dyDescent="0.2">
      <c r="B888">
        <f ca="1">Inputs!B12+(Inputs!D12-Inputs!B12)*BETAINV(RAND(),Model!H6,Model!I6)</f>
        <v>2.5955987576909143</v>
      </c>
      <c r="C888">
        <f ca="1">Inputs!E12+(Inputs!G12-Inputs!E12)*BETAINV(RAND(),Model!J6,Model!K6)</f>
        <v>0.2922555647725904</v>
      </c>
      <c r="D888">
        <f ca="1">(Inputs!H12+(Inputs!J12-Inputs!H12)*BETAINV(RAND(),Model!L6,Model!M6))*Inputs!$C$6</f>
        <v>20350.417267594275</v>
      </c>
      <c r="E888">
        <f t="shared" ca="1" si="273"/>
        <v>0.75857818085199225</v>
      </c>
      <c r="F888">
        <f t="shared" ca="1" si="274"/>
        <v>0.56659642822270517</v>
      </c>
      <c r="G888">
        <f t="shared" ca="1" si="275"/>
        <v>1</v>
      </c>
      <c r="H888" s="47">
        <f t="shared" ca="1" si="276"/>
        <v>20350.417267594275</v>
      </c>
      <c r="I888">
        <f ca="1">Inputs!B13+(Inputs!D13-Inputs!B13)*BETAINV(RAND(),Model!H7,Model!I7)</f>
        <v>3.5384816201367593</v>
      </c>
      <c r="J888">
        <f ca="1">Inputs!E13+(Inputs!G13-Inputs!E13)*BETAINV(RAND(),Model!J7,Model!K7)</f>
        <v>0.3460135987661368</v>
      </c>
      <c r="K888">
        <f ca="1">(Inputs!H13+(Inputs!J13-Inputs!H13)*BETAINV(RAND(),Model!L7,Model!M7))*Inputs!$C$6</f>
        <v>35948.565318210523</v>
      </c>
      <c r="L888">
        <f t="shared" ca="1" si="277"/>
        <v>1.2243627595513502</v>
      </c>
      <c r="M888">
        <f t="shared" ca="1" si="278"/>
        <v>0.91818814148255234</v>
      </c>
      <c r="N888">
        <f t="shared" ca="1" si="279"/>
        <v>3</v>
      </c>
      <c r="O888" s="47">
        <f t="shared" ca="1" si="280"/>
        <v>107845.69595463158</v>
      </c>
      <c r="P888">
        <f ca="1">Inputs!B14+(Inputs!D14-Inputs!B14)*BETAINV(RAND(),Model!H8,Model!I8)</f>
        <v>0.29128097042174811</v>
      </c>
      <c r="Q888">
        <f ca="1">Inputs!E14+(Inputs!G14-Inputs!E14)*BETAINV(RAND(),Model!J8,Model!K8)</f>
        <v>0.63302809740851829</v>
      </c>
      <c r="R888">
        <f ca="1">(Inputs!H14+(Inputs!J14-Inputs!H14)*BETAINV(RAND(),Model!L8,Model!M8))*Inputs!$C$6</f>
        <v>412339.96735319443</v>
      </c>
      <c r="S888">
        <f t="shared" ca="1" si="281"/>
        <v>0.18438903851738608</v>
      </c>
      <c r="T888">
        <f t="shared" ca="1" si="282"/>
        <v>0.89292989868453154</v>
      </c>
      <c r="U888">
        <f t="shared" ca="1" si="283"/>
        <v>1</v>
      </c>
      <c r="V888" s="47">
        <f t="shared" ca="1" si="284"/>
        <v>412339.96735319443</v>
      </c>
      <c r="W888">
        <f ca="1">Inputs!B15+(Inputs!D15-Inputs!B15)*BETAINV(RAND(),Model!H9,Model!I9)</f>
        <v>0.88591536980079399</v>
      </c>
      <c r="X888">
        <f ca="1">Inputs!E15+(Inputs!G15-Inputs!E15)*BETAINV(RAND(),Model!J9,Model!K9)</f>
        <v>0.4112088605084887</v>
      </c>
      <c r="Y888">
        <f ca="1">(Inputs!H15+(Inputs!J15-Inputs!H15)*BETAINV(RAND(),Model!L9,Model!M9))*Inputs!$C$6</f>
        <v>42957.727219340355</v>
      </c>
      <c r="Z888">
        <f t="shared" ca="1" si="285"/>
        <v>0.36429624972274088</v>
      </c>
      <c r="AA888">
        <f t="shared" ca="1" si="286"/>
        <v>0.83215400219472535</v>
      </c>
      <c r="AB888">
        <f t="shared" ca="1" si="287"/>
        <v>1</v>
      </c>
      <c r="AC888" s="47">
        <f t="shared" ca="1" si="288"/>
        <v>42957.727219340355</v>
      </c>
      <c r="AD888">
        <f ca="1">Inputs!B16+(Inputs!D16-Inputs!B16)*BETAINV(RAND(),Model!H10,Model!I10)</f>
        <v>0.88105442234168097</v>
      </c>
      <c r="AE888">
        <f ca="1">Inputs!E16+(Inputs!G16-Inputs!E16)*BETAINV(RAND(),Model!J10,Model!K10)</f>
        <v>0.55307263741536661</v>
      </c>
      <c r="AF888">
        <f ca="1">(Inputs!H16+(Inputs!J16-Inputs!H16)*BETAINV(RAND(),Model!L10,Model!M10))*Inputs!$C$6</f>
        <v>165684.17829828963</v>
      </c>
      <c r="AG888">
        <f t="shared" ca="1" si="289"/>
        <v>0.48728709307098578</v>
      </c>
      <c r="AH888">
        <f t="shared" ca="1" si="290"/>
        <v>0.94547116621494498</v>
      </c>
      <c r="AI888">
        <f t="shared" ca="1" si="291"/>
        <v>2</v>
      </c>
      <c r="AJ888" s="47">
        <f t="shared" ca="1" si="292"/>
        <v>331368.35659657925</v>
      </c>
      <c r="AK888">
        <f t="shared" ca="1" si="293"/>
        <v>914862.16439133999</v>
      </c>
    </row>
    <row r="889" spans="2:37" x14ac:dyDescent="0.2">
      <c r="B889">
        <f ca="1">Inputs!B12+(Inputs!D12-Inputs!B12)*BETAINV(RAND(),Model!H6,Model!I6)</f>
        <v>2.3163366732875339</v>
      </c>
      <c r="C889">
        <f ca="1">Inputs!E12+(Inputs!G12-Inputs!E12)*BETAINV(RAND(),Model!J6,Model!K6)</f>
        <v>0.29121646560728509</v>
      </c>
      <c r="D889">
        <f ca="1">(Inputs!H12+(Inputs!J12-Inputs!H12)*BETAINV(RAND(),Model!L6,Model!M6))*Inputs!$C$6</f>
        <v>27013.038212929197</v>
      </c>
      <c r="E889">
        <f t="shared" ca="1" si="273"/>
        <v>0.67455537915133224</v>
      </c>
      <c r="F889">
        <f t="shared" ca="1" si="274"/>
        <v>0.75636970398768821</v>
      </c>
      <c r="G889">
        <f t="shared" ca="1" si="275"/>
        <v>1</v>
      </c>
      <c r="H889" s="47">
        <f t="shared" ca="1" si="276"/>
        <v>27013.038212929197</v>
      </c>
      <c r="I889">
        <f ca="1">Inputs!B13+(Inputs!D13-Inputs!B13)*BETAINV(RAND(),Model!H7,Model!I7)</f>
        <v>2.5747064278738705</v>
      </c>
      <c r="J889">
        <f ca="1">Inputs!E13+(Inputs!G13-Inputs!E13)*BETAINV(RAND(),Model!J7,Model!K7)</f>
        <v>0.21720054645581033</v>
      </c>
      <c r="K889">
        <f ca="1">(Inputs!H13+(Inputs!J13-Inputs!H13)*BETAINV(RAND(),Model!L7,Model!M7))*Inputs!$C$6</f>
        <v>65502.650474752947</v>
      </c>
      <c r="L889">
        <f t="shared" ca="1" si="277"/>
        <v>0.55922764309749207</v>
      </c>
      <c r="M889">
        <f t="shared" ca="1" si="278"/>
        <v>0.50987772661205688</v>
      </c>
      <c r="N889">
        <f t="shared" ca="1" si="279"/>
        <v>0</v>
      </c>
      <c r="O889" s="47">
        <f t="shared" ca="1" si="280"/>
        <v>0</v>
      </c>
      <c r="P889">
        <f ca="1">Inputs!B14+(Inputs!D14-Inputs!B14)*BETAINV(RAND(),Model!H8,Model!I8)</f>
        <v>0.28485911252918023</v>
      </c>
      <c r="Q889">
        <f ca="1">Inputs!E14+(Inputs!G14-Inputs!E14)*BETAINV(RAND(),Model!J8,Model!K8)</f>
        <v>0.53616292218350436</v>
      </c>
      <c r="R889">
        <f ca="1">(Inputs!H14+(Inputs!J14-Inputs!H14)*BETAINV(RAND(),Model!L8,Model!M8))*Inputs!$C$6</f>
        <v>346218.99100660463</v>
      </c>
      <c r="S889">
        <f t="shared" ca="1" si="281"/>
        <v>0.15273089418424496</v>
      </c>
      <c r="T889">
        <f t="shared" ca="1" si="282"/>
        <v>5.8167081869597514E-2</v>
      </c>
      <c r="U889">
        <f t="shared" ca="1" si="283"/>
        <v>0</v>
      </c>
      <c r="V889" s="47">
        <f t="shared" ca="1" si="284"/>
        <v>0</v>
      </c>
      <c r="W889">
        <f ca="1">Inputs!B15+(Inputs!D15-Inputs!B15)*BETAINV(RAND(),Model!H9,Model!I9)</f>
        <v>1.0438135737097693</v>
      </c>
      <c r="X889">
        <f ca="1">Inputs!E15+(Inputs!G15-Inputs!E15)*BETAINV(RAND(),Model!J9,Model!K9)</f>
        <v>0.51809008049329863</v>
      </c>
      <c r="Y889">
        <f ca="1">(Inputs!H15+(Inputs!J15-Inputs!H15)*BETAINV(RAND(),Model!L9,Model!M9))*Inputs!$C$6</f>
        <v>48031.619316152879</v>
      </c>
      <c r="Z889">
        <f t="shared" ca="1" si="285"/>
        <v>0.54078945842329207</v>
      </c>
      <c r="AA889">
        <f t="shared" ca="1" si="286"/>
        <v>0.34566779572730255</v>
      </c>
      <c r="AB889">
        <f t="shared" ca="1" si="287"/>
        <v>0</v>
      </c>
      <c r="AC889" s="47">
        <f t="shared" ca="1" si="288"/>
        <v>0</v>
      </c>
      <c r="AD889">
        <f ca="1">Inputs!B16+(Inputs!D16-Inputs!B16)*BETAINV(RAND(),Model!H10,Model!I10)</f>
        <v>0.49347904701609219</v>
      </c>
      <c r="AE889">
        <f ca="1">Inputs!E16+(Inputs!G16-Inputs!E16)*BETAINV(RAND(),Model!J10,Model!K10)</f>
        <v>0.66049540060654255</v>
      </c>
      <c r="AF889">
        <f ca="1">(Inputs!H16+(Inputs!J16-Inputs!H16)*BETAINV(RAND(),Model!L10,Model!M10))*Inputs!$C$6</f>
        <v>144477.90973979782</v>
      </c>
      <c r="AG889">
        <f t="shared" ca="1" si="289"/>
        <v>0.32594064084982866</v>
      </c>
      <c r="AH889">
        <f t="shared" ca="1" si="290"/>
        <v>0.18162080917511347</v>
      </c>
      <c r="AI889">
        <f t="shared" ca="1" si="291"/>
        <v>0</v>
      </c>
      <c r="AJ889" s="47">
        <f t="shared" ca="1" si="292"/>
        <v>0</v>
      </c>
      <c r="AK889">
        <f t="shared" ca="1" si="293"/>
        <v>27013.038212929197</v>
      </c>
    </row>
    <row r="890" spans="2:37" x14ac:dyDescent="0.2">
      <c r="B890">
        <f ca="1">Inputs!B12+(Inputs!D12-Inputs!B12)*BETAINV(RAND(),Model!H6,Model!I6)</f>
        <v>3.7901885493484437</v>
      </c>
      <c r="C890">
        <f ca="1">Inputs!E12+(Inputs!G12-Inputs!E12)*BETAINV(RAND(),Model!J6,Model!K6)</f>
        <v>0.21637549853565657</v>
      </c>
      <c r="D890">
        <f ca="1">(Inputs!H12+(Inputs!J12-Inputs!H12)*BETAINV(RAND(),Model!L6,Model!M6))*Inputs!$C$6</f>
        <v>18145.183354354565</v>
      </c>
      <c r="E890">
        <f t="shared" ca="1" si="273"/>
        <v>0.82010393690940653</v>
      </c>
      <c r="F890">
        <f t="shared" ca="1" si="274"/>
        <v>8.2570953175731154E-2</v>
      </c>
      <c r="G890">
        <f t="shared" ca="1" si="275"/>
        <v>0</v>
      </c>
      <c r="H890" s="47">
        <f t="shared" ca="1" si="276"/>
        <v>0</v>
      </c>
      <c r="I890">
        <f ca="1">Inputs!B13+(Inputs!D13-Inputs!B13)*BETAINV(RAND(),Model!H7,Model!I7)</f>
        <v>2.0457534466771139</v>
      </c>
      <c r="J890">
        <f ca="1">Inputs!E13+(Inputs!G13-Inputs!E13)*BETAINV(RAND(),Model!J7,Model!K7)</f>
        <v>0.3220509482005785</v>
      </c>
      <c r="K890">
        <f ca="1">(Inputs!H13+(Inputs!J13-Inputs!H13)*BETAINV(RAND(),Model!L7,Model!M7))*Inputs!$C$6</f>
        <v>40994.14953748761</v>
      </c>
      <c r="L890">
        <f t="shared" ca="1" si="277"/>
        <v>0.65883683728696618</v>
      </c>
      <c r="M890">
        <f t="shared" ca="1" si="278"/>
        <v>2.1083509271996759E-2</v>
      </c>
      <c r="N890">
        <f t="shared" ca="1" si="279"/>
        <v>0</v>
      </c>
      <c r="O890" s="47">
        <f t="shared" ca="1" si="280"/>
        <v>0</v>
      </c>
      <c r="P890">
        <f ca="1">Inputs!B14+(Inputs!D14-Inputs!B14)*BETAINV(RAND(),Model!H8,Model!I8)</f>
        <v>0.52419787502380533</v>
      </c>
      <c r="Q890">
        <f ca="1">Inputs!E14+(Inputs!G14-Inputs!E14)*BETAINV(RAND(),Model!J8,Model!K8)</f>
        <v>0.78557059144061148</v>
      </c>
      <c r="R890">
        <f ca="1">(Inputs!H14+(Inputs!J14-Inputs!H14)*BETAINV(RAND(),Model!L8,Model!M8))*Inputs!$C$6</f>
        <v>212675.91640350831</v>
      </c>
      <c r="S890">
        <f t="shared" ca="1" si="281"/>
        <v>0.4117944347143625</v>
      </c>
      <c r="T890">
        <f t="shared" ca="1" si="282"/>
        <v>0.83392029556057867</v>
      </c>
      <c r="U890">
        <f t="shared" ca="1" si="283"/>
        <v>1</v>
      </c>
      <c r="V890" s="47">
        <f t="shared" ca="1" si="284"/>
        <v>212675.91640350831</v>
      </c>
      <c r="W890">
        <f ca="1">Inputs!B15+(Inputs!D15-Inputs!B15)*BETAINV(RAND(),Model!H9,Model!I9)</f>
        <v>1.1550740966535766</v>
      </c>
      <c r="X890">
        <f ca="1">Inputs!E15+(Inputs!G15-Inputs!E15)*BETAINV(RAND(),Model!J9,Model!K9)</f>
        <v>0.35958215798758253</v>
      </c>
      <c r="Y890">
        <f ca="1">(Inputs!H15+(Inputs!J15-Inputs!H15)*BETAINV(RAND(),Model!L9,Model!M9))*Inputs!$C$6</f>
        <v>43203.459791428351</v>
      </c>
      <c r="Z890">
        <f t="shared" ca="1" si="285"/>
        <v>0.41534403631025058</v>
      </c>
      <c r="AA890">
        <f t="shared" ca="1" si="286"/>
        <v>0.51533404655788151</v>
      </c>
      <c r="AB890">
        <f t="shared" ca="1" si="287"/>
        <v>0</v>
      </c>
      <c r="AC890" s="47">
        <f t="shared" ca="1" si="288"/>
        <v>0</v>
      </c>
      <c r="AD890">
        <f ca="1">Inputs!B16+(Inputs!D16-Inputs!B16)*BETAINV(RAND(),Model!H10,Model!I10)</f>
        <v>0.77032036849716778</v>
      </c>
      <c r="AE890">
        <f ca="1">Inputs!E16+(Inputs!G16-Inputs!E16)*BETAINV(RAND(),Model!J10,Model!K10)</f>
        <v>0.51696107963812366</v>
      </c>
      <c r="AF890">
        <f ca="1">(Inputs!H16+(Inputs!J16-Inputs!H16)*BETAINV(RAND(),Model!L10,Model!M10))*Inputs!$C$6</f>
        <v>92993.115236067417</v>
      </c>
      <c r="AG890">
        <f t="shared" ca="1" si="289"/>
        <v>0.39822564936553312</v>
      </c>
      <c r="AH890">
        <f t="shared" ca="1" si="290"/>
        <v>0.93752293833367117</v>
      </c>
      <c r="AI890">
        <f t="shared" ca="1" si="291"/>
        <v>1</v>
      </c>
      <c r="AJ890" s="47">
        <f t="shared" ca="1" si="292"/>
        <v>92993.115236067417</v>
      </c>
      <c r="AK890">
        <f t="shared" ca="1" si="293"/>
        <v>305669.03163957573</v>
      </c>
    </row>
    <row r="891" spans="2:37" x14ac:dyDescent="0.2">
      <c r="B891">
        <f ca="1">Inputs!B12+(Inputs!D12-Inputs!B12)*BETAINV(RAND(),Model!H6,Model!I6)</f>
        <v>2.7241643392592358</v>
      </c>
      <c r="C891">
        <f ca="1">Inputs!E12+(Inputs!G12-Inputs!E12)*BETAINV(RAND(),Model!J6,Model!K6)</f>
        <v>0.29160410204173332</v>
      </c>
      <c r="D891">
        <f ca="1">(Inputs!H12+(Inputs!J12-Inputs!H12)*BETAINV(RAND(),Model!L6,Model!M6))*Inputs!$C$6</f>
        <v>38446.093615762373</v>
      </c>
      <c r="E891">
        <f t="shared" ca="1" si="273"/>
        <v>0.79437749596380125</v>
      </c>
      <c r="F891">
        <f t="shared" ca="1" si="274"/>
        <v>5.737495422203498E-2</v>
      </c>
      <c r="G891">
        <f t="shared" ca="1" si="275"/>
        <v>0</v>
      </c>
      <c r="H891" s="47">
        <f t="shared" ca="1" si="276"/>
        <v>0</v>
      </c>
      <c r="I891">
        <f ca="1">Inputs!B13+(Inputs!D13-Inputs!B13)*BETAINV(RAND(),Model!H7,Model!I7)</f>
        <v>1.3545764235102835</v>
      </c>
      <c r="J891">
        <f ca="1">Inputs!E13+(Inputs!G13-Inputs!E13)*BETAINV(RAND(),Model!J7,Model!K7)</f>
        <v>0.18496275833823361</v>
      </c>
      <c r="K891">
        <f ca="1">(Inputs!H13+(Inputs!J13-Inputs!H13)*BETAINV(RAND(),Model!L7,Model!M7))*Inputs!$C$6</f>
        <v>44927.719881688354</v>
      </c>
      <c r="L891">
        <f t="shared" ca="1" si="277"/>
        <v>0.25054619167240133</v>
      </c>
      <c r="M891">
        <f t="shared" ca="1" si="278"/>
        <v>0.82170575010537117</v>
      </c>
      <c r="N891">
        <f t="shared" ca="1" si="279"/>
        <v>1</v>
      </c>
      <c r="O891" s="47">
        <f t="shared" ca="1" si="280"/>
        <v>44927.719881688354</v>
      </c>
      <c r="P891">
        <f ca="1">Inputs!B14+(Inputs!D14-Inputs!B14)*BETAINV(RAND(),Model!H8,Model!I8)</f>
        <v>0.36071661596468607</v>
      </c>
      <c r="Q891">
        <f ca="1">Inputs!E14+(Inputs!G14-Inputs!E14)*BETAINV(RAND(),Model!J8,Model!K8)</f>
        <v>0.71502584883561782</v>
      </c>
      <c r="R891">
        <f ca="1">(Inputs!H14+(Inputs!J14-Inputs!H14)*BETAINV(RAND(),Model!L8,Model!M8))*Inputs!$C$6</f>
        <v>388050.63476342458</v>
      </c>
      <c r="S891">
        <f t="shared" ca="1" si="281"/>
        <v>0.25792170451926122</v>
      </c>
      <c r="T891">
        <f t="shared" ca="1" si="282"/>
        <v>0.68358955034735458</v>
      </c>
      <c r="U891">
        <f t="shared" ca="1" si="283"/>
        <v>0</v>
      </c>
      <c r="V891" s="47">
        <f t="shared" ca="1" si="284"/>
        <v>0</v>
      </c>
      <c r="W891">
        <f ca="1">Inputs!B15+(Inputs!D15-Inputs!B15)*BETAINV(RAND(),Model!H9,Model!I9)</f>
        <v>2.1268397286993901</v>
      </c>
      <c r="X891">
        <f ca="1">Inputs!E15+(Inputs!G15-Inputs!E15)*BETAINV(RAND(),Model!J9,Model!K9)</f>
        <v>0.37501135608405362</v>
      </c>
      <c r="Y891">
        <f ca="1">(Inputs!H15+(Inputs!J15-Inputs!H15)*BETAINV(RAND(),Model!L9,Model!M9))*Inputs!$C$6</f>
        <v>18717.062418509253</v>
      </c>
      <c r="Z891">
        <f t="shared" ca="1" si="285"/>
        <v>0.79758905083299891</v>
      </c>
      <c r="AA891">
        <f t="shared" ca="1" si="286"/>
        <v>0.50816157201564671</v>
      </c>
      <c r="AB891">
        <f t="shared" ca="1" si="287"/>
        <v>1</v>
      </c>
      <c r="AC891" s="47">
        <f t="shared" ca="1" si="288"/>
        <v>18717.062418509253</v>
      </c>
      <c r="AD891">
        <f ca="1">Inputs!B16+(Inputs!D16-Inputs!B16)*BETAINV(RAND(),Model!H10,Model!I10)</f>
        <v>0.89336478463762004</v>
      </c>
      <c r="AE891">
        <f ca="1">Inputs!E16+(Inputs!G16-Inputs!E16)*BETAINV(RAND(),Model!J10,Model!K10)</f>
        <v>0.60579983938266257</v>
      </c>
      <c r="AF891">
        <f ca="1">(Inputs!H16+(Inputs!J16-Inputs!H16)*BETAINV(RAND(),Model!L10,Model!M10))*Inputs!$C$6</f>
        <v>93159.838889970211</v>
      </c>
      <c r="AG891">
        <f t="shared" ca="1" si="289"/>
        <v>0.54120024304359715</v>
      </c>
      <c r="AH891">
        <f t="shared" ca="1" si="290"/>
        <v>0.2446376218133719</v>
      </c>
      <c r="AI891">
        <f t="shared" ca="1" si="291"/>
        <v>0</v>
      </c>
      <c r="AJ891" s="47">
        <f t="shared" ca="1" si="292"/>
        <v>0</v>
      </c>
      <c r="AK891">
        <f t="shared" ca="1" si="293"/>
        <v>63644.782300197607</v>
      </c>
    </row>
    <row r="892" spans="2:37" x14ac:dyDescent="0.2">
      <c r="B892">
        <f ca="1">Inputs!B12+(Inputs!D12-Inputs!B12)*BETAINV(RAND(),Model!H6,Model!I6)</f>
        <v>4.0235814776212795</v>
      </c>
      <c r="C892">
        <f ca="1">Inputs!E12+(Inputs!G12-Inputs!E12)*BETAINV(RAND(),Model!J6,Model!K6)</f>
        <v>0.44467201914462851</v>
      </c>
      <c r="D892">
        <f ca="1">(Inputs!H12+(Inputs!J12-Inputs!H12)*BETAINV(RAND(),Model!L6,Model!M6))*Inputs!$C$6</f>
        <v>20786.450138193944</v>
      </c>
      <c r="E892">
        <f t="shared" ca="1" si="273"/>
        <v>1.7891740998467822</v>
      </c>
      <c r="F892">
        <f t="shared" ca="1" si="274"/>
        <v>0.43659984947104946</v>
      </c>
      <c r="G892">
        <f t="shared" ca="1" si="275"/>
        <v>1</v>
      </c>
      <c r="H892" s="47">
        <f t="shared" ca="1" si="276"/>
        <v>20786.450138193944</v>
      </c>
      <c r="I892">
        <f ca="1">Inputs!B13+(Inputs!D13-Inputs!B13)*BETAINV(RAND(),Model!H7,Model!I7)</f>
        <v>2.4579363795344884</v>
      </c>
      <c r="J892">
        <f ca="1">Inputs!E13+(Inputs!G13-Inputs!E13)*BETAINV(RAND(),Model!J7,Model!K7)</f>
        <v>0.20125229869302608</v>
      </c>
      <c r="K892">
        <f ca="1">(Inputs!H13+(Inputs!J13-Inputs!H13)*BETAINV(RAND(),Model!L7,Model!M7))*Inputs!$C$6</f>
        <v>25570.882529052364</v>
      </c>
      <c r="L892">
        <f t="shared" ca="1" si="277"/>
        <v>0.49466534642252996</v>
      </c>
      <c r="M892">
        <f t="shared" ca="1" si="278"/>
        <v>0.62891999811700472</v>
      </c>
      <c r="N892">
        <f t="shared" ca="1" si="279"/>
        <v>1</v>
      </c>
      <c r="O892" s="47">
        <f t="shared" ca="1" si="280"/>
        <v>25570.882529052364</v>
      </c>
      <c r="P892">
        <f ca="1">Inputs!B14+(Inputs!D14-Inputs!B14)*BETAINV(RAND(),Model!H8,Model!I8)</f>
        <v>0.55358174871661137</v>
      </c>
      <c r="Q892">
        <f ca="1">Inputs!E14+(Inputs!G14-Inputs!E14)*BETAINV(RAND(),Model!J8,Model!K8)</f>
        <v>0.67575913572719015</v>
      </c>
      <c r="R892">
        <f ca="1">(Inputs!H14+(Inputs!J14-Inputs!H14)*BETAINV(RAND(),Model!L8,Model!M8))*Inputs!$C$6</f>
        <v>462913.18300586095</v>
      </c>
      <c r="S892">
        <f t="shared" ca="1" si="281"/>
        <v>0.37408792406708385</v>
      </c>
      <c r="T892">
        <f t="shared" ca="1" si="282"/>
        <v>0.18625616989894767</v>
      </c>
      <c r="U892">
        <f t="shared" ca="1" si="283"/>
        <v>0</v>
      </c>
      <c r="V892" s="47">
        <f t="shared" ca="1" si="284"/>
        <v>0</v>
      </c>
      <c r="W892">
        <f ca="1">Inputs!B15+(Inputs!D15-Inputs!B15)*BETAINV(RAND(),Model!H9,Model!I9)</f>
        <v>1.2289318539461704</v>
      </c>
      <c r="X892">
        <f ca="1">Inputs!E15+(Inputs!G15-Inputs!E15)*BETAINV(RAND(),Model!J9,Model!K9)</f>
        <v>0.41086183272268978</v>
      </c>
      <c r="Y892">
        <f ca="1">(Inputs!H15+(Inputs!J15-Inputs!H15)*BETAINV(RAND(),Model!L9,Model!M9))*Inputs!$C$6</f>
        <v>38203.628838347351</v>
      </c>
      <c r="Z892">
        <f t="shared" ca="1" si="285"/>
        <v>0.50492119380361655</v>
      </c>
      <c r="AA892">
        <f t="shared" ca="1" si="286"/>
        <v>0.42532741840001564</v>
      </c>
      <c r="AB892">
        <f t="shared" ca="1" si="287"/>
        <v>0</v>
      </c>
      <c r="AC892" s="47">
        <f t="shared" ca="1" si="288"/>
        <v>0</v>
      </c>
      <c r="AD892">
        <f ca="1">Inputs!B16+(Inputs!D16-Inputs!B16)*BETAINV(RAND(),Model!H10,Model!I10)</f>
        <v>0.44285150023560416</v>
      </c>
      <c r="AE892">
        <f ca="1">Inputs!E16+(Inputs!G16-Inputs!E16)*BETAINV(RAND(),Model!J10,Model!K10)</f>
        <v>0.58831124954918412</v>
      </c>
      <c r="AF892">
        <f ca="1">(Inputs!H16+(Inputs!J16-Inputs!H16)*BETAINV(RAND(),Model!L10,Model!M10))*Inputs!$C$6</f>
        <v>68780.184915322781</v>
      </c>
      <c r="AG892">
        <f t="shared" ca="1" si="289"/>
        <v>0.26053451946833911</v>
      </c>
      <c r="AH892">
        <f t="shared" ca="1" si="290"/>
        <v>0.95921882455873675</v>
      </c>
      <c r="AI892">
        <f t="shared" ca="1" si="291"/>
        <v>1</v>
      </c>
      <c r="AJ892" s="47">
        <f t="shared" ca="1" si="292"/>
        <v>68780.184915322781</v>
      </c>
      <c r="AK892">
        <f t="shared" ca="1" si="293"/>
        <v>115137.5175825691</v>
      </c>
    </row>
    <row r="893" spans="2:37" x14ac:dyDescent="0.2">
      <c r="B893">
        <f ca="1">Inputs!B12+(Inputs!D12-Inputs!B12)*BETAINV(RAND(),Model!H6,Model!I6)</f>
        <v>2.1270895284699201</v>
      </c>
      <c r="C893">
        <f ca="1">Inputs!E12+(Inputs!G12-Inputs!E12)*BETAINV(RAND(),Model!J6,Model!K6)</f>
        <v>0.36955020596707799</v>
      </c>
      <c r="D893">
        <f ca="1">(Inputs!H12+(Inputs!J12-Inputs!H12)*BETAINV(RAND(),Model!L6,Model!M6))*Inputs!$C$6</f>
        <v>36008.015196209592</v>
      </c>
      <c r="E893">
        <f t="shared" ca="1" si="273"/>
        <v>0.78606637335647378</v>
      </c>
      <c r="F893">
        <f t="shared" ca="1" si="274"/>
        <v>0.76990618993600013</v>
      </c>
      <c r="G893">
        <f t="shared" ca="1" si="275"/>
        <v>1</v>
      </c>
      <c r="H893" s="47">
        <f t="shared" ca="1" si="276"/>
        <v>36008.015196209592</v>
      </c>
      <c r="I893">
        <f ca="1">Inputs!B13+(Inputs!D13-Inputs!B13)*BETAINV(RAND(),Model!H7,Model!I7)</f>
        <v>3.294362218681846</v>
      </c>
      <c r="J893">
        <f ca="1">Inputs!E13+(Inputs!G13-Inputs!E13)*BETAINV(RAND(),Model!J7,Model!K7)</f>
        <v>0.30044929867713965</v>
      </c>
      <c r="K893">
        <f ca="1">(Inputs!H13+(Inputs!J13-Inputs!H13)*BETAINV(RAND(),Model!L7,Model!M7))*Inputs!$C$6</f>
        <v>60687.725457391411</v>
      </c>
      <c r="L893">
        <f t="shared" ca="1" si="277"/>
        <v>0.98978881819142639</v>
      </c>
      <c r="M893">
        <f t="shared" ca="1" si="278"/>
        <v>0.93076039597431837</v>
      </c>
      <c r="N893">
        <f t="shared" ca="1" si="279"/>
        <v>3</v>
      </c>
      <c r="O893" s="47">
        <f t="shared" ca="1" si="280"/>
        <v>182063.17637217423</v>
      </c>
      <c r="P893">
        <f ca="1">Inputs!B14+(Inputs!D14-Inputs!B14)*BETAINV(RAND(),Model!H8,Model!I8)</f>
        <v>0.22081233523071725</v>
      </c>
      <c r="Q893">
        <f ca="1">Inputs!E14+(Inputs!G14-Inputs!E14)*BETAINV(RAND(),Model!J8,Model!K8)</f>
        <v>0.71723183734901896</v>
      </c>
      <c r="R893">
        <f ca="1">(Inputs!H14+(Inputs!J14-Inputs!H14)*BETAINV(RAND(),Model!L8,Model!M8))*Inputs!$C$6</f>
        <v>455686.32720860984</v>
      </c>
      <c r="S893">
        <f t="shared" ca="1" si="281"/>
        <v>0.15837363690685485</v>
      </c>
      <c r="T893">
        <f t="shared" ca="1" si="282"/>
        <v>0.42086913461910036</v>
      </c>
      <c r="U893">
        <f t="shared" ca="1" si="283"/>
        <v>0</v>
      </c>
      <c r="V893" s="47">
        <f t="shared" ca="1" si="284"/>
        <v>0</v>
      </c>
      <c r="W893">
        <f ca="1">Inputs!B15+(Inputs!D15-Inputs!B15)*BETAINV(RAND(),Model!H9,Model!I9)</f>
        <v>0.41976422743614816</v>
      </c>
      <c r="X893">
        <f ca="1">Inputs!E15+(Inputs!G15-Inputs!E15)*BETAINV(RAND(),Model!J9,Model!K9)</f>
        <v>0.53170681404794329</v>
      </c>
      <c r="Y893">
        <f ca="1">(Inputs!H15+(Inputs!J15-Inputs!H15)*BETAINV(RAND(),Model!L9,Model!M9))*Inputs!$C$6</f>
        <v>11325.335629644642</v>
      </c>
      <c r="Z893">
        <f t="shared" ca="1" si="285"/>
        <v>0.22319150002137061</v>
      </c>
      <c r="AA893">
        <f t="shared" ca="1" si="286"/>
        <v>0.14866569155044118</v>
      </c>
      <c r="AB893">
        <f t="shared" ca="1" si="287"/>
        <v>0</v>
      </c>
      <c r="AC893" s="47">
        <f t="shared" ca="1" si="288"/>
        <v>0</v>
      </c>
      <c r="AD893">
        <f ca="1">Inputs!B16+(Inputs!D16-Inputs!B16)*BETAINV(RAND(),Model!H10,Model!I10)</f>
        <v>0.42613021521640865</v>
      </c>
      <c r="AE893">
        <f ca="1">Inputs!E16+(Inputs!G16-Inputs!E16)*BETAINV(RAND(),Model!J10,Model!K10)</f>
        <v>0.66818662962313291</v>
      </c>
      <c r="AF893">
        <f ca="1">(Inputs!H16+(Inputs!J16-Inputs!H16)*BETAINV(RAND(),Model!L10,Model!M10))*Inputs!$C$6</f>
        <v>131623.72034255438</v>
      </c>
      <c r="AG893">
        <f t="shared" ca="1" si="289"/>
        <v>0.28473451228603236</v>
      </c>
      <c r="AH893">
        <f t="shared" ca="1" si="290"/>
        <v>0.19569663932335413</v>
      </c>
      <c r="AI893">
        <f t="shared" ca="1" si="291"/>
        <v>0</v>
      </c>
      <c r="AJ893" s="47">
        <f t="shared" ca="1" si="292"/>
        <v>0</v>
      </c>
      <c r="AK893">
        <f t="shared" ca="1" si="293"/>
        <v>218071.19156838383</v>
      </c>
    </row>
    <row r="894" spans="2:37" x14ac:dyDescent="0.2">
      <c r="B894">
        <f ca="1">Inputs!B12+(Inputs!D12-Inputs!B12)*BETAINV(RAND(),Model!H6,Model!I6)</f>
        <v>2.0479966620974435</v>
      </c>
      <c r="C894">
        <f ca="1">Inputs!E12+(Inputs!G12-Inputs!E12)*BETAINV(RAND(),Model!J6,Model!K6)</f>
        <v>0.36842528292248156</v>
      </c>
      <c r="D894">
        <f ca="1">(Inputs!H12+(Inputs!J12-Inputs!H12)*BETAINV(RAND(),Model!L6,Model!M6))*Inputs!$C$6</f>
        <v>27283.735472489527</v>
      </c>
      <c r="E894">
        <f t="shared" ca="1" si="273"/>
        <v>0.75453374965754849</v>
      </c>
      <c r="F894">
        <f t="shared" ca="1" si="274"/>
        <v>0.99744842690718738</v>
      </c>
      <c r="G894">
        <f t="shared" ca="1" si="275"/>
        <v>4</v>
      </c>
      <c r="H894" s="47">
        <f t="shared" ca="1" si="276"/>
        <v>109134.94188995811</v>
      </c>
      <c r="I894">
        <f ca="1">Inputs!B13+(Inputs!D13-Inputs!B13)*BETAINV(RAND(),Model!H7,Model!I7)</f>
        <v>1.5788075284527376</v>
      </c>
      <c r="J894">
        <f ca="1">Inputs!E13+(Inputs!G13-Inputs!E13)*BETAINV(RAND(),Model!J7,Model!K7)</f>
        <v>0.35441812006645212</v>
      </c>
      <c r="K894">
        <f ca="1">(Inputs!H13+(Inputs!J13-Inputs!H13)*BETAINV(RAND(),Model!L7,Model!M7))*Inputs!$C$6</f>
        <v>19234.666607498057</v>
      </c>
      <c r="L894">
        <f t="shared" ca="1" si="277"/>
        <v>0.5595579961809809</v>
      </c>
      <c r="M894">
        <f t="shared" ca="1" si="278"/>
        <v>0.76990474365366546</v>
      </c>
      <c r="N894">
        <f t="shared" ca="1" si="279"/>
        <v>1</v>
      </c>
      <c r="O894" s="47">
        <f t="shared" ca="1" si="280"/>
        <v>19234.666607498057</v>
      </c>
      <c r="P894">
        <f ca="1">Inputs!B14+(Inputs!D14-Inputs!B14)*BETAINV(RAND(),Model!H8,Model!I8)</f>
        <v>0.15806931355637735</v>
      </c>
      <c r="Q894">
        <f ca="1">Inputs!E14+(Inputs!G14-Inputs!E14)*BETAINV(RAND(),Model!J8,Model!K8)</f>
        <v>0.45580641623282225</v>
      </c>
      <c r="R894">
        <f ca="1">(Inputs!H14+(Inputs!J14-Inputs!H14)*BETAINV(RAND(),Model!L8,Model!M8))*Inputs!$C$6</f>
        <v>405150.76663016179</v>
      </c>
      <c r="S894">
        <f t="shared" ca="1" si="281"/>
        <v>7.204900732851463E-2</v>
      </c>
      <c r="T894">
        <f t="shared" ca="1" si="282"/>
        <v>0.23116650909432224</v>
      </c>
      <c r="U894">
        <f t="shared" ca="1" si="283"/>
        <v>0</v>
      </c>
      <c r="V894" s="47">
        <f t="shared" ca="1" si="284"/>
        <v>0</v>
      </c>
      <c r="W894">
        <f ca="1">Inputs!B15+(Inputs!D15-Inputs!B15)*BETAINV(RAND(),Model!H9,Model!I9)</f>
        <v>1.6305960025041748</v>
      </c>
      <c r="X894">
        <f ca="1">Inputs!E15+(Inputs!G15-Inputs!E15)*BETAINV(RAND(),Model!J9,Model!K9)</f>
        <v>0.35534316803230792</v>
      </c>
      <c r="Y894">
        <f ca="1">(Inputs!H15+(Inputs!J15-Inputs!H15)*BETAINV(RAND(),Model!L9,Model!M9))*Inputs!$C$6</f>
        <v>61830.173660987937</v>
      </c>
      <c r="Z894">
        <f t="shared" ca="1" si="285"/>
        <v>0.57942114931065059</v>
      </c>
      <c r="AA894">
        <f t="shared" ca="1" si="286"/>
        <v>0.91256541716665418</v>
      </c>
      <c r="AB894">
        <f t="shared" ca="1" si="287"/>
        <v>2</v>
      </c>
      <c r="AC894" s="47">
        <f t="shared" ca="1" si="288"/>
        <v>123660.34732197587</v>
      </c>
      <c r="AD894">
        <f ca="1">Inputs!B16+(Inputs!D16-Inputs!B16)*BETAINV(RAND(),Model!H10,Model!I10)</f>
        <v>0.63413492015942352</v>
      </c>
      <c r="AE894">
        <f ca="1">Inputs!E16+(Inputs!G16-Inputs!E16)*BETAINV(RAND(),Model!J10,Model!K10)</f>
        <v>0.46575559107888032</v>
      </c>
      <c r="AF894">
        <f ca="1">(Inputs!H16+(Inputs!J16-Inputs!H16)*BETAINV(RAND(),Model!L10,Model!M10))*Inputs!$C$6</f>
        <v>59941.994698144495</v>
      </c>
      <c r="AG894">
        <f t="shared" ca="1" si="289"/>
        <v>0.29535188456261086</v>
      </c>
      <c r="AH894">
        <f t="shared" ca="1" si="290"/>
        <v>0.5759114230673299</v>
      </c>
      <c r="AI894">
        <f t="shared" ca="1" si="291"/>
        <v>0</v>
      </c>
      <c r="AJ894" s="47">
        <f t="shared" ca="1" si="292"/>
        <v>0</v>
      </c>
      <c r="AK894">
        <f t="shared" ca="1" si="293"/>
        <v>252029.95581943204</v>
      </c>
    </row>
    <row r="895" spans="2:37" x14ac:dyDescent="0.2">
      <c r="B895">
        <f ca="1">Inputs!B12+(Inputs!D12-Inputs!B12)*BETAINV(RAND(),Model!H6,Model!I6)</f>
        <v>1.4486759985435775</v>
      </c>
      <c r="C895">
        <f ca="1">Inputs!E12+(Inputs!G12-Inputs!E12)*BETAINV(RAND(),Model!J6,Model!K6)</f>
        <v>0.24571367675172506</v>
      </c>
      <c r="D895">
        <f ca="1">(Inputs!H12+(Inputs!J12-Inputs!H12)*BETAINV(RAND(),Model!L6,Model!M6))*Inputs!$C$6</f>
        <v>33025.089296714541</v>
      </c>
      <c r="E895">
        <f t="shared" ca="1" si="273"/>
        <v>0.35595950602411913</v>
      </c>
      <c r="F895">
        <f t="shared" ca="1" si="274"/>
        <v>9.0365307867853462E-3</v>
      </c>
      <c r="G895">
        <f t="shared" ca="1" si="275"/>
        <v>0</v>
      </c>
      <c r="H895" s="47">
        <f t="shared" ca="1" si="276"/>
        <v>0</v>
      </c>
      <c r="I895">
        <f ca="1">Inputs!B13+(Inputs!D13-Inputs!B13)*BETAINV(RAND(),Model!H7,Model!I7)</f>
        <v>1.2296886409433101</v>
      </c>
      <c r="J895">
        <f ca="1">Inputs!E13+(Inputs!G13-Inputs!E13)*BETAINV(RAND(),Model!J7,Model!K7)</f>
        <v>0.29953502041544333</v>
      </c>
      <c r="K895">
        <f ca="1">(Inputs!H13+(Inputs!J13-Inputs!H13)*BETAINV(RAND(),Model!L7,Model!M7))*Inputs!$C$6</f>
        <v>43350.127648873007</v>
      </c>
      <c r="L895">
        <f t="shared" ca="1" si="277"/>
        <v>0.36833481216959313</v>
      </c>
      <c r="M895">
        <f t="shared" ca="1" si="278"/>
        <v>0.37044279856900841</v>
      </c>
      <c r="N895">
        <f t="shared" ca="1" si="279"/>
        <v>0</v>
      </c>
      <c r="O895" s="47">
        <f t="shared" ca="1" si="280"/>
        <v>0</v>
      </c>
      <c r="P895">
        <f ca="1">Inputs!B14+(Inputs!D14-Inputs!B14)*BETAINV(RAND(),Model!H8,Model!I8)</f>
        <v>0.24038841964899824</v>
      </c>
      <c r="Q895">
        <f ca="1">Inputs!E14+(Inputs!G14-Inputs!E14)*BETAINV(RAND(),Model!J8,Model!K8)</f>
        <v>0.44547928532038683</v>
      </c>
      <c r="R895">
        <f ca="1">(Inputs!H14+(Inputs!J14-Inputs!H14)*BETAINV(RAND(),Model!L8,Model!M8))*Inputs!$C$6</f>
        <v>448601.74155897205</v>
      </c>
      <c r="S895">
        <f t="shared" ca="1" si="281"/>
        <v>0.10708806138453297</v>
      </c>
      <c r="T895">
        <f t="shared" ca="1" si="282"/>
        <v>0.73863174521552755</v>
      </c>
      <c r="U895">
        <f t="shared" ca="1" si="283"/>
        <v>0</v>
      </c>
      <c r="V895" s="47">
        <f t="shared" ca="1" si="284"/>
        <v>0</v>
      </c>
      <c r="W895">
        <f ca="1">Inputs!B15+(Inputs!D15-Inputs!B15)*BETAINV(RAND(),Model!H9,Model!I9)</f>
        <v>0.99349328207462517</v>
      </c>
      <c r="X895">
        <f ca="1">Inputs!E15+(Inputs!G15-Inputs!E15)*BETAINV(RAND(),Model!J9,Model!K9)</f>
        <v>0.53942007997774688</v>
      </c>
      <c r="Y895">
        <f ca="1">(Inputs!H15+(Inputs!J15-Inputs!H15)*BETAINV(RAND(),Model!L9,Model!M9))*Inputs!$C$6</f>
        <v>50352.241954931844</v>
      </c>
      <c r="Z895">
        <f t="shared" ca="1" si="285"/>
        <v>0.53591022567404856</v>
      </c>
      <c r="AA895">
        <f t="shared" ca="1" si="286"/>
        <v>0.29594439675609752</v>
      </c>
      <c r="AB895">
        <f t="shared" ca="1" si="287"/>
        <v>0</v>
      </c>
      <c r="AC895" s="47">
        <f t="shared" ca="1" si="288"/>
        <v>0</v>
      </c>
      <c r="AD895">
        <f ca="1">Inputs!B16+(Inputs!D16-Inputs!B16)*BETAINV(RAND(),Model!H10,Model!I10)</f>
        <v>0.43444451510479809</v>
      </c>
      <c r="AE895">
        <f ca="1">Inputs!E16+(Inputs!G16-Inputs!E16)*BETAINV(RAND(),Model!J10,Model!K10)</f>
        <v>0.63594804475655053</v>
      </c>
      <c r="AF895">
        <f ca="1">(Inputs!H16+(Inputs!J16-Inputs!H16)*BETAINV(RAND(),Model!L10,Model!M10))*Inputs!$C$6</f>
        <v>47349.23219831918</v>
      </c>
      <c r="AG895">
        <f t="shared" ca="1" si="289"/>
        <v>0.27628413993610401</v>
      </c>
      <c r="AH895">
        <f t="shared" ca="1" si="290"/>
        <v>0.47040299579001221</v>
      </c>
      <c r="AI895">
        <f t="shared" ca="1" si="291"/>
        <v>0</v>
      </c>
      <c r="AJ895" s="47">
        <f t="shared" ca="1" si="292"/>
        <v>0</v>
      </c>
      <c r="AK895">
        <f t="shared" ca="1" si="293"/>
        <v>0</v>
      </c>
    </row>
    <row r="896" spans="2:37" x14ac:dyDescent="0.2">
      <c r="B896">
        <f ca="1">Inputs!B12+(Inputs!D12-Inputs!B12)*BETAINV(RAND(),Model!H6,Model!I6)</f>
        <v>5.1179227879112155</v>
      </c>
      <c r="C896">
        <f ca="1">Inputs!E12+(Inputs!G12-Inputs!E12)*BETAINV(RAND(),Model!J6,Model!K6)</f>
        <v>0.3150965777103174</v>
      </c>
      <c r="D896">
        <f ca="1">(Inputs!H12+(Inputs!J12-Inputs!H12)*BETAINV(RAND(),Model!L6,Model!M6))*Inputs!$C$6</f>
        <v>25300.161377172284</v>
      </c>
      <c r="E896">
        <f t="shared" ca="1" si="273"/>
        <v>1.6126399554564705</v>
      </c>
      <c r="F896">
        <f t="shared" ca="1" si="274"/>
        <v>0.25244915876189111</v>
      </c>
      <c r="G896">
        <f t="shared" ca="1" si="275"/>
        <v>1</v>
      </c>
      <c r="H896" s="47">
        <f t="shared" ca="1" si="276"/>
        <v>25300.161377172284</v>
      </c>
      <c r="I896">
        <f ca="1">Inputs!B13+(Inputs!D13-Inputs!B13)*BETAINV(RAND(),Model!H7,Model!I7)</f>
        <v>2.9113697818186561</v>
      </c>
      <c r="J896">
        <f ca="1">Inputs!E13+(Inputs!G13-Inputs!E13)*BETAINV(RAND(),Model!J7,Model!K7)</f>
        <v>0.18201710302345184</v>
      </c>
      <c r="K896">
        <f ca="1">(Inputs!H13+(Inputs!J13-Inputs!H13)*BETAINV(RAND(),Model!L7,Model!M7))*Inputs!$C$6</f>
        <v>17372.227232001831</v>
      </c>
      <c r="L896">
        <f t="shared" ca="1" si="277"/>
        <v>0.52991909351665079</v>
      </c>
      <c r="M896">
        <f t="shared" ca="1" si="278"/>
        <v>0.11275789367030964</v>
      </c>
      <c r="N896">
        <f t="shared" ca="1" si="279"/>
        <v>0</v>
      </c>
      <c r="O896" s="47">
        <f t="shared" ca="1" si="280"/>
        <v>0</v>
      </c>
      <c r="P896">
        <f ca="1">Inputs!B14+(Inputs!D14-Inputs!B14)*BETAINV(RAND(),Model!H8,Model!I8)</f>
        <v>0.16716315883902572</v>
      </c>
      <c r="Q896">
        <f ca="1">Inputs!E14+(Inputs!G14-Inputs!E14)*BETAINV(RAND(),Model!J8,Model!K8)</f>
        <v>0.55054595009163265</v>
      </c>
      <c r="R896">
        <f ca="1">(Inputs!H14+(Inputs!J14-Inputs!H14)*BETAINV(RAND(),Model!L8,Model!M8))*Inputs!$C$6</f>
        <v>354050.46477926837</v>
      </c>
      <c r="S896">
        <f t="shared" ca="1" si="281"/>
        <v>9.2031000103349914E-2</v>
      </c>
      <c r="T896">
        <f t="shared" ca="1" si="282"/>
        <v>0.32183378226758053</v>
      </c>
      <c r="U896">
        <f t="shared" ca="1" si="283"/>
        <v>0</v>
      </c>
      <c r="V896" s="47">
        <f t="shared" ca="1" si="284"/>
        <v>0</v>
      </c>
      <c r="W896">
        <f ca="1">Inputs!B15+(Inputs!D15-Inputs!B15)*BETAINV(RAND(),Model!H9,Model!I9)</f>
        <v>2.1011565829870906</v>
      </c>
      <c r="X896">
        <f ca="1">Inputs!E15+(Inputs!G15-Inputs!E15)*BETAINV(RAND(),Model!J9,Model!K9)</f>
        <v>0.3310565521146388</v>
      </c>
      <c r="Y896">
        <f ca="1">(Inputs!H15+(Inputs!J15-Inputs!H15)*BETAINV(RAND(),Model!L9,Model!M9))*Inputs!$C$6</f>
        <v>29745.696353009622</v>
      </c>
      <c r="Z896">
        <f t="shared" ca="1" si="285"/>
        <v>0.69560165381668215</v>
      </c>
      <c r="AA896">
        <f t="shared" ca="1" si="286"/>
        <v>7.0320750471805082E-3</v>
      </c>
      <c r="AB896">
        <f t="shared" ca="1" si="287"/>
        <v>0</v>
      </c>
      <c r="AC896" s="47">
        <f t="shared" ca="1" si="288"/>
        <v>0</v>
      </c>
      <c r="AD896">
        <f ca="1">Inputs!B16+(Inputs!D16-Inputs!B16)*BETAINV(RAND(),Model!H10,Model!I10)</f>
        <v>0.6455399847260046</v>
      </c>
      <c r="AE896">
        <f ca="1">Inputs!E16+(Inputs!G16-Inputs!E16)*BETAINV(RAND(),Model!J10,Model!K10)</f>
        <v>0.5565917856605217</v>
      </c>
      <c r="AF896">
        <f ca="1">(Inputs!H16+(Inputs!J16-Inputs!H16)*BETAINV(RAND(),Model!L10,Model!M10))*Inputs!$C$6</f>
        <v>77521.505448196956</v>
      </c>
      <c r="AG896">
        <f t="shared" ca="1" si="289"/>
        <v>0.35930225281391281</v>
      </c>
      <c r="AH896">
        <f t="shared" ca="1" si="290"/>
        <v>0.96590636639701044</v>
      </c>
      <c r="AI896">
        <f t="shared" ca="1" si="291"/>
        <v>2</v>
      </c>
      <c r="AJ896" s="47">
        <f t="shared" ca="1" si="292"/>
        <v>155043.01089639391</v>
      </c>
      <c r="AK896">
        <f t="shared" ca="1" si="293"/>
        <v>180343.17227356619</v>
      </c>
    </row>
    <row r="897" spans="2:37" x14ac:dyDescent="0.2">
      <c r="B897">
        <f ca="1">Inputs!B12+(Inputs!D12-Inputs!B12)*BETAINV(RAND(),Model!H6,Model!I6)</f>
        <v>3.6346280221825134</v>
      </c>
      <c r="C897">
        <f ca="1">Inputs!E12+(Inputs!G12-Inputs!E12)*BETAINV(RAND(),Model!J6,Model!K6)</f>
        <v>0.22985246290554745</v>
      </c>
      <c r="D897">
        <f ca="1">(Inputs!H12+(Inputs!J12-Inputs!H12)*BETAINV(RAND(),Model!L6,Model!M6))*Inputs!$C$6</f>
        <v>15270.220246256551</v>
      </c>
      <c r="E897">
        <f t="shared" ca="1" si="273"/>
        <v>0.83542820264416939</v>
      </c>
      <c r="F897">
        <f t="shared" ca="1" si="274"/>
        <v>0.89929612820556326</v>
      </c>
      <c r="G897">
        <f t="shared" ca="1" si="275"/>
        <v>2</v>
      </c>
      <c r="H897" s="47">
        <f t="shared" ca="1" si="276"/>
        <v>30540.440492513102</v>
      </c>
      <c r="I897">
        <f ca="1">Inputs!B13+(Inputs!D13-Inputs!B13)*BETAINV(RAND(),Model!H7,Model!I7)</f>
        <v>1.3300451253714183</v>
      </c>
      <c r="J897">
        <f ca="1">Inputs!E13+(Inputs!G13-Inputs!E13)*BETAINV(RAND(),Model!J7,Model!K7)</f>
        <v>0.26383353004063625</v>
      </c>
      <c r="K897">
        <f ca="1">(Inputs!H13+(Inputs!J13-Inputs!H13)*BETAINV(RAND(),Model!L7,Model!M7))*Inputs!$C$6</f>
        <v>20490.908181882452</v>
      </c>
      <c r="L897">
        <f t="shared" ca="1" si="277"/>
        <v>0.35091050054008188</v>
      </c>
      <c r="M897">
        <f t="shared" ca="1" si="278"/>
        <v>0.89199510132071058</v>
      </c>
      <c r="N897">
        <f t="shared" ca="1" si="279"/>
        <v>1</v>
      </c>
      <c r="O897" s="47">
        <f t="shared" ca="1" si="280"/>
        <v>20490.908181882452</v>
      </c>
      <c r="P897">
        <f ca="1">Inputs!B14+(Inputs!D14-Inputs!B14)*BETAINV(RAND(),Model!H8,Model!I8)</f>
        <v>0.28927089075013579</v>
      </c>
      <c r="Q897">
        <f ca="1">Inputs!E14+(Inputs!G14-Inputs!E14)*BETAINV(RAND(),Model!J8,Model!K8)</f>
        <v>0.60808394395993148</v>
      </c>
      <c r="R897">
        <f ca="1">(Inputs!H14+(Inputs!J14-Inputs!H14)*BETAINV(RAND(),Model!L8,Model!M8))*Inputs!$C$6</f>
        <v>429964.67951230495</v>
      </c>
      <c r="S897">
        <f t="shared" ca="1" si="281"/>
        <v>0.17590098412014504</v>
      </c>
      <c r="T897">
        <f t="shared" ca="1" si="282"/>
        <v>3.1235804170319459E-2</v>
      </c>
      <c r="U897">
        <f t="shared" ca="1" si="283"/>
        <v>0</v>
      </c>
      <c r="V897" s="47">
        <f t="shared" ca="1" si="284"/>
        <v>0</v>
      </c>
      <c r="W897">
        <f ca="1">Inputs!B15+(Inputs!D15-Inputs!B15)*BETAINV(RAND(),Model!H9,Model!I9)</f>
        <v>1.0093036200646344</v>
      </c>
      <c r="X897">
        <f ca="1">Inputs!E15+(Inputs!G15-Inputs!E15)*BETAINV(RAND(),Model!J9,Model!K9)</f>
        <v>0.45758813889089367</v>
      </c>
      <c r="Y897">
        <f ca="1">(Inputs!H15+(Inputs!J15-Inputs!H15)*BETAINV(RAND(),Model!L9,Model!M9))*Inputs!$C$6</f>
        <v>45374.846244125722</v>
      </c>
      <c r="Z897">
        <f t="shared" ca="1" si="285"/>
        <v>0.46184536508121771</v>
      </c>
      <c r="AA897">
        <f t="shared" ca="1" si="286"/>
        <v>0.92453071045569402</v>
      </c>
      <c r="AB897">
        <f t="shared" ca="1" si="287"/>
        <v>2</v>
      </c>
      <c r="AC897" s="47">
        <f t="shared" ca="1" si="288"/>
        <v>90749.692488251443</v>
      </c>
      <c r="AD897">
        <f ca="1">Inputs!B16+(Inputs!D16-Inputs!B16)*BETAINV(RAND(),Model!H10,Model!I10)</f>
        <v>0.69438712687703041</v>
      </c>
      <c r="AE897">
        <f ca="1">Inputs!E16+(Inputs!G16-Inputs!E16)*BETAINV(RAND(),Model!J10,Model!K10)</f>
        <v>0.63282897930956039</v>
      </c>
      <c r="AF897">
        <f ca="1">(Inputs!H16+(Inputs!J16-Inputs!H16)*BETAINV(RAND(),Model!L10,Model!M10))*Inputs!$C$6</f>
        <v>108680.53555741554</v>
      </c>
      <c r="AG897">
        <f t="shared" ca="1" si="289"/>
        <v>0.43942829674728939</v>
      </c>
      <c r="AH897">
        <f t="shared" ca="1" si="290"/>
        <v>0.49821961791343106</v>
      </c>
      <c r="AI897">
        <f t="shared" ca="1" si="291"/>
        <v>0</v>
      </c>
      <c r="AJ897" s="47">
        <f t="shared" ca="1" si="292"/>
        <v>0</v>
      </c>
      <c r="AK897">
        <f t="shared" ca="1" si="293"/>
        <v>141781.04116264702</v>
      </c>
    </row>
    <row r="898" spans="2:37" x14ac:dyDescent="0.2">
      <c r="B898">
        <f ca="1">Inputs!B12+(Inputs!D12-Inputs!B12)*BETAINV(RAND(),Model!H6,Model!I6)</f>
        <v>6.0402911083691029</v>
      </c>
      <c r="C898">
        <f ca="1">Inputs!E12+(Inputs!G12-Inputs!E12)*BETAINV(RAND(),Model!J6,Model!K6)</f>
        <v>0.30350445334233433</v>
      </c>
      <c r="D898">
        <f ca="1">(Inputs!H12+(Inputs!J12-Inputs!H12)*BETAINV(RAND(),Model!L6,Model!M6))*Inputs!$C$6</f>
        <v>60811.007789438037</v>
      </c>
      <c r="E898">
        <f t="shared" ca="1" si="273"/>
        <v>1.8332552508741273</v>
      </c>
      <c r="F898">
        <f t="shared" ca="1" si="274"/>
        <v>7.9460855383866047E-2</v>
      </c>
      <c r="G898">
        <f t="shared" ca="1" si="275"/>
        <v>0</v>
      </c>
      <c r="H898" s="47">
        <f t="shared" ca="1" si="276"/>
        <v>0</v>
      </c>
      <c r="I898">
        <f ca="1">Inputs!B13+(Inputs!D13-Inputs!B13)*BETAINV(RAND(),Model!H7,Model!I7)</f>
        <v>2.0048089256769144</v>
      </c>
      <c r="J898">
        <f ca="1">Inputs!E13+(Inputs!G13-Inputs!E13)*BETAINV(RAND(),Model!J7,Model!K7)</f>
        <v>0.2310876182897767</v>
      </c>
      <c r="K898">
        <f ca="1">(Inputs!H13+(Inputs!J13-Inputs!H13)*BETAINV(RAND(),Model!L7,Model!M7))*Inputs!$C$6</f>
        <v>29065.36151593121</v>
      </c>
      <c r="L898">
        <f t="shared" ca="1" si="277"/>
        <v>0.46328651976076407</v>
      </c>
      <c r="M898">
        <f t="shared" ca="1" si="278"/>
        <v>5.2618779768105806E-2</v>
      </c>
      <c r="N898">
        <f t="shared" ca="1" si="279"/>
        <v>0</v>
      </c>
      <c r="O898" s="47">
        <f t="shared" ca="1" si="280"/>
        <v>0</v>
      </c>
      <c r="P898">
        <f ca="1">Inputs!B14+(Inputs!D14-Inputs!B14)*BETAINV(RAND(),Model!H8,Model!I8)</f>
        <v>0.36552159070604873</v>
      </c>
      <c r="Q898">
        <f ca="1">Inputs!E14+(Inputs!G14-Inputs!E14)*BETAINV(RAND(),Model!J8,Model!K8)</f>
        <v>0.60782378054863817</v>
      </c>
      <c r="R898">
        <f ca="1">(Inputs!H14+(Inputs!J14-Inputs!H14)*BETAINV(RAND(),Model!L8,Model!M8))*Inputs!$C$6</f>
        <v>317143.26601571881</v>
      </c>
      <c r="S898">
        <f t="shared" ca="1" si="281"/>
        <v>0.22217271513510251</v>
      </c>
      <c r="T898">
        <f t="shared" ca="1" si="282"/>
        <v>0.11486670180781033</v>
      </c>
      <c r="U898">
        <f t="shared" ca="1" si="283"/>
        <v>0</v>
      </c>
      <c r="V898" s="47">
        <f t="shared" ca="1" si="284"/>
        <v>0</v>
      </c>
      <c r="W898">
        <f ca="1">Inputs!B15+(Inputs!D15-Inputs!B15)*BETAINV(RAND(),Model!H9,Model!I9)</f>
        <v>0.95215834904434793</v>
      </c>
      <c r="X898">
        <f ca="1">Inputs!E15+(Inputs!G15-Inputs!E15)*BETAINV(RAND(),Model!J9,Model!K9)</f>
        <v>0.34359930632044522</v>
      </c>
      <c r="Y898">
        <f ca="1">(Inputs!H15+(Inputs!J15-Inputs!H15)*BETAINV(RAND(),Model!L9,Model!M9))*Inputs!$C$6</f>
        <v>17641.844869658249</v>
      </c>
      <c r="Z898">
        <f t="shared" ca="1" si="285"/>
        <v>0.32716094823885833</v>
      </c>
      <c r="AA898">
        <f t="shared" ca="1" si="286"/>
        <v>0.92603922384606197</v>
      </c>
      <c r="AB898">
        <f t="shared" ca="1" si="287"/>
        <v>1</v>
      </c>
      <c r="AC898" s="47">
        <f t="shared" ca="1" si="288"/>
        <v>17641.844869658249</v>
      </c>
      <c r="AD898">
        <f ca="1">Inputs!B16+(Inputs!D16-Inputs!B16)*BETAINV(RAND(),Model!H10,Model!I10)</f>
        <v>0.68654093502813907</v>
      </c>
      <c r="AE898">
        <f ca="1">Inputs!E16+(Inputs!G16-Inputs!E16)*BETAINV(RAND(),Model!J10,Model!K10)</f>
        <v>0.50661844041507575</v>
      </c>
      <c r="AF898">
        <f ca="1">(Inputs!H16+(Inputs!J16-Inputs!H16)*BETAINV(RAND(),Model!L10,Model!M10))*Inputs!$C$6</f>
        <v>64769.754149995555</v>
      </c>
      <c r="AG898">
        <f t="shared" ca="1" si="289"/>
        <v>0.34781429778506368</v>
      </c>
      <c r="AH898">
        <f t="shared" ca="1" si="290"/>
        <v>0.50729114455034274</v>
      </c>
      <c r="AI898">
        <f t="shared" ca="1" si="291"/>
        <v>0</v>
      </c>
      <c r="AJ898" s="47">
        <f t="shared" ca="1" si="292"/>
        <v>0</v>
      </c>
      <c r="AK898">
        <f t="shared" ca="1" si="293"/>
        <v>17641.844869658249</v>
      </c>
    </row>
    <row r="899" spans="2:37" x14ac:dyDescent="0.2">
      <c r="B899">
        <f ca="1">Inputs!B12+(Inputs!D12-Inputs!B12)*BETAINV(RAND(),Model!H6,Model!I6)</f>
        <v>2.2266822001032613</v>
      </c>
      <c r="C899">
        <f ca="1">Inputs!E12+(Inputs!G12-Inputs!E12)*BETAINV(RAND(),Model!J6,Model!K6)</f>
        <v>0.40763101080608011</v>
      </c>
      <c r="D899">
        <f ca="1">(Inputs!H12+(Inputs!J12-Inputs!H12)*BETAINV(RAND(),Model!L6,Model!M6))*Inputs!$C$6</f>
        <v>27944.092343823329</v>
      </c>
      <c r="E899">
        <f t="shared" ca="1" si="273"/>
        <v>0.90766471597199871</v>
      </c>
      <c r="F899">
        <f t="shared" ca="1" si="274"/>
        <v>0.80117142462504276</v>
      </c>
      <c r="G899">
        <f t="shared" ca="1" si="275"/>
        <v>2</v>
      </c>
      <c r="H899" s="47">
        <f t="shared" ca="1" si="276"/>
        <v>55888.184687646659</v>
      </c>
      <c r="I899">
        <f ca="1">Inputs!B13+(Inputs!D13-Inputs!B13)*BETAINV(RAND(),Model!H7,Model!I7)</f>
        <v>3.1221095852877072</v>
      </c>
      <c r="J899">
        <f ca="1">Inputs!E13+(Inputs!G13-Inputs!E13)*BETAINV(RAND(),Model!J7,Model!K7)</f>
        <v>0.353977105124199</v>
      </c>
      <c r="K899">
        <f ca="1">(Inputs!H13+(Inputs!J13-Inputs!H13)*BETAINV(RAND(),Model!L7,Model!M7))*Inputs!$C$6</f>
        <v>58851.654766877095</v>
      </c>
      <c r="L899">
        <f t="shared" ca="1" si="277"/>
        <v>1.1051553128806562</v>
      </c>
      <c r="M899">
        <f t="shared" ca="1" si="278"/>
        <v>0.49369820099373674</v>
      </c>
      <c r="N899">
        <f t="shared" ca="1" si="279"/>
        <v>1</v>
      </c>
      <c r="O899" s="47">
        <f t="shared" ca="1" si="280"/>
        <v>58851.654766877095</v>
      </c>
      <c r="P899">
        <f ca="1">Inputs!B14+(Inputs!D14-Inputs!B14)*BETAINV(RAND(),Model!H8,Model!I8)</f>
        <v>0.31198655720753776</v>
      </c>
      <c r="Q899">
        <f ca="1">Inputs!E14+(Inputs!G14-Inputs!E14)*BETAINV(RAND(),Model!J8,Model!K8)</f>
        <v>0.66521739040043604</v>
      </c>
      <c r="R899">
        <f ca="1">(Inputs!H14+(Inputs!J14-Inputs!H14)*BETAINV(RAND(),Model!L8,Model!M8))*Inputs!$C$6</f>
        <v>282056.18318110798</v>
      </c>
      <c r="S899">
        <f t="shared" ca="1" si="281"/>
        <v>0.20753888342561461</v>
      </c>
      <c r="T899">
        <f t="shared" ca="1" si="282"/>
        <v>0.36662489836648204</v>
      </c>
      <c r="U899">
        <f t="shared" ca="1" si="283"/>
        <v>0</v>
      </c>
      <c r="V899" s="47">
        <f t="shared" ca="1" si="284"/>
        <v>0</v>
      </c>
      <c r="W899">
        <f ca="1">Inputs!B15+(Inputs!D15-Inputs!B15)*BETAINV(RAND(),Model!H9,Model!I9)</f>
        <v>0.88752627143506246</v>
      </c>
      <c r="X899">
        <f ca="1">Inputs!E15+(Inputs!G15-Inputs!E15)*BETAINV(RAND(),Model!J9,Model!K9)</f>
        <v>0.48348454945401675</v>
      </c>
      <c r="Y899">
        <f ca="1">(Inputs!H15+(Inputs!J15-Inputs!H15)*BETAINV(RAND(),Model!L9,Model!M9))*Inputs!$C$6</f>
        <v>53888.219843636056</v>
      </c>
      <c r="Z899">
        <f t="shared" ca="1" si="285"/>
        <v>0.42910523947338458</v>
      </c>
      <c r="AA899">
        <f t="shared" ca="1" si="286"/>
        <v>0.26893488357898332</v>
      </c>
      <c r="AB899">
        <f t="shared" ca="1" si="287"/>
        <v>0</v>
      </c>
      <c r="AC899" s="47">
        <f t="shared" ca="1" si="288"/>
        <v>0</v>
      </c>
      <c r="AD899">
        <f ca="1">Inputs!B16+(Inputs!D16-Inputs!B16)*BETAINV(RAND(),Model!H10,Model!I10)</f>
        <v>0.35889092133832523</v>
      </c>
      <c r="AE899">
        <f ca="1">Inputs!E16+(Inputs!G16-Inputs!E16)*BETAINV(RAND(),Model!J10,Model!K10)</f>
        <v>0.58140718355832477</v>
      </c>
      <c r="AF899">
        <f ca="1">(Inputs!H16+(Inputs!J16-Inputs!H16)*BETAINV(RAND(),Model!L10,Model!M10))*Inputs!$C$6</f>
        <v>135512.90242213928</v>
      </c>
      <c r="AG899">
        <f t="shared" ca="1" si="289"/>
        <v>0.20866175977996795</v>
      </c>
      <c r="AH899">
        <f t="shared" ca="1" si="290"/>
        <v>0.84732374287759826</v>
      </c>
      <c r="AI899">
        <f t="shared" ca="1" si="291"/>
        <v>1</v>
      </c>
      <c r="AJ899" s="47">
        <f t="shared" ca="1" si="292"/>
        <v>135512.90242213928</v>
      </c>
      <c r="AK899">
        <f t="shared" ca="1" si="293"/>
        <v>250252.74187666303</v>
      </c>
    </row>
    <row r="900" spans="2:37" x14ac:dyDescent="0.2">
      <c r="B900">
        <f ca="1">Inputs!B12+(Inputs!D12-Inputs!B12)*BETAINV(RAND(),Model!H6,Model!I6)</f>
        <v>6.2700044449137931</v>
      </c>
      <c r="C900">
        <f ca="1">Inputs!E12+(Inputs!G12-Inputs!E12)*BETAINV(RAND(),Model!J6,Model!K6)</f>
        <v>0.44398643985446173</v>
      </c>
      <c r="D900">
        <f ca="1">(Inputs!H12+(Inputs!J12-Inputs!H12)*BETAINV(RAND(),Model!L6,Model!M6))*Inputs!$C$6</f>
        <v>32874.34627595215</v>
      </c>
      <c r="E900">
        <f t="shared" ca="1" si="273"/>
        <v>2.7837969513689256</v>
      </c>
      <c r="F900">
        <f t="shared" ca="1" si="274"/>
        <v>0.82712080507112107</v>
      </c>
      <c r="G900">
        <f t="shared" ca="1" si="275"/>
        <v>4</v>
      </c>
      <c r="H900" s="47">
        <f t="shared" ca="1" si="276"/>
        <v>131497.3851038086</v>
      </c>
      <c r="I900">
        <f ca="1">Inputs!B13+(Inputs!D13-Inputs!B13)*BETAINV(RAND(),Model!H7,Model!I7)</f>
        <v>3.1950821769214253</v>
      </c>
      <c r="J900">
        <f ca="1">Inputs!E13+(Inputs!G13-Inputs!E13)*BETAINV(RAND(),Model!J7,Model!K7)</f>
        <v>0.25080105251567797</v>
      </c>
      <c r="K900">
        <f ca="1">(Inputs!H13+(Inputs!J13-Inputs!H13)*BETAINV(RAND(),Model!L7,Model!M7))*Inputs!$C$6</f>
        <v>24416.761552620374</v>
      </c>
      <c r="L900">
        <f t="shared" ca="1" si="277"/>
        <v>0.80132997284597707</v>
      </c>
      <c r="M900">
        <f t="shared" ca="1" si="278"/>
        <v>0.17023246563451078</v>
      </c>
      <c r="N900">
        <f t="shared" ca="1" si="279"/>
        <v>0</v>
      </c>
      <c r="O900" s="47">
        <f t="shared" ca="1" si="280"/>
        <v>0</v>
      </c>
      <c r="P900">
        <f ca="1">Inputs!B14+(Inputs!D14-Inputs!B14)*BETAINV(RAND(),Model!H8,Model!I8)</f>
        <v>0.31172227703496769</v>
      </c>
      <c r="Q900">
        <f ca="1">Inputs!E14+(Inputs!G14-Inputs!E14)*BETAINV(RAND(),Model!J8,Model!K8)</f>
        <v>0.77735929573754392</v>
      </c>
      <c r="R900">
        <f ca="1">(Inputs!H14+(Inputs!J14-Inputs!H14)*BETAINV(RAND(),Model!L8,Model!M8))*Inputs!$C$6</f>
        <v>375333.86498442758</v>
      </c>
      <c r="S900">
        <f t="shared" ca="1" si="281"/>
        <v>0.24232020974160604</v>
      </c>
      <c r="T900">
        <f t="shared" ca="1" si="282"/>
        <v>0.1869690258341814</v>
      </c>
      <c r="U900">
        <f t="shared" ca="1" si="283"/>
        <v>0</v>
      </c>
      <c r="V900" s="47">
        <f t="shared" ca="1" si="284"/>
        <v>0</v>
      </c>
      <c r="W900">
        <f ca="1">Inputs!B15+(Inputs!D15-Inputs!B15)*BETAINV(RAND(),Model!H9,Model!I9)</f>
        <v>1.6904702182255256</v>
      </c>
      <c r="X900">
        <f ca="1">Inputs!E15+(Inputs!G15-Inputs!E15)*BETAINV(RAND(),Model!J9,Model!K9)</f>
        <v>0.33485994602295999</v>
      </c>
      <c r="Y900">
        <f ca="1">(Inputs!H15+(Inputs!J15-Inputs!H15)*BETAINV(RAND(),Model!L9,Model!M9))*Inputs!$C$6</f>
        <v>40824.506144381827</v>
      </c>
      <c r="Z900">
        <f t="shared" ca="1" si="285"/>
        <v>0.56607076602842088</v>
      </c>
      <c r="AA900">
        <f t="shared" ca="1" si="286"/>
        <v>0.88682619513656125</v>
      </c>
      <c r="AB900">
        <f t="shared" ca="1" si="287"/>
        <v>1</v>
      </c>
      <c r="AC900" s="47">
        <f t="shared" ca="1" si="288"/>
        <v>40824.506144381827</v>
      </c>
      <c r="AD900">
        <f ca="1">Inputs!B16+(Inputs!D16-Inputs!B16)*BETAINV(RAND(),Model!H10,Model!I10)</f>
        <v>0.5202203074589874</v>
      </c>
      <c r="AE900">
        <f ca="1">Inputs!E16+(Inputs!G16-Inputs!E16)*BETAINV(RAND(),Model!J10,Model!K10)</f>
        <v>0.50116603097244705</v>
      </c>
      <c r="AF900">
        <f ca="1">(Inputs!H16+(Inputs!J16-Inputs!H16)*BETAINV(RAND(),Model!L10,Model!M10))*Inputs!$C$6</f>
        <v>79468.16802437423</v>
      </c>
      <c r="AG900">
        <f t="shared" ca="1" si="289"/>
        <v>0.26071674672048678</v>
      </c>
      <c r="AH900">
        <f t="shared" ca="1" si="290"/>
        <v>0.21468659763240483</v>
      </c>
      <c r="AI900">
        <f t="shared" ca="1" si="291"/>
        <v>0</v>
      </c>
      <c r="AJ900" s="47">
        <f t="shared" ca="1" si="292"/>
        <v>0</v>
      </c>
      <c r="AK900">
        <f t="shared" ca="1" si="293"/>
        <v>172321.89124819043</v>
      </c>
    </row>
    <row r="901" spans="2:37" x14ac:dyDescent="0.2">
      <c r="B901">
        <f ca="1">Inputs!B12+(Inputs!D12-Inputs!B12)*BETAINV(RAND(),Model!H6,Model!I6)</f>
        <v>4.4268819380129916</v>
      </c>
      <c r="C901">
        <f ca="1">Inputs!E12+(Inputs!G12-Inputs!E12)*BETAINV(RAND(),Model!J6,Model!K6)</f>
        <v>0.27950919294550852</v>
      </c>
      <c r="D901">
        <f ca="1">(Inputs!H12+(Inputs!J12-Inputs!H12)*BETAINV(RAND(),Model!L6,Model!M6))*Inputs!$C$6</f>
        <v>28959.117501218749</v>
      </c>
      <c r="E901">
        <f t="shared" ca="1" si="273"/>
        <v>1.2373541977590599</v>
      </c>
      <c r="F901">
        <f t="shared" ca="1" si="274"/>
        <v>0.53718887699580786</v>
      </c>
      <c r="G901">
        <f t="shared" ca="1" si="275"/>
        <v>1</v>
      </c>
      <c r="H901" s="47">
        <f t="shared" ca="1" si="276"/>
        <v>28959.117501218749</v>
      </c>
      <c r="I901">
        <f ca="1">Inputs!B13+(Inputs!D13-Inputs!B13)*BETAINV(RAND(),Model!H7,Model!I7)</f>
        <v>0.94814791772176954</v>
      </c>
      <c r="J901">
        <f ca="1">Inputs!E13+(Inputs!G13-Inputs!E13)*BETAINV(RAND(),Model!J7,Model!K7)</f>
        <v>0.22535020036282249</v>
      </c>
      <c r="K901">
        <f ca="1">(Inputs!H13+(Inputs!J13-Inputs!H13)*BETAINV(RAND(),Model!L7,Model!M7))*Inputs!$C$6</f>
        <v>41943.668039966658</v>
      </c>
      <c r="L901">
        <f t="shared" ca="1" si="277"/>
        <v>0.2136653232321937</v>
      </c>
      <c r="M901">
        <f t="shared" ca="1" si="278"/>
        <v>5.376892798859878E-2</v>
      </c>
      <c r="N901">
        <f t="shared" ca="1" si="279"/>
        <v>0</v>
      </c>
      <c r="O901" s="47">
        <f t="shared" ca="1" si="280"/>
        <v>0</v>
      </c>
      <c r="P901">
        <f ca="1">Inputs!B14+(Inputs!D14-Inputs!B14)*BETAINV(RAND(),Model!H8,Model!I8)</f>
        <v>0.44973739458824247</v>
      </c>
      <c r="Q901">
        <f ca="1">Inputs!E14+(Inputs!G14-Inputs!E14)*BETAINV(RAND(),Model!J8,Model!K8)</f>
        <v>0.56642458881857949</v>
      </c>
      <c r="R901">
        <f ca="1">(Inputs!H14+(Inputs!J14-Inputs!H14)*BETAINV(RAND(),Model!L8,Model!M8))*Inputs!$C$6</f>
        <v>377058.88663266937</v>
      </c>
      <c r="S901">
        <f t="shared" ca="1" si="281"/>
        <v>0.25474231880598447</v>
      </c>
      <c r="T901">
        <f t="shared" ca="1" si="282"/>
        <v>0.60170004436217361</v>
      </c>
      <c r="U901">
        <f t="shared" ca="1" si="283"/>
        <v>0</v>
      </c>
      <c r="V901" s="47">
        <f t="shared" ca="1" si="284"/>
        <v>0</v>
      </c>
      <c r="W901">
        <f ca="1">Inputs!B15+(Inputs!D15-Inputs!B15)*BETAINV(RAND(),Model!H9,Model!I9)</f>
        <v>0.62034402982392123</v>
      </c>
      <c r="X901">
        <f ca="1">Inputs!E15+(Inputs!G15-Inputs!E15)*BETAINV(RAND(),Model!J9,Model!K9)</f>
        <v>0.36982446824930859</v>
      </c>
      <c r="Y901">
        <f ca="1">(Inputs!H15+(Inputs!J15-Inputs!H15)*BETAINV(RAND(),Model!L9,Model!M9))*Inputs!$C$6</f>
        <v>29498.786455310554</v>
      </c>
      <c r="Z901">
        <f t="shared" ca="1" si="285"/>
        <v>0.2294184009612649</v>
      </c>
      <c r="AA901">
        <f t="shared" ca="1" si="286"/>
        <v>8.1732160872607706E-2</v>
      </c>
      <c r="AB901">
        <f t="shared" ca="1" si="287"/>
        <v>0</v>
      </c>
      <c r="AC901" s="47">
        <f t="shared" ca="1" si="288"/>
        <v>0</v>
      </c>
      <c r="AD901">
        <f ca="1">Inputs!B16+(Inputs!D16-Inputs!B16)*BETAINV(RAND(),Model!H10,Model!I10)</f>
        <v>0.48761166396576938</v>
      </c>
      <c r="AE901">
        <f ca="1">Inputs!E16+(Inputs!G16-Inputs!E16)*BETAINV(RAND(),Model!J10,Model!K10)</f>
        <v>0.73808776810506371</v>
      </c>
      <c r="AF901">
        <f ca="1">(Inputs!H16+(Inputs!J16-Inputs!H16)*BETAINV(RAND(),Model!L10,Model!M10))*Inputs!$C$6</f>
        <v>108576.22428020708</v>
      </c>
      <c r="AG901">
        <f t="shared" ca="1" si="289"/>
        <v>0.35990020475849105</v>
      </c>
      <c r="AH901">
        <f t="shared" ca="1" si="290"/>
        <v>0.48976648556842006</v>
      </c>
      <c r="AI901">
        <f t="shared" ca="1" si="291"/>
        <v>0</v>
      </c>
      <c r="AJ901" s="47">
        <f t="shared" ca="1" si="292"/>
        <v>0</v>
      </c>
      <c r="AK901">
        <f t="shared" ca="1" si="293"/>
        <v>28959.117501218749</v>
      </c>
    </row>
    <row r="902" spans="2:37" x14ac:dyDescent="0.2">
      <c r="B902">
        <f ca="1">Inputs!B12+(Inputs!D12-Inputs!B12)*BETAINV(RAND(),Model!H6,Model!I6)</f>
        <v>2.7411311849740123</v>
      </c>
      <c r="C902">
        <f ca="1">Inputs!E12+(Inputs!G12-Inputs!E12)*BETAINV(RAND(),Model!J6,Model!K6)</f>
        <v>0.27920316108225773</v>
      </c>
      <c r="D902">
        <f ca="1">(Inputs!H12+(Inputs!J12-Inputs!H12)*BETAINV(RAND(),Model!L6,Model!M6))*Inputs!$C$6</f>
        <v>18191.813419016093</v>
      </c>
      <c r="E902">
        <f t="shared" ca="1" si="273"/>
        <v>0.76533249178589913</v>
      </c>
      <c r="F902">
        <f t="shared" ca="1" si="274"/>
        <v>0.12272219508156146</v>
      </c>
      <c r="G902">
        <f t="shared" ca="1" si="275"/>
        <v>0</v>
      </c>
      <c r="H902" s="47">
        <f t="shared" ca="1" si="276"/>
        <v>0</v>
      </c>
      <c r="I902">
        <f ca="1">Inputs!B13+(Inputs!D13-Inputs!B13)*BETAINV(RAND(),Model!H7,Model!I7)</f>
        <v>1.350421767328867</v>
      </c>
      <c r="J902">
        <f ca="1">Inputs!E13+(Inputs!G13-Inputs!E13)*BETAINV(RAND(),Model!J7,Model!K7)</f>
        <v>0.38176686732740961</v>
      </c>
      <c r="K902">
        <f ca="1">(Inputs!H13+(Inputs!J13-Inputs!H13)*BETAINV(RAND(),Model!L7,Model!M7))*Inputs!$C$6</f>
        <v>49627.792308469892</v>
      </c>
      <c r="L902">
        <f t="shared" ca="1" si="277"/>
        <v>0.51554628768388555</v>
      </c>
      <c r="M902">
        <f t="shared" ca="1" si="278"/>
        <v>0.31011707251871701</v>
      </c>
      <c r="N902">
        <f t="shared" ca="1" si="279"/>
        <v>0</v>
      </c>
      <c r="O902" s="47">
        <f t="shared" ca="1" si="280"/>
        <v>0</v>
      </c>
      <c r="P902">
        <f ca="1">Inputs!B14+(Inputs!D14-Inputs!B14)*BETAINV(RAND(),Model!H8,Model!I8)</f>
        <v>0.45883276950823437</v>
      </c>
      <c r="Q902">
        <f ca="1">Inputs!E14+(Inputs!G14-Inputs!E14)*BETAINV(RAND(),Model!J8,Model!K8)</f>
        <v>0.45794937713488687</v>
      </c>
      <c r="R902">
        <f ca="1">(Inputs!H14+(Inputs!J14-Inputs!H14)*BETAINV(RAND(),Model!L8,Model!M8))*Inputs!$C$6</f>
        <v>560872.19154787099</v>
      </c>
      <c r="S902">
        <f t="shared" ca="1" si="281"/>
        <v>0.21012218100537106</v>
      </c>
      <c r="T902">
        <f t="shared" ca="1" si="282"/>
        <v>0.93708421190530677</v>
      </c>
      <c r="U902">
        <f t="shared" ca="1" si="283"/>
        <v>1</v>
      </c>
      <c r="V902" s="47">
        <f t="shared" ca="1" si="284"/>
        <v>560872.19154787099</v>
      </c>
      <c r="W902">
        <f ca="1">Inputs!B15+(Inputs!D15-Inputs!B15)*BETAINV(RAND(),Model!H9,Model!I9)</f>
        <v>1.3596389423672721</v>
      </c>
      <c r="X902">
        <f ca="1">Inputs!E15+(Inputs!G15-Inputs!E15)*BETAINV(RAND(),Model!J9,Model!K9)</f>
        <v>0.3968287531551099</v>
      </c>
      <c r="Y902">
        <f ca="1">(Inputs!H15+(Inputs!J15-Inputs!H15)*BETAINV(RAND(),Model!L9,Model!M9))*Inputs!$C$6</f>
        <v>18202.863825263463</v>
      </c>
      <c r="Z902">
        <f t="shared" ca="1" si="285"/>
        <v>0.53954382624073693</v>
      </c>
      <c r="AA902">
        <f t="shared" ca="1" si="286"/>
        <v>0.5543766858285949</v>
      </c>
      <c r="AB902">
        <f t="shared" ca="1" si="287"/>
        <v>0</v>
      </c>
      <c r="AC902" s="47">
        <f t="shared" ca="1" si="288"/>
        <v>0</v>
      </c>
      <c r="AD902">
        <f ca="1">Inputs!B16+(Inputs!D16-Inputs!B16)*BETAINV(RAND(),Model!H10,Model!I10)</f>
        <v>0.64835451714874881</v>
      </c>
      <c r="AE902">
        <f ca="1">Inputs!E16+(Inputs!G16-Inputs!E16)*BETAINV(RAND(),Model!J10,Model!K10)</f>
        <v>0.74493992988174695</v>
      </c>
      <c r="AF902">
        <f ca="1">(Inputs!H16+(Inputs!J16-Inputs!H16)*BETAINV(RAND(),Model!L10,Model!M10))*Inputs!$C$6</f>
        <v>56507.250871903394</v>
      </c>
      <c r="AG902">
        <f t="shared" ca="1" si="289"/>
        <v>0.48298516854330287</v>
      </c>
      <c r="AH902">
        <f t="shared" ca="1" si="290"/>
        <v>0.72602572762010797</v>
      </c>
      <c r="AI902">
        <f t="shared" ca="1" si="291"/>
        <v>1</v>
      </c>
      <c r="AJ902" s="47">
        <f t="shared" ca="1" si="292"/>
        <v>56507.250871903394</v>
      </c>
      <c r="AK902">
        <f t="shared" ca="1" si="293"/>
        <v>617379.44241977436</v>
      </c>
    </row>
    <row r="903" spans="2:37" x14ac:dyDescent="0.2">
      <c r="B903">
        <f ca="1">Inputs!B12+(Inputs!D12-Inputs!B12)*BETAINV(RAND(),Model!H6,Model!I6)</f>
        <v>6.0067165368920481</v>
      </c>
      <c r="C903">
        <f ca="1">Inputs!E12+(Inputs!G12-Inputs!E12)*BETAINV(RAND(),Model!J6,Model!K6)</f>
        <v>0.29919785124040166</v>
      </c>
      <c r="D903">
        <f ca="1">(Inputs!H12+(Inputs!J12-Inputs!H12)*BETAINV(RAND(),Model!L6,Model!M6))*Inputs!$C$6</f>
        <v>21936.10571500966</v>
      </c>
      <c r="E903">
        <f t="shared" ca="1" si="273"/>
        <v>1.7971966808482875</v>
      </c>
      <c r="F903">
        <f t="shared" ca="1" si="274"/>
        <v>0.94388222118929743</v>
      </c>
      <c r="G903">
        <f t="shared" ca="1" si="275"/>
        <v>4</v>
      </c>
      <c r="H903" s="47">
        <f t="shared" ca="1" si="276"/>
        <v>87744.422860038641</v>
      </c>
      <c r="I903">
        <f ca="1">Inputs!B13+(Inputs!D13-Inputs!B13)*BETAINV(RAND(),Model!H7,Model!I7)</f>
        <v>2.3460958107679959</v>
      </c>
      <c r="J903">
        <f ca="1">Inputs!E13+(Inputs!G13-Inputs!E13)*BETAINV(RAND(),Model!J7,Model!K7)</f>
        <v>0.31021175565928771</v>
      </c>
      <c r="K903">
        <f ca="1">(Inputs!H13+(Inputs!J13-Inputs!H13)*BETAINV(RAND(),Model!L7,Model!M7))*Inputs!$C$6</f>
        <v>33387.189467347664</v>
      </c>
      <c r="L903">
        <f t="shared" ca="1" si="277"/>
        <v>0.72778650040324</v>
      </c>
      <c r="M903">
        <f t="shared" ca="1" si="278"/>
        <v>0.46318155377958281</v>
      </c>
      <c r="N903">
        <f t="shared" ca="1" si="279"/>
        <v>0</v>
      </c>
      <c r="O903" s="47">
        <f t="shared" ca="1" si="280"/>
        <v>0</v>
      </c>
      <c r="P903">
        <f ca="1">Inputs!B14+(Inputs!D14-Inputs!B14)*BETAINV(RAND(),Model!H8,Model!I8)</f>
        <v>0.40300772068574575</v>
      </c>
      <c r="Q903">
        <f ca="1">Inputs!E14+(Inputs!G14-Inputs!E14)*BETAINV(RAND(),Model!J8,Model!K8)</f>
        <v>0.59389320727681016</v>
      </c>
      <c r="R903">
        <f ca="1">(Inputs!H14+(Inputs!J14-Inputs!H14)*BETAINV(RAND(),Model!L8,Model!M8))*Inputs!$C$6</f>
        <v>212762.26724685726</v>
      </c>
      <c r="S903">
        <f t="shared" ca="1" si="281"/>
        <v>0.23934354779537442</v>
      </c>
      <c r="T903">
        <f t="shared" ca="1" si="282"/>
        <v>0.10210541839328025</v>
      </c>
      <c r="U903">
        <f t="shared" ca="1" si="283"/>
        <v>0</v>
      </c>
      <c r="V903" s="47">
        <f t="shared" ca="1" si="284"/>
        <v>0</v>
      </c>
      <c r="W903">
        <f ca="1">Inputs!B15+(Inputs!D15-Inputs!B15)*BETAINV(RAND(),Model!H9,Model!I9)</f>
        <v>1.0698794529713049</v>
      </c>
      <c r="X903">
        <f ca="1">Inputs!E15+(Inputs!G15-Inputs!E15)*BETAINV(RAND(),Model!J9,Model!K9)</f>
        <v>0.26266504182817407</v>
      </c>
      <c r="Y903">
        <f ca="1">(Inputs!H15+(Inputs!J15-Inputs!H15)*BETAINV(RAND(),Model!L9,Model!M9))*Inputs!$C$6</f>
        <v>14038.998782295952</v>
      </c>
      <c r="Z903">
        <f t="shared" ca="1" si="285"/>
        <v>0.28101993126581182</v>
      </c>
      <c r="AA903">
        <f t="shared" ca="1" si="286"/>
        <v>0.96545440569502206</v>
      </c>
      <c r="AB903">
        <f t="shared" ca="1" si="287"/>
        <v>1</v>
      </c>
      <c r="AC903" s="47">
        <f t="shared" ca="1" si="288"/>
        <v>14038.998782295952</v>
      </c>
      <c r="AD903">
        <f ca="1">Inputs!B16+(Inputs!D16-Inputs!B16)*BETAINV(RAND(),Model!H10,Model!I10)</f>
        <v>0.3332609315773345</v>
      </c>
      <c r="AE903">
        <f ca="1">Inputs!E16+(Inputs!G16-Inputs!E16)*BETAINV(RAND(),Model!J10,Model!K10)</f>
        <v>0.50007203870421302</v>
      </c>
      <c r="AF903">
        <f ca="1">(Inputs!H16+(Inputs!J16-Inputs!H16)*BETAINV(RAND(),Model!L10,Model!M10))*Inputs!$C$6</f>
        <v>74038.480135183956</v>
      </c>
      <c r="AG903">
        <f t="shared" ca="1" si="289"/>
        <v>0.1666544734743429</v>
      </c>
      <c r="AH903">
        <f t="shared" ca="1" si="290"/>
        <v>0.84029037433714748</v>
      </c>
      <c r="AI903">
        <f t="shared" ca="1" si="291"/>
        <v>0</v>
      </c>
      <c r="AJ903" s="47">
        <f t="shared" ca="1" si="292"/>
        <v>0</v>
      </c>
      <c r="AK903">
        <f t="shared" ca="1" si="293"/>
        <v>101783.42164233459</v>
      </c>
    </row>
    <row r="904" spans="2:37" x14ac:dyDescent="0.2">
      <c r="B904">
        <f ca="1">Inputs!B12+(Inputs!D12-Inputs!B12)*BETAINV(RAND(),Model!H6,Model!I6)</f>
        <v>3.7870910580729777</v>
      </c>
      <c r="C904">
        <f ca="1">Inputs!E12+(Inputs!G12-Inputs!E12)*BETAINV(RAND(),Model!J6,Model!K6)</f>
        <v>0.30643539393623831</v>
      </c>
      <c r="D904">
        <f ca="1">(Inputs!H12+(Inputs!J12-Inputs!H12)*BETAINV(RAND(),Model!L6,Model!M6))*Inputs!$C$6</f>
        <v>24879.986493711334</v>
      </c>
      <c r="E904">
        <f t="shared" ca="1" si="273"/>
        <v>1.1604987402529985</v>
      </c>
      <c r="F904">
        <f t="shared" ca="1" si="274"/>
        <v>0.31592984506567001</v>
      </c>
      <c r="G904">
        <f t="shared" ca="1" si="275"/>
        <v>1</v>
      </c>
      <c r="H904" s="47">
        <f t="shared" ca="1" si="276"/>
        <v>24879.986493711334</v>
      </c>
      <c r="I904">
        <f ca="1">Inputs!B13+(Inputs!D13-Inputs!B13)*BETAINV(RAND(),Model!H7,Model!I7)</f>
        <v>4.1068600920471239</v>
      </c>
      <c r="J904">
        <f ca="1">Inputs!E13+(Inputs!G13-Inputs!E13)*BETAINV(RAND(),Model!J7,Model!K7)</f>
        <v>0.27424553805135565</v>
      </c>
      <c r="K904">
        <f ca="1">(Inputs!H13+(Inputs!J13-Inputs!H13)*BETAINV(RAND(),Model!L7,Model!M7))*Inputs!$C$6</f>
        <v>42727.094186183</v>
      </c>
      <c r="L904">
        <f t="shared" ca="1" si="277"/>
        <v>1.1262880556451036</v>
      </c>
      <c r="M904">
        <f t="shared" ca="1" si="278"/>
        <v>0.19693038645948924</v>
      </c>
      <c r="N904">
        <f t="shared" ca="1" si="279"/>
        <v>0</v>
      </c>
      <c r="O904" s="47">
        <f t="shared" ca="1" si="280"/>
        <v>0</v>
      </c>
      <c r="P904">
        <f ca="1">Inputs!B14+(Inputs!D14-Inputs!B14)*BETAINV(RAND(),Model!H8,Model!I8)</f>
        <v>0.3856387719725568</v>
      </c>
      <c r="Q904">
        <f ca="1">Inputs!E14+(Inputs!G14-Inputs!E14)*BETAINV(RAND(),Model!J8,Model!K8)</f>
        <v>0.47988853630981543</v>
      </c>
      <c r="R904">
        <f ca="1">(Inputs!H14+(Inputs!J14-Inputs!H14)*BETAINV(RAND(),Model!L8,Model!M8))*Inputs!$C$6</f>
        <v>274196.48786180979</v>
      </c>
      <c r="S904">
        <f t="shared" ca="1" si="281"/>
        <v>0.18506362582622496</v>
      </c>
      <c r="T904">
        <f t="shared" ca="1" si="282"/>
        <v>5.7220187174136572E-2</v>
      </c>
      <c r="U904">
        <f t="shared" ca="1" si="283"/>
        <v>0</v>
      </c>
      <c r="V904" s="47">
        <f t="shared" ca="1" si="284"/>
        <v>0</v>
      </c>
      <c r="W904">
        <f ca="1">Inputs!B15+(Inputs!D15-Inputs!B15)*BETAINV(RAND(),Model!H9,Model!I9)</f>
        <v>1.285026533641271</v>
      </c>
      <c r="X904">
        <f ca="1">Inputs!E15+(Inputs!G15-Inputs!E15)*BETAINV(RAND(),Model!J9,Model!K9)</f>
        <v>0.3284089897748364</v>
      </c>
      <c r="Y904">
        <f ca="1">(Inputs!H15+(Inputs!J15-Inputs!H15)*BETAINV(RAND(),Model!L9,Model!M9))*Inputs!$C$6</f>
        <v>46791.018000503122</v>
      </c>
      <c r="Z904">
        <f t="shared" ca="1" si="285"/>
        <v>0.42201426574698964</v>
      </c>
      <c r="AA904">
        <f t="shared" ca="1" si="286"/>
        <v>0.56208819916748665</v>
      </c>
      <c r="AB904">
        <f t="shared" ca="1" si="287"/>
        <v>0</v>
      </c>
      <c r="AC904" s="47">
        <f t="shared" ca="1" si="288"/>
        <v>0</v>
      </c>
      <c r="AD904">
        <f ca="1">Inputs!B16+(Inputs!D16-Inputs!B16)*BETAINV(RAND(),Model!H10,Model!I10)</f>
        <v>0.48923250222220793</v>
      </c>
      <c r="AE904">
        <f ca="1">Inputs!E16+(Inputs!G16-Inputs!E16)*BETAINV(RAND(),Model!J10,Model!K10)</f>
        <v>0.5669944780688253</v>
      </c>
      <c r="AF904">
        <f ca="1">(Inputs!H16+(Inputs!J16-Inputs!H16)*BETAINV(RAND(),Model!L10,Model!M10))*Inputs!$C$6</f>
        <v>80578.378930363193</v>
      </c>
      <c r="AG904">
        <f t="shared" ca="1" si="289"/>
        <v>0.27739212725178619</v>
      </c>
      <c r="AH904">
        <f t="shared" ca="1" si="290"/>
        <v>0.92830015346499939</v>
      </c>
      <c r="AI904">
        <f t="shared" ca="1" si="291"/>
        <v>1</v>
      </c>
      <c r="AJ904" s="47">
        <f t="shared" ca="1" si="292"/>
        <v>80578.378930363193</v>
      </c>
      <c r="AK904">
        <f t="shared" ca="1" si="293"/>
        <v>105458.36542407452</v>
      </c>
    </row>
    <row r="905" spans="2:37" x14ac:dyDescent="0.2">
      <c r="B905">
        <f ca="1">Inputs!B12+(Inputs!D12-Inputs!B12)*BETAINV(RAND(),Model!H6,Model!I6)</f>
        <v>2.7365053726710453</v>
      </c>
      <c r="C905">
        <f ca="1">Inputs!E12+(Inputs!G12-Inputs!E12)*BETAINV(RAND(),Model!J6,Model!K6)</f>
        <v>0.43120376306071262</v>
      </c>
      <c r="D905">
        <f ca="1">(Inputs!H12+(Inputs!J12-Inputs!H12)*BETAINV(RAND(),Model!L6,Model!M6))*Inputs!$C$6</f>
        <v>11072.487828323943</v>
      </c>
      <c r="E905">
        <f t="shared" ca="1" si="273"/>
        <v>1.1799914143316126</v>
      </c>
      <c r="F905">
        <f t="shared" ca="1" si="274"/>
        <v>0.41323139189668912</v>
      </c>
      <c r="G905">
        <f t="shared" ca="1" si="275"/>
        <v>1</v>
      </c>
      <c r="H905" s="47">
        <f t="shared" ca="1" si="276"/>
        <v>11072.487828323943</v>
      </c>
      <c r="I905">
        <f ca="1">Inputs!B13+(Inputs!D13-Inputs!B13)*BETAINV(RAND(),Model!H7,Model!I7)</f>
        <v>1.8029666118851102</v>
      </c>
      <c r="J905">
        <f ca="1">Inputs!E13+(Inputs!G13-Inputs!E13)*BETAINV(RAND(),Model!J7,Model!K7)</f>
        <v>0.31708826676630608</v>
      </c>
      <c r="K905">
        <f ca="1">(Inputs!H13+(Inputs!J13-Inputs!H13)*BETAINV(RAND(),Model!L7,Model!M7))*Inputs!$C$6</f>
        <v>20758.853533112739</v>
      </c>
      <c r="L905">
        <f t="shared" ca="1" si="277"/>
        <v>0.57169955800016892</v>
      </c>
      <c r="M905">
        <f t="shared" ca="1" si="278"/>
        <v>0.93301339708598541</v>
      </c>
      <c r="N905">
        <f t="shared" ca="1" si="279"/>
        <v>2</v>
      </c>
      <c r="O905" s="47">
        <f t="shared" ca="1" si="280"/>
        <v>41517.707066225477</v>
      </c>
      <c r="P905">
        <f ca="1">Inputs!B14+(Inputs!D14-Inputs!B14)*BETAINV(RAND(),Model!H8,Model!I8)</f>
        <v>0.58708801527244447</v>
      </c>
      <c r="Q905">
        <f ca="1">Inputs!E14+(Inputs!G14-Inputs!E14)*BETAINV(RAND(),Model!J8,Model!K8)</f>
        <v>0.49140972980075615</v>
      </c>
      <c r="R905">
        <f ca="1">(Inputs!H14+(Inputs!J14-Inputs!H14)*BETAINV(RAND(),Model!L8,Model!M8))*Inputs!$C$6</f>
        <v>568640.54196536448</v>
      </c>
      <c r="S905">
        <f t="shared" ca="1" si="281"/>
        <v>0.28850076295429411</v>
      </c>
      <c r="T905">
        <f t="shared" ca="1" si="282"/>
        <v>0.81609602830363071</v>
      </c>
      <c r="U905">
        <f t="shared" ca="1" si="283"/>
        <v>1</v>
      </c>
      <c r="V905" s="47">
        <f t="shared" ca="1" si="284"/>
        <v>568640.54196536448</v>
      </c>
      <c r="W905">
        <f ca="1">Inputs!B15+(Inputs!D15-Inputs!B15)*BETAINV(RAND(),Model!H9,Model!I9)</f>
        <v>1.0441180968577535</v>
      </c>
      <c r="X905">
        <f ca="1">Inputs!E15+(Inputs!G15-Inputs!E15)*BETAINV(RAND(),Model!J9,Model!K9)</f>
        <v>0.34453191573626418</v>
      </c>
      <c r="Y905">
        <f ca="1">(Inputs!H15+(Inputs!J15-Inputs!H15)*BETAINV(RAND(),Model!L9,Model!M9))*Inputs!$C$6</f>
        <v>56867.512563477801</v>
      </c>
      <c r="Z905">
        <f t="shared" ca="1" si="285"/>
        <v>0.35973200816530404</v>
      </c>
      <c r="AA905">
        <f t="shared" ca="1" si="286"/>
        <v>0.45187810514331317</v>
      </c>
      <c r="AB905">
        <f t="shared" ca="1" si="287"/>
        <v>0</v>
      </c>
      <c r="AC905" s="47">
        <f t="shared" ca="1" si="288"/>
        <v>0</v>
      </c>
      <c r="AD905">
        <f ca="1">Inputs!B16+(Inputs!D16-Inputs!B16)*BETAINV(RAND(),Model!H10,Model!I10)</f>
        <v>0.3127158677891555</v>
      </c>
      <c r="AE905">
        <f ca="1">Inputs!E16+(Inputs!G16-Inputs!E16)*BETAINV(RAND(),Model!J10,Model!K10)</f>
        <v>0.48233480062131207</v>
      </c>
      <c r="AF905">
        <f ca="1">(Inputs!H16+(Inputs!J16-Inputs!H16)*BETAINV(RAND(),Model!L10,Model!M10))*Inputs!$C$6</f>
        <v>58935.606742665375</v>
      </c>
      <c r="AG905">
        <f t="shared" ca="1" si="289"/>
        <v>0.1508337457412029</v>
      </c>
      <c r="AH905">
        <f t="shared" ca="1" si="290"/>
        <v>0.55629649826797889</v>
      </c>
      <c r="AI905">
        <f t="shared" ca="1" si="291"/>
        <v>0</v>
      </c>
      <c r="AJ905" s="47">
        <f t="shared" ca="1" si="292"/>
        <v>0</v>
      </c>
      <c r="AK905">
        <f t="shared" ca="1" si="293"/>
        <v>621230.73685991392</v>
      </c>
    </row>
    <row r="906" spans="2:37" x14ac:dyDescent="0.2">
      <c r="B906">
        <f ca="1">Inputs!B12+(Inputs!D12-Inputs!B12)*BETAINV(RAND(),Model!H6,Model!I6)</f>
        <v>2.5236041560920395</v>
      </c>
      <c r="C906">
        <f ca="1">Inputs!E12+(Inputs!G12-Inputs!E12)*BETAINV(RAND(),Model!J6,Model!K6)</f>
        <v>0.29709816817236667</v>
      </c>
      <c r="D906">
        <f ca="1">(Inputs!H12+(Inputs!J12-Inputs!H12)*BETAINV(RAND(),Model!L6,Model!M6))*Inputs!$C$6</f>
        <v>45009.996167640522</v>
      </c>
      <c r="E906">
        <f t="shared" ca="1" si="273"/>
        <v>0.74975817196711625</v>
      </c>
      <c r="F906">
        <f t="shared" ca="1" si="274"/>
        <v>0.94700413502264091</v>
      </c>
      <c r="G906">
        <f t="shared" ca="1" si="275"/>
        <v>2</v>
      </c>
      <c r="H906" s="47">
        <f t="shared" ca="1" si="276"/>
        <v>90019.992335281044</v>
      </c>
      <c r="I906">
        <f ca="1">Inputs!B13+(Inputs!D13-Inputs!B13)*BETAINV(RAND(),Model!H7,Model!I7)</f>
        <v>3.7163623727648933</v>
      </c>
      <c r="J906">
        <f ca="1">Inputs!E13+(Inputs!G13-Inputs!E13)*BETAINV(RAND(),Model!J7,Model!K7)</f>
        <v>0.28594628288886514</v>
      </c>
      <c r="K906">
        <f ca="1">(Inputs!H13+(Inputs!J13-Inputs!H13)*BETAINV(RAND(),Model!L7,Model!M7))*Inputs!$C$6</f>
        <v>73358.770288808199</v>
      </c>
      <c r="L906">
        <f t="shared" ca="1" si="277"/>
        <v>1.0626800063601642</v>
      </c>
      <c r="M906">
        <f t="shared" ca="1" si="278"/>
        <v>0.24649573314894868</v>
      </c>
      <c r="N906">
        <f t="shared" ca="1" si="279"/>
        <v>0</v>
      </c>
      <c r="O906" s="47">
        <f t="shared" ca="1" si="280"/>
        <v>0</v>
      </c>
      <c r="P906">
        <f ca="1">Inputs!B14+(Inputs!D14-Inputs!B14)*BETAINV(RAND(),Model!H8,Model!I8)</f>
        <v>0.3810537733803393</v>
      </c>
      <c r="Q906">
        <f ca="1">Inputs!E14+(Inputs!G14-Inputs!E14)*BETAINV(RAND(),Model!J8,Model!K8)</f>
        <v>0.53558318581382447</v>
      </c>
      <c r="R906">
        <f ca="1">(Inputs!H14+(Inputs!J14-Inputs!H14)*BETAINV(RAND(),Model!L8,Model!M8))*Inputs!$C$6</f>
        <v>381557.39008656639</v>
      </c>
      <c r="S906">
        <f t="shared" ca="1" si="281"/>
        <v>0.20408599391342122</v>
      </c>
      <c r="T906">
        <f t="shared" ca="1" si="282"/>
        <v>0.70168754695002467</v>
      </c>
      <c r="U906">
        <f t="shared" ca="1" si="283"/>
        <v>0</v>
      </c>
      <c r="V906" s="47">
        <f t="shared" ca="1" si="284"/>
        <v>0</v>
      </c>
      <c r="W906">
        <f ca="1">Inputs!B15+(Inputs!D15-Inputs!B15)*BETAINV(RAND(),Model!H9,Model!I9)</f>
        <v>1.0351407930271246</v>
      </c>
      <c r="X906">
        <f ca="1">Inputs!E15+(Inputs!G15-Inputs!E15)*BETAINV(RAND(),Model!J9,Model!K9)</f>
        <v>0.36232959697332456</v>
      </c>
      <c r="Y906">
        <f ca="1">(Inputs!H15+(Inputs!J15-Inputs!H15)*BETAINV(RAND(),Model!L9,Model!M9))*Inputs!$C$6</f>
        <v>14442.566605753882</v>
      </c>
      <c r="Z906">
        <f t="shared" ca="1" si="285"/>
        <v>0.37506214634816565</v>
      </c>
      <c r="AA906">
        <f t="shared" ca="1" si="286"/>
        <v>0.82119083662093628</v>
      </c>
      <c r="AB906">
        <f t="shared" ca="1" si="287"/>
        <v>1</v>
      </c>
      <c r="AC906" s="47">
        <f t="shared" ca="1" si="288"/>
        <v>14442.566605753882</v>
      </c>
      <c r="AD906">
        <f ca="1">Inputs!B16+(Inputs!D16-Inputs!B16)*BETAINV(RAND(),Model!H10,Model!I10)</f>
        <v>0.65668907904079798</v>
      </c>
      <c r="AE906">
        <f ca="1">Inputs!E16+(Inputs!G16-Inputs!E16)*BETAINV(RAND(),Model!J10,Model!K10)</f>
        <v>0.74559142629256447</v>
      </c>
      <c r="AF906">
        <f ca="1">(Inputs!H16+(Inputs!J16-Inputs!H16)*BETAINV(RAND(),Model!L10,Model!M10))*Inputs!$C$6</f>
        <v>67021.962060306905</v>
      </c>
      <c r="AG906">
        <f t="shared" ca="1" si="289"/>
        <v>0.48962174707277917</v>
      </c>
      <c r="AH906">
        <f t="shared" ca="1" si="290"/>
        <v>0.66922279388216399</v>
      </c>
      <c r="AI906">
        <f t="shared" ca="1" si="291"/>
        <v>1</v>
      </c>
      <c r="AJ906" s="47">
        <f t="shared" ca="1" si="292"/>
        <v>67021.962060306905</v>
      </c>
      <c r="AK906">
        <f t="shared" ca="1" si="293"/>
        <v>171484.52100134181</v>
      </c>
    </row>
    <row r="907" spans="2:37" x14ac:dyDescent="0.2">
      <c r="B907">
        <f ca="1">Inputs!B12+(Inputs!D12-Inputs!B12)*BETAINV(RAND(),Model!H6,Model!I6)</f>
        <v>3.6669213074353157</v>
      </c>
      <c r="C907">
        <f ca="1">Inputs!E12+(Inputs!G12-Inputs!E12)*BETAINV(RAND(),Model!J6,Model!K6)</f>
        <v>0.24648008265368479</v>
      </c>
      <c r="D907">
        <f ca="1">(Inputs!H12+(Inputs!J12-Inputs!H12)*BETAINV(RAND(),Model!L6,Model!M6))*Inputs!$C$6</f>
        <v>13997.871747521758</v>
      </c>
      <c r="E907">
        <f t="shared" ca="1" si="273"/>
        <v>0.9038230669412145</v>
      </c>
      <c r="F907">
        <f t="shared" ca="1" si="274"/>
        <v>0.29993149613720826</v>
      </c>
      <c r="G907">
        <f t="shared" ca="1" si="275"/>
        <v>0</v>
      </c>
      <c r="H907" s="47">
        <f t="shared" ca="1" si="276"/>
        <v>0</v>
      </c>
      <c r="I907">
        <f ca="1">Inputs!B13+(Inputs!D13-Inputs!B13)*BETAINV(RAND(),Model!H7,Model!I7)</f>
        <v>1.2365554392601963</v>
      </c>
      <c r="J907">
        <f ca="1">Inputs!E13+(Inputs!G13-Inputs!E13)*BETAINV(RAND(),Model!J7,Model!K7)</f>
        <v>0.19256947163929505</v>
      </c>
      <c r="K907">
        <f ca="1">(Inputs!H13+(Inputs!J13-Inputs!H13)*BETAINV(RAND(),Model!L7,Model!M7))*Inputs!$C$6</f>
        <v>16550.743046202118</v>
      </c>
      <c r="L907">
        <f t="shared" ca="1" si="277"/>
        <v>0.2381228275910324</v>
      </c>
      <c r="M907">
        <f t="shared" ca="1" si="278"/>
        <v>0.72296090410811586</v>
      </c>
      <c r="N907">
        <f t="shared" ca="1" si="279"/>
        <v>0</v>
      </c>
      <c r="O907" s="47">
        <f t="shared" ca="1" si="280"/>
        <v>0</v>
      </c>
      <c r="P907">
        <f ca="1">Inputs!B14+(Inputs!D14-Inputs!B14)*BETAINV(RAND(),Model!H8,Model!I8)</f>
        <v>0.26455437042739061</v>
      </c>
      <c r="Q907">
        <f ca="1">Inputs!E14+(Inputs!G14-Inputs!E14)*BETAINV(RAND(),Model!J8,Model!K8)</f>
        <v>0.60910602509033551</v>
      </c>
      <c r="R907">
        <f ca="1">(Inputs!H14+(Inputs!J14-Inputs!H14)*BETAINV(RAND(),Model!L8,Model!M8))*Inputs!$C$6</f>
        <v>272966.99388617568</v>
      </c>
      <c r="S907">
        <f t="shared" ca="1" si="281"/>
        <v>0.16114166099130409</v>
      </c>
      <c r="T907">
        <f t="shared" ca="1" si="282"/>
        <v>0.53026065697981228</v>
      </c>
      <c r="U907">
        <f t="shared" ca="1" si="283"/>
        <v>0</v>
      </c>
      <c r="V907" s="47">
        <f t="shared" ca="1" si="284"/>
        <v>0</v>
      </c>
      <c r="W907">
        <f ca="1">Inputs!B15+(Inputs!D15-Inputs!B15)*BETAINV(RAND(),Model!H9,Model!I9)</f>
        <v>1.6900321788716879</v>
      </c>
      <c r="X907">
        <f ca="1">Inputs!E15+(Inputs!G15-Inputs!E15)*BETAINV(RAND(),Model!J9,Model!K9)</f>
        <v>0.37104532366066711</v>
      </c>
      <c r="Y907">
        <f ca="1">(Inputs!H15+(Inputs!J15-Inputs!H15)*BETAINV(RAND(),Model!L9,Model!M9))*Inputs!$C$6</f>
        <v>31912.749335814024</v>
      </c>
      <c r="Z907">
        <f t="shared" ca="1" si="285"/>
        <v>0.62707853680638792</v>
      </c>
      <c r="AA907">
        <f t="shared" ca="1" si="286"/>
        <v>0.64976968383624412</v>
      </c>
      <c r="AB907">
        <f t="shared" ca="1" si="287"/>
        <v>1</v>
      </c>
      <c r="AC907" s="47">
        <f t="shared" ca="1" si="288"/>
        <v>31912.749335814024</v>
      </c>
      <c r="AD907">
        <f ca="1">Inputs!B16+(Inputs!D16-Inputs!B16)*BETAINV(RAND(),Model!H10,Model!I10)</f>
        <v>0.59753940687545914</v>
      </c>
      <c r="AE907">
        <f ca="1">Inputs!E16+(Inputs!G16-Inputs!E16)*BETAINV(RAND(),Model!J10,Model!K10)</f>
        <v>0.68577433091781703</v>
      </c>
      <c r="AF907">
        <f ca="1">(Inputs!H16+(Inputs!J16-Inputs!H16)*BETAINV(RAND(),Model!L10,Model!M10))*Inputs!$C$6</f>
        <v>132444.74818878438</v>
      </c>
      <c r="AG907">
        <f t="shared" ca="1" si="289"/>
        <v>0.40977718694704723</v>
      </c>
      <c r="AH907">
        <f t="shared" ca="1" si="290"/>
        <v>7.6056552133336952E-2</v>
      </c>
      <c r="AI907">
        <f t="shared" ca="1" si="291"/>
        <v>0</v>
      </c>
      <c r="AJ907" s="47">
        <f t="shared" ca="1" si="292"/>
        <v>0</v>
      </c>
      <c r="AK907">
        <f t="shared" ca="1" si="293"/>
        <v>31912.749335814024</v>
      </c>
    </row>
    <row r="908" spans="2:37" x14ac:dyDescent="0.2">
      <c r="B908">
        <f ca="1">Inputs!B12+(Inputs!D12-Inputs!B12)*BETAINV(RAND(),Model!H6,Model!I6)</f>
        <v>1.3757921666266091</v>
      </c>
      <c r="C908">
        <f ca="1">Inputs!E12+(Inputs!G12-Inputs!E12)*BETAINV(RAND(),Model!J6,Model!K6)</f>
        <v>0.19948231559561821</v>
      </c>
      <c r="D908">
        <f ca="1">(Inputs!H12+(Inputs!J12-Inputs!H12)*BETAINV(RAND(),Model!L6,Model!M6))*Inputs!$C$6</f>
        <v>54381.463499434205</v>
      </c>
      <c r="E908">
        <f t="shared" ref="E908:E971" ca="1" si="294">B908*C908</f>
        <v>0.27444620717698859</v>
      </c>
      <c r="F908">
        <f t="shared" ref="F908:F971" ca="1" si="295">RAND()</f>
        <v>4.7887561150750102E-4</v>
      </c>
      <c r="G908">
        <f t="shared" ref="G908:G971" ca="1" si="296">IF(F908&lt;EXP(-E908),0,IF(F908&lt;EXP(-E908)*(1+E908),1,IF(F908&lt;EXP(-E908)*(1+E908+E908^2/2),2,IF(F908&lt;EXP(-E908)*(1+E908+E908^2/2+E908^3/6),3,4))))</f>
        <v>0</v>
      </c>
      <c r="H908" s="47">
        <f t="shared" ref="H908:H971" ca="1" si="297">G908*D908</f>
        <v>0</v>
      </c>
      <c r="I908">
        <f ca="1">Inputs!B13+(Inputs!D13-Inputs!B13)*BETAINV(RAND(),Model!H7,Model!I7)</f>
        <v>2.101822523131645</v>
      </c>
      <c r="J908">
        <f ca="1">Inputs!E13+(Inputs!G13-Inputs!E13)*BETAINV(RAND(),Model!J7,Model!K7)</f>
        <v>0.20699214979472805</v>
      </c>
      <c r="K908">
        <f ca="1">(Inputs!H13+(Inputs!J13-Inputs!H13)*BETAINV(RAND(),Model!L7,Model!M7))*Inputs!$C$6</f>
        <v>17786.070057514968</v>
      </c>
      <c r="L908">
        <f t="shared" ref="L908:L971" ca="1" si="298">I908*J908</f>
        <v>0.4350607625499987</v>
      </c>
      <c r="M908">
        <f t="shared" ref="M908:M971" ca="1" si="299">RAND()</f>
        <v>0.88140747663119867</v>
      </c>
      <c r="N908">
        <f t="shared" ref="N908:N971" ca="1" si="300">IF(M908&lt;EXP(-L908),0,IF(M908&lt;EXP(-L908)*(1+L908),1,IF(M908&lt;EXP(-L908)*(1+L908+L908^2/2),2,IF(M908&lt;EXP(-L908)*(1+L908+L908^2/2+L908^3/6),3,4))))</f>
        <v>1</v>
      </c>
      <c r="O908" s="47">
        <f t="shared" ref="O908:O971" ca="1" si="301">N908*K908</f>
        <v>17786.070057514968</v>
      </c>
      <c r="P908">
        <f ca="1">Inputs!B14+(Inputs!D14-Inputs!B14)*BETAINV(RAND(),Model!H8,Model!I8)</f>
        <v>0.3341993084568321</v>
      </c>
      <c r="Q908">
        <f ca="1">Inputs!E14+(Inputs!G14-Inputs!E14)*BETAINV(RAND(),Model!J8,Model!K8)</f>
        <v>0.63031560471943027</v>
      </c>
      <c r="R908">
        <f ca="1">(Inputs!H14+(Inputs!J14-Inputs!H14)*BETAINV(RAND(),Model!L8,Model!M8))*Inputs!$C$6</f>
        <v>292360.62305126409</v>
      </c>
      <c r="S908">
        <f t="shared" ref="S908:S971" ca="1" si="302">P908*Q908</f>
        <v>0.21065103920678352</v>
      </c>
      <c r="T908">
        <f t="shared" ref="T908:T971" ca="1" si="303">RAND()</f>
        <v>0.22514234239128095</v>
      </c>
      <c r="U908">
        <f t="shared" ref="U908:U971" ca="1" si="304">IF(T908&lt;EXP(-S908),0,IF(T908&lt;EXP(-S908)*(1+S908),1,IF(T908&lt;EXP(-S908)*(1+S908+S908^2/2),2,IF(T908&lt;EXP(-S908)*(1+S908+S908^2/2+S908^3/6),3,4))))</f>
        <v>0</v>
      </c>
      <c r="V908" s="47">
        <f t="shared" ref="V908:V971" ca="1" si="305">U908*R908</f>
        <v>0</v>
      </c>
      <c r="W908">
        <f ca="1">Inputs!B15+(Inputs!D15-Inputs!B15)*BETAINV(RAND(),Model!H9,Model!I9)</f>
        <v>0.87098573732373286</v>
      </c>
      <c r="X908">
        <f ca="1">Inputs!E15+(Inputs!G15-Inputs!E15)*BETAINV(RAND(),Model!J9,Model!K9)</f>
        <v>0.39434979195228392</v>
      </c>
      <c r="Y908">
        <f ca="1">(Inputs!H15+(Inputs!J15-Inputs!H15)*BETAINV(RAND(),Model!L9,Model!M9))*Inputs!$C$6</f>
        <v>23880.86147126475</v>
      </c>
      <c r="Z908">
        <f t="shared" ref="Z908:Z971" ca="1" si="306">W908*X908</f>
        <v>0.34347304430702069</v>
      </c>
      <c r="AA908">
        <f t="shared" ref="AA908:AA971" ca="1" si="307">RAND()</f>
        <v>0.98864099784573434</v>
      </c>
      <c r="AB908">
        <f t="shared" ref="AB908:AB971" ca="1" si="308">IF(AA908&lt;EXP(-Z908),0,IF(AA908&lt;EXP(-Z908)*(1+Z908),1,IF(AA908&lt;EXP(-Z908)*(1+Z908+Z908^2/2),2,IF(AA908&lt;EXP(-Z908)*(1+Z908+Z908^2/2+Z908^3/6),3,4))))</f>
        <v>2</v>
      </c>
      <c r="AC908" s="47">
        <f t="shared" ref="AC908:AC971" ca="1" si="309">AB908*Y908</f>
        <v>47761.722942529501</v>
      </c>
      <c r="AD908">
        <f ca="1">Inputs!B16+(Inputs!D16-Inputs!B16)*BETAINV(RAND(),Model!H10,Model!I10)</f>
        <v>0.92719226942444499</v>
      </c>
      <c r="AE908">
        <f ca="1">Inputs!E16+(Inputs!G16-Inputs!E16)*BETAINV(RAND(),Model!J10,Model!K10)</f>
        <v>0.60708541656844883</v>
      </c>
      <c r="AF908">
        <f ca="1">(Inputs!H16+(Inputs!J16-Inputs!H16)*BETAINV(RAND(),Model!L10,Model!M10))*Inputs!$C$6</f>
        <v>81699.888695487825</v>
      </c>
      <c r="AG908">
        <f t="shared" ref="AG908:AG971" ca="1" si="310">AD908*AE908</f>
        <v>0.5628849051225846</v>
      </c>
      <c r="AH908">
        <f t="shared" ref="AH908:AH971" ca="1" si="311">RAND()</f>
        <v>0.52193714562334814</v>
      </c>
      <c r="AI908">
        <f t="shared" ref="AI908:AI971" ca="1" si="312">IF(AH908&lt;EXP(-AG908),0,IF(AH908&lt;EXP(-AG908)*(1+AG908),1,IF(AH908&lt;EXP(-AG908)*(1+AG908+AG908^2/2),2,IF(AH908&lt;EXP(-AG908)*(1+AG908+AG908^2/2+AG908^3/6),3,4))))</f>
        <v>0</v>
      </c>
      <c r="AJ908" s="47">
        <f t="shared" ref="AJ908:AJ971" ca="1" si="313">AI908*AF908</f>
        <v>0</v>
      </c>
      <c r="AK908">
        <f t="shared" ref="AK908:AK971" ca="1" si="314">H908+O908+V908+AC908+AJ908</f>
        <v>65547.793000044476</v>
      </c>
    </row>
    <row r="909" spans="2:37" x14ac:dyDescent="0.2">
      <c r="B909">
        <f ca="1">Inputs!B12+(Inputs!D12-Inputs!B12)*BETAINV(RAND(),Model!H6,Model!I6)</f>
        <v>5.3200350260650744</v>
      </c>
      <c r="C909">
        <f ca="1">Inputs!E12+(Inputs!G12-Inputs!E12)*BETAINV(RAND(),Model!J6,Model!K6)</f>
        <v>0.29594179640850343</v>
      </c>
      <c r="D909">
        <f ca="1">(Inputs!H12+(Inputs!J12-Inputs!H12)*BETAINV(RAND(),Model!L6,Model!M6))*Inputs!$C$6</f>
        <v>25277.611808275477</v>
      </c>
      <c r="E909">
        <f t="shared" ca="1" si="294"/>
        <v>1.5744207225698574</v>
      </c>
      <c r="F909">
        <f t="shared" ca="1" si="295"/>
        <v>0.30579238464206315</v>
      </c>
      <c r="G909">
        <f t="shared" ca="1" si="296"/>
        <v>1</v>
      </c>
      <c r="H909" s="47">
        <f t="shared" ca="1" si="297"/>
        <v>25277.611808275477</v>
      </c>
      <c r="I909">
        <f ca="1">Inputs!B13+(Inputs!D13-Inputs!B13)*BETAINV(RAND(),Model!H7,Model!I7)</f>
        <v>3.2287527995560406</v>
      </c>
      <c r="J909">
        <f ca="1">Inputs!E13+(Inputs!G13-Inputs!E13)*BETAINV(RAND(),Model!J7,Model!K7)</f>
        <v>0.20655478741984276</v>
      </c>
      <c r="K909">
        <f ca="1">(Inputs!H13+(Inputs!J13-Inputs!H13)*BETAINV(RAND(),Model!L7,Model!M7))*Inputs!$C$6</f>
        <v>49922.24766523813</v>
      </c>
      <c r="L909">
        <f t="shared" ca="1" si="298"/>
        <v>0.66691434814352013</v>
      </c>
      <c r="M909">
        <f t="shared" ca="1" si="299"/>
        <v>0.96180345601653638</v>
      </c>
      <c r="N909">
        <f t="shared" ca="1" si="300"/>
        <v>2</v>
      </c>
      <c r="O909" s="47">
        <f t="shared" ca="1" si="301"/>
        <v>99844.49533047626</v>
      </c>
      <c r="P909">
        <f ca="1">Inputs!B14+(Inputs!D14-Inputs!B14)*BETAINV(RAND(),Model!H8,Model!I8)</f>
        <v>0.33643685704177839</v>
      </c>
      <c r="Q909">
        <f ca="1">Inputs!E14+(Inputs!G14-Inputs!E14)*BETAINV(RAND(),Model!J8,Model!K8)</f>
        <v>0.53298811624611042</v>
      </c>
      <c r="R909">
        <f ca="1">(Inputs!H14+(Inputs!J14-Inputs!H14)*BETAINV(RAND(),Model!L8,Model!M8))*Inputs!$C$6</f>
        <v>201756.46168782492</v>
      </c>
      <c r="S909">
        <f t="shared" ca="1" si="302"/>
        <v>0.17931684667045941</v>
      </c>
      <c r="T909">
        <f t="shared" ca="1" si="303"/>
        <v>5.5518301120684233E-2</v>
      </c>
      <c r="U909">
        <f t="shared" ca="1" si="304"/>
        <v>0</v>
      </c>
      <c r="V909" s="47">
        <f t="shared" ca="1" si="305"/>
        <v>0</v>
      </c>
      <c r="W909">
        <f ca="1">Inputs!B15+(Inputs!D15-Inputs!B15)*BETAINV(RAND(),Model!H9,Model!I9)</f>
        <v>0.83275902209655106</v>
      </c>
      <c r="X909">
        <f ca="1">Inputs!E15+(Inputs!G15-Inputs!E15)*BETAINV(RAND(),Model!J9,Model!K9)</f>
        <v>0.43570878400563429</v>
      </c>
      <c r="Y909">
        <f ca="1">(Inputs!H15+(Inputs!J15-Inputs!H15)*BETAINV(RAND(),Model!L9,Model!M9))*Inputs!$C$6</f>
        <v>64565.09600569577</v>
      </c>
      <c r="Z909">
        <f t="shared" ca="1" si="306"/>
        <v>0.36284042088740942</v>
      </c>
      <c r="AA909">
        <f t="shared" ca="1" si="307"/>
        <v>0.36018025303895995</v>
      </c>
      <c r="AB909">
        <f t="shared" ca="1" si="308"/>
        <v>0</v>
      </c>
      <c r="AC909" s="47">
        <f t="shared" ca="1" si="309"/>
        <v>0</v>
      </c>
      <c r="AD909">
        <f ca="1">Inputs!B16+(Inputs!D16-Inputs!B16)*BETAINV(RAND(),Model!H10,Model!I10)</f>
        <v>0.69393759681157197</v>
      </c>
      <c r="AE909">
        <f ca="1">Inputs!E16+(Inputs!G16-Inputs!E16)*BETAINV(RAND(),Model!J10,Model!K10)</f>
        <v>0.57045568124755908</v>
      </c>
      <c r="AF909">
        <f ca="1">(Inputs!H16+(Inputs!J16-Inputs!H16)*BETAINV(RAND(),Model!L10,Model!M10))*Inputs!$C$6</f>
        <v>92869.599496006354</v>
      </c>
      <c r="AG909">
        <f t="shared" ca="1" si="310"/>
        <v>0.39586064453243924</v>
      </c>
      <c r="AH909">
        <f t="shared" ca="1" si="311"/>
        <v>0.15462832479253297</v>
      </c>
      <c r="AI909">
        <f t="shared" ca="1" si="312"/>
        <v>0</v>
      </c>
      <c r="AJ909" s="47">
        <f t="shared" ca="1" si="313"/>
        <v>0</v>
      </c>
      <c r="AK909">
        <f t="shared" ca="1" si="314"/>
        <v>125122.10713875174</v>
      </c>
    </row>
    <row r="910" spans="2:37" x14ac:dyDescent="0.2">
      <c r="B910">
        <f ca="1">Inputs!B12+(Inputs!D12-Inputs!B12)*BETAINV(RAND(),Model!H6,Model!I6)</f>
        <v>1.1253764266748632</v>
      </c>
      <c r="C910">
        <f ca="1">Inputs!E12+(Inputs!G12-Inputs!E12)*BETAINV(RAND(),Model!J6,Model!K6)</f>
        <v>0.33506746707353874</v>
      </c>
      <c r="D910">
        <f ca="1">(Inputs!H12+(Inputs!J12-Inputs!H12)*BETAINV(RAND(),Model!L6,Model!M6))*Inputs!$C$6</f>
        <v>33966.098668549042</v>
      </c>
      <c r="E910">
        <f t="shared" ca="1" si="294"/>
        <v>0.37707702879021637</v>
      </c>
      <c r="F910">
        <f t="shared" ca="1" si="295"/>
        <v>0.62344651393081552</v>
      </c>
      <c r="G910">
        <f t="shared" ca="1" si="296"/>
        <v>0</v>
      </c>
      <c r="H910" s="47">
        <f t="shared" ca="1" si="297"/>
        <v>0</v>
      </c>
      <c r="I910">
        <f ca="1">Inputs!B13+(Inputs!D13-Inputs!B13)*BETAINV(RAND(),Model!H7,Model!I7)</f>
        <v>1.2183805529349752</v>
      </c>
      <c r="J910">
        <f ca="1">Inputs!E13+(Inputs!G13-Inputs!E13)*BETAINV(RAND(),Model!J7,Model!K7)</f>
        <v>0.28677234502799342</v>
      </c>
      <c r="K910">
        <f ca="1">(Inputs!H13+(Inputs!J13-Inputs!H13)*BETAINV(RAND(),Model!L7,Model!M7))*Inputs!$C$6</f>
        <v>56240.589078969075</v>
      </c>
      <c r="L910">
        <f t="shared" ca="1" si="298"/>
        <v>0.34939784830166609</v>
      </c>
      <c r="M910">
        <f t="shared" ca="1" si="299"/>
        <v>1.6892666347547158E-2</v>
      </c>
      <c r="N910">
        <f t="shared" ca="1" si="300"/>
        <v>0</v>
      </c>
      <c r="O910" s="47">
        <f t="shared" ca="1" si="301"/>
        <v>0</v>
      </c>
      <c r="P910">
        <f ca="1">Inputs!B14+(Inputs!D14-Inputs!B14)*BETAINV(RAND(),Model!H8,Model!I8)</f>
        <v>0.32101134420058297</v>
      </c>
      <c r="Q910">
        <f ca="1">Inputs!E14+(Inputs!G14-Inputs!E14)*BETAINV(RAND(),Model!J8,Model!K8)</f>
        <v>0.44691873138155458</v>
      </c>
      <c r="R910">
        <f ca="1">(Inputs!H14+(Inputs!J14-Inputs!H14)*BETAINV(RAND(),Model!L8,Model!M8))*Inputs!$C$6</f>
        <v>484705.50759364426</v>
      </c>
      <c r="S910">
        <f t="shared" ca="1" si="302"/>
        <v>0.1434659827092121</v>
      </c>
      <c r="T910">
        <f t="shared" ca="1" si="303"/>
        <v>0.93217381022097467</v>
      </c>
      <c r="U910">
        <f t="shared" ca="1" si="304"/>
        <v>1</v>
      </c>
      <c r="V910" s="47">
        <f t="shared" ca="1" si="305"/>
        <v>484705.50759364426</v>
      </c>
      <c r="W910">
        <f ca="1">Inputs!B15+(Inputs!D15-Inputs!B15)*BETAINV(RAND(),Model!H9,Model!I9)</f>
        <v>1.0373100580572514</v>
      </c>
      <c r="X910">
        <f ca="1">Inputs!E15+(Inputs!G15-Inputs!E15)*BETAINV(RAND(),Model!J9,Model!K9)</f>
        <v>0.47870740765560604</v>
      </c>
      <c r="Y910">
        <f ca="1">(Inputs!H15+(Inputs!J15-Inputs!H15)*BETAINV(RAND(),Model!L9,Model!M9))*Inputs!$C$6</f>
        <v>55353.176336025419</v>
      </c>
      <c r="Z910">
        <f t="shared" ca="1" si="306"/>
        <v>0.49656800882767305</v>
      </c>
      <c r="AA910">
        <f t="shared" ca="1" si="307"/>
        <v>0.11927669134158914</v>
      </c>
      <c r="AB910">
        <f t="shared" ca="1" si="308"/>
        <v>0</v>
      </c>
      <c r="AC910" s="47">
        <f t="shared" ca="1" si="309"/>
        <v>0</v>
      </c>
      <c r="AD910">
        <f ca="1">Inputs!B16+(Inputs!D16-Inputs!B16)*BETAINV(RAND(),Model!H10,Model!I10)</f>
        <v>0.45979529522594836</v>
      </c>
      <c r="AE910">
        <f ca="1">Inputs!E16+(Inputs!G16-Inputs!E16)*BETAINV(RAND(),Model!J10,Model!K10)</f>
        <v>0.66959681683234318</v>
      </c>
      <c r="AF910">
        <f ca="1">(Inputs!H16+(Inputs!J16-Inputs!H16)*BETAINV(RAND(),Model!L10,Model!M10))*Inputs!$C$6</f>
        <v>99543.824211331827</v>
      </c>
      <c r="AG910">
        <f t="shared" ca="1" si="310"/>
        <v>0.30787746607778249</v>
      </c>
      <c r="AH910">
        <f t="shared" ca="1" si="311"/>
        <v>1.8289927629206004E-2</v>
      </c>
      <c r="AI910">
        <f t="shared" ca="1" si="312"/>
        <v>0</v>
      </c>
      <c r="AJ910" s="47">
        <f t="shared" ca="1" si="313"/>
        <v>0</v>
      </c>
      <c r="AK910">
        <f t="shared" ca="1" si="314"/>
        <v>484705.50759364426</v>
      </c>
    </row>
    <row r="911" spans="2:37" x14ac:dyDescent="0.2">
      <c r="B911">
        <f ca="1">Inputs!B12+(Inputs!D12-Inputs!B12)*BETAINV(RAND(),Model!H6,Model!I6)</f>
        <v>1.574211504598884</v>
      </c>
      <c r="C911">
        <f ca="1">Inputs!E12+(Inputs!G12-Inputs!E12)*BETAINV(RAND(),Model!J6,Model!K6)</f>
        <v>0.24762618712098433</v>
      </c>
      <c r="D911">
        <f ca="1">(Inputs!H12+(Inputs!J12-Inputs!H12)*BETAINV(RAND(),Model!L6,Model!M6))*Inputs!$C$6</f>
        <v>16737.264417166058</v>
      </c>
      <c r="E911">
        <f t="shared" ca="1" si="294"/>
        <v>0.38981599260580957</v>
      </c>
      <c r="F911">
        <f t="shared" ca="1" si="295"/>
        <v>5.7260016369866773E-2</v>
      </c>
      <c r="G911">
        <f t="shared" ca="1" si="296"/>
        <v>0</v>
      </c>
      <c r="H911" s="47">
        <f t="shared" ca="1" si="297"/>
        <v>0</v>
      </c>
      <c r="I911">
        <f ca="1">Inputs!B13+(Inputs!D13-Inputs!B13)*BETAINV(RAND(),Model!H7,Model!I7)</f>
        <v>3.8303415587547849</v>
      </c>
      <c r="J911">
        <f ca="1">Inputs!E13+(Inputs!G13-Inputs!E13)*BETAINV(RAND(),Model!J7,Model!K7)</f>
        <v>0.24706690340042209</v>
      </c>
      <c r="K911">
        <f ca="1">(Inputs!H13+(Inputs!J13-Inputs!H13)*BETAINV(RAND(),Model!L7,Model!M7))*Inputs!$C$6</f>
        <v>38582.632361833108</v>
      </c>
      <c r="L911">
        <f t="shared" ca="1" si="298"/>
        <v>0.94635062788749058</v>
      </c>
      <c r="M911">
        <f t="shared" ca="1" si="299"/>
        <v>0.60838676867390784</v>
      </c>
      <c r="N911">
        <f t="shared" ca="1" si="300"/>
        <v>1</v>
      </c>
      <c r="O911" s="47">
        <f t="shared" ca="1" si="301"/>
        <v>38582.632361833108</v>
      </c>
      <c r="P911">
        <f ca="1">Inputs!B14+(Inputs!D14-Inputs!B14)*BETAINV(RAND(),Model!H8,Model!I8)</f>
        <v>0.16440310734286384</v>
      </c>
      <c r="Q911">
        <f ca="1">Inputs!E14+(Inputs!G14-Inputs!E14)*BETAINV(RAND(),Model!J8,Model!K8)</f>
        <v>0.61825494359199551</v>
      </c>
      <c r="R911">
        <f ca="1">(Inputs!H14+(Inputs!J14-Inputs!H14)*BETAINV(RAND(),Model!L8,Model!M8))*Inputs!$C$6</f>
        <v>258304.60660916675</v>
      </c>
      <c r="S911">
        <f t="shared" ca="1" si="302"/>
        <v>0.10164303385661107</v>
      </c>
      <c r="T911">
        <f t="shared" ca="1" si="303"/>
        <v>0.61392608455498321</v>
      </c>
      <c r="U911">
        <f t="shared" ca="1" si="304"/>
        <v>0</v>
      </c>
      <c r="V911" s="47">
        <f t="shared" ca="1" si="305"/>
        <v>0</v>
      </c>
      <c r="W911">
        <f ca="1">Inputs!B15+(Inputs!D15-Inputs!B15)*BETAINV(RAND(),Model!H9,Model!I9)</f>
        <v>2.5232203381570089</v>
      </c>
      <c r="X911">
        <f ca="1">Inputs!E15+(Inputs!G15-Inputs!E15)*BETAINV(RAND(),Model!J9,Model!K9)</f>
        <v>0.42244705911509284</v>
      </c>
      <c r="Y911">
        <f ca="1">(Inputs!H15+(Inputs!J15-Inputs!H15)*BETAINV(RAND(),Model!L9,Model!M9))*Inputs!$C$6</f>
        <v>36085.636694465335</v>
      </c>
      <c r="Z911">
        <f t="shared" ca="1" si="306"/>
        <v>1.0659270113538184</v>
      </c>
      <c r="AA911">
        <f t="shared" ca="1" si="307"/>
        <v>4.5124124537574861E-2</v>
      </c>
      <c r="AB911">
        <f t="shared" ca="1" si="308"/>
        <v>0</v>
      </c>
      <c r="AC911" s="47">
        <f t="shared" ca="1" si="309"/>
        <v>0</v>
      </c>
      <c r="AD911">
        <f ca="1">Inputs!B16+(Inputs!D16-Inputs!B16)*BETAINV(RAND(),Model!H10,Model!I10)</f>
        <v>0.29207364791082419</v>
      </c>
      <c r="AE911">
        <f ca="1">Inputs!E16+(Inputs!G16-Inputs!E16)*BETAINV(RAND(),Model!J10,Model!K10)</f>
        <v>0.50440339694760461</v>
      </c>
      <c r="AF911">
        <f ca="1">(Inputs!H16+(Inputs!J16-Inputs!H16)*BETAINV(RAND(),Model!L10,Model!M10))*Inputs!$C$6</f>
        <v>155551.73702173843</v>
      </c>
      <c r="AG911">
        <f t="shared" ca="1" si="310"/>
        <v>0.14732294016509836</v>
      </c>
      <c r="AH911">
        <f t="shared" ca="1" si="311"/>
        <v>0.81399112207063562</v>
      </c>
      <c r="AI911">
        <f t="shared" ca="1" si="312"/>
        <v>0</v>
      </c>
      <c r="AJ911" s="47">
        <f t="shared" ca="1" si="313"/>
        <v>0</v>
      </c>
      <c r="AK911">
        <f t="shared" ca="1" si="314"/>
        <v>38582.632361833108</v>
      </c>
    </row>
    <row r="912" spans="2:37" x14ac:dyDescent="0.2">
      <c r="B912">
        <f ca="1">Inputs!B12+(Inputs!D12-Inputs!B12)*BETAINV(RAND(),Model!H6,Model!I6)</f>
        <v>4.0246962474211827</v>
      </c>
      <c r="C912">
        <f ca="1">Inputs!E12+(Inputs!G12-Inputs!E12)*BETAINV(RAND(),Model!J6,Model!K6)</f>
        <v>0.42028030145348882</v>
      </c>
      <c r="D912">
        <f ca="1">(Inputs!H12+(Inputs!J12-Inputs!H12)*BETAINV(RAND(),Model!L6,Model!M6))*Inputs!$C$6</f>
        <v>20897.349924382695</v>
      </c>
      <c r="E912">
        <f t="shared" ca="1" si="294"/>
        <v>1.6915005521248998</v>
      </c>
      <c r="F912">
        <f t="shared" ca="1" si="295"/>
        <v>0.3217526336652996</v>
      </c>
      <c r="G912">
        <f t="shared" ca="1" si="296"/>
        <v>1</v>
      </c>
      <c r="H912" s="47">
        <f t="shared" ca="1" si="297"/>
        <v>20897.349924382695</v>
      </c>
      <c r="I912">
        <f ca="1">Inputs!B13+(Inputs!D13-Inputs!B13)*BETAINV(RAND(),Model!H7,Model!I7)</f>
        <v>1.9558791858920082</v>
      </c>
      <c r="J912">
        <f ca="1">Inputs!E13+(Inputs!G13-Inputs!E13)*BETAINV(RAND(),Model!J7,Model!K7)</f>
        <v>0.34305803834353982</v>
      </c>
      <c r="K912">
        <f ca="1">(Inputs!H13+(Inputs!J13-Inputs!H13)*BETAINV(RAND(),Model!L7,Model!M7))*Inputs!$C$6</f>
        <v>81735.600642662146</v>
      </c>
      <c r="L912">
        <f t="shared" ca="1" si="298"/>
        <v>0.67098007674907201</v>
      </c>
      <c r="M912">
        <f t="shared" ca="1" si="299"/>
        <v>8.3754263057062683E-2</v>
      </c>
      <c r="N912">
        <f t="shared" ca="1" si="300"/>
        <v>0</v>
      </c>
      <c r="O912" s="47">
        <f t="shared" ca="1" si="301"/>
        <v>0</v>
      </c>
      <c r="P912">
        <f ca="1">Inputs!B14+(Inputs!D14-Inputs!B14)*BETAINV(RAND(),Model!H8,Model!I8)</f>
        <v>0.24075019908676729</v>
      </c>
      <c r="Q912">
        <f ca="1">Inputs!E14+(Inputs!G14-Inputs!E14)*BETAINV(RAND(),Model!J8,Model!K8)</f>
        <v>0.63285501601525063</v>
      </c>
      <c r="R912">
        <f ca="1">(Inputs!H14+(Inputs!J14-Inputs!H14)*BETAINV(RAND(),Model!L8,Model!M8))*Inputs!$C$6</f>
        <v>366051.05558952637</v>
      </c>
      <c r="S912">
        <f t="shared" ca="1" si="302"/>
        <v>0.1523599710987309</v>
      </c>
      <c r="T912">
        <f t="shared" ca="1" si="303"/>
        <v>0.61252100106423768</v>
      </c>
      <c r="U912">
        <f t="shared" ca="1" si="304"/>
        <v>0</v>
      </c>
      <c r="V912" s="47">
        <f t="shared" ca="1" si="305"/>
        <v>0</v>
      </c>
      <c r="W912">
        <f ca="1">Inputs!B15+(Inputs!D15-Inputs!B15)*BETAINV(RAND(),Model!H9,Model!I9)</f>
        <v>1.2338292673461446</v>
      </c>
      <c r="X912">
        <f ca="1">Inputs!E15+(Inputs!G15-Inputs!E15)*BETAINV(RAND(),Model!J9,Model!K9)</f>
        <v>0.29568678297695117</v>
      </c>
      <c r="Y912">
        <f ca="1">(Inputs!H15+(Inputs!J15-Inputs!H15)*BETAINV(RAND(),Model!L9,Model!M9))*Inputs!$C$6</f>
        <v>25998.182522833853</v>
      </c>
      <c r="Z912">
        <f t="shared" ca="1" si="306"/>
        <v>0.36482700680439012</v>
      </c>
      <c r="AA912">
        <f t="shared" ca="1" si="307"/>
        <v>0.97557960552236067</v>
      </c>
      <c r="AB912">
        <f t="shared" ca="1" si="308"/>
        <v>2</v>
      </c>
      <c r="AC912" s="47">
        <f t="shared" ca="1" si="309"/>
        <v>51996.365045667706</v>
      </c>
      <c r="AD912">
        <f ca="1">Inputs!B16+(Inputs!D16-Inputs!B16)*BETAINV(RAND(),Model!H10,Model!I10)</f>
        <v>0.91779920190020348</v>
      </c>
      <c r="AE912">
        <f ca="1">Inputs!E16+(Inputs!G16-Inputs!E16)*BETAINV(RAND(),Model!J10,Model!K10)</f>
        <v>0.56279993446041687</v>
      </c>
      <c r="AF912">
        <f ca="1">(Inputs!H16+(Inputs!J16-Inputs!H16)*BETAINV(RAND(),Model!L10,Model!M10))*Inputs!$C$6</f>
        <v>44686.451574007864</v>
      </c>
      <c r="AG912">
        <f t="shared" ca="1" si="310"/>
        <v>0.51653733067725738</v>
      </c>
      <c r="AH912">
        <f t="shared" ca="1" si="311"/>
        <v>0.27865762498389013</v>
      </c>
      <c r="AI912">
        <f t="shared" ca="1" si="312"/>
        <v>0</v>
      </c>
      <c r="AJ912" s="47">
        <f t="shared" ca="1" si="313"/>
        <v>0</v>
      </c>
      <c r="AK912">
        <f t="shared" ca="1" si="314"/>
        <v>72893.714970050409</v>
      </c>
    </row>
    <row r="913" spans="2:37" x14ac:dyDescent="0.2">
      <c r="B913">
        <f ca="1">Inputs!B12+(Inputs!D12-Inputs!B12)*BETAINV(RAND(),Model!H6,Model!I6)</f>
        <v>4.3533341835883643</v>
      </c>
      <c r="C913">
        <f ca="1">Inputs!E12+(Inputs!G12-Inputs!E12)*BETAINV(RAND(),Model!J6,Model!K6)</f>
        <v>0.35696632068787504</v>
      </c>
      <c r="D913">
        <f ca="1">(Inputs!H12+(Inputs!J12-Inputs!H12)*BETAINV(RAND(),Model!L6,Model!M6))*Inputs!$C$6</f>
        <v>21881.506114567623</v>
      </c>
      <c r="E913">
        <f t="shared" ca="1" si="294"/>
        <v>1.5539936862402928</v>
      </c>
      <c r="F913">
        <f t="shared" ca="1" si="295"/>
        <v>0.53445799660097892</v>
      </c>
      <c r="G913">
        <f t="shared" ca="1" si="296"/>
        <v>1</v>
      </c>
      <c r="H913" s="47">
        <f t="shared" ca="1" si="297"/>
        <v>21881.506114567623</v>
      </c>
      <c r="I913">
        <f ca="1">Inputs!B13+(Inputs!D13-Inputs!B13)*BETAINV(RAND(),Model!H7,Model!I7)</f>
        <v>1.6255449016470098</v>
      </c>
      <c r="J913">
        <f ca="1">Inputs!E13+(Inputs!G13-Inputs!E13)*BETAINV(RAND(),Model!J7,Model!K7)</f>
        <v>0.17984591172250441</v>
      </c>
      <c r="K913">
        <f ca="1">(Inputs!H13+(Inputs!J13-Inputs!H13)*BETAINV(RAND(),Model!L7,Model!M7))*Inputs!$C$6</f>
        <v>56447.915533531304</v>
      </c>
      <c r="L913">
        <f t="shared" ca="1" si="298"/>
        <v>0.29234760488257527</v>
      </c>
      <c r="M913">
        <f t="shared" ca="1" si="299"/>
        <v>0.59825343684094845</v>
      </c>
      <c r="N913">
        <f t="shared" ca="1" si="300"/>
        <v>0</v>
      </c>
      <c r="O913" s="47">
        <f t="shared" ca="1" si="301"/>
        <v>0</v>
      </c>
      <c r="P913">
        <f ca="1">Inputs!B14+(Inputs!D14-Inputs!B14)*BETAINV(RAND(),Model!H8,Model!I8)</f>
        <v>0.39741376898448422</v>
      </c>
      <c r="Q913">
        <f ca="1">Inputs!E14+(Inputs!G14-Inputs!E14)*BETAINV(RAND(),Model!J8,Model!K8)</f>
        <v>0.50233323809842589</v>
      </c>
      <c r="R913">
        <f ca="1">(Inputs!H14+(Inputs!J14-Inputs!H14)*BETAINV(RAND(),Model!L8,Model!M8))*Inputs!$C$6</f>
        <v>266459.2440039842</v>
      </c>
      <c r="S913">
        <f t="shared" ca="1" si="302"/>
        <v>0.19963414543887573</v>
      </c>
      <c r="T913">
        <f t="shared" ca="1" si="303"/>
        <v>0.97085137883341543</v>
      </c>
      <c r="U913">
        <f t="shared" ca="1" si="304"/>
        <v>1</v>
      </c>
      <c r="V913" s="47">
        <f t="shared" ca="1" si="305"/>
        <v>266459.2440039842</v>
      </c>
      <c r="W913">
        <f ca="1">Inputs!B15+(Inputs!D15-Inputs!B15)*BETAINV(RAND(),Model!H9,Model!I9)</f>
        <v>0.96047678550417381</v>
      </c>
      <c r="X913">
        <f ca="1">Inputs!E15+(Inputs!G15-Inputs!E15)*BETAINV(RAND(),Model!J9,Model!K9)</f>
        <v>0.5364876288182705</v>
      </c>
      <c r="Y913">
        <f ca="1">(Inputs!H15+(Inputs!J15-Inputs!H15)*BETAINV(RAND(),Model!L9,Model!M9))*Inputs!$C$6</f>
        <v>31084.152403855584</v>
      </c>
      <c r="Z913">
        <f t="shared" ca="1" si="306"/>
        <v>0.51528391319012878</v>
      </c>
      <c r="AA913">
        <f t="shared" ca="1" si="307"/>
        <v>0.8922945532905141</v>
      </c>
      <c r="AB913">
        <f t="shared" ca="1" si="308"/>
        <v>1</v>
      </c>
      <c r="AC913" s="47">
        <f t="shared" ca="1" si="309"/>
        <v>31084.152403855584</v>
      </c>
      <c r="AD913">
        <f ca="1">Inputs!B16+(Inputs!D16-Inputs!B16)*BETAINV(RAND(),Model!H10,Model!I10)</f>
        <v>0.5497856987318992</v>
      </c>
      <c r="AE913">
        <f ca="1">Inputs!E16+(Inputs!G16-Inputs!E16)*BETAINV(RAND(),Model!J10,Model!K10)</f>
        <v>0.55083330344070869</v>
      </c>
      <c r="AF913">
        <f ca="1">(Inputs!H16+(Inputs!J16-Inputs!H16)*BETAINV(RAND(),Model!L10,Model!M10))*Inputs!$C$6</f>
        <v>54289.535973299266</v>
      </c>
      <c r="AG913">
        <f t="shared" ca="1" si="310"/>
        <v>0.30284027261695029</v>
      </c>
      <c r="AH913">
        <f t="shared" ca="1" si="311"/>
        <v>0.53527856686183162</v>
      </c>
      <c r="AI913">
        <f t="shared" ca="1" si="312"/>
        <v>0</v>
      </c>
      <c r="AJ913" s="47">
        <f t="shared" ca="1" si="313"/>
        <v>0</v>
      </c>
      <c r="AK913">
        <f t="shared" ca="1" si="314"/>
        <v>319424.90252240741</v>
      </c>
    </row>
    <row r="914" spans="2:37" x14ac:dyDescent="0.2">
      <c r="B914">
        <f ca="1">Inputs!B12+(Inputs!D12-Inputs!B12)*BETAINV(RAND(),Model!H6,Model!I6)</f>
        <v>4.1652077872666702</v>
      </c>
      <c r="C914">
        <f ca="1">Inputs!E12+(Inputs!G12-Inputs!E12)*BETAINV(RAND(),Model!J6,Model!K6)</f>
        <v>0.37049101325760192</v>
      </c>
      <c r="D914">
        <f ca="1">(Inputs!H12+(Inputs!J12-Inputs!H12)*BETAINV(RAND(),Model!L6,Model!M6))*Inputs!$C$6</f>
        <v>40010.39065637473</v>
      </c>
      <c r="E914">
        <f t="shared" ca="1" si="294"/>
        <v>1.5431720535328826</v>
      </c>
      <c r="F914">
        <f t="shared" ca="1" si="295"/>
        <v>0.14988860660795222</v>
      </c>
      <c r="G914">
        <f t="shared" ca="1" si="296"/>
        <v>0</v>
      </c>
      <c r="H914" s="47">
        <f t="shared" ca="1" si="297"/>
        <v>0</v>
      </c>
      <c r="I914">
        <f ca="1">Inputs!B13+(Inputs!D13-Inputs!B13)*BETAINV(RAND(),Model!H7,Model!I7)</f>
        <v>2.6053535384509621</v>
      </c>
      <c r="J914">
        <f ca="1">Inputs!E13+(Inputs!G13-Inputs!E13)*BETAINV(RAND(),Model!J7,Model!K7)</f>
        <v>0.22936933753612751</v>
      </c>
      <c r="K914">
        <f ca="1">(Inputs!H13+(Inputs!J13-Inputs!H13)*BETAINV(RAND(),Model!L7,Model!M7))*Inputs!$C$6</f>
        <v>46399.913293185236</v>
      </c>
      <c r="L914">
        <f t="shared" ca="1" si="298"/>
        <v>0.59758821516190286</v>
      </c>
      <c r="M914">
        <f t="shared" ca="1" si="299"/>
        <v>0.93577874825912621</v>
      </c>
      <c r="N914">
        <f t="shared" ca="1" si="300"/>
        <v>2</v>
      </c>
      <c r="O914" s="47">
        <f t="shared" ca="1" si="301"/>
        <v>92799.826586370473</v>
      </c>
      <c r="P914">
        <f ca="1">Inputs!B14+(Inputs!D14-Inputs!B14)*BETAINV(RAND(),Model!H8,Model!I8)</f>
        <v>0.4505366863890361</v>
      </c>
      <c r="Q914">
        <f ca="1">Inputs!E14+(Inputs!G14-Inputs!E14)*BETAINV(RAND(),Model!J8,Model!K8)</f>
        <v>0.4216089181401082</v>
      </c>
      <c r="R914">
        <f ca="1">(Inputs!H14+(Inputs!J14-Inputs!H14)*BETAINV(RAND(),Model!L8,Model!M8))*Inputs!$C$6</f>
        <v>374368.68710428337</v>
      </c>
      <c r="S914">
        <f t="shared" ca="1" si="302"/>
        <v>0.18995028493091073</v>
      </c>
      <c r="T914">
        <f t="shared" ca="1" si="303"/>
        <v>0.39388626920093339</v>
      </c>
      <c r="U914">
        <f t="shared" ca="1" si="304"/>
        <v>0</v>
      </c>
      <c r="V914" s="47">
        <f t="shared" ca="1" si="305"/>
        <v>0</v>
      </c>
      <c r="W914">
        <f ca="1">Inputs!B15+(Inputs!D15-Inputs!B15)*BETAINV(RAND(),Model!H9,Model!I9)</f>
        <v>0.62762115401474117</v>
      </c>
      <c r="X914">
        <f ca="1">Inputs!E15+(Inputs!G15-Inputs!E15)*BETAINV(RAND(),Model!J9,Model!K9)</f>
        <v>0.27327407830751888</v>
      </c>
      <c r="Y914">
        <f ca="1">(Inputs!H15+(Inputs!J15-Inputs!H15)*BETAINV(RAND(),Model!L9,Model!M9))*Inputs!$C$6</f>
        <v>12448.80234990863</v>
      </c>
      <c r="Z914">
        <f t="shared" ca="1" si="306"/>
        <v>0.17151259238967975</v>
      </c>
      <c r="AA914">
        <f t="shared" ca="1" si="307"/>
        <v>2.3262913533712681E-2</v>
      </c>
      <c r="AB914">
        <f t="shared" ca="1" si="308"/>
        <v>0</v>
      </c>
      <c r="AC914" s="47">
        <f t="shared" ca="1" si="309"/>
        <v>0</v>
      </c>
      <c r="AD914">
        <f ca="1">Inputs!B16+(Inputs!D16-Inputs!B16)*BETAINV(RAND(),Model!H10,Model!I10)</f>
        <v>0.75745801431088688</v>
      </c>
      <c r="AE914">
        <f ca="1">Inputs!E16+(Inputs!G16-Inputs!E16)*BETAINV(RAND(),Model!J10,Model!K10)</f>
        <v>0.75906483479291686</v>
      </c>
      <c r="AF914">
        <f ca="1">(Inputs!H16+(Inputs!J16-Inputs!H16)*BETAINV(RAND(),Model!L10,Model!M10))*Inputs!$C$6</f>
        <v>57982.958605618434</v>
      </c>
      <c r="AG914">
        <f t="shared" ca="1" si="310"/>
        <v>0.57495974249546422</v>
      </c>
      <c r="AH914">
        <f t="shared" ca="1" si="311"/>
        <v>0.44560071609351337</v>
      </c>
      <c r="AI914">
        <f t="shared" ca="1" si="312"/>
        <v>0</v>
      </c>
      <c r="AJ914" s="47">
        <f t="shared" ca="1" si="313"/>
        <v>0</v>
      </c>
      <c r="AK914">
        <f t="shared" ca="1" si="314"/>
        <v>92799.826586370473</v>
      </c>
    </row>
    <row r="915" spans="2:37" x14ac:dyDescent="0.2">
      <c r="B915">
        <f ca="1">Inputs!B12+(Inputs!D12-Inputs!B12)*BETAINV(RAND(),Model!H6,Model!I6)</f>
        <v>3.8908986184682308</v>
      </c>
      <c r="C915">
        <f ca="1">Inputs!E12+(Inputs!G12-Inputs!E12)*BETAINV(RAND(),Model!J6,Model!K6)</f>
        <v>0.27496540062838049</v>
      </c>
      <c r="D915">
        <f ca="1">(Inputs!H12+(Inputs!J12-Inputs!H12)*BETAINV(RAND(),Model!L6,Model!M6))*Inputs!$C$6</f>
        <v>19083.104356489523</v>
      </c>
      <c r="E915">
        <f t="shared" ca="1" si="294"/>
        <v>1.0698624974315292</v>
      </c>
      <c r="F915">
        <f t="shared" ca="1" si="295"/>
        <v>0.78240623672403087</v>
      </c>
      <c r="G915">
        <f t="shared" ca="1" si="296"/>
        <v>2</v>
      </c>
      <c r="H915" s="47">
        <f t="shared" ca="1" si="297"/>
        <v>38166.208712979045</v>
      </c>
      <c r="I915">
        <f ca="1">Inputs!B13+(Inputs!D13-Inputs!B13)*BETAINV(RAND(),Model!H7,Model!I7)</f>
        <v>3.0520979650219497</v>
      </c>
      <c r="J915">
        <f ca="1">Inputs!E13+(Inputs!G13-Inputs!E13)*BETAINV(RAND(),Model!J7,Model!K7)</f>
        <v>0.29980970363386039</v>
      </c>
      <c r="K915">
        <f ca="1">(Inputs!H13+(Inputs!J13-Inputs!H13)*BETAINV(RAND(),Model!L7,Model!M7))*Inputs!$C$6</f>
        <v>27951.986374523778</v>
      </c>
      <c r="L915">
        <f t="shared" ca="1" si="298"/>
        <v>0.91504858635473918</v>
      </c>
      <c r="M915">
        <f t="shared" ca="1" si="299"/>
        <v>5.9876099582697018E-2</v>
      </c>
      <c r="N915">
        <f t="shared" ca="1" si="300"/>
        <v>0</v>
      </c>
      <c r="O915" s="47">
        <f t="shared" ca="1" si="301"/>
        <v>0</v>
      </c>
      <c r="P915">
        <f ca="1">Inputs!B14+(Inputs!D14-Inputs!B14)*BETAINV(RAND(),Model!H8,Model!I8)</f>
        <v>0.26629116666611657</v>
      </c>
      <c r="Q915">
        <f ca="1">Inputs!E14+(Inputs!G14-Inputs!E14)*BETAINV(RAND(),Model!J8,Model!K8)</f>
        <v>0.68284788069602009</v>
      </c>
      <c r="R915">
        <f ca="1">(Inputs!H14+(Inputs!J14-Inputs!H14)*BETAINV(RAND(),Model!L8,Model!M8))*Inputs!$C$6</f>
        <v>417822.89306373912</v>
      </c>
      <c r="S915">
        <f t="shared" ca="1" si="302"/>
        <v>0.18183635880602839</v>
      </c>
      <c r="T915">
        <f t="shared" ca="1" si="303"/>
        <v>4.4000158650763566E-2</v>
      </c>
      <c r="U915">
        <f t="shared" ca="1" si="304"/>
        <v>0</v>
      </c>
      <c r="V915" s="47">
        <f t="shared" ca="1" si="305"/>
        <v>0</v>
      </c>
      <c r="W915">
        <f ca="1">Inputs!B15+(Inputs!D15-Inputs!B15)*BETAINV(RAND(),Model!H9,Model!I9)</f>
        <v>0.86859951413682635</v>
      </c>
      <c r="X915">
        <f ca="1">Inputs!E15+(Inputs!G15-Inputs!E15)*BETAINV(RAND(),Model!J9,Model!K9)</f>
        <v>0.39654886572972958</v>
      </c>
      <c r="Y915">
        <f ca="1">(Inputs!H15+(Inputs!J15-Inputs!H15)*BETAINV(RAND(),Model!L9,Model!M9))*Inputs!$C$6</f>
        <v>33504.824598284875</v>
      </c>
      <c r="Z915">
        <f t="shared" ca="1" si="306"/>
        <v>0.34444215210435269</v>
      </c>
      <c r="AA915">
        <f t="shared" ca="1" si="307"/>
        <v>0.95869294298258101</v>
      </c>
      <c r="AB915">
        <f t="shared" ca="1" si="308"/>
        <v>2</v>
      </c>
      <c r="AC915" s="47">
        <f t="shared" ca="1" si="309"/>
        <v>67009.64919656975</v>
      </c>
      <c r="AD915">
        <f ca="1">Inputs!B16+(Inputs!D16-Inputs!B16)*BETAINV(RAND(),Model!H10,Model!I10)</f>
        <v>1.116079907083132</v>
      </c>
      <c r="AE915">
        <f ca="1">Inputs!E16+(Inputs!G16-Inputs!E16)*BETAINV(RAND(),Model!J10,Model!K10)</f>
        <v>0.56421796620053666</v>
      </c>
      <c r="AF915">
        <f ca="1">(Inputs!H16+(Inputs!J16-Inputs!H16)*BETAINV(RAND(),Model!L10,Model!M10))*Inputs!$C$6</f>
        <v>77111.858301505097</v>
      </c>
      <c r="AG915">
        <f t="shared" ca="1" si="310"/>
        <v>0.62971233529172865</v>
      </c>
      <c r="AH915">
        <f t="shared" ca="1" si="311"/>
        <v>0.87627205006392572</v>
      </c>
      <c r="AI915">
        <f t="shared" ca="1" si="312"/>
        <v>2</v>
      </c>
      <c r="AJ915" s="47">
        <f t="shared" ca="1" si="313"/>
        <v>154223.71660301019</v>
      </c>
      <c r="AK915">
        <f t="shared" ca="1" si="314"/>
        <v>259399.57451255899</v>
      </c>
    </row>
    <row r="916" spans="2:37" x14ac:dyDescent="0.2">
      <c r="B916">
        <f ca="1">Inputs!B12+(Inputs!D12-Inputs!B12)*BETAINV(RAND(),Model!H6,Model!I6)</f>
        <v>2.5168066524480399</v>
      </c>
      <c r="C916">
        <f ca="1">Inputs!E12+(Inputs!G12-Inputs!E12)*BETAINV(RAND(),Model!J6,Model!K6)</f>
        <v>0.38088483264343775</v>
      </c>
      <c r="D916">
        <f ca="1">(Inputs!H12+(Inputs!J12-Inputs!H12)*BETAINV(RAND(),Model!L6,Model!M6))*Inputs!$C$6</f>
        <v>13371.999398008815</v>
      </c>
      <c r="E916">
        <f t="shared" ca="1" si="294"/>
        <v>0.95861348061356244</v>
      </c>
      <c r="F916">
        <f t="shared" ca="1" si="295"/>
        <v>0.6114394305744808</v>
      </c>
      <c r="G916">
        <f t="shared" ca="1" si="296"/>
        <v>1</v>
      </c>
      <c r="H916" s="47">
        <f t="shared" ca="1" si="297"/>
        <v>13371.999398008815</v>
      </c>
      <c r="I916">
        <f ca="1">Inputs!B13+(Inputs!D13-Inputs!B13)*BETAINV(RAND(),Model!H7,Model!I7)</f>
        <v>2.8282889039654933</v>
      </c>
      <c r="J916">
        <f ca="1">Inputs!E13+(Inputs!G13-Inputs!E13)*BETAINV(RAND(),Model!J7,Model!K7)</f>
        <v>0.2257176722380054</v>
      </c>
      <c r="K916">
        <f ca="1">(Inputs!H13+(Inputs!J13-Inputs!H13)*BETAINV(RAND(),Model!L7,Model!M7))*Inputs!$C$6</f>
        <v>28466.738432539787</v>
      </c>
      <c r="L916">
        <f t="shared" ca="1" si="298"/>
        <v>0.63839478781967074</v>
      </c>
      <c r="M916">
        <f t="shared" ca="1" si="299"/>
        <v>0.17845627825539645</v>
      </c>
      <c r="N916">
        <f t="shared" ca="1" si="300"/>
        <v>0</v>
      </c>
      <c r="O916" s="47">
        <f t="shared" ca="1" si="301"/>
        <v>0</v>
      </c>
      <c r="P916">
        <f ca="1">Inputs!B14+(Inputs!D14-Inputs!B14)*BETAINV(RAND(),Model!H8,Model!I8)</f>
        <v>0.37769420084326844</v>
      </c>
      <c r="Q916">
        <f ca="1">Inputs!E14+(Inputs!G14-Inputs!E14)*BETAINV(RAND(),Model!J8,Model!K8)</f>
        <v>0.76818470263757188</v>
      </c>
      <c r="R916">
        <f ca="1">(Inputs!H14+(Inputs!J14-Inputs!H14)*BETAINV(RAND(),Model!L8,Model!M8))*Inputs!$C$6</f>
        <v>234251.65193686128</v>
      </c>
      <c r="S916">
        <f t="shared" ca="1" si="302"/>
        <v>0.29013890736272152</v>
      </c>
      <c r="T916">
        <f t="shared" ca="1" si="303"/>
        <v>0.36737190638861228</v>
      </c>
      <c r="U916">
        <f t="shared" ca="1" si="304"/>
        <v>0</v>
      </c>
      <c r="V916" s="47">
        <f t="shared" ca="1" si="305"/>
        <v>0</v>
      </c>
      <c r="W916">
        <f ca="1">Inputs!B15+(Inputs!D15-Inputs!B15)*BETAINV(RAND(),Model!H9,Model!I9)</f>
        <v>0.95269908385243141</v>
      </c>
      <c r="X916">
        <f ca="1">Inputs!E15+(Inputs!G15-Inputs!E15)*BETAINV(RAND(),Model!J9,Model!K9)</f>
        <v>0.22255811082888677</v>
      </c>
      <c r="Y916">
        <f ca="1">(Inputs!H15+(Inputs!J15-Inputs!H15)*BETAINV(RAND(),Model!L9,Model!M9))*Inputs!$C$6</f>
        <v>33829.213576216629</v>
      </c>
      <c r="Z916">
        <f t="shared" ca="1" si="306"/>
        <v>0.21203090829060831</v>
      </c>
      <c r="AA916">
        <f t="shared" ca="1" si="307"/>
        <v>0.38082853065398692</v>
      </c>
      <c r="AB916">
        <f t="shared" ca="1" si="308"/>
        <v>0</v>
      </c>
      <c r="AC916" s="47">
        <f t="shared" ca="1" si="309"/>
        <v>0</v>
      </c>
      <c r="AD916">
        <f ca="1">Inputs!B16+(Inputs!D16-Inputs!B16)*BETAINV(RAND(),Model!H10,Model!I10)</f>
        <v>1.0518552588748311</v>
      </c>
      <c r="AE916">
        <f ca="1">Inputs!E16+(Inputs!G16-Inputs!E16)*BETAINV(RAND(),Model!J10,Model!K10)</f>
        <v>0.5461112394850256</v>
      </c>
      <c r="AF916">
        <f ca="1">(Inputs!H16+(Inputs!J16-Inputs!H16)*BETAINV(RAND(),Model!L10,Model!M10))*Inputs!$C$6</f>
        <v>115606.41872861507</v>
      </c>
      <c r="AG916">
        <f t="shared" ca="1" si="310"/>
        <v>0.57442997918297645</v>
      </c>
      <c r="AH916">
        <f t="shared" ca="1" si="311"/>
        <v>0.98118254994202059</v>
      </c>
      <c r="AI916">
        <f t="shared" ca="1" si="312"/>
        <v>3</v>
      </c>
      <c r="AJ916" s="47">
        <f t="shared" ca="1" si="313"/>
        <v>346819.25618584524</v>
      </c>
      <c r="AK916">
        <f t="shared" ca="1" si="314"/>
        <v>360191.25558385404</v>
      </c>
    </row>
    <row r="917" spans="2:37" x14ac:dyDescent="0.2">
      <c r="B917">
        <f ca="1">Inputs!B12+(Inputs!D12-Inputs!B12)*BETAINV(RAND(),Model!H6,Model!I6)</f>
        <v>1.8037045326897374</v>
      </c>
      <c r="C917">
        <f ca="1">Inputs!E12+(Inputs!G12-Inputs!E12)*BETAINV(RAND(),Model!J6,Model!K6)</f>
        <v>0.27817940720956724</v>
      </c>
      <c r="D917">
        <f ca="1">(Inputs!H12+(Inputs!J12-Inputs!H12)*BETAINV(RAND(),Model!L6,Model!M6))*Inputs!$C$6</f>
        <v>12763.26671371856</v>
      </c>
      <c r="E917">
        <f t="shared" ca="1" si="294"/>
        <v>0.5017534576848407</v>
      </c>
      <c r="F917">
        <f t="shared" ca="1" si="295"/>
        <v>0.92243531550820734</v>
      </c>
      <c r="G917">
        <f t="shared" ca="1" si="296"/>
        <v>2</v>
      </c>
      <c r="H917" s="47">
        <f t="shared" ca="1" si="297"/>
        <v>25526.53342743712</v>
      </c>
      <c r="I917">
        <f ca="1">Inputs!B13+(Inputs!D13-Inputs!B13)*BETAINV(RAND(),Model!H7,Model!I7)</f>
        <v>3.4807706676776284</v>
      </c>
      <c r="J917">
        <f ca="1">Inputs!E13+(Inputs!G13-Inputs!E13)*BETAINV(RAND(),Model!J7,Model!K7)</f>
        <v>0.24953023629323362</v>
      </c>
      <c r="K917">
        <f ca="1">(Inputs!H13+(Inputs!J13-Inputs!H13)*BETAINV(RAND(),Model!L7,Model!M7))*Inputs!$C$6</f>
        <v>46135.752272654623</v>
      </c>
      <c r="L917">
        <f t="shared" ca="1" si="298"/>
        <v>0.86855752718815515</v>
      </c>
      <c r="M917">
        <f t="shared" ca="1" si="299"/>
        <v>0.34251557930053811</v>
      </c>
      <c r="N917">
        <f t="shared" ca="1" si="300"/>
        <v>0</v>
      </c>
      <c r="O917" s="47">
        <f t="shared" ca="1" si="301"/>
        <v>0</v>
      </c>
      <c r="P917">
        <f ca="1">Inputs!B14+(Inputs!D14-Inputs!B14)*BETAINV(RAND(),Model!H8,Model!I8)</f>
        <v>0.16200313448716677</v>
      </c>
      <c r="Q917">
        <f ca="1">Inputs!E14+(Inputs!G14-Inputs!E14)*BETAINV(RAND(),Model!J8,Model!K8)</f>
        <v>0.49477489969011612</v>
      </c>
      <c r="R917">
        <f ca="1">(Inputs!H14+(Inputs!J14-Inputs!H14)*BETAINV(RAND(),Model!L8,Model!M8))*Inputs!$C$6</f>
        <v>488785.17933708086</v>
      </c>
      <c r="S917">
        <f t="shared" ca="1" si="302"/>
        <v>8.0155084615372338E-2</v>
      </c>
      <c r="T917">
        <f t="shared" ca="1" si="303"/>
        <v>0.69366944407606346</v>
      </c>
      <c r="U917">
        <f t="shared" ca="1" si="304"/>
        <v>0</v>
      </c>
      <c r="V917" s="47">
        <f t="shared" ca="1" si="305"/>
        <v>0</v>
      </c>
      <c r="W917">
        <f ca="1">Inputs!B15+(Inputs!D15-Inputs!B15)*BETAINV(RAND(),Model!H9,Model!I9)</f>
        <v>1.0746099575195931</v>
      </c>
      <c r="X917">
        <f ca="1">Inputs!E15+(Inputs!G15-Inputs!E15)*BETAINV(RAND(),Model!J9,Model!K9)</f>
        <v>0.40736906069180312</v>
      </c>
      <c r="Y917">
        <f ca="1">(Inputs!H15+(Inputs!J15-Inputs!H15)*BETAINV(RAND(),Model!L9,Model!M9))*Inputs!$C$6</f>
        <v>31048.514817173567</v>
      </c>
      <c r="Z917">
        <f t="shared" ca="1" si="306"/>
        <v>0.4377628490048151</v>
      </c>
      <c r="AA917">
        <f t="shared" ca="1" si="307"/>
        <v>0.18476463562411705</v>
      </c>
      <c r="AB917">
        <f t="shared" ca="1" si="308"/>
        <v>0</v>
      </c>
      <c r="AC917" s="47">
        <f t="shared" ca="1" si="309"/>
        <v>0</v>
      </c>
      <c r="AD917">
        <f ca="1">Inputs!B16+(Inputs!D16-Inputs!B16)*BETAINV(RAND(),Model!H10,Model!I10)</f>
        <v>0.8154310402522742</v>
      </c>
      <c r="AE917">
        <f ca="1">Inputs!E16+(Inputs!G16-Inputs!E16)*BETAINV(RAND(),Model!J10,Model!K10)</f>
        <v>0.78877835391879891</v>
      </c>
      <c r="AF917">
        <f ca="1">(Inputs!H16+(Inputs!J16-Inputs!H16)*BETAINV(RAND(),Model!L10,Model!M10))*Inputs!$C$6</f>
        <v>67968.565827923114</v>
      </c>
      <c r="AG917">
        <f t="shared" ca="1" si="310"/>
        <v>0.64319435366448274</v>
      </c>
      <c r="AH917">
        <f t="shared" ca="1" si="311"/>
        <v>0.37932663333540784</v>
      </c>
      <c r="AI917">
        <f t="shared" ca="1" si="312"/>
        <v>0</v>
      </c>
      <c r="AJ917" s="47">
        <f t="shared" ca="1" si="313"/>
        <v>0</v>
      </c>
      <c r="AK917">
        <f t="shared" ca="1" si="314"/>
        <v>25526.53342743712</v>
      </c>
    </row>
    <row r="918" spans="2:37" x14ac:dyDescent="0.2">
      <c r="B918">
        <f ca="1">Inputs!B12+(Inputs!D12-Inputs!B12)*BETAINV(RAND(),Model!H6,Model!I6)</f>
        <v>4.7480367909235781</v>
      </c>
      <c r="C918">
        <f ca="1">Inputs!E12+(Inputs!G12-Inputs!E12)*BETAINV(RAND(),Model!J6,Model!K6)</f>
        <v>0.40125001243847214</v>
      </c>
      <c r="D918">
        <f ca="1">(Inputs!H12+(Inputs!J12-Inputs!H12)*BETAINV(RAND(),Model!L6,Model!M6))*Inputs!$C$6</f>
        <v>27232.267696780844</v>
      </c>
      <c r="E918">
        <f t="shared" ca="1" si="294"/>
        <v>1.9051498214164091</v>
      </c>
      <c r="F918">
        <f t="shared" ca="1" si="295"/>
        <v>0.59015621193303336</v>
      </c>
      <c r="G918">
        <f t="shared" ca="1" si="296"/>
        <v>2</v>
      </c>
      <c r="H918" s="47">
        <f t="shared" ca="1" si="297"/>
        <v>54464.535393561688</v>
      </c>
      <c r="I918">
        <f ca="1">Inputs!B13+(Inputs!D13-Inputs!B13)*BETAINV(RAND(),Model!H7,Model!I7)</f>
        <v>1.5468463888807988</v>
      </c>
      <c r="J918">
        <f ca="1">Inputs!E13+(Inputs!G13-Inputs!E13)*BETAINV(RAND(),Model!J7,Model!K7)</f>
        <v>0.20044242596176445</v>
      </c>
      <c r="K918">
        <f ca="1">(Inputs!H13+(Inputs!J13-Inputs!H13)*BETAINV(RAND(),Model!L7,Model!M7))*Inputs!$C$6</f>
        <v>39518.93139610537</v>
      </c>
      <c r="L918">
        <f t="shared" ca="1" si="298"/>
        <v>0.31005364277746222</v>
      </c>
      <c r="M918">
        <f t="shared" ca="1" si="299"/>
        <v>0.88601210154829091</v>
      </c>
      <c r="N918">
        <f t="shared" ca="1" si="300"/>
        <v>1</v>
      </c>
      <c r="O918" s="47">
        <f t="shared" ca="1" si="301"/>
        <v>39518.93139610537</v>
      </c>
      <c r="P918">
        <f ca="1">Inputs!B14+(Inputs!D14-Inputs!B14)*BETAINV(RAND(),Model!H8,Model!I8)</f>
        <v>0.19217766272484893</v>
      </c>
      <c r="Q918">
        <f ca="1">Inputs!E14+(Inputs!G14-Inputs!E14)*BETAINV(RAND(),Model!J8,Model!K8)</f>
        <v>0.75210794408461168</v>
      </c>
      <c r="R918">
        <f ca="1">(Inputs!H14+(Inputs!J14-Inputs!H14)*BETAINV(RAND(),Model!L8,Model!M8))*Inputs!$C$6</f>
        <v>569262.02285500069</v>
      </c>
      <c r="S918">
        <f t="shared" ca="1" si="302"/>
        <v>0.14453834681097205</v>
      </c>
      <c r="T918">
        <f t="shared" ca="1" si="303"/>
        <v>3.2659980778517728E-2</v>
      </c>
      <c r="U918">
        <f t="shared" ca="1" si="304"/>
        <v>0</v>
      </c>
      <c r="V918" s="47">
        <f t="shared" ca="1" si="305"/>
        <v>0</v>
      </c>
      <c r="W918">
        <f ca="1">Inputs!B15+(Inputs!D15-Inputs!B15)*BETAINV(RAND(),Model!H9,Model!I9)</f>
        <v>0.74233610571922459</v>
      </c>
      <c r="X918">
        <f ca="1">Inputs!E15+(Inputs!G15-Inputs!E15)*BETAINV(RAND(),Model!J9,Model!K9)</f>
        <v>0.3210800258283259</v>
      </c>
      <c r="Y918">
        <f ca="1">(Inputs!H15+(Inputs!J15-Inputs!H15)*BETAINV(RAND(),Model!L9,Model!M9))*Inputs!$C$6</f>
        <v>57599.662930210732</v>
      </c>
      <c r="Z918">
        <f t="shared" ca="1" si="306"/>
        <v>0.2383492959976275</v>
      </c>
      <c r="AA918">
        <f t="shared" ca="1" si="307"/>
        <v>0.24223153554386534</v>
      </c>
      <c r="AB918">
        <f t="shared" ca="1" si="308"/>
        <v>0</v>
      </c>
      <c r="AC918" s="47">
        <f t="shared" ca="1" si="309"/>
        <v>0</v>
      </c>
      <c r="AD918">
        <f ca="1">Inputs!B16+(Inputs!D16-Inputs!B16)*BETAINV(RAND(),Model!H10,Model!I10)</f>
        <v>0.42284847201778319</v>
      </c>
      <c r="AE918">
        <f ca="1">Inputs!E16+(Inputs!G16-Inputs!E16)*BETAINV(RAND(),Model!J10,Model!K10)</f>
        <v>0.77962858120528522</v>
      </c>
      <c r="AF918">
        <f ca="1">(Inputs!H16+(Inputs!J16-Inputs!H16)*BETAINV(RAND(),Model!L10,Model!M10))*Inputs!$C$6</f>
        <v>56242.679204452565</v>
      </c>
      <c r="AG918">
        <f t="shared" ca="1" si="310"/>
        <v>0.32966475430404707</v>
      </c>
      <c r="AH918">
        <f t="shared" ca="1" si="311"/>
        <v>0.99706273938457823</v>
      </c>
      <c r="AI918">
        <f t="shared" ca="1" si="312"/>
        <v>3</v>
      </c>
      <c r="AJ918" s="47">
        <f t="shared" ca="1" si="313"/>
        <v>168728.03761335771</v>
      </c>
      <c r="AK918">
        <f t="shared" ca="1" si="314"/>
        <v>262711.5044030248</v>
      </c>
    </row>
    <row r="919" spans="2:37" x14ac:dyDescent="0.2">
      <c r="B919">
        <f ca="1">Inputs!B12+(Inputs!D12-Inputs!B12)*BETAINV(RAND(),Model!H6,Model!I6)</f>
        <v>2.6428901971988701</v>
      </c>
      <c r="C919">
        <f ca="1">Inputs!E12+(Inputs!G12-Inputs!E12)*BETAINV(RAND(),Model!J6,Model!K6)</f>
        <v>0.33378345970190659</v>
      </c>
      <c r="D919">
        <f ca="1">(Inputs!H12+(Inputs!J12-Inputs!H12)*BETAINV(RAND(),Model!L6,Model!M6))*Inputs!$C$6</f>
        <v>26304.566983073346</v>
      </c>
      <c r="E919">
        <f t="shared" ca="1" si="294"/>
        <v>0.882153033633293</v>
      </c>
      <c r="F919">
        <f t="shared" ca="1" si="295"/>
        <v>0.98413259978875289</v>
      </c>
      <c r="G919">
        <f t="shared" ca="1" si="296"/>
        <v>3</v>
      </c>
      <c r="H919" s="47">
        <f t="shared" ca="1" si="297"/>
        <v>78913.700949220045</v>
      </c>
      <c r="I919">
        <f ca="1">Inputs!B13+(Inputs!D13-Inputs!B13)*BETAINV(RAND(),Model!H7,Model!I7)</f>
        <v>1.4558501161015285</v>
      </c>
      <c r="J919">
        <f ca="1">Inputs!E13+(Inputs!G13-Inputs!E13)*BETAINV(RAND(),Model!J7,Model!K7)</f>
        <v>0.20823099911402845</v>
      </c>
      <c r="K919">
        <f ca="1">(Inputs!H13+(Inputs!J13-Inputs!H13)*BETAINV(RAND(),Model!L7,Model!M7))*Inputs!$C$6</f>
        <v>37461.302590850049</v>
      </c>
      <c r="L919">
        <f t="shared" ca="1" si="298"/>
        <v>0.30315312423609558</v>
      </c>
      <c r="M919">
        <f t="shared" ca="1" si="299"/>
        <v>0.87563739168659249</v>
      </c>
      <c r="N919">
        <f t="shared" ca="1" si="300"/>
        <v>1</v>
      </c>
      <c r="O919" s="47">
        <f t="shared" ca="1" si="301"/>
        <v>37461.302590850049</v>
      </c>
      <c r="P919">
        <f ca="1">Inputs!B14+(Inputs!D14-Inputs!B14)*BETAINV(RAND(),Model!H8,Model!I8)</f>
        <v>0.24097295756697673</v>
      </c>
      <c r="Q919">
        <f ca="1">Inputs!E14+(Inputs!G14-Inputs!E14)*BETAINV(RAND(),Model!J8,Model!K8)</f>
        <v>0.80333053938380705</v>
      </c>
      <c r="R919">
        <f ca="1">(Inputs!H14+(Inputs!J14-Inputs!H14)*BETAINV(RAND(),Model!L8,Model!M8))*Inputs!$C$6</f>
        <v>463278.69402028376</v>
      </c>
      <c r="S919">
        <f t="shared" ca="1" si="302"/>
        <v>0.19358093597919065</v>
      </c>
      <c r="T919">
        <f t="shared" ca="1" si="303"/>
        <v>0.91423788736882683</v>
      </c>
      <c r="U919">
        <f t="shared" ca="1" si="304"/>
        <v>1</v>
      </c>
      <c r="V919" s="47">
        <f t="shared" ca="1" si="305"/>
        <v>463278.69402028376</v>
      </c>
      <c r="W919">
        <f ca="1">Inputs!B15+(Inputs!D15-Inputs!B15)*BETAINV(RAND(),Model!H9,Model!I9)</f>
        <v>1.0708884718613916</v>
      </c>
      <c r="X919">
        <f ca="1">Inputs!E15+(Inputs!G15-Inputs!E15)*BETAINV(RAND(),Model!J9,Model!K9)</f>
        <v>0.472300827414466</v>
      </c>
      <c r="Y919">
        <f ca="1">(Inputs!H15+(Inputs!J15-Inputs!H15)*BETAINV(RAND(),Model!L9,Model!M9))*Inputs!$C$6</f>
        <v>13118.396964527288</v>
      </c>
      <c r="Z919">
        <f t="shared" ca="1" si="306"/>
        <v>0.50578151132874838</v>
      </c>
      <c r="AA919">
        <f t="shared" ca="1" si="307"/>
        <v>0.30086821317484946</v>
      </c>
      <c r="AB919">
        <f t="shared" ca="1" si="308"/>
        <v>0</v>
      </c>
      <c r="AC919" s="47">
        <f t="shared" ca="1" si="309"/>
        <v>0</v>
      </c>
      <c r="AD919">
        <f ca="1">Inputs!B16+(Inputs!D16-Inputs!B16)*BETAINV(RAND(),Model!H10,Model!I10)</f>
        <v>0.77155996661378334</v>
      </c>
      <c r="AE919">
        <f ca="1">Inputs!E16+(Inputs!G16-Inputs!E16)*BETAINV(RAND(),Model!J10,Model!K10)</f>
        <v>0.58440826009188729</v>
      </c>
      <c r="AF919">
        <f ca="1">(Inputs!H16+(Inputs!J16-Inputs!H16)*BETAINV(RAND(),Model!L10,Model!M10))*Inputs!$C$6</f>
        <v>73335.804240976751</v>
      </c>
      <c r="AG919">
        <f t="shared" ca="1" si="310"/>
        <v>0.45090601764531579</v>
      </c>
      <c r="AH919">
        <f t="shared" ca="1" si="311"/>
        <v>0.27043486546119788</v>
      </c>
      <c r="AI919">
        <f t="shared" ca="1" si="312"/>
        <v>0</v>
      </c>
      <c r="AJ919" s="47">
        <f t="shared" ca="1" si="313"/>
        <v>0</v>
      </c>
      <c r="AK919">
        <f t="shared" ca="1" si="314"/>
        <v>579653.6975603539</v>
      </c>
    </row>
    <row r="920" spans="2:37" x14ac:dyDescent="0.2">
      <c r="B920">
        <f ca="1">Inputs!B12+(Inputs!D12-Inputs!B12)*BETAINV(RAND(),Model!H6,Model!I6)</f>
        <v>4.580584263468289</v>
      </c>
      <c r="C920">
        <f ca="1">Inputs!E12+(Inputs!G12-Inputs!E12)*BETAINV(RAND(),Model!J6,Model!K6)</f>
        <v>0.27968635645734774</v>
      </c>
      <c r="D920">
        <f ca="1">(Inputs!H12+(Inputs!J12-Inputs!H12)*BETAINV(RAND(),Model!L6,Model!M6))*Inputs!$C$6</f>
        <v>19650.331995987937</v>
      </c>
      <c r="E920">
        <f t="shared" ca="1" si="294"/>
        <v>1.2811269230953095</v>
      </c>
      <c r="F920">
        <f t="shared" ca="1" si="295"/>
        <v>0.78366257894175073</v>
      </c>
      <c r="G920">
        <f t="shared" ca="1" si="296"/>
        <v>2</v>
      </c>
      <c r="H920" s="47">
        <f t="shared" ca="1" si="297"/>
        <v>39300.663991975875</v>
      </c>
      <c r="I920">
        <f ca="1">Inputs!B13+(Inputs!D13-Inputs!B13)*BETAINV(RAND(),Model!H7,Model!I7)</f>
        <v>2.7896969725711473</v>
      </c>
      <c r="J920">
        <f ca="1">Inputs!E13+(Inputs!G13-Inputs!E13)*BETAINV(RAND(),Model!J7,Model!K7)</f>
        <v>0.13434553202801919</v>
      </c>
      <c r="K920">
        <f ca="1">(Inputs!H13+(Inputs!J13-Inputs!H13)*BETAINV(RAND(),Model!L7,Model!M7))*Inputs!$C$6</f>
        <v>28223.494748209912</v>
      </c>
      <c r="L920">
        <f t="shared" ca="1" si="298"/>
        <v>0.37478332397702524</v>
      </c>
      <c r="M920">
        <f t="shared" ca="1" si="299"/>
        <v>0.39715957528888302</v>
      </c>
      <c r="N920">
        <f t="shared" ca="1" si="300"/>
        <v>0</v>
      </c>
      <c r="O920" s="47">
        <f t="shared" ca="1" si="301"/>
        <v>0</v>
      </c>
      <c r="P920">
        <f ca="1">Inputs!B14+(Inputs!D14-Inputs!B14)*BETAINV(RAND(),Model!H8,Model!I8)</f>
        <v>0.40392814862066939</v>
      </c>
      <c r="Q920">
        <f ca="1">Inputs!E14+(Inputs!G14-Inputs!E14)*BETAINV(RAND(),Model!J8,Model!K8)</f>
        <v>0.61876671154244123</v>
      </c>
      <c r="R920">
        <f ca="1">(Inputs!H14+(Inputs!J14-Inputs!H14)*BETAINV(RAND(),Model!L8,Model!M8))*Inputs!$C$6</f>
        <v>436241.48465630796</v>
      </c>
      <c r="S920">
        <f t="shared" ca="1" si="302"/>
        <v>0.24993729222143807</v>
      </c>
      <c r="T920">
        <f t="shared" ca="1" si="303"/>
        <v>0.42119159804712036</v>
      </c>
      <c r="U920">
        <f t="shared" ca="1" si="304"/>
        <v>0</v>
      </c>
      <c r="V920" s="47">
        <f t="shared" ca="1" si="305"/>
        <v>0</v>
      </c>
      <c r="W920">
        <f ca="1">Inputs!B15+(Inputs!D15-Inputs!B15)*BETAINV(RAND(),Model!H9,Model!I9)</f>
        <v>0.38912460672571991</v>
      </c>
      <c r="X920">
        <f ca="1">Inputs!E15+(Inputs!G15-Inputs!E15)*BETAINV(RAND(),Model!J9,Model!K9)</f>
        <v>0.44282561108610441</v>
      </c>
      <c r="Y920">
        <f ca="1">(Inputs!H15+(Inputs!J15-Inputs!H15)*BETAINV(RAND(),Model!L9,Model!M9))*Inputs!$C$6</f>
        <v>14755.203154492821</v>
      </c>
      <c r="Z920">
        <f t="shared" ca="1" si="306"/>
        <v>0.17231434176195698</v>
      </c>
      <c r="AA920">
        <f t="shared" ca="1" si="307"/>
        <v>0.62343331367582633</v>
      </c>
      <c r="AB920">
        <f t="shared" ca="1" si="308"/>
        <v>0</v>
      </c>
      <c r="AC920" s="47">
        <f t="shared" ca="1" si="309"/>
        <v>0</v>
      </c>
      <c r="AD920">
        <f ca="1">Inputs!B16+(Inputs!D16-Inputs!B16)*BETAINV(RAND(),Model!H10,Model!I10)</f>
        <v>0.67684780259074029</v>
      </c>
      <c r="AE920">
        <f ca="1">Inputs!E16+(Inputs!G16-Inputs!E16)*BETAINV(RAND(),Model!J10,Model!K10)</f>
        <v>0.56320421618588457</v>
      </c>
      <c r="AF920">
        <f ca="1">(Inputs!H16+(Inputs!J16-Inputs!H16)*BETAINV(RAND(),Model!L10,Model!M10))*Inputs!$C$6</f>
        <v>69448.752814010339</v>
      </c>
      <c r="AG920">
        <f t="shared" ca="1" si="310"/>
        <v>0.3812035361352562</v>
      </c>
      <c r="AH920">
        <f t="shared" ca="1" si="311"/>
        <v>1.2145411341259238E-2</v>
      </c>
      <c r="AI920">
        <f t="shared" ca="1" si="312"/>
        <v>0</v>
      </c>
      <c r="AJ920" s="47">
        <f t="shared" ca="1" si="313"/>
        <v>0</v>
      </c>
      <c r="AK920">
        <f t="shared" ca="1" si="314"/>
        <v>39300.663991975875</v>
      </c>
    </row>
    <row r="921" spans="2:37" x14ac:dyDescent="0.2">
      <c r="B921">
        <f ca="1">Inputs!B12+(Inputs!D12-Inputs!B12)*BETAINV(RAND(),Model!H6,Model!I6)</f>
        <v>2.9381982817392518</v>
      </c>
      <c r="C921">
        <f ca="1">Inputs!E12+(Inputs!G12-Inputs!E12)*BETAINV(RAND(),Model!J6,Model!K6)</f>
        <v>0.44177149516111036</v>
      </c>
      <c r="D921">
        <f ca="1">(Inputs!H12+(Inputs!J12-Inputs!H12)*BETAINV(RAND(),Model!L6,Model!M6))*Inputs!$C$6</f>
        <v>19966.363546351815</v>
      </c>
      <c r="E921">
        <f t="shared" ca="1" si="294"/>
        <v>1.2980122480037546</v>
      </c>
      <c r="F921">
        <f t="shared" ca="1" si="295"/>
        <v>2.2102847208033127E-2</v>
      </c>
      <c r="G921">
        <f t="shared" ca="1" si="296"/>
        <v>0</v>
      </c>
      <c r="H921" s="47">
        <f t="shared" ca="1" si="297"/>
        <v>0</v>
      </c>
      <c r="I921">
        <f ca="1">Inputs!B13+(Inputs!D13-Inputs!B13)*BETAINV(RAND(),Model!H7,Model!I7)</f>
        <v>3.5300217818650697</v>
      </c>
      <c r="J921">
        <f ca="1">Inputs!E13+(Inputs!G13-Inputs!E13)*BETAINV(RAND(),Model!J7,Model!K7)</f>
        <v>0.3162006715218284</v>
      </c>
      <c r="K921">
        <f ca="1">(Inputs!H13+(Inputs!J13-Inputs!H13)*BETAINV(RAND(),Model!L7,Model!M7))*Inputs!$C$6</f>
        <v>51892.352087042891</v>
      </c>
      <c r="L921">
        <f t="shared" ca="1" si="298"/>
        <v>1.1161952579124164</v>
      </c>
      <c r="M921">
        <f t="shared" ca="1" si="299"/>
        <v>0.50676315780623193</v>
      </c>
      <c r="N921">
        <f t="shared" ca="1" si="300"/>
        <v>1</v>
      </c>
      <c r="O921" s="47">
        <f t="shared" ca="1" si="301"/>
        <v>51892.352087042891</v>
      </c>
      <c r="P921">
        <f ca="1">Inputs!B14+(Inputs!D14-Inputs!B14)*BETAINV(RAND(),Model!H8,Model!I8)</f>
        <v>0.26925953917973983</v>
      </c>
      <c r="Q921">
        <f ca="1">Inputs!E14+(Inputs!G14-Inputs!E14)*BETAINV(RAND(),Model!J8,Model!K8)</f>
        <v>0.66871893505096502</v>
      </c>
      <c r="R921">
        <f ca="1">(Inputs!H14+(Inputs!J14-Inputs!H14)*BETAINV(RAND(),Model!L8,Model!M8))*Inputs!$C$6</f>
        <v>380932.32145680266</v>
      </c>
      <c r="S921">
        <f t="shared" ca="1" si="302"/>
        <v>0.1800589522925892</v>
      </c>
      <c r="T921">
        <f t="shared" ca="1" si="303"/>
        <v>0.31884247129464161</v>
      </c>
      <c r="U921">
        <f t="shared" ca="1" si="304"/>
        <v>0</v>
      </c>
      <c r="V921" s="47">
        <f t="shared" ca="1" si="305"/>
        <v>0</v>
      </c>
      <c r="W921">
        <f ca="1">Inputs!B15+(Inputs!D15-Inputs!B15)*BETAINV(RAND(),Model!H9,Model!I9)</f>
        <v>1.415489672378476</v>
      </c>
      <c r="X921">
        <f ca="1">Inputs!E15+(Inputs!G15-Inputs!E15)*BETAINV(RAND(),Model!J9,Model!K9)</f>
        <v>0.4674527590118176</v>
      </c>
      <c r="Y921">
        <f ca="1">(Inputs!H15+(Inputs!J15-Inputs!H15)*BETAINV(RAND(),Model!L9,Model!M9))*Inputs!$C$6</f>
        <v>10159.983724414653</v>
      </c>
      <c r="Z921">
        <f t="shared" ca="1" si="306"/>
        <v>0.66167455270605235</v>
      </c>
      <c r="AA921">
        <f t="shared" ca="1" si="307"/>
        <v>0.61882683846599174</v>
      </c>
      <c r="AB921">
        <f t="shared" ca="1" si="308"/>
        <v>1</v>
      </c>
      <c r="AC921" s="47">
        <f t="shared" ca="1" si="309"/>
        <v>10159.983724414653</v>
      </c>
      <c r="AD921">
        <f ca="1">Inputs!B16+(Inputs!D16-Inputs!B16)*BETAINV(RAND(),Model!H10,Model!I10)</f>
        <v>0.43953746702828167</v>
      </c>
      <c r="AE921">
        <f ca="1">Inputs!E16+(Inputs!G16-Inputs!E16)*BETAINV(RAND(),Model!J10,Model!K10)</f>
        <v>0.66890385682073572</v>
      </c>
      <c r="AF921">
        <f ca="1">(Inputs!H16+(Inputs!J16-Inputs!H16)*BETAINV(RAND(),Model!L10,Model!M10))*Inputs!$C$6</f>
        <v>126372.54454444197</v>
      </c>
      <c r="AG921">
        <f t="shared" ca="1" si="310"/>
        <v>0.29400830691243457</v>
      </c>
      <c r="AH921">
        <f t="shared" ca="1" si="311"/>
        <v>0.44925660746645291</v>
      </c>
      <c r="AI921">
        <f t="shared" ca="1" si="312"/>
        <v>0</v>
      </c>
      <c r="AJ921" s="47">
        <f t="shared" ca="1" si="313"/>
        <v>0</v>
      </c>
      <c r="AK921">
        <f t="shared" ca="1" si="314"/>
        <v>62052.335811457546</v>
      </c>
    </row>
    <row r="922" spans="2:37" x14ac:dyDescent="0.2">
      <c r="B922">
        <f ca="1">Inputs!B12+(Inputs!D12-Inputs!B12)*BETAINV(RAND(),Model!H6,Model!I6)</f>
        <v>2.7356289788127266</v>
      </c>
      <c r="C922">
        <f ca="1">Inputs!E12+(Inputs!G12-Inputs!E12)*BETAINV(RAND(),Model!J6,Model!K6)</f>
        <v>0.30093738591562308</v>
      </c>
      <c r="D922">
        <f ca="1">(Inputs!H12+(Inputs!J12-Inputs!H12)*BETAINV(RAND(),Model!L6,Model!M6))*Inputs!$C$6</f>
        <v>24939.509513102297</v>
      </c>
      <c r="E922">
        <f t="shared" ca="1" si="294"/>
        <v>0.82325303371892733</v>
      </c>
      <c r="F922">
        <f t="shared" ca="1" si="295"/>
        <v>0.3836522535328466</v>
      </c>
      <c r="G922">
        <f t="shared" ca="1" si="296"/>
        <v>0</v>
      </c>
      <c r="H922" s="47">
        <f t="shared" ca="1" si="297"/>
        <v>0</v>
      </c>
      <c r="I922">
        <f ca="1">Inputs!B13+(Inputs!D13-Inputs!B13)*BETAINV(RAND(),Model!H7,Model!I7)</f>
        <v>1.3790755100926066</v>
      </c>
      <c r="J922">
        <f ca="1">Inputs!E13+(Inputs!G13-Inputs!E13)*BETAINV(RAND(),Model!J7,Model!K7)</f>
        <v>0.29175304964208976</v>
      </c>
      <c r="K922">
        <f ca="1">(Inputs!H13+(Inputs!J13-Inputs!H13)*BETAINV(RAND(),Model!L7,Model!M7))*Inputs!$C$6</f>
        <v>24281.709405716589</v>
      </c>
      <c r="L922">
        <f t="shared" ca="1" si="298"/>
        <v>0.40234948575623852</v>
      </c>
      <c r="M922">
        <f t="shared" ca="1" si="299"/>
        <v>0.6426180903399189</v>
      </c>
      <c r="N922">
        <f t="shared" ca="1" si="300"/>
        <v>0</v>
      </c>
      <c r="O922" s="47">
        <f t="shared" ca="1" si="301"/>
        <v>0</v>
      </c>
      <c r="P922">
        <f ca="1">Inputs!B14+(Inputs!D14-Inputs!B14)*BETAINV(RAND(),Model!H8,Model!I8)</f>
        <v>0.29130768765277248</v>
      </c>
      <c r="Q922">
        <f ca="1">Inputs!E14+(Inputs!G14-Inputs!E14)*BETAINV(RAND(),Model!J8,Model!K8)</f>
        <v>0.41151114843852105</v>
      </c>
      <c r="R922">
        <f ca="1">(Inputs!H14+(Inputs!J14-Inputs!H14)*BETAINV(RAND(),Model!L8,Model!M8))*Inputs!$C$6</f>
        <v>363487.57384045614</v>
      </c>
      <c r="S922">
        <f t="shared" ca="1" si="302"/>
        <v>0.11987636109496239</v>
      </c>
      <c r="T922">
        <f t="shared" ca="1" si="303"/>
        <v>0.33388271225573884</v>
      </c>
      <c r="U922">
        <f t="shared" ca="1" si="304"/>
        <v>0</v>
      </c>
      <c r="V922" s="47">
        <f t="shared" ca="1" si="305"/>
        <v>0</v>
      </c>
      <c r="W922">
        <f ca="1">Inputs!B15+(Inputs!D15-Inputs!B15)*BETAINV(RAND(),Model!H9,Model!I9)</f>
        <v>1.1743520839121235</v>
      </c>
      <c r="X922">
        <f ca="1">Inputs!E15+(Inputs!G15-Inputs!E15)*BETAINV(RAND(),Model!J9,Model!K9)</f>
        <v>0.30049612941427617</v>
      </c>
      <c r="Y922">
        <f ca="1">(Inputs!H15+(Inputs!J15-Inputs!H15)*BETAINV(RAND(),Model!L9,Model!M9))*Inputs!$C$6</f>
        <v>23759.09150005917</v>
      </c>
      <c r="Z922">
        <f t="shared" ca="1" si="306"/>
        <v>0.3528882557851824</v>
      </c>
      <c r="AA922">
        <f t="shared" ca="1" si="307"/>
        <v>0.3161174287901457</v>
      </c>
      <c r="AB922">
        <f t="shared" ca="1" si="308"/>
        <v>0</v>
      </c>
      <c r="AC922" s="47">
        <f t="shared" ca="1" si="309"/>
        <v>0</v>
      </c>
      <c r="AD922">
        <f ca="1">Inputs!B16+(Inputs!D16-Inputs!B16)*BETAINV(RAND(),Model!H10,Model!I10)</f>
        <v>0.93703202244661932</v>
      </c>
      <c r="AE922">
        <f ca="1">Inputs!E16+(Inputs!G16-Inputs!E16)*BETAINV(RAND(),Model!J10,Model!K10)</f>
        <v>0.69062786172243196</v>
      </c>
      <c r="AF922">
        <f ca="1">(Inputs!H16+(Inputs!J16-Inputs!H16)*BETAINV(RAND(),Model!L10,Model!M10))*Inputs!$C$6</f>
        <v>114628.28360106985</v>
      </c>
      <c r="AG922">
        <f t="shared" ca="1" si="310"/>
        <v>0.64714042202775457</v>
      </c>
      <c r="AH922">
        <f t="shared" ca="1" si="311"/>
        <v>0.64176433239411301</v>
      </c>
      <c r="AI922">
        <f t="shared" ca="1" si="312"/>
        <v>1</v>
      </c>
      <c r="AJ922" s="47">
        <f t="shared" ca="1" si="313"/>
        <v>114628.28360106985</v>
      </c>
      <c r="AK922">
        <f t="shared" ca="1" si="314"/>
        <v>114628.28360106985</v>
      </c>
    </row>
    <row r="923" spans="2:37" x14ac:dyDescent="0.2">
      <c r="B923">
        <f ca="1">Inputs!B12+(Inputs!D12-Inputs!B12)*BETAINV(RAND(),Model!H6,Model!I6)</f>
        <v>2.5257635759332016</v>
      </c>
      <c r="C923">
        <f ca="1">Inputs!E12+(Inputs!G12-Inputs!E12)*BETAINV(RAND(),Model!J6,Model!K6)</f>
        <v>0.27712217637135605</v>
      </c>
      <c r="D923">
        <f ca="1">(Inputs!H12+(Inputs!J12-Inputs!H12)*BETAINV(RAND(),Model!L6,Model!M6))*Inputs!$C$6</f>
        <v>12417.034988011008</v>
      </c>
      <c r="E923">
        <f t="shared" ca="1" si="294"/>
        <v>0.69994509916210768</v>
      </c>
      <c r="F923">
        <f t="shared" ca="1" si="295"/>
        <v>6.8231139256758055E-2</v>
      </c>
      <c r="G923">
        <f t="shared" ca="1" si="296"/>
        <v>0</v>
      </c>
      <c r="H923" s="47">
        <f t="shared" ca="1" si="297"/>
        <v>0</v>
      </c>
      <c r="I923">
        <f ca="1">Inputs!B13+(Inputs!D13-Inputs!B13)*BETAINV(RAND(),Model!H7,Model!I7)</f>
        <v>1.3248637095419316</v>
      </c>
      <c r="J923">
        <f ca="1">Inputs!E13+(Inputs!G13-Inputs!E13)*BETAINV(RAND(),Model!J7,Model!K7)</f>
        <v>0.39625660903371362</v>
      </c>
      <c r="K923">
        <f ca="1">(Inputs!H13+(Inputs!J13-Inputs!H13)*BETAINV(RAND(),Model!L7,Model!M7))*Inputs!$C$6</f>
        <v>42141.692911230835</v>
      </c>
      <c r="L923">
        <f t="shared" ca="1" si="298"/>
        <v>0.52498600097491266</v>
      </c>
      <c r="M923">
        <f t="shared" ca="1" si="299"/>
        <v>0.846125527449059</v>
      </c>
      <c r="N923">
        <f t="shared" ca="1" si="300"/>
        <v>1</v>
      </c>
      <c r="O923" s="47">
        <f t="shared" ca="1" si="301"/>
        <v>42141.692911230835</v>
      </c>
      <c r="P923">
        <f ca="1">Inputs!B14+(Inputs!D14-Inputs!B14)*BETAINV(RAND(),Model!H8,Model!I8)</f>
        <v>0.24717540366398086</v>
      </c>
      <c r="Q923">
        <f ca="1">Inputs!E14+(Inputs!G14-Inputs!E14)*BETAINV(RAND(),Model!J8,Model!K8)</f>
        <v>0.48542195673036215</v>
      </c>
      <c r="R923">
        <f ca="1">(Inputs!H14+(Inputs!J14-Inputs!H14)*BETAINV(RAND(),Model!L8,Model!M8))*Inputs!$C$6</f>
        <v>396253.60144440382</v>
      </c>
      <c r="S923">
        <f t="shared" ca="1" si="302"/>
        <v>0.11998436810218671</v>
      </c>
      <c r="T923">
        <f t="shared" ca="1" si="303"/>
        <v>0.36646477365108154</v>
      </c>
      <c r="U923">
        <f t="shared" ca="1" si="304"/>
        <v>0</v>
      </c>
      <c r="V923" s="47">
        <f t="shared" ca="1" si="305"/>
        <v>0</v>
      </c>
      <c r="W923">
        <f ca="1">Inputs!B15+(Inputs!D15-Inputs!B15)*BETAINV(RAND(),Model!H9,Model!I9)</f>
        <v>0.9039410152805254</v>
      </c>
      <c r="X923">
        <f ca="1">Inputs!E15+(Inputs!G15-Inputs!E15)*BETAINV(RAND(),Model!J9,Model!K9)</f>
        <v>0.40182226994435066</v>
      </c>
      <c r="Y923">
        <f ca="1">(Inputs!H15+(Inputs!J15-Inputs!H15)*BETAINV(RAND(),Model!L9,Model!M9))*Inputs!$C$6</f>
        <v>43154.249305299229</v>
      </c>
      <c r="Z923">
        <f t="shared" ca="1" si="306"/>
        <v>0.36322363065582169</v>
      </c>
      <c r="AA923">
        <f t="shared" ca="1" si="307"/>
        <v>0.57250997576048746</v>
      </c>
      <c r="AB923">
        <f t="shared" ca="1" si="308"/>
        <v>0</v>
      </c>
      <c r="AC923" s="47">
        <f t="shared" ca="1" si="309"/>
        <v>0</v>
      </c>
      <c r="AD923">
        <f ca="1">Inputs!B16+(Inputs!D16-Inputs!B16)*BETAINV(RAND(),Model!H10,Model!I10)</f>
        <v>0.8749430449011586</v>
      </c>
      <c r="AE923">
        <f ca="1">Inputs!E16+(Inputs!G16-Inputs!E16)*BETAINV(RAND(),Model!J10,Model!K10)</f>
        <v>0.65973410998754756</v>
      </c>
      <c r="AF923">
        <f ca="1">(Inputs!H16+(Inputs!J16-Inputs!H16)*BETAINV(RAND(),Model!L10,Model!M10))*Inputs!$C$6</f>
        <v>132751.31798495905</v>
      </c>
      <c r="AG923">
        <f t="shared" ca="1" si="310"/>
        <v>0.57722977101766071</v>
      </c>
      <c r="AH923">
        <f t="shared" ca="1" si="311"/>
        <v>0.99490680611934623</v>
      </c>
      <c r="AI923">
        <f t="shared" ca="1" si="312"/>
        <v>3</v>
      </c>
      <c r="AJ923" s="47">
        <f t="shared" ca="1" si="313"/>
        <v>398253.95395487716</v>
      </c>
      <c r="AK923">
        <f t="shared" ca="1" si="314"/>
        <v>440395.646866108</v>
      </c>
    </row>
    <row r="924" spans="2:37" x14ac:dyDescent="0.2">
      <c r="B924">
        <f ca="1">Inputs!B12+(Inputs!D12-Inputs!B12)*BETAINV(RAND(),Model!H6,Model!I6)</f>
        <v>2.5868203511490195</v>
      </c>
      <c r="C924">
        <f ca="1">Inputs!E12+(Inputs!G12-Inputs!E12)*BETAINV(RAND(),Model!J6,Model!K6)</f>
        <v>0.38560882282787745</v>
      </c>
      <c r="D924">
        <f ca="1">(Inputs!H12+(Inputs!J12-Inputs!H12)*BETAINV(RAND(),Model!L6,Model!M6))*Inputs!$C$6</f>
        <v>11070.114877564209</v>
      </c>
      <c r="E924">
        <f t="shared" ca="1" si="294"/>
        <v>0.99750075047376996</v>
      </c>
      <c r="F924">
        <f t="shared" ca="1" si="295"/>
        <v>0.17630660667535325</v>
      </c>
      <c r="G924">
        <f t="shared" ca="1" si="296"/>
        <v>0</v>
      </c>
      <c r="H924" s="47">
        <f t="shared" ca="1" si="297"/>
        <v>0</v>
      </c>
      <c r="I924">
        <f ca="1">Inputs!B13+(Inputs!D13-Inputs!B13)*BETAINV(RAND(),Model!H7,Model!I7)</f>
        <v>3.5337187750160841</v>
      </c>
      <c r="J924">
        <f ca="1">Inputs!E13+(Inputs!G13-Inputs!E13)*BETAINV(RAND(),Model!J7,Model!K7)</f>
        <v>0.17856779676395834</v>
      </c>
      <c r="K924">
        <f ca="1">(Inputs!H13+(Inputs!J13-Inputs!H13)*BETAINV(RAND(),Model!L7,Model!M7))*Inputs!$C$6</f>
        <v>23902.568758206991</v>
      </c>
      <c r="L924">
        <f t="shared" ca="1" si="298"/>
        <v>0.63100837603805593</v>
      </c>
      <c r="M924">
        <f t="shared" ca="1" si="299"/>
        <v>0.37159719789223267</v>
      </c>
      <c r="N924">
        <f t="shared" ca="1" si="300"/>
        <v>0</v>
      </c>
      <c r="O924" s="47">
        <f t="shared" ca="1" si="301"/>
        <v>0</v>
      </c>
      <c r="P924">
        <f ca="1">Inputs!B14+(Inputs!D14-Inputs!B14)*BETAINV(RAND(),Model!H8,Model!I8)</f>
        <v>0.55657381103034154</v>
      </c>
      <c r="Q924">
        <f ca="1">Inputs!E14+(Inputs!G14-Inputs!E14)*BETAINV(RAND(),Model!J8,Model!K8)</f>
        <v>0.53324514194211681</v>
      </c>
      <c r="R924">
        <f ca="1">(Inputs!H14+(Inputs!J14-Inputs!H14)*BETAINV(RAND(),Model!L8,Model!M8))*Inputs!$C$6</f>
        <v>344827.40429688996</v>
      </c>
      <c r="S924">
        <f t="shared" ca="1" si="302"/>
        <v>0.29679028086413939</v>
      </c>
      <c r="T924">
        <f t="shared" ca="1" si="303"/>
        <v>0.9342700650889646</v>
      </c>
      <c r="U924">
        <f t="shared" ca="1" si="304"/>
        <v>1</v>
      </c>
      <c r="V924" s="47">
        <f t="shared" ca="1" si="305"/>
        <v>344827.40429688996</v>
      </c>
      <c r="W924">
        <f ca="1">Inputs!B15+(Inputs!D15-Inputs!B15)*BETAINV(RAND(),Model!H9,Model!I9)</f>
        <v>0.71806226423752162</v>
      </c>
      <c r="X924">
        <f ca="1">Inputs!E15+(Inputs!G15-Inputs!E15)*BETAINV(RAND(),Model!J9,Model!K9)</f>
        <v>0.31010166088616847</v>
      </c>
      <c r="Y924">
        <f ca="1">(Inputs!H15+(Inputs!J15-Inputs!H15)*BETAINV(RAND(),Model!L9,Model!M9))*Inputs!$C$6</f>
        <v>38096.431189779869</v>
      </c>
      <c r="Z924">
        <f t="shared" ca="1" si="306"/>
        <v>0.22267230075973823</v>
      </c>
      <c r="AA924">
        <f t="shared" ca="1" si="307"/>
        <v>0.54408343253346958</v>
      </c>
      <c r="AB924">
        <f t="shared" ca="1" si="308"/>
        <v>0</v>
      </c>
      <c r="AC924" s="47">
        <f t="shared" ca="1" si="309"/>
        <v>0</v>
      </c>
      <c r="AD924">
        <f ca="1">Inputs!B16+(Inputs!D16-Inputs!B16)*BETAINV(RAND(),Model!H10,Model!I10)</f>
        <v>0.7437442459618322</v>
      </c>
      <c r="AE924">
        <f ca="1">Inputs!E16+(Inputs!G16-Inputs!E16)*BETAINV(RAND(),Model!J10,Model!K10)</f>
        <v>0.64633964470866689</v>
      </c>
      <c r="AF924">
        <f ca="1">(Inputs!H16+(Inputs!J16-Inputs!H16)*BETAINV(RAND(),Model!L10,Model!M10))*Inputs!$C$6</f>
        <v>139765.52485884723</v>
      </c>
      <c r="AG924">
        <f t="shared" ca="1" si="310"/>
        <v>0.480711391689086</v>
      </c>
      <c r="AH924">
        <f t="shared" ca="1" si="311"/>
        <v>0.55193308059322754</v>
      </c>
      <c r="AI924">
        <f t="shared" ca="1" si="312"/>
        <v>0</v>
      </c>
      <c r="AJ924" s="47">
        <f t="shared" ca="1" si="313"/>
        <v>0</v>
      </c>
      <c r="AK924">
        <f t="shared" ca="1" si="314"/>
        <v>344827.40429688996</v>
      </c>
    </row>
    <row r="925" spans="2:37" x14ac:dyDescent="0.2">
      <c r="B925">
        <f ca="1">Inputs!B12+(Inputs!D12-Inputs!B12)*BETAINV(RAND(),Model!H6,Model!I6)</f>
        <v>4.3982576607024413</v>
      </c>
      <c r="C925">
        <f ca="1">Inputs!E12+(Inputs!G12-Inputs!E12)*BETAINV(RAND(),Model!J6,Model!K6)</f>
        <v>0.37216028594736916</v>
      </c>
      <c r="D925">
        <f ca="1">(Inputs!H12+(Inputs!J12-Inputs!H12)*BETAINV(RAND(),Model!L6,Model!M6))*Inputs!$C$6</f>
        <v>30533.393471370109</v>
      </c>
      <c r="E925">
        <f t="shared" ca="1" si="294"/>
        <v>1.6368568286772276</v>
      </c>
      <c r="F925">
        <f t="shared" ca="1" si="295"/>
        <v>0.40753167903013676</v>
      </c>
      <c r="G925">
        <f t="shared" ca="1" si="296"/>
        <v>1</v>
      </c>
      <c r="H925" s="47">
        <f t="shared" ca="1" si="297"/>
        <v>30533.393471370109</v>
      </c>
      <c r="I925">
        <f ca="1">Inputs!B13+(Inputs!D13-Inputs!B13)*BETAINV(RAND(),Model!H7,Model!I7)</f>
        <v>2.037181360803193</v>
      </c>
      <c r="J925">
        <f ca="1">Inputs!E13+(Inputs!G13-Inputs!E13)*BETAINV(RAND(),Model!J7,Model!K7)</f>
        <v>0.36802213406245599</v>
      </c>
      <c r="K925">
        <f ca="1">(Inputs!H13+(Inputs!J13-Inputs!H13)*BETAINV(RAND(),Model!L7,Model!M7))*Inputs!$C$6</f>
        <v>68626.0282475149</v>
      </c>
      <c r="L925">
        <f t="shared" ca="1" si="298"/>
        <v>0.74972783187504921</v>
      </c>
      <c r="M925">
        <f t="shared" ca="1" si="299"/>
        <v>0.93486664245988538</v>
      </c>
      <c r="N925">
        <f t="shared" ca="1" si="300"/>
        <v>2</v>
      </c>
      <c r="O925" s="47">
        <f t="shared" ca="1" si="301"/>
        <v>137252.0564950298</v>
      </c>
      <c r="P925">
        <f ca="1">Inputs!B14+(Inputs!D14-Inputs!B14)*BETAINV(RAND(),Model!H8,Model!I8)</f>
        <v>0.32894189136206575</v>
      </c>
      <c r="Q925">
        <f ca="1">Inputs!E14+(Inputs!G14-Inputs!E14)*BETAINV(RAND(),Model!J8,Model!K8)</f>
        <v>0.7397132643727462</v>
      </c>
      <c r="R925">
        <f ca="1">(Inputs!H14+(Inputs!J14-Inputs!H14)*BETAINV(RAND(),Model!L8,Model!M8))*Inputs!$C$6</f>
        <v>279686.60688045481</v>
      </c>
      <c r="S925">
        <f t="shared" ca="1" si="302"/>
        <v>0.24332268024837891</v>
      </c>
      <c r="T925">
        <f t="shared" ca="1" si="303"/>
        <v>0.85373704064892486</v>
      </c>
      <c r="U925">
        <f t="shared" ca="1" si="304"/>
        <v>1</v>
      </c>
      <c r="V925" s="47">
        <f t="shared" ca="1" si="305"/>
        <v>279686.60688045481</v>
      </c>
      <c r="W925">
        <f ca="1">Inputs!B15+(Inputs!D15-Inputs!B15)*BETAINV(RAND(),Model!H9,Model!I9)</f>
        <v>1.9582633871410295</v>
      </c>
      <c r="X925">
        <f ca="1">Inputs!E15+(Inputs!G15-Inputs!E15)*BETAINV(RAND(),Model!J9,Model!K9)</f>
        <v>0.31435339944499008</v>
      </c>
      <c r="Y925">
        <f ca="1">(Inputs!H15+(Inputs!J15-Inputs!H15)*BETAINV(RAND(),Model!L9,Model!M9))*Inputs!$C$6</f>
        <v>38108.404351955942</v>
      </c>
      <c r="Z925">
        <f t="shared" ca="1" si="306"/>
        <v>0.61558675275644326</v>
      </c>
      <c r="AA925">
        <f t="shared" ca="1" si="307"/>
        <v>0.68749949236681762</v>
      </c>
      <c r="AB925">
        <f t="shared" ca="1" si="308"/>
        <v>1</v>
      </c>
      <c r="AC925" s="47">
        <f t="shared" ca="1" si="309"/>
        <v>38108.404351955942</v>
      </c>
      <c r="AD925">
        <f ca="1">Inputs!B16+(Inputs!D16-Inputs!B16)*BETAINV(RAND(),Model!H10,Model!I10)</f>
        <v>0.39735962619540621</v>
      </c>
      <c r="AE925">
        <f ca="1">Inputs!E16+(Inputs!G16-Inputs!E16)*BETAINV(RAND(),Model!J10,Model!K10)</f>
        <v>0.67556521344704801</v>
      </c>
      <c r="AF925">
        <f ca="1">(Inputs!H16+(Inputs!J16-Inputs!H16)*BETAINV(RAND(),Model!L10,Model!M10))*Inputs!$C$6</f>
        <v>81356.047352309994</v>
      </c>
      <c r="AG925">
        <f t="shared" ca="1" si="310"/>
        <v>0.26844234068593881</v>
      </c>
      <c r="AH925">
        <f t="shared" ca="1" si="311"/>
        <v>0.55516541717653567</v>
      </c>
      <c r="AI925">
        <f t="shared" ca="1" si="312"/>
        <v>0</v>
      </c>
      <c r="AJ925" s="47">
        <f t="shared" ca="1" si="313"/>
        <v>0</v>
      </c>
      <c r="AK925">
        <f t="shared" ca="1" si="314"/>
        <v>485580.46119881066</v>
      </c>
    </row>
    <row r="926" spans="2:37" x14ac:dyDescent="0.2">
      <c r="B926">
        <f ca="1">Inputs!B12+(Inputs!D12-Inputs!B12)*BETAINV(RAND(),Model!H6,Model!I6)</f>
        <v>3.6805337439804062</v>
      </c>
      <c r="C926">
        <f ca="1">Inputs!E12+(Inputs!G12-Inputs!E12)*BETAINV(RAND(),Model!J6,Model!K6)</f>
        <v>0.3876865655797066</v>
      </c>
      <c r="D926">
        <f ca="1">(Inputs!H12+(Inputs!J12-Inputs!H12)*BETAINV(RAND(),Model!L6,Model!M6))*Inputs!$C$6</f>
        <v>16554.497844177935</v>
      </c>
      <c r="E926">
        <f t="shared" ca="1" si="294"/>
        <v>1.4268934867039829</v>
      </c>
      <c r="F926">
        <f t="shared" ca="1" si="295"/>
        <v>0.33427385275144206</v>
      </c>
      <c r="G926">
        <f t="shared" ca="1" si="296"/>
        <v>1</v>
      </c>
      <c r="H926" s="47">
        <f t="shared" ca="1" si="297"/>
        <v>16554.497844177935</v>
      </c>
      <c r="I926">
        <f ca="1">Inputs!B13+(Inputs!D13-Inputs!B13)*BETAINV(RAND(),Model!H7,Model!I7)</f>
        <v>1.3087821579641934</v>
      </c>
      <c r="J926">
        <f ca="1">Inputs!E13+(Inputs!G13-Inputs!E13)*BETAINV(RAND(),Model!J7,Model!K7)</f>
        <v>0.33378112646653701</v>
      </c>
      <c r="K926">
        <f ca="1">(Inputs!H13+(Inputs!J13-Inputs!H13)*BETAINV(RAND(),Model!L7,Model!M7))*Inputs!$C$6</f>
        <v>61418.401924762322</v>
      </c>
      <c r="L926">
        <f t="shared" ca="1" si="298"/>
        <v>0.43684678298459367</v>
      </c>
      <c r="M926">
        <f t="shared" ca="1" si="299"/>
        <v>0.59815161687470886</v>
      </c>
      <c r="N926">
        <f t="shared" ca="1" si="300"/>
        <v>0</v>
      </c>
      <c r="O926" s="47">
        <f t="shared" ca="1" si="301"/>
        <v>0</v>
      </c>
      <c r="P926">
        <f ca="1">Inputs!B14+(Inputs!D14-Inputs!B14)*BETAINV(RAND(),Model!H8,Model!I8)</f>
        <v>0.57700217186010938</v>
      </c>
      <c r="Q926">
        <f ca="1">Inputs!E14+(Inputs!G14-Inputs!E14)*BETAINV(RAND(),Model!J8,Model!K8)</f>
        <v>0.75739696810340773</v>
      </c>
      <c r="R926">
        <f ca="1">(Inputs!H14+(Inputs!J14-Inputs!H14)*BETAINV(RAND(),Model!L8,Model!M8))*Inputs!$C$6</f>
        <v>377838.89635401958</v>
      </c>
      <c r="S926">
        <f t="shared" ca="1" si="302"/>
        <v>0.43701969555592823</v>
      </c>
      <c r="T926">
        <f t="shared" ca="1" si="303"/>
        <v>0.91342516271206065</v>
      </c>
      <c r="U926">
        <f t="shared" ca="1" si="304"/>
        <v>1</v>
      </c>
      <c r="V926" s="47">
        <f t="shared" ca="1" si="305"/>
        <v>377838.89635401958</v>
      </c>
      <c r="W926">
        <f ca="1">Inputs!B15+(Inputs!D15-Inputs!B15)*BETAINV(RAND(),Model!H9,Model!I9)</f>
        <v>1.7849307614091954</v>
      </c>
      <c r="X926">
        <f ca="1">Inputs!E15+(Inputs!G15-Inputs!E15)*BETAINV(RAND(),Model!J9,Model!K9)</f>
        <v>0.32822073331792473</v>
      </c>
      <c r="Y926">
        <f ca="1">(Inputs!H15+(Inputs!J15-Inputs!H15)*BETAINV(RAND(),Model!L9,Model!M9))*Inputs!$C$6</f>
        <v>36932.757343443882</v>
      </c>
      <c r="Z926">
        <f t="shared" ca="1" si="306"/>
        <v>0.58585128343144788</v>
      </c>
      <c r="AA926">
        <f t="shared" ca="1" si="307"/>
        <v>0.25876712302765581</v>
      </c>
      <c r="AB926">
        <f t="shared" ca="1" si="308"/>
        <v>0</v>
      </c>
      <c r="AC926" s="47">
        <f t="shared" ca="1" si="309"/>
        <v>0</v>
      </c>
      <c r="AD926">
        <f ca="1">Inputs!B16+(Inputs!D16-Inputs!B16)*BETAINV(RAND(),Model!H10,Model!I10)</f>
        <v>1.2910445833477626</v>
      </c>
      <c r="AE926">
        <f ca="1">Inputs!E16+(Inputs!G16-Inputs!E16)*BETAINV(RAND(),Model!J10,Model!K10)</f>
        <v>0.59647572545360006</v>
      </c>
      <c r="AF926">
        <f ca="1">(Inputs!H16+(Inputs!J16-Inputs!H16)*BETAINV(RAND(),Model!L10,Model!M10))*Inputs!$C$6</f>
        <v>129158.09369774409</v>
      </c>
      <c r="AG926">
        <f t="shared" ca="1" si="310"/>
        <v>0.77007675444529755</v>
      </c>
      <c r="AH926">
        <f t="shared" ca="1" si="311"/>
        <v>0.27633395514443726</v>
      </c>
      <c r="AI926">
        <f t="shared" ca="1" si="312"/>
        <v>0</v>
      </c>
      <c r="AJ926" s="47">
        <f t="shared" ca="1" si="313"/>
        <v>0</v>
      </c>
      <c r="AK926">
        <f t="shared" ca="1" si="314"/>
        <v>394393.39419819752</v>
      </c>
    </row>
    <row r="927" spans="2:37" x14ac:dyDescent="0.2">
      <c r="B927">
        <f ca="1">Inputs!B12+(Inputs!D12-Inputs!B12)*BETAINV(RAND(),Model!H6,Model!I6)</f>
        <v>4.2697217440062678</v>
      </c>
      <c r="C927">
        <f ca="1">Inputs!E12+(Inputs!G12-Inputs!E12)*BETAINV(RAND(),Model!J6,Model!K6)</f>
        <v>0.22769336441219132</v>
      </c>
      <c r="D927">
        <f ca="1">(Inputs!H12+(Inputs!J12-Inputs!H12)*BETAINV(RAND(),Model!L6,Model!M6))*Inputs!$C$6</f>
        <v>13552.945086394238</v>
      </c>
      <c r="E927">
        <f t="shared" ca="1" si="294"/>
        <v>0.97218730899667616</v>
      </c>
      <c r="F927">
        <f t="shared" ca="1" si="295"/>
        <v>0.68047641838649864</v>
      </c>
      <c r="G927">
        <f t="shared" ca="1" si="296"/>
        <v>1</v>
      </c>
      <c r="H927" s="47">
        <f t="shared" ca="1" si="297"/>
        <v>13552.945086394238</v>
      </c>
      <c r="I927">
        <f ca="1">Inputs!B13+(Inputs!D13-Inputs!B13)*BETAINV(RAND(),Model!H7,Model!I7)</f>
        <v>1.6407657704872274</v>
      </c>
      <c r="J927">
        <f ca="1">Inputs!E13+(Inputs!G13-Inputs!E13)*BETAINV(RAND(),Model!J7,Model!K7)</f>
        <v>0.14704687660560495</v>
      </c>
      <c r="K927">
        <f ca="1">(Inputs!H13+(Inputs!J13-Inputs!H13)*BETAINV(RAND(),Model!L7,Model!M7))*Inputs!$C$6</f>
        <v>19566.689957216891</v>
      </c>
      <c r="L927">
        <f t="shared" ca="1" si="298"/>
        <v>0.24126948179153565</v>
      </c>
      <c r="M927">
        <f t="shared" ca="1" si="299"/>
        <v>0.54733234238263995</v>
      </c>
      <c r="N927">
        <f t="shared" ca="1" si="300"/>
        <v>0</v>
      </c>
      <c r="O927" s="47">
        <f t="shared" ca="1" si="301"/>
        <v>0</v>
      </c>
      <c r="P927">
        <f ca="1">Inputs!B14+(Inputs!D14-Inputs!B14)*BETAINV(RAND(),Model!H8,Model!I8)</f>
        <v>0.38382313788160249</v>
      </c>
      <c r="Q927">
        <f ca="1">Inputs!E14+(Inputs!G14-Inputs!E14)*BETAINV(RAND(),Model!J8,Model!K8)</f>
        <v>0.70659971641839103</v>
      </c>
      <c r="R927">
        <f ca="1">(Inputs!H14+(Inputs!J14-Inputs!H14)*BETAINV(RAND(),Model!L8,Model!M8))*Inputs!$C$6</f>
        <v>471295.97706561501</v>
      </c>
      <c r="S927">
        <f t="shared" ca="1" si="302"/>
        <v>0.27120932038195733</v>
      </c>
      <c r="T927">
        <f t="shared" ca="1" si="303"/>
        <v>0.9844001462379347</v>
      </c>
      <c r="U927">
        <f t="shared" ca="1" si="304"/>
        <v>2</v>
      </c>
      <c r="V927" s="47">
        <f t="shared" ca="1" si="305"/>
        <v>942591.95413123001</v>
      </c>
      <c r="W927">
        <f ca="1">Inputs!B15+(Inputs!D15-Inputs!B15)*BETAINV(RAND(),Model!H9,Model!I9)</f>
        <v>0.49841714694138922</v>
      </c>
      <c r="X927">
        <f ca="1">Inputs!E15+(Inputs!G15-Inputs!E15)*BETAINV(RAND(),Model!J9,Model!K9)</f>
        <v>0.36785713532024655</v>
      </c>
      <c r="Y927">
        <f ca="1">(Inputs!H15+(Inputs!J15-Inputs!H15)*BETAINV(RAND(),Model!L9,Model!M9))*Inputs!$C$6</f>
        <v>30267.460498226672</v>
      </c>
      <c r="Z927">
        <f t="shared" ca="1" si="306"/>
        <v>0.18334630386834982</v>
      </c>
      <c r="AA927">
        <f t="shared" ca="1" si="307"/>
        <v>0.5410748151227297</v>
      </c>
      <c r="AB927">
        <f t="shared" ca="1" si="308"/>
        <v>0</v>
      </c>
      <c r="AC927" s="47">
        <f t="shared" ca="1" si="309"/>
        <v>0</v>
      </c>
      <c r="AD927">
        <f ca="1">Inputs!B16+(Inputs!D16-Inputs!B16)*BETAINV(RAND(),Model!H10,Model!I10)</f>
        <v>0.53391547875904877</v>
      </c>
      <c r="AE927">
        <f ca="1">Inputs!E16+(Inputs!G16-Inputs!E16)*BETAINV(RAND(),Model!J10,Model!K10)</f>
        <v>0.61519020400791391</v>
      </c>
      <c r="AF927">
        <f ca="1">(Inputs!H16+(Inputs!J16-Inputs!H16)*BETAINV(RAND(),Model!L10,Model!M10))*Inputs!$C$6</f>
        <v>98490.957754861331</v>
      </c>
      <c r="AG927">
        <f t="shared" ca="1" si="310"/>
        <v>0.32845957230076223</v>
      </c>
      <c r="AH927">
        <f t="shared" ca="1" si="311"/>
        <v>0.63831699576886758</v>
      </c>
      <c r="AI927">
        <f t="shared" ca="1" si="312"/>
        <v>0</v>
      </c>
      <c r="AJ927" s="47">
        <f t="shared" ca="1" si="313"/>
        <v>0</v>
      </c>
      <c r="AK927">
        <f t="shared" ca="1" si="314"/>
        <v>956144.89921762422</v>
      </c>
    </row>
    <row r="928" spans="2:37" x14ac:dyDescent="0.2">
      <c r="B928">
        <f ca="1">Inputs!B12+(Inputs!D12-Inputs!B12)*BETAINV(RAND(),Model!H6,Model!I6)</f>
        <v>3.8410251907257136</v>
      </c>
      <c r="C928">
        <f ca="1">Inputs!E12+(Inputs!G12-Inputs!E12)*BETAINV(RAND(),Model!J6,Model!K6)</f>
        <v>0.28729957323382493</v>
      </c>
      <c r="D928">
        <f ca="1">(Inputs!H12+(Inputs!J12-Inputs!H12)*BETAINV(RAND(),Model!L6,Model!M6))*Inputs!$C$6</f>
        <v>29066.543344418358</v>
      </c>
      <c r="E928">
        <f t="shared" ca="1" si="294"/>
        <v>1.1035248980758685</v>
      </c>
      <c r="F928">
        <f t="shared" ca="1" si="295"/>
        <v>0.8977139125661977</v>
      </c>
      <c r="G928">
        <f t="shared" ca="1" si="296"/>
        <v>2</v>
      </c>
      <c r="H928" s="47">
        <f t="shared" ca="1" si="297"/>
        <v>58133.086688836716</v>
      </c>
      <c r="I928">
        <f ca="1">Inputs!B13+(Inputs!D13-Inputs!B13)*BETAINV(RAND(),Model!H7,Model!I7)</f>
        <v>2.090697528595526</v>
      </c>
      <c r="J928">
        <f ca="1">Inputs!E13+(Inputs!G13-Inputs!E13)*BETAINV(RAND(),Model!J7,Model!K7)</f>
        <v>0.24658125353347671</v>
      </c>
      <c r="K928">
        <f ca="1">(Inputs!H13+(Inputs!J13-Inputs!H13)*BETAINV(RAND(),Model!L7,Model!M7))*Inputs!$C$6</f>
        <v>21783.961964182326</v>
      </c>
      <c r="L928">
        <f t="shared" ca="1" si="298"/>
        <v>0.5155268173604266</v>
      </c>
      <c r="M928">
        <f t="shared" ca="1" si="299"/>
        <v>0.15170374705479861</v>
      </c>
      <c r="N928">
        <f t="shared" ca="1" si="300"/>
        <v>0</v>
      </c>
      <c r="O928" s="47">
        <f t="shared" ca="1" si="301"/>
        <v>0</v>
      </c>
      <c r="P928">
        <f ca="1">Inputs!B14+(Inputs!D14-Inputs!B14)*BETAINV(RAND(),Model!H8,Model!I8)</f>
        <v>0.26111551007965406</v>
      </c>
      <c r="Q928">
        <f ca="1">Inputs!E14+(Inputs!G14-Inputs!E14)*BETAINV(RAND(),Model!J8,Model!K8)</f>
        <v>0.59328821063183068</v>
      </c>
      <c r="R928">
        <f ca="1">(Inputs!H14+(Inputs!J14-Inputs!H14)*BETAINV(RAND(),Model!L8,Model!M8))*Inputs!$C$6</f>
        <v>356747.84896851348</v>
      </c>
      <c r="S928">
        <f t="shared" ca="1" si="302"/>
        <v>0.15491675374337571</v>
      </c>
      <c r="T928">
        <f t="shared" ca="1" si="303"/>
        <v>0.85165088480270723</v>
      </c>
      <c r="U928">
        <f t="shared" ca="1" si="304"/>
        <v>0</v>
      </c>
      <c r="V928" s="47">
        <f t="shared" ca="1" si="305"/>
        <v>0</v>
      </c>
      <c r="W928">
        <f ca="1">Inputs!B15+(Inputs!D15-Inputs!B15)*BETAINV(RAND(),Model!H9,Model!I9)</f>
        <v>1.1176364337849565</v>
      </c>
      <c r="X928">
        <f ca="1">Inputs!E15+(Inputs!G15-Inputs!E15)*BETAINV(RAND(),Model!J9,Model!K9)</f>
        <v>0.40966200832485777</v>
      </c>
      <c r="Y928">
        <f ca="1">(Inputs!H15+(Inputs!J15-Inputs!H15)*BETAINV(RAND(),Model!L9,Model!M9))*Inputs!$C$6</f>
        <v>16026.306853429247</v>
      </c>
      <c r="Z928">
        <f t="shared" ca="1" si="306"/>
        <v>0.4578531860413772</v>
      </c>
      <c r="AA928">
        <f t="shared" ca="1" si="307"/>
        <v>0.42114334367947204</v>
      </c>
      <c r="AB928">
        <f t="shared" ca="1" si="308"/>
        <v>0</v>
      </c>
      <c r="AC928" s="47">
        <f t="shared" ca="1" si="309"/>
        <v>0</v>
      </c>
      <c r="AD928">
        <f ca="1">Inputs!B16+(Inputs!D16-Inputs!B16)*BETAINV(RAND(),Model!H10,Model!I10)</f>
        <v>0.76585766862481464</v>
      </c>
      <c r="AE928">
        <f ca="1">Inputs!E16+(Inputs!G16-Inputs!E16)*BETAINV(RAND(),Model!J10,Model!K10)</f>
        <v>0.640456581935404</v>
      </c>
      <c r="AF928">
        <f ca="1">(Inputs!H16+(Inputs!J16-Inputs!H16)*BETAINV(RAND(),Model!L10,Model!M10))*Inputs!$C$6</f>
        <v>93491.810575754585</v>
      </c>
      <c r="AG928">
        <f t="shared" ca="1" si="310"/>
        <v>0.49049858469646607</v>
      </c>
      <c r="AH928">
        <f t="shared" ca="1" si="311"/>
        <v>0.93356875095709169</v>
      </c>
      <c r="AI928">
        <f t="shared" ca="1" si="312"/>
        <v>2</v>
      </c>
      <c r="AJ928" s="47">
        <f t="shared" ca="1" si="313"/>
        <v>186983.62115150917</v>
      </c>
      <c r="AK928">
        <f t="shared" ca="1" si="314"/>
        <v>245116.70784034589</v>
      </c>
    </row>
    <row r="929" spans="2:37" x14ac:dyDescent="0.2">
      <c r="B929">
        <f ca="1">Inputs!B12+(Inputs!D12-Inputs!B12)*BETAINV(RAND(),Model!H6,Model!I6)</f>
        <v>6.1572537025973251</v>
      </c>
      <c r="C929">
        <f ca="1">Inputs!E12+(Inputs!G12-Inputs!E12)*BETAINV(RAND(),Model!J6,Model!K6)</f>
        <v>0.33086520960911364</v>
      </c>
      <c r="D929">
        <f ca="1">(Inputs!H12+(Inputs!J12-Inputs!H12)*BETAINV(RAND(),Model!L6,Model!M6))*Inputs!$C$6</f>
        <v>29809.670000999376</v>
      </c>
      <c r="E929">
        <f t="shared" ca="1" si="294"/>
        <v>2.037221036926355</v>
      </c>
      <c r="F929">
        <f t="shared" ca="1" si="295"/>
        <v>2.4582336322163112E-3</v>
      </c>
      <c r="G929">
        <f t="shared" ca="1" si="296"/>
        <v>0</v>
      </c>
      <c r="H929" s="47">
        <f t="shared" ca="1" si="297"/>
        <v>0</v>
      </c>
      <c r="I929">
        <f ca="1">Inputs!B13+(Inputs!D13-Inputs!B13)*BETAINV(RAND(),Model!H7,Model!I7)</f>
        <v>1.9950644836459175</v>
      </c>
      <c r="J929">
        <f ca="1">Inputs!E13+(Inputs!G13-Inputs!E13)*BETAINV(RAND(),Model!J7,Model!K7)</f>
        <v>0.28234062622339695</v>
      </c>
      <c r="K929">
        <f ca="1">(Inputs!H13+(Inputs!J13-Inputs!H13)*BETAINV(RAND(),Model!L7,Model!M7))*Inputs!$C$6</f>
        <v>22448.200317276678</v>
      </c>
      <c r="L929">
        <f t="shared" ca="1" si="298"/>
        <v>0.56328775566864642</v>
      </c>
      <c r="M929">
        <f t="shared" ca="1" si="299"/>
        <v>1.528788627972022E-2</v>
      </c>
      <c r="N929">
        <f t="shared" ca="1" si="300"/>
        <v>0</v>
      </c>
      <c r="O929" s="47">
        <f t="shared" ca="1" si="301"/>
        <v>0</v>
      </c>
      <c r="P929">
        <f ca="1">Inputs!B14+(Inputs!D14-Inputs!B14)*BETAINV(RAND(),Model!H8,Model!I8)</f>
        <v>0.15523900303291557</v>
      </c>
      <c r="Q929">
        <f ca="1">Inputs!E14+(Inputs!G14-Inputs!E14)*BETAINV(RAND(),Model!J8,Model!K8)</f>
        <v>0.59782671031066337</v>
      </c>
      <c r="R929">
        <f ca="1">(Inputs!H14+(Inputs!J14-Inputs!H14)*BETAINV(RAND(),Model!L8,Model!M8))*Inputs!$C$6</f>
        <v>464431.55409957707</v>
      </c>
      <c r="S929">
        <f t="shared" ca="1" si="302"/>
        <v>9.2806022495075011E-2</v>
      </c>
      <c r="T929">
        <f t="shared" ca="1" si="303"/>
        <v>0.90985310892377724</v>
      </c>
      <c r="U929">
        <f t="shared" ca="1" si="304"/>
        <v>0</v>
      </c>
      <c r="V929" s="47">
        <f t="shared" ca="1" si="305"/>
        <v>0</v>
      </c>
      <c r="W929">
        <f ca="1">Inputs!B15+(Inputs!D15-Inputs!B15)*BETAINV(RAND(),Model!H9,Model!I9)</f>
        <v>1.1561652321723606</v>
      </c>
      <c r="X929">
        <f ca="1">Inputs!E15+(Inputs!G15-Inputs!E15)*BETAINV(RAND(),Model!J9,Model!K9)</f>
        <v>0.36969935632775397</v>
      </c>
      <c r="Y929">
        <f ca="1">(Inputs!H15+(Inputs!J15-Inputs!H15)*BETAINV(RAND(),Model!L9,Model!M9))*Inputs!$C$6</f>
        <v>33804.268998470907</v>
      </c>
      <c r="Z929">
        <f t="shared" ca="1" si="306"/>
        <v>0.42743354214264995</v>
      </c>
      <c r="AA929">
        <f t="shared" ca="1" si="307"/>
        <v>8.1934574381020697E-2</v>
      </c>
      <c r="AB929">
        <f t="shared" ca="1" si="308"/>
        <v>0</v>
      </c>
      <c r="AC929" s="47">
        <f t="shared" ca="1" si="309"/>
        <v>0</v>
      </c>
      <c r="AD929">
        <f ca="1">Inputs!B16+(Inputs!D16-Inputs!B16)*BETAINV(RAND(),Model!H10,Model!I10)</f>
        <v>0.41057374664286672</v>
      </c>
      <c r="AE929">
        <f ca="1">Inputs!E16+(Inputs!G16-Inputs!E16)*BETAINV(RAND(),Model!J10,Model!K10)</f>
        <v>0.75048577162317509</v>
      </c>
      <c r="AF929">
        <f ca="1">(Inputs!H16+(Inputs!J16-Inputs!H16)*BETAINV(RAND(),Model!L10,Model!M10))*Inputs!$C$6</f>
        <v>60663.811510307758</v>
      </c>
      <c r="AG929">
        <f t="shared" ca="1" si="310"/>
        <v>0.30812975505748985</v>
      </c>
      <c r="AH929">
        <f t="shared" ca="1" si="311"/>
        <v>3.8810330388249215E-3</v>
      </c>
      <c r="AI929">
        <f t="shared" ca="1" si="312"/>
        <v>0</v>
      </c>
      <c r="AJ929" s="47">
        <f t="shared" ca="1" si="313"/>
        <v>0</v>
      </c>
      <c r="AK929">
        <f t="shared" ca="1" si="314"/>
        <v>0</v>
      </c>
    </row>
    <row r="930" spans="2:37" x14ac:dyDescent="0.2">
      <c r="B930">
        <f ca="1">Inputs!B12+(Inputs!D12-Inputs!B12)*BETAINV(RAND(),Model!H6,Model!I6)</f>
        <v>2.9149929725668202</v>
      </c>
      <c r="C930">
        <f ca="1">Inputs!E12+(Inputs!G12-Inputs!E12)*BETAINV(RAND(),Model!J6,Model!K6)</f>
        <v>0.47260708605872703</v>
      </c>
      <c r="D930">
        <f ca="1">(Inputs!H12+(Inputs!J12-Inputs!H12)*BETAINV(RAND(),Model!L6,Model!M6))*Inputs!$C$6</f>
        <v>22253.944122287903</v>
      </c>
      <c r="E930">
        <f t="shared" ca="1" si="294"/>
        <v>1.3776463346464718</v>
      </c>
      <c r="F930">
        <f t="shared" ca="1" si="295"/>
        <v>0.2847435482310865</v>
      </c>
      <c r="G930">
        <f t="shared" ca="1" si="296"/>
        <v>1</v>
      </c>
      <c r="H930" s="47">
        <f t="shared" ca="1" si="297"/>
        <v>22253.944122287903</v>
      </c>
      <c r="I930">
        <f ca="1">Inputs!B13+(Inputs!D13-Inputs!B13)*BETAINV(RAND(),Model!H7,Model!I7)</f>
        <v>2.2126921982806991</v>
      </c>
      <c r="J930">
        <f ca="1">Inputs!E13+(Inputs!G13-Inputs!E13)*BETAINV(RAND(),Model!J7,Model!K7)</f>
        <v>0.12913152996315441</v>
      </c>
      <c r="K930">
        <f ca="1">(Inputs!H13+(Inputs!J13-Inputs!H13)*BETAINV(RAND(),Model!L7,Model!M7))*Inputs!$C$6</f>
        <v>17016.045561628685</v>
      </c>
      <c r="L930">
        <f t="shared" ca="1" si="298"/>
        <v>0.28572832890152211</v>
      </c>
      <c r="M930">
        <f t="shared" ca="1" si="299"/>
        <v>0.9907920513532199</v>
      </c>
      <c r="N930">
        <f t="shared" ca="1" si="300"/>
        <v>2</v>
      </c>
      <c r="O930" s="47">
        <f t="shared" ca="1" si="301"/>
        <v>34032.091123257371</v>
      </c>
      <c r="P930">
        <f ca="1">Inputs!B14+(Inputs!D14-Inputs!B14)*BETAINV(RAND(),Model!H8,Model!I8)</f>
        <v>0.17682627559342773</v>
      </c>
      <c r="Q930">
        <f ca="1">Inputs!E14+(Inputs!G14-Inputs!E14)*BETAINV(RAND(),Model!J8,Model!K8)</f>
        <v>0.71804266751542134</v>
      </c>
      <c r="R930">
        <f ca="1">(Inputs!H14+(Inputs!J14-Inputs!H14)*BETAINV(RAND(),Model!L8,Model!M8))*Inputs!$C$6</f>
        <v>336111.02223424945</v>
      </c>
      <c r="S930">
        <f t="shared" ca="1" si="302"/>
        <v>0.1269688106139219</v>
      </c>
      <c r="T930">
        <f t="shared" ca="1" si="303"/>
        <v>0.59053580821679685</v>
      </c>
      <c r="U930">
        <f t="shared" ca="1" si="304"/>
        <v>0</v>
      </c>
      <c r="V930" s="47">
        <f t="shared" ca="1" si="305"/>
        <v>0</v>
      </c>
      <c r="W930">
        <f ca="1">Inputs!B15+(Inputs!D15-Inputs!B15)*BETAINV(RAND(),Model!H9,Model!I9)</f>
        <v>1.8714088117248666</v>
      </c>
      <c r="X930">
        <f ca="1">Inputs!E15+(Inputs!G15-Inputs!E15)*BETAINV(RAND(),Model!J9,Model!K9)</f>
        <v>0.31014310116243748</v>
      </c>
      <c r="Y930">
        <f ca="1">(Inputs!H15+(Inputs!J15-Inputs!H15)*BETAINV(RAND(),Model!L9,Model!M9))*Inputs!$C$6</f>
        <v>31829.133909128272</v>
      </c>
      <c r="Z930">
        <f t="shared" ca="1" si="306"/>
        <v>0.58040453241106227</v>
      </c>
      <c r="AA930">
        <f t="shared" ca="1" si="307"/>
        <v>0.97403693366539357</v>
      </c>
      <c r="AB930">
        <f t="shared" ca="1" si="308"/>
        <v>2</v>
      </c>
      <c r="AC930" s="47">
        <f t="shared" ca="1" si="309"/>
        <v>63658.267818256543</v>
      </c>
      <c r="AD930">
        <f ca="1">Inputs!B16+(Inputs!D16-Inputs!B16)*BETAINV(RAND(),Model!H10,Model!I10)</f>
        <v>0.36840725772710881</v>
      </c>
      <c r="AE930">
        <f ca="1">Inputs!E16+(Inputs!G16-Inputs!E16)*BETAINV(RAND(),Model!J10,Model!K10)</f>
        <v>0.61865977812901596</v>
      </c>
      <c r="AF930">
        <f ca="1">(Inputs!H16+(Inputs!J16-Inputs!H16)*BETAINV(RAND(),Model!L10,Model!M10))*Inputs!$C$6</f>
        <v>127662.2597405571</v>
      </c>
      <c r="AG930">
        <f t="shared" ca="1" si="310"/>
        <v>0.22791875232657233</v>
      </c>
      <c r="AH930">
        <f t="shared" ca="1" si="311"/>
        <v>0.59371746758023236</v>
      </c>
      <c r="AI930">
        <f t="shared" ca="1" si="312"/>
        <v>0</v>
      </c>
      <c r="AJ930" s="47">
        <f t="shared" ca="1" si="313"/>
        <v>0</v>
      </c>
      <c r="AK930">
        <f t="shared" ca="1" si="314"/>
        <v>119944.30306380181</v>
      </c>
    </row>
    <row r="931" spans="2:37" x14ac:dyDescent="0.2">
      <c r="B931">
        <f ca="1">Inputs!B12+(Inputs!D12-Inputs!B12)*BETAINV(RAND(),Model!H6,Model!I6)</f>
        <v>4.1278775535995624</v>
      </c>
      <c r="C931">
        <f ca="1">Inputs!E12+(Inputs!G12-Inputs!E12)*BETAINV(RAND(),Model!J6,Model!K6)</f>
        <v>0.21823125623967693</v>
      </c>
      <c r="D931">
        <f ca="1">(Inputs!H12+(Inputs!J12-Inputs!H12)*BETAINV(RAND(),Model!L6,Model!M6))*Inputs!$C$6</f>
        <v>42508.202157263833</v>
      </c>
      <c r="E931">
        <f t="shared" ca="1" si="294"/>
        <v>0.90083190412559688</v>
      </c>
      <c r="F931">
        <f t="shared" ca="1" si="295"/>
        <v>0.88346938181068269</v>
      </c>
      <c r="G931">
        <f t="shared" ca="1" si="296"/>
        <v>2</v>
      </c>
      <c r="H931" s="47">
        <f t="shared" ca="1" si="297"/>
        <v>85016.404314527666</v>
      </c>
      <c r="I931">
        <f ca="1">Inputs!B13+(Inputs!D13-Inputs!B13)*BETAINV(RAND(),Model!H7,Model!I7)</f>
        <v>1.1587550016881134</v>
      </c>
      <c r="J931">
        <f ca="1">Inputs!E13+(Inputs!G13-Inputs!E13)*BETAINV(RAND(),Model!J7,Model!K7)</f>
        <v>0.31573760198772349</v>
      </c>
      <c r="K931">
        <f ca="1">(Inputs!H13+(Inputs!J13-Inputs!H13)*BETAINV(RAND(),Model!L7,Model!M7))*Inputs!$C$6</f>
        <v>25830.36460371015</v>
      </c>
      <c r="L931">
        <f t="shared" ca="1" si="298"/>
        <v>0.36586252552428544</v>
      </c>
      <c r="M931">
        <f t="shared" ca="1" si="299"/>
        <v>0.65972338109540729</v>
      </c>
      <c r="N931">
        <f t="shared" ca="1" si="300"/>
        <v>0</v>
      </c>
      <c r="O931" s="47">
        <f t="shared" ca="1" si="301"/>
        <v>0</v>
      </c>
      <c r="P931">
        <f ca="1">Inputs!B14+(Inputs!D14-Inputs!B14)*BETAINV(RAND(),Model!H8,Model!I8)</f>
        <v>0.16400690931881065</v>
      </c>
      <c r="Q931">
        <f ca="1">Inputs!E14+(Inputs!G14-Inputs!E14)*BETAINV(RAND(),Model!J8,Model!K8)</f>
        <v>0.68342614355812492</v>
      </c>
      <c r="R931">
        <f ca="1">(Inputs!H14+(Inputs!J14-Inputs!H14)*BETAINV(RAND(),Model!L8,Model!M8))*Inputs!$C$6</f>
        <v>439976.5559498099</v>
      </c>
      <c r="S931">
        <f t="shared" ca="1" si="302"/>
        <v>0.11208660955264187</v>
      </c>
      <c r="T931">
        <f t="shared" ca="1" si="303"/>
        <v>0.95887962453761943</v>
      </c>
      <c r="U931">
        <f t="shared" ca="1" si="304"/>
        <v>1</v>
      </c>
      <c r="V931" s="47">
        <f t="shared" ca="1" si="305"/>
        <v>439976.5559498099</v>
      </c>
      <c r="W931">
        <f ca="1">Inputs!B15+(Inputs!D15-Inputs!B15)*BETAINV(RAND(),Model!H9,Model!I9)</f>
        <v>1.1884010014546069</v>
      </c>
      <c r="X931">
        <f ca="1">Inputs!E15+(Inputs!G15-Inputs!E15)*BETAINV(RAND(),Model!J9,Model!K9)</f>
        <v>0.55164751207302531</v>
      </c>
      <c r="Y931">
        <f ca="1">(Inputs!H15+(Inputs!J15-Inputs!H15)*BETAINV(RAND(),Model!L9,Model!M9))*Inputs!$C$6</f>
        <v>56095.283166659246</v>
      </c>
      <c r="Z931">
        <f t="shared" ca="1" si="306"/>
        <v>0.65557845579752561</v>
      </c>
      <c r="AA931">
        <f t="shared" ca="1" si="307"/>
        <v>0.66899450295712926</v>
      </c>
      <c r="AB931">
        <f t="shared" ca="1" si="308"/>
        <v>1</v>
      </c>
      <c r="AC931" s="47">
        <f t="shared" ca="1" si="309"/>
        <v>56095.283166659246</v>
      </c>
      <c r="AD931">
        <f ca="1">Inputs!B16+(Inputs!D16-Inputs!B16)*BETAINV(RAND(),Model!H10,Model!I10)</f>
        <v>0.55874996770760688</v>
      </c>
      <c r="AE931">
        <f ca="1">Inputs!E16+(Inputs!G16-Inputs!E16)*BETAINV(RAND(),Model!J10,Model!K10)</f>
        <v>0.50758118778913341</v>
      </c>
      <c r="AF931">
        <f ca="1">(Inputs!H16+(Inputs!J16-Inputs!H16)*BETAINV(RAND(),Model!L10,Model!M10))*Inputs!$C$6</f>
        <v>139964.8305138672</v>
      </c>
      <c r="AG931">
        <f t="shared" ca="1" si="310"/>
        <v>0.28361097228616705</v>
      </c>
      <c r="AH931">
        <f t="shared" ca="1" si="311"/>
        <v>0.22913171257249321</v>
      </c>
      <c r="AI931">
        <f t="shared" ca="1" si="312"/>
        <v>0</v>
      </c>
      <c r="AJ931" s="47">
        <f t="shared" ca="1" si="313"/>
        <v>0</v>
      </c>
      <c r="AK931">
        <f t="shared" ca="1" si="314"/>
        <v>581088.2434309969</v>
      </c>
    </row>
    <row r="932" spans="2:37" x14ac:dyDescent="0.2">
      <c r="B932">
        <f ca="1">Inputs!B12+(Inputs!D12-Inputs!B12)*BETAINV(RAND(),Model!H6,Model!I6)</f>
        <v>4.8070164098176384</v>
      </c>
      <c r="C932">
        <f ca="1">Inputs!E12+(Inputs!G12-Inputs!E12)*BETAINV(RAND(),Model!J6,Model!K6)</f>
        <v>0.27390566180367026</v>
      </c>
      <c r="D932">
        <f ca="1">(Inputs!H12+(Inputs!J12-Inputs!H12)*BETAINV(RAND(),Model!L6,Model!M6))*Inputs!$C$6</f>
        <v>40249.51683602803</v>
      </c>
      <c r="E932">
        <f t="shared" ca="1" si="294"/>
        <v>1.3166690110322032</v>
      </c>
      <c r="F932">
        <f t="shared" ca="1" si="295"/>
        <v>0.69753985513264638</v>
      </c>
      <c r="G932">
        <f t="shared" ca="1" si="296"/>
        <v>2</v>
      </c>
      <c r="H932" s="47">
        <f t="shared" ca="1" si="297"/>
        <v>80499.033672056059</v>
      </c>
      <c r="I932">
        <f ca="1">Inputs!B13+(Inputs!D13-Inputs!B13)*BETAINV(RAND(),Model!H7,Model!I7)</f>
        <v>4.519150476003726</v>
      </c>
      <c r="J932">
        <f ca="1">Inputs!E13+(Inputs!G13-Inputs!E13)*BETAINV(RAND(),Model!J7,Model!K7)</f>
        <v>0.30349289275791991</v>
      </c>
      <c r="K932">
        <f ca="1">(Inputs!H13+(Inputs!J13-Inputs!H13)*BETAINV(RAND(),Model!L7,Model!M7))*Inputs!$C$6</f>
        <v>15245.886473975324</v>
      </c>
      <c r="L932">
        <f t="shared" ca="1" si="298"/>
        <v>1.3715300507707016</v>
      </c>
      <c r="M932">
        <f t="shared" ca="1" si="299"/>
        <v>0.53698768331018609</v>
      </c>
      <c r="N932">
        <f t="shared" ca="1" si="300"/>
        <v>1</v>
      </c>
      <c r="O932" s="47">
        <f t="shared" ca="1" si="301"/>
        <v>15245.886473975324</v>
      </c>
      <c r="P932">
        <f ca="1">Inputs!B14+(Inputs!D14-Inputs!B14)*BETAINV(RAND(),Model!H8,Model!I8)</f>
        <v>0.20014934400902187</v>
      </c>
      <c r="Q932">
        <f ca="1">Inputs!E14+(Inputs!G14-Inputs!E14)*BETAINV(RAND(),Model!J8,Model!K8)</f>
        <v>0.64016580907005016</v>
      </c>
      <c r="R932">
        <f ca="1">(Inputs!H14+(Inputs!J14-Inputs!H14)*BETAINV(RAND(),Model!L8,Model!M8))*Inputs!$C$6</f>
        <v>280731.18132771575</v>
      </c>
      <c r="S932">
        <f t="shared" ca="1" si="302"/>
        <v>0.12812876674237528</v>
      </c>
      <c r="T932">
        <f t="shared" ca="1" si="303"/>
        <v>0.61585205941289523</v>
      </c>
      <c r="U932">
        <f t="shared" ca="1" si="304"/>
        <v>0</v>
      </c>
      <c r="V932" s="47">
        <f t="shared" ca="1" si="305"/>
        <v>0</v>
      </c>
      <c r="W932">
        <f ca="1">Inputs!B15+(Inputs!D15-Inputs!B15)*BETAINV(RAND(),Model!H9,Model!I9)</f>
        <v>1.6183635477493705</v>
      </c>
      <c r="X932">
        <f ca="1">Inputs!E15+(Inputs!G15-Inputs!E15)*BETAINV(RAND(),Model!J9,Model!K9)</f>
        <v>0.43122457672829806</v>
      </c>
      <c r="Y932">
        <f ca="1">(Inputs!H15+(Inputs!J15-Inputs!H15)*BETAINV(RAND(),Model!L9,Model!M9))*Inputs!$C$6</f>
        <v>25826.564370652341</v>
      </c>
      <c r="Z932">
        <f t="shared" ca="1" si="306"/>
        <v>0.69787813587072911</v>
      </c>
      <c r="AA932">
        <f t="shared" ca="1" si="307"/>
        <v>0.95952940568556544</v>
      </c>
      <c r="AB932">
        <f t="shared" ca="1" si="308"/>
        <v>2</v>
      </c>
      <c r="AC932" s="47">
        <f t="shared" ca="1" si="309"/>
        <v>51653.128741304681</v>
      </c>
      <c r="AD932">
        <f ca="1">Inputs!B16+(Inputs!D16-Inputs!B16)*BETAINV(RAND(),Model!H10,Model!I10)</f>
        <v>0.50700149733414235</v>
      </c>
      <c r="AE932">
        <f ca="1">Inputs!E16+(Inputs!G16-Inputs!E16)*BETAINV(RAND(),Model!J10,Model!K10)</f>
        <v>0.4900610414748573</v>
      </c>
      <c r="AF932">
        <f ca="1">(Inputs!H16+(Inputs!J16-Inputs!H16)*BETAINV(RAND(),Model!L10,Model!M10))*Inputs!$C$6</f>
        <v>79722.290551803031</v>
      </c>
      <c r="AG932">
        <f t="shared" ca="1" si="310"/>
        <v>0.24846168181288189</v>
      </c>
      <c r="AH932">
        <f t="shared" ca="1" si="311"/>
        <v>9.997966820231452E-2</v>
      </c>
      <c r="AI932">
        <f t="shared" ca="1" si="312"/>
        <v>0</v>
      </c>
      <c r="AJ932" s="47">
        <f t="shared" ca="1" si="313"/>
        <v>0</v>
      </c>
      <c r="AK932">
        <f t="shared" ca="1" si="314"/>
        <v>147398.04888733604</v>
      </c>
    </row>
    <row r="933" spans="2:37" x14ac:dyDescent="0.2">
      <c r="B933">
        <f ca="1">Inputs!B12+(Inputs!D12-Inputs!B12)*BETAINV(RAND(),Model!H6,Model!I6)</f>
        <v>4.323866276463928</v>
      </c>
      <c r="C933">
        <f ca="1">Inputs!E12+(Inputs!G12-Inputs!E12)*BETAINV(RAND(),Model!J6,Model!K6)</f>
        <v>0.31406437963078715</v>
      </c>
      <c r="D933">
        <f ca="1">(Inputs!H12+(Inputs!J12-Inputs!H12)*BETAINV(RAND(),Model!L6,Model!M6))*Inputs!$C$6</f>
        <v>8328.590926521385</v>
      </c>
      <c r="E933">
        <f t="shared" ca="1" si="294"/>
        <v>1.3579723797241252</v>
      </c>
      <c r="F933">
        <f t="shared" ca="1" si="295"/>
        <v>0.95822797736174747</v>
      </c>
      <c r="G933">
        <f t="shared" ca="1" si="296"/>
        <v>4</v>
      </c>
      <c r="H933" s="47">
        <f t="shared" ca="1" si="297"/>
        <v>33314.36370608554</v>
      </c>
      <c r="I933">
        <f ca="1">Inputs!B13+(Inputs!D13-Inputs!B13)*BETAINV(RAND(),Model!H7,Model!I7)</f>
        <v>1.8783584740780563</v>
      </c>
      <c r="J933">
        <f ca="1">Inputs!E13+(Inputs!G13-Inputs!E13)*BETAINV(RAND(),Model!J7,Model!K7)</f>
        <v>0.29806163178987355</v>
      </c>
      <c r="K933">
        <f ca="1">(Inputs!H13+(Inputs!J13-Inputs!H13)*BETAINV(RAND(),Model!L7,Model!M7))*Inputs!$C$6</f>
        <v>19082.236074954824</v>
      </c>
      <c r="L933">
        <f t="shared" ca="1" si="298"/>
        <v>0.5598665918700424</v>
      </c>
      <c r="M933">
        <f t="shared" ca="1" si="299"/>
        <v>0.72372764976111059</v>
      </c>
      <c r="N933">
        <f t="shared" ca="1" si="300"/>
        <v>1</v>
      </c>
      <c r="O933" s="47">
        <f t="shared" ca="1" si="301"/>
        <v>19082.236074954824</v>
      </c>
      <c r="P933">
        <f ca="1">Inputs!B14+(Inputs!D14-Inputs!B14)*BETAINV(RAND(),Model!H8,Model!I8)</f>
        <v>0.34556582616282605</v>
      </c>
      <c r="Q933">
        <f ca="1">Inputs!E14+(Inputs!G14-Inputs!E14)*BETAINV(RAND(),Model!J8,Model!K8)</f>
        <v>0.64734059757598672</v>
      </c>
      <c r="R933">
        <f ca="1">(Inputs!H14+(Inputs!J14-Inputs!H14)*BETAINV(RAND(),Model!L8,Model!M8))*Inputs!$C$6</f>
        <v>416633.41969427397</v>
      </c>
      <c r="S933">
        <f t="shared" ca="1" si="302"/>
        <v>0.22369878841008337</v>
      </c>
      <c r="T933">
        <f t="shared" ca="1" si="303"/>
        <v>0.10938386448691895</v>
      </c>
      <c r="U933">
        <f t="shared" ca="1" si="304"/>
        <v>0</v>
      </c>
      <c r="V933" s="47">
        <f t="shared" ca="1" si="305"/>
        <v>0</v>
      </c>
      <c r="W933">
        <f ca="1">Inputs!B15+(Inputs!D15-Inputs!B15)*BETAINV(RAND(),Model!H9,Model!I9)</f>
        <v>1.1082749658096982</v>
      </c>
      <c r="X933">
        <f ca="1">Inputs!E15+(Inputs!G15-Inputs!E15)*BETAINV(RAND(),Model!J9,Model!K9)</f>
        <v>0.39087752170273304</v>
      </c>
      <c r="Y933">
        <f ca="1">(Inputs!H15+(Inputs!J15-Inputs!H15)*BETAINV(RAND(),Model!L9,Model!M9))*Inputs!$C$6</f>
        <v>40302.597484925376</v>
      </c>
      <c r="Z933">
        <f t="shared" ca="1" si="306"/>
        <v>0.433199772000876</v>
      </c>
      <c r="AA933">
        <f t="shared" ca="1" si="307"/>
        <v>0.18057412688069319</v>
      </c>
      <c r="AB933">
        <f t="shared" ca="1" si="308"/>
        <v>0</v>
      </c>
      <c r="AC933" s="47">
        <f t="shared" ca="1" si="309"/>
        <v>0</v>
      </c>
      <c r="AD933">
        <f ca="1">Inputs!B16+(Inputs!D16-Inputs!B16)*BETAINV(RAND(),Model!H10,Model!I10)</f>
        <v>0.63119651983628677</v>
      </c>
      <c r="AE933">
        <f ca="1">Inputs!E16+(Inputs!G16-Inputs!E16)*BETAINV(RAND(),Model!J10,Model!K10)</f>
        <v>0.6089618945589127</v>
      </c>
      <c r="AF933">
        <f ca="1">(Inputs!H16+(Inputs!J16-Inputs!H16)*BETAINV(RAND(),Model!L10,Model!M10))*Inputs!$C$6</f>
        <v>96711.59583611296</v>
      </c>
      <c r="AG933">
        <f t="shared" ca="1" si="310"/>
        <v>0.38437462855849752</v>
      </c>
      <c r="AH933">
        <f t="shared" ca="1" si="311"/>
        <v>0.58849642279353931</v>
      </c>
      <c r="AI933">
        <f t="shared" ca="1" si="312"/>
        <v>0</v>
      </c>
      <c r="AJ933" s="47">
        <f t="shared" ca="1" si="313"/>
        <v>0</v>
      </c>
      <c r="AK933">
        <f t="shared" ca="1" si="314"/>
        <v>52396.599781040364</v>
      </c>
    </row>
    <row r="934" spans="2:37" x14ac:dyDescent="0.2">
      <c r="B934">
        <f ca="1">Inputs!B12+(Inputs!D12-Inputs!B12)*BETAINV(RAND(),Model!H6,Model!I6)</f>
        <v>3.0191107060244149</v>
      </c>
      <c r="C934">
        <f ca="1">Inputs!E12+(Inputs!G12-Inputs!E12)*BETAINV(RAND(),Model!J6,Model!K6)</f>
        <v>0.29124712543630438</v>
      </c>
      <c r="D934">
        <f ca="1">(Inputs!H12+(Inputs!J12-Inputs!H12)*BETAINV(RAND(),Model!L6,Model!M6))*Inputs!$C$6</f>
        <v>24838.935806279249</v>
      </c>
      <c r="E934">
        <f t="shared" ca="1" si="294"/>
        <v>0.87930731450358224</v>
      </c>
      <c r="F934">
        <f t="shared" ca="1" si="295"/>
        <v>0.12532226343197106</v>
      </c>
      <c r="G934">
        <f t="shared" ca="1" si="296"/>
        <v>0</v>
      </c>
      <c r="H934" s="47">
        <f t="shared" ca="1" si="297"/>
        <v>0</v>
      </c>
      <c r="I934">
        <f ca="1">Inputs!B13+(Inputs!D13-Inputs!B13)*BETAINV(RAND(),Model!H7,Model!I7)</f>
        <v>1.4446709571547016</v>
      </c>
      <c r="J934">
        <f ca="1">Inputs!E13+(Inputs!G13-Inputs!E13)*BETAINV(RAND(),Model!J7,Model!K7)</f>
        <v>0.39100428319484803</v>
      </c>
      <c r="K934">
        <f ca="1">(Inputs!H13+(Inputs!J13-Inputs!H13)*BETAINV(RAND(),Model!L7,Model!M7))*Inputs!$C$6</f>
        <v>54545.414425801282</v>
      </c>
      <c r="L934">
        <f t="shared" ca="1" si="298"/>
        <v>0.56487253205468912</v>
      </c>
      <c r="M934">
        <f t="shared" ca="1" si="299"/>
        <v>0.76451605703587511</v>
      </c>
      <c r="N934">
        <f t="shared" ca="1" si="300"/>
        <v>1</v>
      </c>
      <c r="O934" s="47">
        <f t="shared" ca="1" si="301"/>
        <v>54545.414425801282</v>
      </c>
      <c r="P934">
        <f ca="1">Inputs!B14+(Inputs!D14-Inputs!B14)*BETAINV(RAND(),Model!H8,Model!I8)</f>
        <v>0.2959799313203359</v>
      </c>
      <c r="Q934">
        <f ca="1">Inputs!E14+(Inputs!G14-Inputs!E14)*BETAINV(RAND(),Model!J8,Model!K8)</f>
        <v>0.58871609824391591</v>
      </c>
      <c r="R934">
        <f ca="1">(Inputs!H14+(Inputs!J14-Inputs!H14)*BETAINV(RAND(),Model!L8,Model!M8))*Inputs!$C$6</f>
        <v>295434.2546948003</v>
      </c>
      <c r="S934">
        <f t="shared" ca="1" si="302"/>
        <v>0.17424815032541036</v>
      </c>
      <c r="T934">
        <f t="shared" ca="1" si="303"/>
        <v>0.87987680925264233</v>
      </c>
      <c r="U934">
        <f t="shared" ca="1" si="304"/>
        <v>1</v>
      </c>
      <c r="V934" s="47">
        <f t="shared" ca="1" si="305"/>
        <v>295434.2546948003</v>
      </c>
      <c r="W934">
        <f ca="1">Inputs!B15+(Inputs!D15-Inputs!B15)*BETAINV(RAND(),Model!H9,Model!I9)</f>
        <v>0.63374419064656617</v>
      </c>
      <c r="X934">
        <f ca="1">Inputs!E15+(Inputs!G15-Inputs!E15)*BETAINV(RAND(),Model!J9,Model!K9)</f>
        <v>0.32050814453238236</v>
      </c>
      <c r="Y934">
        <f ca="1">(Inputs!H15+(Inputs!J15-Inputs!H15)*BETAINV(RAND(),Model!L9,Model!M9))*Inputs!$C$6</f>
        <v>22162.725802288172</v>
      </c>
      <c r="Z934">
        <f t="shared" ca="1" si="306"/>
        <v>0.20312017465230731</v>
      </c>
      <c r="AA934">
        <f t="shared" ca="1" si="307"/>
        <v>0.69156310481965988</v>
      </c>
      <c r="AB934">
        <f t="shared" ca="1" si="308"/>
        <v>0</v>
      </c>
      <c r="AC934" s="47">
        <f t="shared" ca="1" si="309"/>
        <v>0</v>
      </c>
      <c r="AD934">
        <f ca="1">Inputs!B16+(Inputs!D16-Inputs!B16)*BETAINV(RAND(),Model!H10,Model!I10)</f>
        <v>0.47986067227359186</v>
      </c>
      <c r="AE934">
        <f ca="1">Inputs!E16+(Inputs!G16-Inputs!E16)*BETAINV(RAND(),Model!J10,Model!K10)</f>
        <v>0.66625450871449154</v>
      </c>
      <c r="AF934">
        <f ca="1">(Inputs!H16+(Inputs!J16-Inputs!H16)*BETAINV(RAND(),Model!L10,Model!M10))*Inputs!$C$6</f>
        <v>89072.966129096269</v>
      </c>
      <c r="AG934">
        <f t="shared" ca="1" si="310"/>
        <v>0.31970933645704758</v>
      </c>
      <c r="AH934">
        <f t="shared" ca="1" si="311"/>
        <v>6.4915206920035384E-2</v>
      </c>
      <c r="AI934">
        <f t="shared" ca="1" si="312"/>
        <v>0</v>
      </c>
      <c r="AJ934" s="47">
        <f t="shared" ca="1" si="313"/>
        <v>0</v>
      </c>
      <c r="AK934">
        <f t="shared" ca="1" si="314"/>
        <v>349979.66912060161</v>
      </c>
    </row>
    <row r="935" spans="2:37" x14ac:dyDescent="0.2">
      <c r="B935">
        <f ca="1">Inputs!B12+(Inputs!D12-Inputs!B12)*BETAINV(RAND(),Model!H6,Model!I6)</f>
        <v>2.6615939651492901</v>
      </c>
      <c r="C935">
        <f ca="1">Inputs!E12+(Inputs!G12-Inputs!E12)*BETAINV(RAND(),Model!J6,Model!K6)</f>
        <v>0.28645164114336397</v>
      </c>
      <c r="D935">
        <f ca="1">(Inputs!H12+(Inputs!J12-Inputs!H12)*BETAINV(RAND(),Model!L6,Model!M6))*Inputs!$C$6</f>
        <v>14705.227625062975</v>
      </c>
      <c r="E935">
        <f t="shared" ca="1" si="294"/>
        <v>0.76241795937428769</v>
      </c>
      <c r="F935">
        <f t="shared" ca="1" si="295"/>
        <v>1.1568846177234526E-3</v>
      </c>
      <c r="G935">
        <f t="shared" ca="1" si="296"/>
        <v>0</v>
      </c>
      <c r="H935" s="47">
        <f t="shared" ca="1" si="297"/>
        <v>0</v>
      </c>
      <c r="I935">
        <f ca="1">Inputs!B13+(Inputs!D13-Inputs!B13)*BETAINV(RAND(),Model!H7,Model!I7)</f>
        <v>1.9749150760281888</v>
      </c>
      <c r="J935">
        <f ca="1">Inputs!E13+(Inputs!G13-Inputs!E13)*BETAINV(RAND(),Model!J7,Model!K7)</f>
        <v>0.17391932638947044</v>
      </c>
      <c r="K935">
        <f ca="1">(Inputs!H13+(Inputs!J13-Inputs!H13)*BETAINV(RAND(),Model!L7,Model!M7))*Inputs!$C$6</f>
        <v>17641.36398974403</v>
      </c>
      <c r="L935">
        <f t="shared" ca="1" si="298"/>
        <v>0.34347589969923242</v>
      </c>
      <c r="M935">
        <f t="shared" ca="1" si="299"/>
        <v>0.85824230162066728</v>
      </c>
      <c r="N935">
        <f t="shared" ca="1" si="300"/>
        <v>1</v>
      </c>
      <c r="O935" s="47">
        <f t="shared" ca="1" si="301"/>
        <v>17641.36398974403</v>
      </c>
      <c r="P935">
        <f ca="1">Inputs!B14+(Inputs!D14-Inputs!B14)*BETAINV(RAND(),Model!H8,Model!I8)</f>
        <v>0.2455333765829423</v>
      </c>
      <c r="Q935">
        <f ca="1">Inputs!E14+(Inputs!G14-Inputs!E14)*BETAINV(RAND(),Model!J8,Model!K8)</f>
        <v>0.48870845565067889</v>
      </c>
      <c r="R935">
        <f ca="1">(Inputs!H14+(Inputs!J14-Inputs!H14)*BETAINV(RAND(),Model!L8,Model!M8))*Inputs!$C$6</f>
        <v>314907.35649367684</v>
      </c>
      <c r="S935">
        <f t="shared" ca="1" si="302"/>
        <v>0.1199942372805463</v>
      </c>
      <c r="T935">
        <f t="shared" ca="1" si="303"/>
        <v>0.65153008478533525</v>
      </c>
      <c r="U935">
        <f t="shared" ca="1" si="304"/>
        <v>0</v>
      </c>
      <c r="V935" s="47">
        <f t="shared" ca="1" si="305"/>
        <v>0</v>
      </c>
      <c r="W935">
        <f ca="1">Inputs!B15+(Inputs!D15-Inputs!B15)*BETAINV(RAND(),Model!H9,Model!I9)</f>
        <v>1.8000999177156116</v>
      </c>
      <c r="X935">
        <f ca="1">Inputs!E15+(Inputs!G15-Inputs!E15)*BETAINV(RAND(),Model!J9,Model!K9)</f>
        <v>0.32027474852310112</v>
      </c>
      <c r="Y935">
        <f ca="1">(Inputs!H15+(Inputs!J15-Inputs!H15)*BETAINV(RAND(),Model!L9,Model!M9))*Inputs!$C$6</f>
        <v>17370.803077148517</v>
      </c>
      <c r="Z935">
        <f t="shared" ca="1" si="306"/>
        <v>0.57652654846282247</v>
      </c>
      <c r="AA935">
        <f t="shared" ca="1" si="307"/>
        <v>0.42459178806675257</v>
      </c>
      <c r="AB935">
        <f t="shared" ca="1" si="308"/>
        <v>0</v>
      </c>
      <c r="AC935" s="47">
        <f t="shared" ca="1" si="309"/>
        <v>0</v>
      </c>
      <c r="AD935">
        <f ca="1">Inputs!B16+(Inputs!D16-Inputs!B16)*BETAINV(RAND(),Model!H10,Model!I10)</f>
        <v>0.62993471511736421</v>
      </c>
      <c r="AE935">
        <f ca="1">Inputs!E16+(Inputs!G16-Inputs!E16)*BETAINV(RAND(),Model!J10,Model!K10)</f>
        <v>0.57075368689081796</v>
      </c>
      <c r="AF935">
        <f ca="1">(Inputs!H16+(Inputs!J16-Inputs!H16)*BETAINV(RAND(),Model!L10,Model!M10))*Inputs!$C$6</f>
        <v>130336.57794751329</v>
      </c>
      <c r="AG935">
        <f t="shared" ca="1" si="310"/>
        <v>0.35953756115375268</v>
      </c>
      <c r="AH935">
        <f t="shared" ca="1" si="311"/>
        <v>0.89542978675396834</v>
      </c>
      <c r="AI935">
        <f t="shared" ca="1" si="312"/>
        <v>1</v>
      </c>
      <c r="AJ935" s="47">
        <f t="shared" ca="1" si="313"/>
        <v>130336.57794751329</v>
      </c>
      <c r="AK935">
        <f t="shared" ca="1" si="314"/>
        <v>147977.9419372573</v>
      </c>
    </row>
    <row r="936" spans="2:37" x14ac:dyDescent="0.2">
      <c r="B936">
        <f ca="1">Inputs!B12+(Inputs!D12-Inputs!B12)*BETAINV(RAND(),Model!H6,Model!I6)</f>
        <v>3.3612526465456707</v>
      </c>
      <c r="C936">
        <f ca="1">Inputs!E12+(Inputs!G12-Inputs!E12)*BETAINV(RAND(),Model!J6,Model!K6)</f>
        <v>0.32573295639402045</v>
      </c>
      <c r="D936">
        <f ca="1">(Inputs!H12+(Inputs!J12-Inputs!H12)*BETAINV(RAND(),Model!L6,Model!M6))*Inputs!$C$6</f>
        <v>45084.636751413556</v>
      </c>
      <c r="E936">
        <f t="shared" ca="1" si="294"/>
        <v>1.0948707617465467</v>
      </c>
      <c r="F936">
        <f t="shared" ca="1" si="295"/>
        <v>0.5403787507767196</v>
      </c>
      <c r="G936">
        <f t="shared" ca="1" si="296"/>
        <v>1</v>
      </c>
      <c r="H936" s="47">
        <f t="shared" ca="1" si="297"/>
        <v>45084.636751413556</v>
      </c>
      <c r="I936">
        <f ca="1">Inputs!B13+(Inputs!D13-Inputs!B13)*BETAINV(RAND(),Model!H7,Model!I7)</f>
        <v>4.4227625400626671</v>
      </c>
      <c r="J936">
        <f ca="1">Inputs!E13+(Inputs!G13-Inputs!E13)*BETAINV(RAND(),Model!J7,Model!K7)</f>
        <v>0.30122251147002033</v>
      </c>
      <c r="K936">
        <f ca="1">(Inputs!H13+(Inputs!J13-Inputs!H13)*BETAINV(RAND(),Model!L7,Model!M7))*Inputs!$C$6</f>
        <v>19359.4853051836</v>
      </c>
      <c r="L936">
        <f t="shared" ca="1" si="298"/>
        <v>1.3322356399532029</v>
      </c>
      <c r="M936">
        <f t="shared" ca="1" si="299"/>
        <v>1.6522670218526492E-2</v>
      </c>
      <c r="N936">
        <f t="shared" ca="1" si="300"/>
        <v>0</v>
      </c>
      <c r="O936" s="47">
        <f t="shared" ca="1" si="301"/>
        <v>0</v>
      </c>
      <c r="P936">
        <f ca="1">Inputs!B14+(Inputs!D14-Inputs!B14)*BETAINV(RAND(),Model!H8,Model!I8)</f>
        <v>0.16408058031823813</v>
      </c>
      <c r="Q936">
        <f ca="1">Inputs!E14+(Inputs!G14-Inputs!E14)*BETAINV(RAND(),Model!J8,Model!K8)</f>
        <v>0.46249150398204231</v>
      </c>
      <c r="R936">
        <f ca="1">(Inputs!H14+(Inputs!J14-Inputs!H14)*BETAINV(RAND(),Model!L8,Model!M8))*Inputs!$C$6</f>
        <v>348999.2332743812</v>
      </c>
      <c r="S936">
        <f t="shared" ca="1" si="302"/>
        <v>7.5885874365628242E-2</v>
      </c>
      <c r="T936">
        <f t="shared" ca="1" si="303"/>
        <v>0.53826168882905756</v>
      </c>
      <c r="U936">
        <f t="shared" ca="1" si="304"/>
        <v>0</v>
      </c>
      <c r="V936" s="47">
        <f t="shared" ca="1" si="305"/>
        <v>0</v>
      </c>
      <c r="W936">
        <f ca="1">Inputs!B15+(Inputs!D15-Inputs!B15)*BETAINV(RAND(),Model!H9,Model!I9)</f>
        <v>1.8534897502862493</v>
      </c>
      <c r="X936">
        <f ca="1">Inputs!E15+(Inputs!G15-Inputs!E15)*BETAINV(RAND(),Model!J9,Model!K9)</f>
        <v>0.45283657215959988</v>
      </c>
      <c r="Y936">
        <f ca="1">(Inputs!H15+(Inputs!J15-Inputs!H15)*BETAINV(RAND(),Model!L9,Model!M9))*Inputs!$C$6</f>
        <v>32437.776801480693</v>
      </c>
      <c r="Z936">
        <f t="shared" ca="1" si="306"/>
        <v>0.83932794505257791</v>
      </c>
      <c r="AA936">
        <f t="shared" ca="1" si="307"/>
        <v>0.11674312076559779</v>
      </c>
      <c r="AB936">
        <f t="shared" ca="1" si="308"/>
        <v>0</v>
      </c>
      <c r="AC936" s="47">
        <f t="shared" ca="1" si="309"/>
        <v>0</v>
      </c>
      <c r="AD936">
        <f ca="1">Inputs!B16+(Inputs!D16-Inputs!B16)*BETAINV(RAND(),Model!H10,Model!I10)</f>
        <v>0.64177380669455331</v>
      </c>
      <c r="AE936">
        <f ca="1">Inputs!E16+(Inputs!G16-Inputs!E16)*BETAINV(RAND(),Model!J10,Model!K10)</f>
        <v>0.55625631786809515</v>
      </c>
      <c r="AF936">
        <f ca="1">(Inputs!H16+(Inputs!J16-Inputs!H16)*BETAINV(RAND(),Model!L10,Model!M10))*Inputs!$C$6</f>
        <v>51435.482559303076</v>
      </c>
      <c r="AG936">
        <f t="shared" ca="1" si="310"/>
        <v>0.35699073461610292</v>
      </c>
      <c r="AH936">
        <f t="shared" ca="1" si="311"/>
        <v>0.75076427205789342</v>
      </c>
      <c r="AI936">
        <f t="shared" ca="1" si="312"/>
        <v>1</v>
      </c>
      <c r="AJ936" s="47">
        <f t="shared" ca="1" si="313"/>
        <v>51435.482559303076</v>
      </c>
      <c r="AK936">
        <f t="shared" ca="1" si="314"/>
        <v>96520.119310716633</v>
      </c>
    </row>
    <row r="937" spans="2:37" x14ac:dyDescent="0.2">
      <c r="B937">
        <f ca="1">Inputs!B12+(Inputs!D12-Inputs!B12)*BETAINV(RAND(),Model!H6,Model!I6)</f>
        <v>2.9941840103721491</v>
      </c>
      <c r="C937">
        <f ca="1">Inputs!E12+(Inputs!G12-Inputs!E12)*BETAINV(RAND(),Model!J6,Model!K6)</f>
        <v>0.22669557215100575</v>
      </c>
      <c r="D937">
        <f ca="1">(Inputs!H12+(Inputs!J12-Inputs!H12)*BETAINV(RAND(),Model!L6,Model!M6))*Inputs!$C$6</f>
        <v>11232.629162033938</v>
      </c>
      <c r="E937">
        <f t="shared" ca="1" si="294"/>
        <v>0.67876825735670732</v>
      </c>
      <c r="F937">
        <f t="shared" ca="1" si="295"/>
        <v>0.31877269150962173</v>
      </c>
      <c r="G937">
        <f t="shared" ca="1" si="296"/>
        <v>0</v>
      </c>
      <c r="H937" s="47">
        <f t="shared" ca="1" si="297"/>
        <v>0</v>
      </c>
      <c r="I937">
        <f ca="1">Inputs!B13+(Inputs!D13-Inputs!B13)*BETAINV(RAND(),Model!H7,Model!I7)</f>
        <v>2.9846619033429733</v>
      </c>
      <c r="J937">
        <f ca="1">Inputs!E13+(Inputs!G13-Inputs!E13)*BETAINV(RAND(),Model!J7,Model!K7)</f>
        <v>0.39568999064546651</v>
      </c>
      <c r="K937">
        <f ca="1">(Inputs!H13+(Inputs!J13-Inputs!H13)*BETAINV(RAND(),Model!L7,Model!M7))*Inputs!$C$6</f>
        <v>60144.941027346045</v>
      </c>
      <c r="L937">
        <f t="shared" ca="1" si="298"/>
        <v>1.1810008406136614</v>
      </c>
      <c r="M937">
        <f t="shared" ca="1" si="299"/>
        <v>0.94642513735281231</v>
      </c>
      <c r="N937">
        <f t="shared" ca="1" si="300"/>
        <v>3</v>
      </c>
      <c r="O937" s="47">
        <f t="shared" ca="1" si="301"/>
        <v>180434.82308203814</v>
      </c>
      <c r="P937">
        <f ca="1">Inputs!B14+(Inputs!D14-Inputs!B14)*BETAINV(RAND(),Model!H8,Model!I8)</f>
        <v>0.34142552015335748</v>
      </c>
      <c r="Q937">
        <f ca="1">Inputs!E14+(Inputs!G14-Inputs!E14)*BETAINV(RAND(),Model!J8,Model!K8)</f>
        <v>0.45255963696066104</v>
      </c>
      <c r="R937">
        <f ca="1">(Inputs!H14+(Inputs!J14-Inputs!H14)*BETAINV(RAND(),Model!L8,Model!M8))*Inputs!$C$6</f>
        <v>479532.49685166241</v>
      </c>
      <c r="S937">
        <f t="shared" ca="1" si="302"/>
        <v>0.15451540944970832</v>
      </c>
      <c r="T937">
        <f t="shared" ca="1" si="303"/>
        <v>6.5525915797065015E-2</v>
      </c>
      <c r="U937">
        <f t="shared" ca="1" si="304"/>
        <v>0</v>
      </c>
      <c r="V937" s="47">
        <f t="shared" ca="1" si="305"/>
        <v>0</v>
      </c>
      <c r="W937">
        <f ca="1">Inputs!B15+(Inputs!D15-Inputs!B15)*BETAINV(RAND(),Model!H9,Model!I9)</f>
        <v>2.5185030195472309</v>
      </c>
      <c r="X937">
        <f ca="1">Inputs!E15+(Inputs!G15-Inputs!E15)*BETAINV(RAND(),Model!J9,Model!K9)</f>
        <v>0.38828036327437682</v>
      </c>
      <c r="Y937">
        <f ca="1">(Inputs!H15+(Inputs!J15-Inputs!H15)*BETAINV(RAND(),Model!L9,Model!M9))*Inputs!$C$6</f>
        <v>12449.391238563463</v>
      </c>
      <c r="Z937">
        <f t="shared" ca="1" si="306"/>
        <v>0.97788526733741377</v>
      </c>
      <c r="AA937">
        <f t="shared" ca="1" si="307"/>
        <v>0.93278243565662011</v>
      </c>
      <c r="AB937">
        <f t="shared" ca="1" si="308"/>
        <v>3</v>
      </c>
      <c r="AC937" s="47">
        <f t="shared" ca="1" si="309"/>
        <v>37348.173715690391</v>
      </c>
      <c r="AD937">
        <f ca="1">Inputs!B16+(Inputs!D16-Inputs!B16)*BETAINV(RAND(),Model!H10,Model!I10)</f>
        <v>0.64480738313219566</v>
      </c>
      <c r="AE937">
        <f ca="1">Inputs!E16+(Inputs!G16-Inputs!E16)*BETAINV(RAND(),Model!J10,Model!K10)</f>
        <v>0.67189805417568782</v>
      </c>
      <c r="AF937">
        <f ca="1">(Inputs!H16+(Inputs!J16-Inputs!H16)*BETAINV(RAND(),Model!L10,Model!M10))*Inputs!$C$6</f>
        <v>63314.80127164333</v>
      </c>
      <c r="AG937">
        <f t="shared" ca="1" si="310"/>
        <v>0.43324482604463949</v>
      </c>
      <c r="AH937">
        <f t="shared" ca="1" si="311"/>
        <v>0.4096788901293934</v>
      </c>
      <c r="AI937">
        <f t="shared" ca="1" si="312"/>
        <v>0</v>
      </c>
      <c r="AJ937" s="47">
        <f t="shared" ca="1" si="313"/>
        <v>0</v>
      </c>
      <c r="AK937">
        <f t="shared" ca="1" si="314"/>
        <v>217782.99679772853</v>
      </c>
    </row>
    <row r="938" spans="2:37" x14ac:dyDescent="0.2">
      <c r="B938">
        <f ca="1">Inputs!B12+(Inputs!D12-Inputs!B12)*BETAINV(RAND(),Model!H6,Model!I6)</f>
        <v>1.500616471575263</v>
      </c>
      <c r="C938">
        <f ca="1">Inputs!E12+(Inputs!G12-Inputs!E12)*BETAINV(RAND(),Model!J6,Model!K6)</f>
        <v>0.26769447821499098</v>
      </c>
      <c r="D938">
        <f ca="1">(Inputs!H12+(Inputs!J12-Inputs!H12)*BETAINV(RAND(),Model!L6,Model!M6))*Inputs!$C$6</f>
        <v>28363.010088267158</v>
      </c>
      <c r="E938">
        <f t="shared" ca="1" si="294"/>
        <v>0.4017067433591609</v>
      </c>
      <c r="F938">
        <f t="shared" ca="1" si="295"/>
        <v>0.69524986261594302</v>
      </c>
      <c r="G938">
        <f t="shared" ca="1" si="296"/>
        <v>1</v>
      </c>
      <c r="H938" s="47">
        <f t="shared" ca="1" si="297"/>
        <v>28363.010088267158</v>
      </c>
      <c r="I938">
        <f ca="1">Inputs!B13+(Inputs!D13-Inputs!B13)*BETAINV(RAND(),Model!H7,Model!I7)</f>
        <v>2.0982889606645472</v>
      </c>
      <c r="J938">
        <f ca="1">Inputs!E13+(Inputs!G13-Inputs!E13)*BETAINV(RAND(),Model!J7,Model!K7)</f>
        <v>0.36614001061150014</v>
      </c>
      <c r="K938">
        <f ca="1">(Inputs!H13+(Inputs!J13-Inputs!H13)*BETAINV(RAND(),Model!L7,Model!M7))*Inputs!$C$6</f>
        <v>13532.715491956889</v>
      </c>
      <c r="L938">
        <f t="shared" ca="1" si="298"/>
        <v>0.76826754232371086</v>
      </c>
      <c r="M938">
        <f t="shared" ca="1" si="299"/>
        <v>0.68462545449136136</v>
      </c>
      <c r="N938">
        <f t="shared" ca="1" si="300"/>
        <v>1</v>
      </c>
      <c r="O938" s="47">
        <f t="shared" ca="1" si="301"/>
        <v>13532.715491956889</v>
      </c>
      <c r="P938">
        <f ca="1">Inputs!B14+(Inputs!D14-Inputs!B14)*BETAINV(RAND(),Model!H8,Model!I8)</f>
        <v>0.30426506886395727</v>
      </c>
      <c r="Q938">
        <f ca="1">Inputs!E14+(Inputs!G14-Inputs!E14)*BETAINV(RAND(),Model!J8,Model!K8)</f>
        <v>0.47689194013532882</v>
      </c>
      <c r="R938">
        <f ca="1">(Inputs!H14+(Inputs!J14-Inputs!H14)*BETAINV(RAND(),Model!L8,Model!M8))*Inputs!$C$6</f>
        <v>261145.47993494692</v>
      </c>
      <c r="S938">
        <f t="shared" ca="1" si="302"/>
        <v>0.14510155900594202</v>
      </c>
      <c r="T938">
        <f t="shared" ca="1" si="303"/>
        <v>0.89156401511795758</v>
      </c>
      <c r="U938">
        <f t="shared" ca="1" si="304"/>
        <v>1</v>
      </c>
      <c r="V938" s="47">
        <f t="shared" ca="1" si="305"/>
        <v>261145.47993494692</v>
      </c>
      <c r="W938">
        <f ca="1">Inputs!B15+(Inputs!D15-Inputs!B15)*BETAINV(RAND(),Model!H9,Model!I9)</f>
        <v>1.2382565243223946</v>
      </c>
      <c r="X938">
        <f ca="1">Inputs!E15+(Inputs!G15-Inputs!E15)*BETAINV(RAND(),Model!J9,Model!K9)</f>
        <v>0.46771306227007975</v>
      </c>
      <c r="Y938">
        <f ca="1">(Inputs!H15+(Inputs!J15-Inputs!H15)*BETAINV(RAND(),Model!L9,Model!M9))*Inputs!$C$6</f>
        <v>43755.345709163397</v>
      </c>
      <c r="Z938">
        <f t="shared" ca="1" si="306"/>
        <v>0.57914875086673268</v>
      </c>
      <c r="AA938">
        <f t="shared" ca="1" si="307"/>
        <v>0.2884105718562372</v>
      </c>
      <c r="AB938">
        <f t="shared" ca="1" si="308"/>
        <v>0</v>
      </c>
      <c r="AC938" s="47">
        <f t="shared" ca="1" si="309"/>
        <v>0</v>
      </c>
      <c r="AD938">
        <f ca="1">Inputs!B16+(Inputs!D16-Inputs!B16)*BETAINV(RAND(),Model!H10,Model!I10)</f>
        <v>0.60820170177564814</v>
      </c>
      <c r="AE938">
        <f ca="1">Inputs!E16+(Inputs!G16-Inputs!E16)*BETAINV(RAND(),Model!J10,Model!K10)</f>
        <v>0.65742126556526359</v>
      </c>
      <c r="AF938">
        <f ca="1">(Inputs!H16+(Inputs!J16-Inputs!H16)*BETAINV(RAND(),Model!L10,Model!M10))*Inputs!$C$6</f>
        <v>118932.49765579439</v>
      </c>
      <c r="AG938">
        <f t="shared" ca="1" si="310"/>
        <v>0.39984473250029362</v>
      </c>
      <c r="AH938">
        <f t="shared" ca="1" si="311"/>
        <v>1.5176430338363245E-2</v>
      </c>
      <c r="AI938">
        <f t="shared" ca="1" si="312"/>
        <v>0</v>
      </c>
      <c r="AJ938" s="47">
        <f t="shared" ca="1" si="313"/>
        <v>0</v>
      </c>
      <c r="AK938">
        <f t="shared" ca="1" si="314"/>
        <v>303041.20551517099</v>
      </c>
    </row>
    <row r="939" spans="2:37" x14ac:dyDescent="0.2">
      <c r="B939">
        <f ca="1">Inputs!B12+(Inputs!D12-Inputs!B12)*BETAINV(RAND(),Model!H6,Model!I6)</f>
        <v>4.6000638185512264</v>
      </c>
      <c r="C939">
        <f ca="1">Inputs!E12+(Inputs!G12-Inputs!E12)*BETAINV(RAND(),Model!J6,Model!K6)</f>
        <v>0.35586793008718876</v>
      </c>
      <c r="D939">
        <f ca="1">(Inputs!H12+(Inputs!J12-Inputs!H12)*BETAINV(RAND(),Model!L6,Model!M6))*Inputs!$C$6</f>
        <v>12824.005132893501</v>
      </c>
      <c r="E939">
        <f t="shared" ca="1" si="294"/>
        <v>1.6370151893767944</v>
      </c>
      <c r="F939">
        <f t="shared" ca="1" si="295"/>
        <v>4.8206082252191917E-2</v>
      </c>
      <c r="G939">
        <f t="shared" ca="1" si="296"/>
        <v>0</v>
      </c>
      <c r="H939" s="47">
        <f t="shared" ca="1" si="297"/>
        <v>0</v>
      </c>
      <c r="I939">
        <f ca="1">Inputs!B13+(Inputs!D13-Inputs!B13)*BETAINV(RAND(),Model!H7,Model!I7)</f>
        <v>1.8565401734863698</v>
      </c>
      <c r="J939">
        <f ca="1">Inputs!E13+(Inputs!G13-Inputs!E13)*BETAINV(RAND(),Model!J7,Model!K7)</f>
        <v>0.33653302782759231</v>
      </c>
      <c r="K939">
        <f ca="1">(Inputs!H13+(Inputs!J13-Inputs!H13)*BETAINV(RAND(),Model!L7,Model!M7))*Inputs!$C$6</f>
        <v>25714.692519460463</v>
      </c>
      <c r="L939">
        <f t="shared" ca="1" si="298"/>
        <v>0.62478708586693155</v>
      </c>
      <c r="M939">
        <f t="shared" ca="1" si="299"/>
        <v>0.68988982876401661</v>
      </c>
      <c r="N939">
        <f t="shared" ca="1" si="300"/>
        <v>1</v>
      </c>
      <c r="O939" s="47">
        <f t="shared" ca="1" si="301"/>
        <v>25714.692519460463</v>
      </c>
      <c r="P939">
        <f ca="1">Inputs!B14+(Inputs!D14-Inputs!B14)*BETAINV(RAND(),Model!H8,Model!I8)</f>
        <v>0.3843021529100793</v>
      </c>
      <c r="Q939">
        <f ca="1">Inputs!E14+(Inputs!G14-Inputs!E14)*BETAINV(RAND(),Model!J8,Model!K8)</f>
        <v>0.65462616048504807</v>
      </c>
      <c r="R939">
        <f ca="1">(Inputs!H14+(Inputs!J14-Inputs!H14)*BETAINV(RAND(),Model!L8,Model!M8))*Inputs!$C$6</f>
        <v>252847.62123404918</v>
      </c>
      <c r="S939">
        <f t="shared" ca="1" si="302"/>
        <v>0.25157424282566304</v>
      </c>
      <c r="T939">
        <f t="shared" ca="1" si="303"/>
        <v>0.31091319350568325</v>
      </c>
      <c r="U939">
        <f t="shared" ca="1" si="304"/>
        <v>0</v>
      </c>
      <c r="V939" s="47">
        <f t="shared" ca="1" si="305"/>
        <v>0</v>
      </c>
      <c r="W939">
        <f ca="1">Inputs!B15+(Inputs!D15-Inputs!B15)*BETAINV(RAND(),Model!H9,Model!I9)</f>
        <v>0.78531656532570771</v>
      </c>
      <c r="X939">
        <f ca="1">Inputs!E15+(Inputs!G15-Inputs!E15)*BETAINV(RAND(),Model!J9,Model!K9)</f>
        <v>0.37218690611685212</v>
      </c>
      <c r="Y939">
        <f ca="1">(Inputs!H15+(Inputs!J15-Inputs!H15)*BETAINV(RAND(),Model!L9,Model!M9))*Inputs!$C$6</f>
        <v>31961.334317902172</v>
      </c>
      <c r="Z939">
        <f t="shared" ca="1" si="306"/>
        <v>0.29228454277088795</v>
      </c>
      <c r="AA939">
        <f t="shared" ca="1" si="307"/>
        <v>0.44003977393667393</v>
      </c>
      <c r="AB939">
        <f t="shared" ca="1" si="308"/>
        <v>0</v>
      </c>
      <c r="AC939" s="47">
        <f t="shared" ca="1" si="309"/>
        <v>0</v>
      </c>
      <c r="AD939">
        <f ca="1">Inputs!B16+(Inputs!D16-Inputs!B16)*BETAINV(RAND(),Model!H10,Model!I10)</f>
        <v>0.74241682213275406</v>
      </c>
      <c r="AE939">
        <f ca="1">Inputs!E16+(Inputs!G16-Inputs!E16)*BETAINV(RAND(),Model!J10,Model!K10)</f>
        <v>0.44814819953989588</v>
      </c>
      <c r="AF939">
        <f ca="1">(Inputs!H16+(Inputs!J16-Inputs!H16)*BETAINV(RAND(),Model!L10,Model!M10))*Inputs!$C$6</f>
        <v>80378.529205691331</v>
      </c>
      <c r="AG939">
        <f t="shared" ca="1" si="310"/>
        <v>0.33271276214692486</v>
      </c>
      <c r="AH939">
        <f t="shared" ca="1" si="311"/>
        <v>0.34976375090402645</v>
      </c>
      <c r="AI939">
        <f t="shared" ca="1" si="312"/>
        <v>0</v>
      </c>
      <c r="AJ939" s="47">
        <f t="shared" ca="1" si="313"/>
        <v>0</v>
      </c>
      <c r="AK939">
        <f t="shared" ca="1" si="314"/>
        <v>25714.692519460463</v>
      </c>
    </row>
    <row r="940" spans="2:37" x14ac:dyDescent="0.2">
      <c r="B940">
        <f ca="1">Inputs!B12+(Inputs!D12-Inputs!B12)*BETAINV(RAND(),Model!H6,Model!I6)</f>
        <v>2.8349025548816762</v>
      </c>
      <c r="C940">
        <f ca="1">Inputs!E12+(Inputs!G12-Inputs!E12)*BETAINV(RAND(),Model!J6,Model!K6)</f>
        <v>0.24154217506571307</v>
      </c>
      <c r="D940">
        <f ca="1">(Inputs!H12+(Inputs!J12-Inputs!H12)*BETAINV(RAND(),Model!L6,Model!M6))*Inputs!$C$6</f>
        <v>24153.276089955863</v>
      </c>
      <c r="E940">
        <f t="shared" ca="1" si="294"/>
        <v>0.68474852920546714</v>
      </c>
      <c r="F940">
        <f t="shared" ca="1" si="295"/>
        <v>0.80001764294362299</v>
      </c>
      <c r="G940">
        <f t="shared" ca="1" si="296"/>
        <v>1</v>
      </c>
      <c r="H940" s="47">
        <f t="shared" ca="1" si="297"/>
        <v>24153.276089955863</v>
      </c>
      <c r="I940">
        <f ca="1">Inputs!B13+(Inputs!D13-Inputs!B13)*BETAINV(RAND(),Model!H7,Model!I7)</f>
        <v>3.1471461916409815</v>
      </c>
      <c r="J940">
        <f ca="1">Inputs!E13+(Inputs!G13-Inputs!E13)*BETAINV(RAND(),Model!J7,Model!K7)</f>
        <v>0.18002575228025114</v>
      </c>
      <c r="K940">
        <f ca="1">(Inputs!H13+(Inputs!J13-Inputs!H13)*BETAINV(RAND(),Model!L7,Model!M7))*Inputs!$C$6</f>
        <v>58582.048824881422</v>
      </c>
      <c r="L940">
        <f t="shared" ca="1" si="298"/>
        <v>0.56656736068609515</v>
      </c>
      <c r="M940">
        <f t="shared" ca="1" si="299"/>
        <v>3.180570134748073E-2</v>
      </c>
      <c r="N940">
        <f t="shared" ca="1" si="300"/>
        <v>0</v>
      </c>
      <c r="O940" s="47">
        <f t="shared" ca="1" si="301"/>
        <v>0</v>
      </c>
      <c r="P940">
        <f ca="1">Inputs!B14+(Inputs!D14-Inputs!B14)*BETAINV(RAND(),Model!H8,Model!I8)</f>
        <v>0.33860788163478539</v>
      </c>
      <c r="Q940">
        <f ca="1">Inputs!E14+(Inputs!G14-Inputs!E14)*BETAINV(RAND(),Model!J8,Model!K8)</f>
        <v>0.42567059518085126</v>
      </c>
      <c r="R940">
        <f ca="1">(Inputs!H14+(Inputs!J14-Inputs!H14)*BETAINV(RAND(),Model!L8,Model!M8))*Inputs!$C$6</f>
        <v>389708.2999220849</v>
      </c>
      <c r="S940">
        <f t="shared" ca="1" si="302"/>
        <v>0.14413541850840633</v>
      </c>
      <c r="T940">
        <f t="shared" ca="1" si="303"/>
        <v>0.53650876975974193</v>
      </c>
      <c r="U940">
        <f t="shared" ca="1" si="304"/>
        <v>0</v>
      </c>
      <c r="V940" s="47">
        <f t="shared" ca="1" si="305"/>
        <v>0</v>
      </c>
      <c r="W940">
        <f ca="1">Inputs!B15+(Inputs!D15-Inputs!B15)*BETAINV(RAND(),Model!H9,Model!I9)</f>
        <v>0.66341523555573589</v>
      </c>
      <c r="X940">
        <f ca="1">Inputs!E15+(Inputs!G15-Inputs!E15)*BETAINV(RAND(),Model!J9,Model!K9)</f>
        <v>0.45769342787376405</v>
      </c>
      <c r="Y940">
        <f ca="1">(Inputs!H15+(Inputs!J15-Inputs!H15)*BETAINV(RAND(),Model!L9,Model!M9))*Inputs!$C$6</f>
        <v>31320.674481498358</v>
      </c>
      <c r="Z940">
        <f t="shared" ca="1" si="306"/>
        <v>0.30364079326518539</v>
      </c>
      <c r="AA940">
        <f t="shared" ca="1" si="307"/>
        <v>0.8589713261241454</v>
      </c>
      <c r="AB940">
        <f t="shared" ca="1" si="308"/>
        <v>1</v>
      </c>
      <c r="AC940" s="47">
        <f t="shared" ca="1" si="309"/>
        <v>31320.674481498358</v>
      </c>
      <c r="AD940">
        <f ca="1">Inputs!B16+(Inputs!D16-Inputs!B16)*BETAINV(RAND(),Model!H10,Model!I10)</f>
        <v>0.27165778721972422</v>
      </c>
      <c r="AE940">
        <f ca="1">Inputs!E16+(Inputs!G16-Inputs!E16)*BETAINV(RAND(),Model!J10,Model!K10)</f>
        <v>0.62255550515826519</v>
      </c>
      <c r="AF940">
        <f ca="1">(Inputs!H16+(Inputs!J16-Inputs!H16)*BETAINV(RAND(),Model!L10,Model!M10))*Inputs!$C$6</f>
        <v>71103.124448503455</v>
      </c>
      <c r="AG940">
        <f t="shared" ca="1" si="310"/>
        <v>0.16912205095275193</v>
      </c>
      <c r="AH940">
        <f t="shared" ca="1" si="311"/>
        <v>0.22358272803651902</v>
      </c>
      <c r="AI940">
        <f t="shared" ca="1" si="312"/>
        <v>0</v>
      </c>
      <c r="AJ940" s="47">
        <f t="shared" ca="1" si="313"/>
        <v>0</v>
      </c>
      <c r="AK940">
        <f t="shared" ca="1" si="314"/>
        <v>55473.950571454217</v>
      </c>
    </row>
    <row r="941" spans="2:37" x14ac:dyDescent="0.2">
      <c r="B941">
        <f ca="1">Inputs!B12+(Inputs!D12-Inputs!B12)*BETAINV(RAND(),Model!H6,Model!I6)</f>
        <v>5.0903956894076945</v>
      </c>
      <c r="C941">
        <f ca="1">Inputs!E12+(Inputs!G12-Inputs!E12)*BETAINV(RAND(),Model!J6,Model!K6)</f>
        <v>0.42942171422792441</v>
      </c>
      <c r="D941">
        <f ca="1">(Inputs!H12+(Inputs!J12-Inputs!H12)*BETAINV(RAND(),Model!L6,Model!M6))*Inputs!$C$6</f>
        <v>44108.435510334988</v>
      </c>
      <c r="E941">
        <f t="shared" ca="1" si="294"/>
        <v>2.1859264430438894</v>
      </c>
      <c r="F941">
        <f t="shared" ca="1" si="295"/>
        <v>0.30483834328143611</v>
      </c>
      <c r="G941">
        <f t="shared" ca="1" si="296"/>
        <v>1</v>
      </c>
      <c r="H941" s="47">
        <f t="shared" ca="1" si="297"/>
        <v>44108.435510334988</v>
      </c>
      <c r="I941">
        <f ca="1">Inputs!B13+(Inputs!D13-Inputs!B13)*BETAINV(RAND(),Model!H7,Model!I7)</f>
        <v>1.6308888067901914</v>
      </c>
      <c r="J941">
        <f ca="1">Inputs!E13+(Inputs!G13-Inputs!E13)*BETAINV(RAND(),Model!J7,Model!K7)</f>
        <v>0.1520846882979387</v>
      </c>
      <c r="K941">
        <f ca="1">(Inputs!H13+(Inputs!J13-Inputs!H13)*BETAINV(RAND(),Model!L7,Model!M7))*Inputs!$C$6</f>
        <v>69100.56649283618</v>
      </c>
      <c r="L941">
        <f t="shared" ca="1" si="298"/>
        <v>0.24803321582928342</v>
      </c>
      <c r="M941">
        <f t="shared" ca="1" si="299"/>
        <v>0.68789684926565409</v>
      </c>
      <c r="N941">
        <f t="shared" ca="1" si="300"/>
        <v>0</v>
      </c>
      <c r="O941" s="47">
        <f t="shared" ca="1" si="301"/>
        <v>0</v>
      </c>
      <c r="P941">
        <f ca="1">Inputs!B14+(Inputs!D14-Inputs!B14)*BETAINV(RAND(),Model!H8,Model!I8)</f>
        <v>0.27396138557429828</v>
      </c>
      <c r="Q941">
        <f ca="1">Inputs!E14+(Inputs!G14-Inputs!E14)*BETAINV(RAND(),Model!J8,Model!K8)</f>
        <v>0.63428433779559257</v>
      </c>
      <c r="R941">
        <f ca="1">(Inputs!H14+(Inputs!J14-Inputs!H14)*BETAINV(RAND(),Model!L8,Model!M8))*Inputs!$C$6</f>
        <v>305006.16421539156</v>
      </c>
      <c r="S941">
        <f t="shared" ca="1" si="302"/>
        <v>0.17376941603055679</v>
      </c>
      <c r="T941">
        <f t="shared" ca="1" si="303"/>
        <v>0.60285760953240575</v>
      </c>
      <c r="U941">
        <f t="shared" ca="1" si="304"/>
        <v>0</v>
      </c>
      <c r="V941" s="47">
        <f t="shared" ca="1" si="305"/>
        <v>0</v>
      </c>
      <c r="W941">
        <f ca="1">Inputs!B15+(Inputs!D15-Inputs!B15)*BETAINV(RAND(),Model!H9,Model!I9)</f>
        <v>0.96326889516699232</v>
      </c>
      <c r="X941">
        <f ca="1">Inputs!E15+(Inputs!G15-Inputs!E15)*BETAINV(RAND(),Model!J9,Model!K9)</f>
        <v>0.30031047369260133</v>
      </c>
      <c r="Y941">
        <f ca="1">(Inputs!H15+(Inputs!J15-Inputs!H15)*BETAINV(RAND(),Model!L9,Model!M9))*Inputs!$C$6</f>
        <v>20224.610809898164</v>
      </c>
      <c r="Z941">
        <f t="shared" ca="1" si="306"/>
        <v>0.28927973820094821</v>
      </c>
      <c r="AA941">
        <f t="shared" ca="1" si="307"/>
        <v>0.51398768183997245</v>
      </c>
      <c r="AB941">
        <f t="shared" ca="1" si="308"/>
        <v>0</v>
      </c>
      <c r="AC941" s="47">
        <f t="shared" ca="1" si="309"/>
        <v>0</v>
      </c>
      <c r="AD941">
        <f ca="1">Inputs!B16+(Inputs!D16-Inputs!B16)*BETAINV(RAND(),Model!H10,Model!I10)</f>
        <v>0.63470295663336129</v>
      </c>
      <c r="AE941">
        <f ca="1">Inputs!E16+(Inputs!G16-Inputs!E16)*BETAINV(RAND(),Model!J10,Model!K10)</f>
        <v>0.67590456950979472</v>
      </c>
      <c r="AF941">
        <f ca="1">(Inputs!H16+(Inputs!J16-Inputs!H16)*BETAINV(RAND(),Model!L10,Model!M10))*Inputs!$C$6</f>
        <v>107710.35080145436</v>
      </c>
      <c r="AG941">
        <f t="shared" ca="1" si="310"/>
        <v>0.42899862866986599</v>
      </c>
      <c r="AH941">
        <f t="shared" ca="1" si="311"/>
        <v>7.6812753939498712E-2</v>
      </c>
      <c r="AI941">
        <f t="shared" ca="1" si="312"/>
        <v>0</v>
      </c>
      <c r="AJ941" s="47">
        <f t="shared" ca="1" si="313"/>
        <v>0</v>
      </c>
      <c r="AK941">
        <f t="shared" ca="1" si="314"/>
        <v>44108.435510334988</v>
      </c>
    </row>
    <row r="942" spans="2:37" x14ac:dyDescent="0.2">
      <c r="B942">
        <f ca="1">Inputs!B12+(Inputs!D12-Inputs!B12)*BETAINV(RAND(),Model!H6,Model!I6)</f>
        <v>3.1052277992760757</v>
      </c>
      <c r="C942">
        <f ca="1">Inputs!E12+(Inputs!G12-Inputs!E12)*BETAINV(RAND(),Model!J6,Model!K6)</f>
        <v>0.24571133977661741</v>
      </c>
      <c r="D942">
        <f ca="1">(Inputs!H12+(Inputs!J12-Inputs!H12)*BETAINV(RAND(),Model!L6,Model!M6))*Inputs!$C$6</f>
        <v>26992.751640771738</v>
      </c>
      <c r="E942">
        <f t="shared" ca="1" si="294"/>
        <v>0.76298968287172175</v>
      </c>
      <c r="F942">
        <f t="shared" ca="1" si="295"/>
        <v>1.702036672129803E-2</v>
      </c>
      <c r="G942">
        <f t="shared" ca="1" si="296"/>
        <v>0</v>
      </c>
      <c r="H942" s="47">
        <f t="shared" ca="1" si="297"/>
        <v>0</v>
      </c>
      <c r="I942">
        <f ca="1">Inputs!B13+(Inputs!D13-Inputs!B13)*BETAINV(RAND(),Model!H7,Model!I7)</f>
        <v>2.0895121508878418</v>
      </c>
      <c r="J942">
        <f ca="1">Inputs!E13+(Inputs!G13-Inputs!E13)*BETAINV(RAND(),Model!J7,Model!K7)</f>
        <v>0.27290194629199349</v>
      </c>
      <c r="K942">
        <f ca="1">(Inputs!H13+(Inputs!J13-Inputs!H13)*BETAINV(RAND(),Model!L7,Model!M7))*Inputs!$C$6</f>
        <v>39070.484953995139</v>
      </c>
      <c r="L942">
        <f t="shared" ca="1" si="298"/>
        <v>0.57023193277806161</v>
      </c>
      <c r="M942">
        <f t="shared" ca="1" si="299"/>
        <v>0.58028113398111725</v>
      </c>
      <c r="N942">
        <f t="shared" ca="1" si="300"/>
        <v>1</v>
      </c>
      <c r="O942" s="47">
        <f t="shared" ca="1" si="301"/>
        <v>39070.484953995139</v>
      </c>
      <c r="P942">
        <f ca="1">Inputs!B14+(Inputs!D14-Inputs!B14)*BETAINV(RAND(),Model!H8,Model!I8)</f>
        <v>0.31338725767847031</v>
      </c>
      <c r="Q942">
        <f ca="1">Inputs!E14+(Inputs!G14-Inputs!E14)*BETAINV(RAND(),Model!J8,Model!K8)</f>
        <v>0.83633400811073888</v>
      </c>
      <c r="R942">
        <f ca="1">(Inputs!H14+(Inputs!J14-Inputs!H14)*BETAINV(RAND(),Model!L8,Model!M8))*Inputs!$C$6</f>
        <v>394383.76373358746</v>
      </c>
      <c r="S942">
        <f t="shared" ca="1" si="302"/>
        <v>0.26209642130506799</v>
      </c>
      <c r="T942">
        <f t="shared" ca="1" si="303"/>
        <v>0.59884550518457802</v>
      </c>
      <c r="U942">
        <f t="shared" ca="1" si="304"/>
        <v>0</v>
      </c>
      <c r="V942" s="47">
        <f t="shared" ca="1" si="305"/>
        <v>0</v>
      </c>
      <c r="W942">
        <f ca="1">Inputs!B15+(Inputs!D15-Inputs!B15)*BETAINV(RAND(),Model!H9,Model!I9)</f>
        <v>0.47298522216239314</v>
      </c>
      <c r="X942">
        <f ca="1">Inputs!E15+(Inputs!G15-Inputs!E15)*BETAINV(RAND(),Model!J9,Model!K9)</f>
        <v>0.39542656094877493</v>
      </c>
      <c r="Y942">
        <f ca="1">(Inputs!H15+(Inputs!J15-Inputs!H15)*BETAINV(RAND(),Model!L9,Model!M9))*Inputs!$C$6</f>
        <v>34228.446616320485</v>
      </c>
      <c r="Z942">
        <f t="shared" ca="1" si="306"/>
        <v>0.18703091977926739</v>
      </c>
      <c r="AA942">
        <f t="shared" ca="1" si="307"/>
        <v>0.41481783061371569</v>
      </c>
      <c r="AB942">
        <f t="shared" ca="1" si="308"/>
        <v>0</v>
      </c>
      <c r="AC942" s="47">
        <f t="shared" ca="1" si="309"/>
        <v>0</v>
      </c>
      <c r="AD942">
        <f ca="1">Inputs!B16+(Inputs!D16-Inputs!B16)*BETAINV(RAND(),Model!H10,Model!I10)</f>
        <v>1.0251990681564029</v>
      </c>
      <c r="AE942">
        <f ca="1">Inputs!E16+(Inputs!G16-Inputs!E16)*BETAINV(RAND(),Model!J10,Model!K10)</f>
        <v>0.48629965759655885</v>
      </c>
      <c r="AF942">
        <f ca="1">(Inputs!H16+(Inputs!J16-Inputs!H16)*BETAINV(RAND(),Model!L10,Model!M10))*Inputs!$C$6</f>
        <v>96675.517575217862</v>
      </c>
      <c r="AG942">
        <f t="shared" ca="1" si="310"/>
        <v>0.49855395581276996</v>
      </c>
      <c r="AH942">
        <f t="shared" ca="1" si="311"/>
        <v>0.92060334107367725</v>
      </c>
      <c r="AI942">
        <f t="shared" ca="1" si="312"/>
        <v>2</v>
      </c>
      <c r="AJ942" s="47">
        <f t="shared" ca="1" si="313"/>
        <v>193351.03515043572</v>
      </c>
      <c r="AK942">
        <f t="shared" ca="1" si="314"/>
        <v>232421.52010443085</v>
      </c>
    </row>
    <row r="943" spans="2:37" x14ac:dyDescent="0.2">
      <c r="B943">
        <f ca="1">Inputs!B12+(Inputs!D12-Inputs!B12)*BETAINV(RAND(),Model!H6,Model!I6)</f>
        <v>1.2281229868869299</v>
      </c>
      <c r="C943">
        <f ca="1">Inputs!E12+(Inputs!G12-Inputs!E12)*BETAINV(RAND(),Model!J6,Model!K6)</f>
        <v>0.18650491288388038</v>
      </c>
      <c r="D943">
        <f ca="1">(Inputs!H12+(Inputs!J12-Inputs!H12)*BETAINV(RAND(),Model!L6,Model!M6))*Inputs!$C$6</f>
        <v>27620.668326833238</v>
      </c>
      <c r="E943">
        <f t="shared" ca="1" si="294"/>
        <v>0.22905097068003782</v>
      </c>
      <c r="F943">
        <f t="shared" ca="1" si="295"/>
        <v>0.98647000494517068</v>
      </c>
      <c r="G943">
        <f t="shared" ca="1" si="296"/>
        <v>2</v>
      </c>
      <c r="H943" s="47">
        <f t="shared" ca="1" si="297"/>
        <v>55241.336653666476</v>
      </c>
      <c r="I943">
        <f ca="1">Inputs!B13+(Inputs!D13-Inputs!B13)*BETAINV(RAND(),Model!H7,Model!I7)</f>
        <v>2.0596660340361934</v>
      </c>
      <c r="J943">
        <f ca="1">Inputs!E13+(Inputs!G13-Inputs!E13)*BETAINV(RAND(),Model!J7,Model!K7)</f>
        <v>0.23491676325454205</v>
      </c>
      <c r="K943">
        <f ca="1">(Inputs!H13+(Inputs!J13-Inputs!H13)*BETAINV(RAND(),Model!L7,Model!M7))*Inputs!$C$6</f>
        <v>33233.878894832225</v>
      </c>
      <c r="L943">
        <f t="shared" ca="1" si="298"/>
        <v>0.48385007810110203</v>
      </c>
      <c r="M943">
        <f t="shared" ca="1" si="299"/>
        <v>0.50207527208524305</v>
      </c>
      <c r="N943">
        <f t="shared" ca="1" si="300"/>
        <v>0</v>
      </c>
      <c r="O943" s="47">
        <f t="shared" ca="1" si="301"/>
        <v>0</v>
      </c>
      <c r="P943">
        <f ca="1">Inputs!B14+(Inputs!D14-Inputs!B14)*BETAINV(RAND(),Model!H8,Model!I8)</f>
        <v>0.22721022727495033</v>
      </c>
      <c r="Q943">
        <f ca="1">Inputs!E14+(Inputs!G14-Inputs!E14)*BETAINV(RAND(),Model!J8,Model!K8)</f>
        <v>0.44523639131852122</v>
      </c>
      <c r="R943">
        <f ca="1">(Inputs!H14+(Inputs!J14-Inputs!H14)*BETAINV(RAND(),Model!L8,Model!M8))*Inputs!$C$6</f>
        <v>587847.73888491152</v>
      </c>
      <c r="S943">
        <f t="shared" ca="1" si="302"/>
        <v>0.10116226166255993</v>
      </c>
      <c r="T943">
        <f t="shared" ca="1" si="303"/>
        <v>0.75800649888624017</v>
      </c>
      <c r="U943">
        <f t="shared" ca="1" si="304"/>
        <v>0</v>
      </c>
      <c r="V943" s="47">
        <f t="shared" ca="1" si="305"/>
        <v>0</v>
      </c>
      <c r="W943">
        <f ca="1">Inputs!B15+(Inputs!D15-Inputs!B15)*BETAINV(RAND(),Model!H9,Model!I9)</f>
        <v>1.8253127841760097</v>
      </c>
      <c r="X943">
        <f ca="1">Inputs!E15+(Inputs!G15-Inputs!E15)*BETAINV(RAND(),Model!J9,Model!K9)</f>
        <v>0.51146943218210494</v>
      </c>
      <c r="Y943">
        <f ca="1">(Inputs!H15+(Inputs!J15-Inputs!H15)*BETAINV(RAND(),Model!L9,Model!M9))*Inputs!$C$6</f>
        <v>35878.723297866163</v>
      </c>
      <c r="Z943">
        <f t="shared" ca="1" si="306"/>
        <v>0.93359169327724079</v>
      </c>
      <c r="AA943">
        <f t="shared" ca="1" si="307"/>
        <v>0.3361822299092907</v>
      </c>
      <c r="AB943">
        <f t="shared" ca="1" si="308"/>
        <v>0</v>
      </c>
      <c r="AC943" s="47">
        <f t="shared" ca="1" si="309"/>
        <v>0</v>
      </c>
      <c r="AD943">
        <f ca="1">Inputs!B16+(Inputs!D16-Inputs!B16)*BETAINV(RAND(),Model!H10,Model!I10)</f>
        <v>0.44642939212807842</v>
      </c>
      <c r="AE943">
        <f ca="1">Inputs!E16+(Inputs!G16-Inputs!E16)*BETAINV(RAND(),Model!J10,Model!K10)</f>
        <v>0.64001507750633746</v>
      </c>
      <c r="AF943">
        <f ca="1">(Inputs!H16+(Inputs!J16-Inputs!H16)*BETAINV(RAND(),Model!L10,Model!M10))*Inputs!$C$6</f>
        <v>65910.62193524238</v>
      </c>
      <c r="AG943">
        <f t="shared" ca="1" si="310"/>
        <v>0.28572154200395922</v>
      </c>
      <c r="AH943">
        <f t="shared" ca="1" si="311"/>
        <v>0.8288437690976781</v>
      </c>
      <c r="AI943">
        <f t="shared" ca="1" si="312"/>
        <v>1</v>
      </c>
      <c r="AJ943" s="47">
        <f t="shared" ca="1" si="313"/>
        <v>65910.62193524238</v>
      </c>
      <c r="AK943">
        <f t="shared" ca="1" si="314"/>
        <v>121151.95858890886</v>
      </c>
    </row>
    <row r="944" spans="2:37" x14ac:dyDescent="0.2">
      <c r="B944">
        <f ca="1">Inputs!B12+(Inputs!D12-Inputs!B12)*BETAINV(RAND(),Model!H6,Model!I6)</f>
        <v>3.1784980982411026</v>
      </c>
      <c r="C944">
        <f ca="1">Inputs!E12+(Inputs!G12-Inputs!E12)*BETAINV(RAND(),Model!J6,Model!K6)</f>
        <v>0.28126906296089077</v>
      </c>
      <c r="D944">
        <f ca="1">(Inputs!H12+(Inputs!J12-Inputs!H12)*BETAINV(RAND(),Model!L6,Model!M6))*Inputs!$C$6</f>
        <v>30328.639076502124</v>
      </c>
      <c r="E944">
        <f t="shared" ca="1" si="294"/>
        <v>0.89401318171524824</v>
      </c>
      <c r="F944">
        <f t="shared" ca="1" si="295"/>
        <v>7.6744695544397223E-2</v>
      </c>
      <c r="G944">
        <f t="shared" ca="1" si="296"/>
        <v>0</v>
      </c>
      <c r="H944" s="47">
        <f t="shared" ca="1" si="297"/>
        <v>0</v>
      </c>
      <c r="I944">
        <f ca="1">Inputs!B13+(Inputs!D13-Inputs!B13)*BETAINV(RAND(),Model!H7,Model!I7)</f>
        <v>2.3026015624838188</v>
      </c>
      <c r="J944">
        <f ca="1">Inputs!E13+(Inputs!G13-Inputs!E13)*BETAINV(RAND(),Model!J7,Model!K7)</f>
        <v>0.27307098831580845</v>
      </c>
      <c r="K944">
        <f ca="1">(Inputs!H13+(Inputs!J13-Inputs!H13)*BETAINV(RAND(),Model!L7,Model!M7))*Inputs!$C$6</f>
        <v>22574.007641303113</v>
      </c>
      <c r="L944">
        <f t="shared" ca="1" si="298"/>
        <v>0.62877368436498116</v>
      </c>
      <c r="M944">
        <f t="shared" ca="1" si="299"/>
        <v>0.70737706780187182</v>
      </c>
      <c r="N944">
        <f t="shared" ca="1" si="300"/>
        <v>1</v>
      </c>
      <c r="O944" s="47">
        <f t="shared" ca="1" si="301"/>
        <v>22574.007641303113</v>
      </c>
      <c r="P944">
        <f ca="1">Inputs!B14+(Inputs!D14-Inputs!B14)*BETAINV(RAND(),Model!H8,Model!I8)</f>
        <v>0.18431131353902871</v>
      </c>
      <c r="Q944">
        <f ca="1">Inputs!E14+(Inputs!G14-Inputs!E14)*BETAINV(RAND(),Model!J8,Model!K8)</f>
        <v>0.42398699258220912</v>
      </c>
      <c r="R944">
        <f ca="1">(Inputs!H14+(Inputs!J14-Inputs!H14)*BETAINV(RAND(),Model!L8,Model!M8))*Inputs!$C$6</f>
        <v>397108.64542363893</v>
      </c>
      <c r="S944">
        <f t="shared" ca="1" si="302"/>
        <v>7.8145599526289383E-2</v>
      </c>
      <c r="T944">
        <f t="shared" ca="1" si="303"/>
        <v>0.62867233944647449</v>
      </c>
      <c r="U944">
        <f t="shared" ca="1" si="304"/>
        <v>0</v>
      </c>
      <c r="V944" s="47">
        <f t="shared" ca="1" si="305"/>
        <v>0</v>
      </c>
      <c r="W944">
        <f ca="1">Inputs!B15+(Inputs!D15-Inputs!B15)*BETAINV(RAND(),Model!H9,Model!I9)</f>
        <v>1.6492285791342418</v>
      </c>
      <c r="X944">
        <f ca="1">Inputs!E15+(Inputs!G15-Inputs!E15)*BETAINV(RAND(),Model!J9,Model!K9)</f>
        <v>0.45966955800113274</v>
      </c>
      <c r="Y944">
        <f ca="1">(Inputs!H15+(Inputs!J15-Inputs!H15)*BETAINV(RAND(),Model!L9,Model!M9))*Inputs!$C$6</f>
        <v>18429.363412791321</v>
      </c>
      <c r="Z944">
        <f t="shared" ca="1" si="306"/>
        <v>0.75810017201347313</v>
      </c>
      <c r="AA944">
        <f t="shared" ca="1" si="307"/>
        <v>0.26337103550763985</v>
      </c>
      <c r="AB944">
        <f t="shared" ca="1" si="308"/>
        <v>0</v>
      </c>
      <c r="AC944" s="47">
        <f t="shared" ca="1" si="309"/>
        <v>0</v>
      </c>
      <c r="AD944">
        <f ca="1">Inputs!B16+(Inputs!D16-Inputs!B16)*BETAINV(RAND(),Model!H10,Model!I10)</f>
        <v>0.82619130418451059</v>
      </c>
      <c r="AE944">
        <f ca="1">Inputs!E16+(Inputs!G16-Inputs!E16)*BETAINV(RAND(),Model!J10,Model!K10)</f>
        <v>0.53435412699369556</v>
      </c>
      <c r="AF944">
        <f ca="1">(Inputs!H16+(Inputs!J16-Inputs!H16)*BETAINV(RAND(),Model!L10,Model!M10))*Inputs!$C$6</f>
        <v>87628.244784122857</v>
      </c>
      <c r="AG944">
        <f t="shared" ca="1" si="310"/>
        <v>0.4414787330772969</v>
      </c>
      <c r="AH944">
        <f t="shared" ca="1" si="311"/>
        <v>0.13748224863362213</v>
      </c>
      <c r="AI944">
        <f t="shared" ca="1" si="312"/>
        <v>0</v>
      </c>
      <c r="AJ944" s="47">
        <f t="shared" ca="1" si="313"/>
        <v>0</v>
      </c>
      <c r="AK944">
        <f t="shared" ca="1" si="314"/>
        <v>22574.007641303113</v>
      </c>
    </row>
    <row r="945" spans="2:37" x14ac:dyDescent="0.2">
      <c r="B945">
        <f ca="1">Inputs!B12+(Inputs!D12-Inputs!B12)*BETAINV(RAND(),Model!H6,Model!I6)</f>
        <v>3.8445919113804021</v>
      </c>
      <c r="C945">
        <f ca="1">Inputs!E12+(Inputs!G12-Inputs!E12)*BETAINV(RAND(),Model!J6,Model!K6)</f>
        <v>0.19292491661903582</v>
      </c>
      <c r="D945">
        <f ca="1">(Inputs!H12+(Inputs!J12-Inputs!H12)*BETAINV(RAND(),Model!L6,Model!M6))*Inputs!$C$6</f>
        <v>32621.905008034035</v>
      </c>
      <c r="E945">
        <f t="shared" ca="1" si="294"/>
        <v>0.74171757393728366</v>
      </c>
      <c r="F945">
        <f t="shared" ca="1" si="295"/>
        <v>0.58242385167689326</v>
      </c>
      <c r="G945">
        <f t="shared" ca="1" si="296"/>
        <v>1</v>
      </c>
      <c r="H945" s="47">
        <f t="shared" ca="1" si="297"/>
        <v>32621.905008034035</v>
      </c>
      <c r="I945">
        <f ca="1">Inputs!B13+(Inputs!D13-Inputs!B13)*BETAINV(RAND(),Model!H7,Model!I7)</f>
        <v>3.4896160300072903</v>
      </c>
      <c r="J945">
        <f ca="1">Inputs!E13+(Inputs!G13-Inputs!E13)*BETAINV(RAND(),Model!J7,Model!K7)</f>
        <v>0.2370949428304289</v>
      </c>
      <c r="K945">
        <f ca="1">(Inputs!H13+(Inputs!J13-Inputs!H13)*BETAINV(RAND(),Model!L7,Model!M7))*Inputs!$C$6</f>
        <v>51270.562665001351</v>
      </c>
      <c r="L945">
        <f t="shared" ca="1" si="298"/>
        <v>0.82737031313472675</v>
      </c>
      <c r="M945">
        <f t="shared" ca="1" si="299"/>
        <v>0.73369450199631936</v>
      </c>
      <c r="N945">
        <f t="shared" ca="1" si="300"/>
        <v>1</v>
      </c>
      <c r="O945" s="47">
        <f t="shared" ca="1" si="301"/>
        <v>51270.562665001351</v>
      </c>
      <c r="P945">
        <f ca="1">Inputs!B14+(Inputs!D14-Inputs!B14)*BETAINV(RAND(),Model!H8,Model!I8)</f>
        <v>0.29370552705299841</v>
      </c>
      <c r="Q945">
        <f ca="1">Inputs!E14+(Inputs!G14-Inputs!E14)*BETAINV(RAND(),Model!J8,Model!K8)</f>
        <v>0.78282548217604797</v>
      </c>
      <c r="R945">
        <f ca="1">(Inputs!H14+(Inputs!J14-Inputs!H14)*BETAINV(RAND(),Model!L8,Model!M8))*Inputs!$C$6</f>
        <v>296280.45909294742</v>
      </c>
      <c r="S945">
        <f t="shared" ca="1" si="302"/>
        <v>0.22992017083303379</v>
      </c>
      <c r="T945">
        <f t="shared" ca="1" si="303"/>
        <v>0.38432449264658086</v>
      </c>
      <c r="U945">
        <f t="shared" ca="1" si="304"/>
        <v>0</v>
      </c>
      <c r="V945" s="47">
        <f t="shared" ca="1" si="305"/>
        <v>0</v>
      </c>
      <c r="W945">
        <f ca="1">Inputs!B15+(Inputs!D15-Inputs!B15)*BETAINV(RAND(),Model!H9,Model!I9)</f>
        <v>1.591588188513956</v>
      </c>
      <c r="X945">
        <f ca="1">Inputs!E15+(Inputs!G15-Inputs!E15)*BETAINV(RAND(),Model!J9,Model!K9)</f>
        <v>0.51445263853301415</v>
      </c>
      <c r="Y945">
        <f ca="1">(Inputs!H15+(Inputs!J15-Inputs!H15)*BETAINV(RAND(),Model!L9,Model!M9))*Inputs!$C$6</f>
        <v>31760.652689748913</v>
      </c>
      <c r="Z945">
        <f t="shared" ca="1" si="306"/>
        <v>0.81879674303898498</v>
      </c>
      <c r="AA945">
        <f t="shared" ca="1" si="307"/>
        <v>0.93788518901563211</v>
      </c>
      <c r="AB945">
        <f t="shared" ca="1" si="308"/>
        <v>2</v>
      </c>
      <c r="AC945" s="47">
        <f t="shared" ca="1" si="309"/>
        <v>63521.305379497826</v>
      </c>
      <c r="AD945">
        <f ca="1">Inputs!B16+(Inputs!D16-Inputs!B16)*BETAINV(RAND(),Model!H10,Model!I10)</f>
        <v>1.081979344669364</v>
      </c>
      <c r="AE945">
        <f ca="1">Inputs!E16+(Inputs!G16-Inputs!E16)*BETAINV(RAND(),Model!J10,Model!K10)</f>
        <v>0.76274665665378305</v>
      </c>
      <c r="AF945">
        <f ca="1">(Inputs!H16+(Inputs!J16-Inputs!H16)*BETAINV(RAND(),Model!L10,Model!M10))*Inputs!$C$6</f>
        <v>58727.25905644786</v>
      </c>
      <c r="AG945">
        <f t="shared" ca="1" si="310"/>
        <v>0.82527612771500858</v>
      </c>
      <c r="AH945">
        <f t="shared" ca="1" si="311"/>
        <v>0.21697886333496452</v>
      </c>
      <c r="AI945">
        <f t="shared" ca="1" si="312"/>
        <v>0</v>
      </c>
      <c r="AJ945" s="47">
        <f t="shared" ca="1" si="313"/>
        <v>0</v>
      </c>
      <c r="AK945">
        <f t="shared" ca="1" si="314"/>
        <v>147413.77305253322</v>
      </c>
    </row>
    <row r="946" spans="2:37" x14ac:dyDescent="0.2">
      <c r="B946">
        <f ca="1">Inputs!B12+(Inputs!D12-Inputs!B12)*BETAINV(RAND(),Model!H6,Model!I6)</f>
        <v>6.1946858273171879</v>
      </c>
      <c r="C946">
        <f ca="1">Inputs!E12+(Inputs!G12-Inputs!E12)*BETAINV(RAND(),Model!J6,Model!K6)</f>
        <v>0.35645620881152151</v>
      </c>
      <c r="D946">
        <f ca="1">(Inputs!H12+(Inputs!J12-Inputs!H12)*BETAINV(RAND(),Model!L6,Model!M6))*Inputs!$C$6</f>
        <v>13496.169688800832</v>
      </c>
      <c r="E946">
        <f t="shared" ca="1" si="294"/>
        <v>2.2081342247839486</v>
      </c>
      <c r="F946">
        <f t="shared" ca="1" si="295"/>
        <v>0.11119124009632475</v>
      </c>
      <c r="G946">
        <f t="shared" ca="1" si="296"/>
        <v>1</v>
      </c>
      <c r="H946" s="47">
        <f t="shared" ca="1" si="297"/>
        <v>13496.169688800832</v>
      </c>
      <c r="I946">
        <f ca="1">Inputs!B13+(Inputs!D13-Inputs!B13)*BETAINV(RAND(),Model!H7,Model!I7)</f>
        <v>2.7513965917820427</v>
      </c>
      <c r="J946">
        <f ca="1">Inputs!E13+(Inputs!G13-Inputs!E13)*BETAINV(RAND(),Model!J7,Model!K7)</f>
        <v>0.18627631159774885</v>
      </c>
      <c r="K946">
        <f ca="1">(Inputs!H13+(Inputs!J13-Inputs!H13)*BETAINV(RAND(),Model!L7,Model!M7))*Inputs!$C$6</f>
        <v>23712.030647703406</v>
      </c>
      <c r="L946">
        <f t="shared" ca="1" si="298"/>
        <v>0.512520008859776</v>
      </c>
      <c r="M946">
        <f t="shared" ca="1" si="299"/>
        <v>3.1641148220585058E-2</v>
      </c>
      <c r="N946">
        <f t="shared" ca="1" si="300"/>
        <v>0</v>
      </c>
      <c r="O946" s="47">
        <f t="shared" ca="1" si="301"/>
        <v>0</v>
      </c>
      <c r="P946">
        <f ca="1">Inputs!B14+(Inputs!D14-Inputs!B14)*BETAINV(RAND(),Model!H8,Model!I8)</f>
        <v>0.16428312332648948</v>
      </c>
      <c r="Q946">
        <f ca="1">Inputs!E14+(Inputs!G14-Inputs!E14)*BETAINV(RAND(),Model!J8,Model!K8)</f>
        <v>0.67425437775933372</v>
      </c>
      <c r="R946">
        <f ca="1">(Inputs!H14+(Inputs!J14-Inputs!H14)*BETAINV(RAND(),Model!L8,Model!M8))*Inputs!$C$6</f>
        <v>436729.62054365309</v>
      </c>
      <c r="S946">
        <f t="shared" ca="1" si="302"/>
        <v>0.11076861509486205</v>
      </c>
      <c r="T946">
        <f t="shared" ca="1" si="303"/>
        <v>6.755558908114967E-2</v>
      </c>
      <c r="U946">
        <f t="shared" ca="1" si="304"/>
        <v>0</v>
      </c>
      <c r="V946" s="47">
        <f t="shared" ca="1" si="305"/>
        <v>0</v>
      </c>
      <c r="W946">
        <f ca="1">Inputs!B15+(Inputs!D15-Inputs!B15)*BETAINV(RAND(),Model!H9,Model!I9)</f>
        <v>1.5792837216794318</v>
      </c>
      <c r="X946">
        <f ca="1">Inputs!E15+(Inputs!G15-Inputs!E15)*BETAINV(RAND(),Model!J9,Model!K9)</f>
        <v>0.4342542483569426</v>
      </c>
      <c r="Y946">
        <f ca="1">(Inputs!H15+(Inputs!J15-Inputs!H15)*BETAINV(RAND(),Model!L9,Model!M9))*Inputs!$C$6</f>
        <v>34523.390813709848</v>
      </c>
      <c r="Z946">
        <f t="shared" ca="1" si="306"/>
        <v>0.6858106655002566</v>
      </c>
      <c r="AA946">
        <f t="shared" ca="1" si="307"/>
        <v>0.81836021722782104</v>
      </c>
      <c r="AB946">
        <f t="shared" ca="1" si="308"/>
        <v>1</v>
      </c>
      <c r="AC946" s="47">
        <f t="shared" ca="1" si="309"/>
        <v>34523.390813709848</v>
      </c>
      <c r="AD946">
        <f ca="1">Inputs!B16+(Inputs!D16-Inputs!B16)*BETAINV(RAND(),Model!H10,Model!I10)</f>
        <v>0.57093335587600569</v>
      </c>
      <c r="AE946">
        <f ca="1">Inputs!E16+(Inputs!G16-Inputs!E16)*BETAINV(RAND(),Model!J10,Model!K10)</f>
        <v>0.54749697511346973</v>
      </c>
      <c r="AF946">
        <f ca="1">(Inputs!H16+(Inputs!J16-Inputs!H16)*BETAINV(RAND(),Model!L10,Model!M10))*Inputs!$C$6</f>
        <v>37559.392149127794</v>
      </c>
      <c r="AG946">
        <f t="shared" ca="1" si="310"/>
        <v>0.31258428533349525</v>
      </c>
      <c r="AH946">
        <f t="shared" ca="1" si="311"/>
        <v>0.32871116989952487</v>
      </c>
      <c r="AI946">
        <f t="shared" ca="1" si="312"/>
        <v>0</v>
      </c>
      <c r="AJ946" s="47">
        <f t="shared" ca="1" si="313"/>
        <v>0</v>
      </c>
      <c r="AK946">
        <f t="shared" ca="1" si="314"/>
        <v>48019.560502510678</v>
      </c>
    </row>
    <row r="947" spans="2:37" x14ac:dyDescent="0.2">
      <c r="B947">
        <f ca="1">Inputs!B12+(Inputs!D12-Inputs!B12)*BETAINV(RAND(),Model!H6,Model!I6)</f>
        <v>4.3172516945972195</v>
      </c>
      <c r="C947">
        <f ca="1">Inputs!E12+(Inputs!G12-Inputs!E12)*BETAINV(RAND(),Model!J6,Model!K6)</f>
        <v>0.3376664636765192</v>
      </c>
      <c r="D947">
        <f ca="1">(Inputs!H12+(Inputs!J12-Inputs!H12)*BETAINV(RAND(),Model!L6,Model!M6))*Inputs!$C$6</f>
        <v>9019.6149052753353</v>
      </c>
      <c r="E947">
        <f t="shared" ca="1" si="294"/>
        <v>1.4577911125161029</v>
      </c>
      <c r="F947">
        <f t="shared" ca="1" si="295"/>
        <v>0.49846495755133913</v>
      </c>
      <c r="G947">
        <f t="shared" ca="1" si="296"/>
        <v>1</v>
      </c>
      <c r="H947" s="47">
        <f t="shared" ca="1" si="297"/>
        <v>9019.6149052753353</v>
      </c>
      <c r="I947">
        <f ca="1">Inputs!B13+(Inputs!D13-Inputs!B13)*BETAINV(RAND(),Model!H7,Model!I7)</f>
        <v>2.0558388507948253</v>
      </c>
      <c r="J947">
        <f ca="1">Inputs!E13+(Inputs!G13-Inputs!E13)*BETAINV(RAND(),Model!J7,Model!K7)</f>
        <v>0.28024179503647473</v>
      </c>
      <c r="K947">
        <f ca="1">(Inputs!H13+(Inputs!J13-Inputs!H13)*BETAINV(RAND(),Model!L7,Model!M7))*Inputs!$C$6</f>
        <v>25642.925993179055</v>
      </c>
      <c r="L947">
        <f t="shared" ca="1" si="298"/>
        <v>0.57613196985246518</v>
      </c>
      <c r="M947">
        <f t="shared" ca="1" si="299"/>
        <v>0.22089554267208789</v>
      </c>
      <c r="N947">
        <f t="shared" ca="1" si="300"/>
        <v>0</v>
      </c>
      <c r="O947" s="47">
        <f t="shared" ca="1" si="301"/>
        <v>0</v>
      </c>
      <c r="P947">
        <f ca="1">Inputs!B14+(Inputs!D14-Inputs!B14)*BETAINV(RAND(),Model!H8,Model!I8)</f>
        <v>0.42849199442071162</v>
      </c>
      <c r="Q947">
        <f ca="1">Inputs!E14+(Inputs!G14-Inputs!E14)*BETAINV(RAND(),Model!J8,Model!K8)</f>
        <v>0.54271686499077632</v>
      </c>
      <c r="R947">
        <f ca="1">(Inputs!H14+(Inputs!J14-Inputs!H14)*BETAINV(RAND(),Model!L8,Model!M8))*Inputs!$C$6</f>
        <v>441719.11424640974</v>
      </c>
      <c r="S947">
        <f t="shared" ca="1" si="302"/>
        <v>0.23254983188565381</v>
      </c>
      <c r="T947">
        <f t="shared" ca="1" si="303"/>
        <v>0.92815244076458892</v>
      </c>
      <c r="U947">
        <f t="shared" ca="1" si="304"/>
        <v>1</v>
      </c>
      <c r="V947" s="47">
        <f t="shared" ca="1" si="305"/>
        <v>441719.11424640974</v>
      </c>
      <c r="W947">
        <f ca="1">Inputs!B15+(Inputs!D15-Inputs!B15)*BETAINV(RAND(),Model!H9,Model!I9)</f>
        <v>1.6120559223500186</v>
      </c>
      <c r="X947">
        <f ca="1">Inputs!E15+(Inputs!G15-Inputs!E15)*BETAINV(RAND(),Model!J9,Model!K9)</f>
        <v>0.27013393888472054</v>
      </c>
      <c r="Y947">
        <f ca="1">(Inputs!H15+(Inputs!J15-Inputs!H15)*BETAINV(RAND(),Model!L9,Model!M9))*Inputs!$C$6</f>
        <v>26798.410222350671</v>
      </c>
      <c r="Z947">
        <f t="shared" ca="1" si="306"/>
        <v>0.43547101600685173</v>
      </c>
      <c r="AA947">
        <f t="shared" ca="1" si="307"/>
        <v>0.50822522153351468</v>
      </c>
      <c r="AB947">
        <f t="shared" ca="1" si="308"/>
        <v>0</v>
      </c>
      <c r="AC947" s="47">
        <f t="shared" ca="1" si="309"/>
        <v>0</v>
      </c>
      <c r="AD947">
        <f ca="1">Inputs!B16+(Inputs!D16-Inputs!B16)*BETAINV(RAND(),Model!H10,Model!I10)</f>
        <v>0.28455529773937727</v>
      </c>
      <c r="AE947">
        <f ca="1">Inputs!E16+(Inputs!G16-Inputs!E16)*BETAINV(RAND(),Model!J10,Model!K10)</f>
        <v>0.54698202918544903</v>
      </c>
      <c r="AF947">
        <f ca="1">(Inputs!H16+(Inputs!J16-Inputs!H16)*BETAINV(RAND(),Model!L10,Model!M10))*Inputs!$C$6</f>
        <v>92262.990824924535</v>
      </c>
      <c r="AG947">
        <f t="shared" ca="1" si="310"/>
        <v>0.15564663417295418</v>
      </c>
      <c r="AH947">
        <f t="shared" ca="1" si="311"/>
        <v>0.63265362993364593</v>
      </c>
      <c r="AI947">
        <f t="shared" ca="1" si="312"/>
        <v>0</v>
      </c>
      <c r="AJ947" s="47">
        <f t="shared" ca="1" si="313"/>
        <v>0</v>
      </c>
      <c r="AK947">
        <f t="shared" ca="1" si="314"/>
        <v>450738.72915168508</v>
      </c>
    </row>
    <row r="948" spans="2:37" x14ac:dyDescent="0.2">
      <c r="B948">
        <f ca="1">Inputs!B12+(Inputs!D12-Inputs!B12)*BETAINV(RAND(),Model!H6,Model!I6)</f>
        <v>5.5680543413484838</v>
      </c>
      <c r="C948">
        <f ca="1">Inputs!E12+(Inputs!G12-Inputs!E12)*BETAINV(RAND(),Model!J6,Model!K6)</f>
        <v>0.32556518590197725</v>
      </c>
      <c r="D948">
        <f ca="1">(Inputs!H12+(Inputs!J12-Inputs!H12)*BETAINV(RAND(),Model!L6,Model!M6))*Inputs!$C$6</f>
        <v>18838.39363803091</v>
      </c>
      <c r="E948">
        <f t="shared" ca="1" si="294"/>
        <v>1.8127646467534306</v>
      </c>
      <c r="F948">
        <f t="shared" ca="1" si="295"/>
        <v>0.48493016798411237</v>
      </c>
      <c r="G948">
        <f t="shared" ca="1" si="296"/>
        <v>2</v>
      </c>
      <c r="H948" s="47">
        <f t="shared" ca="1" si="297"/>
        <v>37676.787276061819</v>
      </c>
      <c r="I948">
        <f ca="1">Inputs!B13+(Inputs!D13-Inputs!B13)*BETAINV(RAND(),Model!H7,Model!I7)</f>
        <v>4.6028309700334411</v>
      </c>
      <c r="J948">
        <f ca="1">Inputs!E13+(Inputs!G13-Inputs!E13)*BETAINV(RAND(),Model!J7,Model!K7)</f>
        <v>0.20792696158061186</v>
      </c>
      <c r="K948">
        <f ca="1">(Inputs!H13+(Inputs!J13-Inputs!H13)*BETAINV(RAND(),Model!L7,Model!M7))*Inputs!$C$6</f>
        <v>12531.742355828466</v>
      </c>
      <c r="L948">
        <f t="shared" ca="1" si="298"/>
        <v>0.95705265826819375</v>
      </c>
      <c r="M948">
        <f t="shared" ca="1" si="299"/>
        <v>0.9109226733800988</v>
      </c>
      <c r="N948">
        <f t="shared" ca="1" si="300"/>
        <v>2</v>
      </c>
      <c r="O948" s="47">
        <f t="shared" ca="1" si="301"/>
        <v>25063.484711656933</v>
      </c>
      <c r="P948">
        <f ca="1">Inputs!B14+(Inputs!D14-Inputs!B14)*BETAINV(RAND(),Model!H8,Model!I8)</f>
        <v>0.38391928850130241</v>
      </c>
      <c r="Q948">
        <f ca="1">Inputs!E14+(Inputs!G14-Inputs!E14)*BETAINV(RAND(),Model!J8,Model!K8)</f>
        <v>0.55616274312631531</v>
      </c>
      <c r="R948">
        <f ca="1">(Inputs!H14+(Inputs!J14-Inputs!H14)*BETAINV(RAND(),Model!L8,Model!M8))*Inputs!$C$6</f>
        <v>323164.40054924868</v>
      </c>
      <c r="S948">
        <f t="shared" ca="1" si="302"/>
        <v>0.2135216046319876</v>
      </c>
      <c r="T948">
        <f t="shared" ca="1" si="303"/>
        <v>0.59884872780203724</v>
      </c>
      <c r="U948">
        <f t="shared" ca="1" si="304"/>
        <v>0</v>
      </c>
      <c r="V948" s="47">
        <f t="shared" ca="1" si="305"/>
        <v>0</v>
      </c>
      <c r="W948">
        <f ca="1">Inputs!B15+(Inputs!D15-Inputs!B15)*BETAINV(RAND(),Model!H9,Model!I9)</f>
        <v>1.916253210160985</v>
      </c>
      <c r="X948">
        <f ca="1">Inputs!E15+(Inputs!G15-Inputs!E15)*BETAINV(RAND(),Model!J9,Model!K9)</f>
        <v>0.49559994298987498</v>
      </c>
      <c r="Y948">
        <f ca="1">(Inputs!H15+(Inputs!J15-Inputs!H15)*BETAINV(RAND(),Model!L9,Model!M9))*Inputs!$C$6</f>
        <v>22154.364814134638</v>
      </c>
      <c r="Z948">
        <f t="shared" ca="1" si="306"/>
        <v>0.94969498170994915</v>
      </c>
      <c r="AA948">
        <f t="shared" ca="1" si="307"/>
        <v>0.20305485471407003</v>
      </c>
      <c r="AB948">
        <f t="shared" ca="1" si="308"/>
        <v>0</v>
      </c>
      <c r="AC948" s="47">
        <f t="shared" ca="1" si="309"/>
        <v>0</v>
      </c>
      <c r="AD948">
        <f ca="1">Inputs!B16+(Inputs!D16-Inputs!B16)*BETAINV(RAND(),Model!H10,Model!I10)</f>
        <v>0.75312215306917674</v>
      </c>
      <c r="AE948">
        <f ca="1">Inputs!E16+(Inputs!G16-Inputs!E16)*BETAINV(RAND(),Model!J10,Model!K10)</f>
        <v>0.6310453915691312</v>
      </c>
      <c r="AF948">
        <f ca="1">(Inputs!H16+(Inputs!J16-Inputs!H16)*BETAINV(RAND(),Model!L10,Model!M10))*Inputs!$C$6</f>
        <v>116150.12576751647</v>
      </c>
      <c r="AG948">
        <f t="shared" ca="1" si="310"/>
        <v>0.47525426398292581</v>
      </c>
      <c r="AH948">
        <f t="shared" ca="1" si="311"/>
        <v>0.19086703300680941</v>
      </c>
      <c r="AI948">
        <f t="shared" ca="1" si="312"/>
        <v>0</v>
      </c>
      <c r="AJ948" s="47">
        <f t="shared" ca="1" si="313"/>
        <v>0</v>
      </c>
      <c r="AK948">
        <f t="shared" ca="1" si="314"/>
        <v>62740.271987718748</v>
      </c>
    </row>
    <row r="949" spans="2:37" x14ac:dyDescent="0.2">
      <c r="B949">
        <f ca="1">Inputs!B12+(Inputs!D12-Inputs!B12)*BETAINV(RAND(),Model!H6,Model!I6)</f>
        <v>5.3729200568204636</v>
      </c>
      <c r="C949">
        <f ca="1">Inputs!E12+(Inputs!G12-Inputs!E12)*BETAINV(RAND(),Model!J6,Model!K6)</f>
        <v>0.34237421566354087</v>
      </c>
      <c r="D949">
        <f ca="1">(Inputs!H12+(Inputs!J12-Inputs!H12)*BETAINV(RAND(),Model!L6,Model!M6))*Inputs!$C$6</f>
        <v>18331.911440976051</v>
      </c>
      <c r="E949">
        <f t="shared" ca="1" si="294"/>
        <v>1.8395492902768136</v>
      </c>
      <c r="F949">
        <f t="shared" ca="1" si="295"/>
        <v>0.44900946130006236</v>
      </c>
      <c r="G949">
        <f t="shared" ca="1" si="296"/>
        <v>1</v>
      </c>
      <c r="H949" s="47">
        <f t="shared" ca="1" si="297"/>
        <v>18331.911440976051</v>
      </c>
      <c r="I949">
        <f ca="1">Inputs!B13+(Inputs!D13-Inputs!B13)*BETAINV(RAND(),Model!H7,Model!I7)</f>
        <v>2.2078373550066654</v>
      </c>
      <c r="J949">
        <f ca="1">Inputs!E13+(Inputs!G13-Inputs!E13)*BETAINV(RAND(),Model!J7,Model!K7)</f>
        <v>0.2803816802945972</v>
      </c>
      <c r="K949">
        <f ca="1">(Inputs!H13+(Inputs!J13-Inputs!H13)*BETAINV(RAND(),Model!L7,Model!M7))*Inputs!$C$6</f>
        <v>70501.330135945158</v>
      </c>
      <c r="L949">
        <f t="shared" ca="1" si="298"/>
        <v>0.619037147413948</v>
      </c>
      <c r="M949">
        <f t="shared" ca="1" si="299"/>
        <v>0.63153303028088492</v>
      </c>
      <c r="N949">
        <f t="shared" ca="1" si="300"/>
        <v>1</v>
      </c>
      <c r="O949" s="47">
        <f t="shared" ca="1" si="301"/>
        <v>70501.330135945158</v>
      </c>
      <c r="P949">
        <f ca="1">Inputs!B14+(Inputs!D14-Inputs!B14)*BETAINV(RAND(),Model!H8,Model!I8)</f>
        <v>0.30760295062118248</v>
      </c>
      <c r="Q949">
        <f ca="1">Inputs!E14+(Inputs!G14-Inputs!E14)*BETAINV(RAND(),Model!J8,Model!K8)</f>
        <v>0.62194305721970999</v>
      </c>
      <c r="R949">
        <f ca="1">(Inputs!H14+(Inputs!J14-Inputs!H14)*BETAINV(RAND(),Model!L8,Model!M8))*Inputs!$C$6</f>
        <v>344700.50812338025</v>
      </c>
      <c r="S949">
        <f t="shared" ca="1" si="302"/>
        <v>0.19131151951914172</v>
      </c>
      <c r="T949">
        <f t="shared" ca="1" si="303"/>
        <v>0.30214592986622513</v>
      </c>
      <c r="U949">
        <f t="shared" ca="1" si="304"/>
        <v>0</v>
      </c>
      <c r="V949" s="47">
        <f t="shared" ca="1" si="305"/>
        <v>0</v>
      </c>
      <c r="W949">
        <f ca="1">Inputs!B15+(Inputs!D15-Inputs!B15)*BETAINV(RAND(),Model!H9,Model!I9)</f>
        <v>2.1312909464282854</v>
      </c>
      <c r="X949">
        <f ca="1">Inputs!E15+(Inputs!G15-Inputs!E15)*BETAINV(RAND(),Model!J9,Model!K9)</f>
        <v>0.32654994055940856</v>
      </c>
      <c r="Y949">
        <f ca="1">(Inputs!H15+(Inputs!J15-Inputs!H15)*BETAINV(RAND(),Model!L9,Model!M9))*Inputs!$C$6</f>
        <v>12365.694737473659</v>
      </c>
      <c r="Z949">
        <f t="shared" ca="1" si="306"/>
        <v>0.69597293187096221</v>
      </c>
      <c r="AA949">
        <f t="shared" ca="1" si="307"/>
        <v>0.15602369828083817</v>
      </c>
      <c r="AB949">
        <f t="shared" ca="1" si="308"/>
        <v>0</v>
      </c>
      <c r="AC949" s="47">
        <f t="shared" ca="1" si="309"/>
        <v>0</v>
      </c>
      <c r="AD949">
        <f ca="1">Inputs!B16+(Inputs!D16-Inputs!B16)*BETAINV(RAND(),Model!H10,Model!I10)</f>
        <v>0.39232991327060551</v>
      </c>
      <c r="AE949">
        <f ca="1">Inputs!E16+(Inputs!G16-Inputs!E16)*BETAINV(RAND(),Model!J10,Model!K10)</f>
        <v>0.65330760466364102</v>
      </c>
      <c r="AF949">
        <f ca="1">(Inputs!H16+(Inputs!J16-Inputs!H16)*BETAINV(RAND(),Model!L10,Model!M10))*Inputs!$C$6</f>
        <v>110205.3316313578</v>
      </c>
      <c r="AG949">
        <f t="shared" ca="1" si="310"/>
        <v>0.25631211587671332</v>
      </c>
      <c r="AH949">
        <f t="shared" ca="1" si="311"/>
        <v>0.49573397323466284</v>
      </c>
      <c r="AI949">
        <f t="shared" ca="1" si="312"/>
        <v>0</v>
      </c>
      <c r="AJ949" s="47">
        <f t="shared" ca="1" si="313"/>
        <v>0</v>
      </c>
      <c r="AK949">
        <f t="shared" ca="1" si="314"/>
        <v>88833.241576921209</v>
      </c>
    </row>
    <row r="950" spans="2:37" x14ac:dyDescent="0.2">
      <c r="B950">
        <f ca="1">Inputs!B12+(Inputs!D12-Inputs!B12)*BETAINV(RAND(),Model!H6,Model!I6)</f>
        <v>3.621715205769418</v>
      </c>
      <c r="C950">
        <f ca="1">Inputs!E12+(Inputs!G12-Inputs!E12)*BETAINV(RAND(),Model!J6,Model!K6)</f>
        <v>0.46597861634862381</v>
      </c>
      <c r="D950">
        <f ca="1">(Inputs!H12+(Inputs!J12-Inputs!H12)*BETAINV(RAND(),Model!L6,Model!M6))*Inputs!$C$6</f>
        <v>43866.41154886513</v>
      </c>
      <c r="E950">
        <f t="shared" ca="1" si="294"/>
        <v>1.6876418403932048</v>
      </c>
      <c r="F950">
        <f t="shared" ca="1" si="295"/>
        <v>0.18704857695325261</v>
      </c>
      <c r="G950">
        <f t="shared" ca="1" si="296"/>
        <v>1</v>
      </c>
      <c r="H950" s="47">
        <f t="shared" ca="1" si="297"/>
        <v>43866.41154886513</v>
      </c>
      <c r="I950">
        <f ca="1">Inputs!B13+(Inputs!D13-Inputs!B13)*BETAINV(RAND(),Model!H7,Model!I7)</f>
        <v>4.2188342881476482</v>
      </c>
      <c r="J950">
        <f ca="1">Inputs!E13+(Inputs!G13-Inputs!E13)*BETAINV(RAND(),Model!J7,Model!K7)</f>
        <v>0.19739008091277457</v>
      </c>
      <c r="K950">
        <f ca="1">(Inputs!H13+(Inputs!J13-Inputs!H13)*BETAINV(RAND(),Model!L7,Model!M7))*Inputs!$C$6</f>
        <v>61014.315764857376</v>
      </c>
      <c r="L950">
        <f t="shared" ca="1" si="298"/>
        <v>0.832756041495052</v>
      </c>
      <c r="M950">
        <f t="shared" ca="1" si="299"/>
        <v>0.18346917293150466</v>
      </c>
      <c r="N950">
        <f t="shared" ca="1" si="300"/>
        <v>0</v>
      </c>
      <c r="O950" s="47">
        <f t="shared" ca="1" si="301"/>
        <v>0</v>
      </c>
      <c r="P950">
        <f ca="1">Inputs!B14+(Inputs!D14-Inputs!B14)*BETAINV(RAND(),Model!H8,Model!I8)</f>
        <v>0.16505312690475121</v>
      </c>
      <c r="Q950">
        <f ca="1">Inputs!E14+(Inputs!G14-Inputs!E14)*BETAINV(RAND(),Model!J8,Model!K8)</f>
        <v>0.5490726994393984</v>
      </c>
      <c r="R950">
        <f ca="1">(Inputs!H14+(Inputs!J14-Inputs!H14)*BETAINV(RAND(),Model!L8,Model!M8))*Inputs!$C$6</f>
        <v>404393.168056408</v>
      </c>
      <c r="S950">
        <f t="shared" ca="1" si="302"/>
        <v>9.0626165940505349E-2</v>
      </c>
      <c r="T950">
        <f t="shared" ca="1" si="303"/>
        <v>0.16553862038532718</v>
      </c>
      <c r="U950">
        <f t="shared" ca="1" si="304"/>
        <v>0</v>
      </c>
      <c r="V950" s="47">
        <f t="shared" ca="1" si="305"/>
        <v>0</v>
      </c>
      <c r="W950">
        <f ca="1">Inputs!B15+(Inputs!D15-Inputs!B15)*BETAINV(RAND(),Model!H9,Model!I9)</f>
        <v>0.45239083929414425</v>
      </c>
      <c r="X950">
        <f ca="1">Inputs!E15+(Inputs!G15-Inputs!E15)*BETAINV(RAND(),Model!J9,Model!K9)</f>
        <v>0.48066457224371473</v>
      </c>
      <c r="Y950">
        <f ca="1">(Inputs!H15+(Inputs!J15-Inputs!H15)*BETAINV(RAND(),Model!L9,Model!M9))*Inputs!$C$6</f>
        <v>45916.388671497967</v>
      </c>
      <c r="Z950">
        <f t="shared" ca="1" si="306"/>
        <v>0.21744824925629494</v>
      </c>
      <c r="AA950">
        <f t="shared" ca="1" si="307"/>
        <v>0.20363220822483941</v>
      </c>
      <c r="AB950">
        <f t="shared" ca="1" si="308"/>
        <v>0</v>
      </c>
      <c r="AC950" s="47">
        <f t="shared" ca="1" si="309"/>
        <v>0</v>
      </c>
      <c r="AD950">
        <f ca="1">Inputs!B16+(Inputs!D16-Inputs!B16)*BETAINV(RAND(),Model!H10,Model!I10)</f>
        <v>0.48971188470007454</v>
      </c>
      <c r="AE950">
        <f ca="1">Inputs!E16+(Inputs!G16-Inputs!E16)*BETAINV(RAND(),Model!J10,Model!K10)</f>
        <v>0.67292172260163774</v>
      </c>
      <c r="AF950">
        <f ca="1">(Inputs!H16+(Inputs!J16-Inputs!H16)*BETAINV(RAND(),Model!L10,Model!M10))*Inputs!$C$6</f>
        <v>103369.38524801584</v>
      </c>
      <c r="AG950">
        <f t="shared" ca="1" si="310"/>
        <v>0.32953776503086879</v>
      </c>
      <c r="AH950">
        <f t="shared" ca="1" si="311"/>
        <v>0.50456393735757676</v>
      </c>
      <c r="AI950">
        <f t="shared" ca="1" si="312"/>
        <v>0</v>
      </c>
      <c r="AJ950" s="47">
        <f t="shared" ca="1" si="313"/>
        <v>0</v>
      </c>
      <c r="AK950">
        <f t="shared" ca="1" si="314"/>
        <v>43866.41154886513</v>
      </c>
    </row>
    <row r="951" spans="2:37" x14ac:dyDescent="0.2">
      <c r="B951">
        <f ca="1">Inputs!B12+(Inputs!D12-Inputs!B12)*BETAINV(RAND(),Model!H6,Model!I6)</f>
        <v>3.4109877742162924</v>
      </c>
      <c r="C951">
        <f ca="1">Inputs!E12+(Inputs!G12-Inputs!E12)*BETAINV(RAND(),Model!J6,Model!K6)</f>
        <v>0.28153781651634929</v>
      </c>
      <c r="D951">
        <f ca="1">(Inputs!H12+(Inputs!J12-Inputs!H12)*BETAINV(RAND(),Model!L6,Model!M6))*Inputs!$C$6</f>
        <v>35414.970243678727</v>
      </c>
      <c r="E951">
        <f t="shared" ca="1" si="294"/>
        <v>0.96032205011681715</v>
      </c>
      <c r="F951">
        <f t="shared" ca="1" si="295"/>
        <v>0.42234059628531551</v>
      </c>
      <c r="G951">
        <f t="shared" ca="1" si="296"/>
        <v>1</v>
      </c>
      <c r="H951" s="47">
        <f t="shared" ca="1" si="297"/>
        <v>35414.970243678727</v>
      </c>
      <c r="I951">
        <f ca="1">Inputs!B13+(Inputs!D13-Inputs!B13)*BETAINV(RAND(),Model!H7,Model!I7)</f>
        <v>2.7400288961154575</v>
      </c>
      <c r="J951">
        <f ca="1">Inputs!E13+(Inputs!G13-Inputs!E13)*BETAINV(RAND(),Model!J7,Model!K7)</f>
        <v>0.21910927269349476</v>
      </c>
      <c r="K951">
        <f ca="1">(Inputs!H13+(Inputs!J13-Inputs!H13)*BETAINV(RAND(),Model!L7,Model!M7))*Inputs!$C$6</f>
        <v>21126.385375774935</v>
      </c>
      <c r="L951">
        <f t="shared" ca="1" si="298"/>
        <v>0.60036573858701725</v>
      </c>
      <c r="M951">
        <f t="shared" ca="1" si="299"/>
        <v>6.3863019892700268E-2</v>
      </c>
      <c r="N951">
        <f t="shared" ca="1" si="300"/>
        <v>0</v>
      </c>
      <c r="O951" s="47">
        <f t="shared" ca="1" si="301"/>
        <v>0</v>
      </c>
      <c r="P951">
        <f ca="1">Inputs!B14+(Inputs!D14-Inputs!B14)*BETAINV(RAND(),Model!H8,Model!I8)</f>
        <v>0.20686855531362164</v>
      </c>
      <c r="Q951">
        <f ca="1">Inputs!E14+(Inputs!G14-Inputs!E14)*BETAINV(RAND(),Model!J8,Model!K8)</f>
        <v>0.57803023985192326</v>
      </c>
      <c r="R951">
        <f ca="1">(Inputs!H14+(Inputs!J14-Inputs!H14)*BETAINV(RAND(),Model!L8,Model!M8))*Inputs!$C$6</f>
        <v>246738.04262065087</v>
      </c>
      <c r="S951">
        <f t="shared" ca="1" si="302"/>
        <v>0.11957628064575357</v>
      </c>
      <c r="T951">
        <f t="shared" ca="1" si="303"/>
        <v>0.37725194970798503</v>
      </c>
      <c r="U951">
        <f t="shared" ca="1" si="304"/>
        <v>0</v>
      </c>
      <c r="V951" s="47">
        <f t="shared" ca="1" si="305"/>
        <v>0</v>
      </c>
      <c r="W951">
        <f ca="1">Inputs!B15+(Inputs!D15-Inputs!B15)*BETAINV(RAND(),Model!H9,Model!I9)</f>
        <v>0.65485861700858528</v>
      </c>
      <c r="X951">
        <f ca="1">Inputs!E15+(Inputs!G15-Inputs!E15)*BETAINV(RAND(),Model!J9,Model!K9)</f>
        <v>0.42563201026659447</v>
      </c>
      <c r="Y951">
        <f ca="1">(Inputs!H15+(Inputs!J15-Inputs!H15)*BETAINV(RAND(),Model!L9,Model!M9))*Inputs!$C$6</f>
        <v>23726.529073745758</v>
      </c>
      <c r="Z951">
        <f t="shared" ca="1" si="306"/>
        <v>0.27872878959776604</v>
      </c>
      <c r="AA951">
        <f t="shared" ca="1" si="307"/>
        <v>0.21921788647439211</v>
      </c>
      <c r="AB951">
        <f t="shared" ca="1" si="308"/>
        <v>0</v>
      </c>
      <c r="AC951" s="47">
        <f t="shared" ca="1" si="309"/>
        <v>0</v>
      </c>
      <c r="AD951">
        <f ca="1">Inputs!B16+(Inputs!D16-Inputs!B16)*BETAINV(RAND(),Model!H10,Model!I10)</f>
        <v>0.38505330682640382</v>
      </c>
      <c r="AE951">
        <f ca="1">Inputs!E16+(Inputs!G16-Inputs!E16)*BETAINV(RAND(),Model!J10,Model!K10)</f>
        <v>0.63530982487605459</v>
      </c>
      <c r="AF951">
        <f ca="1">(Inputs!H16+(Inputs!J16-Inputs!H16)*BETAINV(RAND(),Model!L10,Model!M10))*Inputs!$C$6</f>
        <v>91183.802657953594</v>
      </c>
      <c r="AG951">
        <f t="shared" ca="1" si="310"/>
        <v>0.24462814892782833</v>
      </c>
      <c r="AH951">
        <f t="shared" ca="1" si="311"/>
        <v>1.3598199547429024E-2</v>
      </c>
      <c r="AI951">
        <f t="shared" ca="1" si="312"/>
        <v>0</v>
      </c>
      <c r="AJ951" s="47">
        <f t="shared" ca="1" si="313"/>
        <v>0</v>
      </c>
      <c r="AK951">
        <f t="shared" ca="1" si="314"/>
        <v>35414.970243678727</v>
      </c>
    </row>
    <row r="952" spans="2:37" x14ac:dyDescent="0.2">
      <c r="B952">
        <f ca="1">Inputs!B12+(Inputs!D12-Inputs!B12)*BETAINV(RAND(),Model!H6,Model!I6)</f>
        <v>2.9269863109382346</v>
      </c>
      <c r="C952">
        <f ca="1">Inputs!E12+(Inputs!G12-Inputs!E12)*BETAINV(RAND(),Model!J6,Model!K6)</f>
        <v>0.24165182882800346</v>
      </c>
      <c r="D952">
        <f ca="1">(Inputs!H12+(Inputs!J12-Inputs!H12)*BETAINV(RAND(),Model!L6,Model!M6))*Inputs!$C$6</f>
        <v>27380.467719772154</v>
      </c>
      <c r="E952">
        <f t="shared" ca="1" si="294"/>
        <v>0.70731159499275553</v>
      </c>
      <c r="F952">
        <f t="shared" ca="1" si="295"/>
        <v>0.41192211119139621</v>
      </c>
      <c r="G952">
        <f t="shared" ca="1" si="296"/>
        <v>0</v>
      </c>
      <c r="H952" s="47">
        <f t="shared" ca="1" si="297"/>
        <v>0</v>
      </c>
      <c r="I952">
        <f ca="1">Inputs!B13+(Inputs!D13-Inputs!B13)*BETAINV(RAND(),Model!H7,Model!I7)</f>
        <v>0.91296944148505932</v>
      </c>
      <c r="J952">
        <f ca="1">Inputs!E13+(Inputs!G13-Inputs!E13)*BETAINV(RAND(),Model!J7,Model!K7)</f>
        <v>0.31291906605277298</v>
      </c>
      <c r="K952">
        <f ca="1">(Inputs!H13+(Inputs!J13-Inputs!H13)*BETAINV(RAND(),Model!L7,Model!M7))*Inputs!$C$6</f>
        <v>35394.038202984913</v>
      </c>
      <c r="L952">
        <f t="shared" ca="1" si="298"/>
        <v>0.28568554496422655</v>
      </c>
      <c r="M952">
        <f t="shared" ca="1" si="299"/>
        <v>0.64281896534729754</v>
      </c>
      <c r="N952">
        <f t="shared" ca="1" si="300"/>
        <v>0</v>
      </c>
      <c r="O952" s="47">
        <f t="shared" ca="1" si="301"/>
        <v>0</v>
      </c>
      <c r="P952">
        <f ca="1">Inputs!B14+(Inputs!D14-Inputs!B14)*BETAINV(RAND(),Model!H8,Model!I8)</f>
        <v>0.55716174606182123</v>
      </c>
      <c r="Q952">
        <f ca="1">Inputs!E14+(Inputs!G14-Inputs!E14)*BETAINV(RAND(),Model!J8,Model!K8)</f>
        <v>0.78105980885935899</v>
      </c>
      <c r="R952">
        <f ca="1">(Inputs!H14+(Inputs!J14-Inputs!H14)*BETAINV(RAND(),Model!L8,Model!M8))*Inputs!$C$6</f>
        <v>514709.57208657451</v>
      </c>
      <c r="S952">
        <f t="shared" ca="1" si="302"/>
        <v>0.43517664688279278</v>
      </c>
      <c r="T952">
        <f t="shared" ca="1" si="303"/>
        <v>0.47513701876527148</v>
      </c>
      <c r="U952">
        <f t="shared" ca="1" si="304"/>
        <v>0</v>
      </c>
      <c r="V952" s="47">
        <f t="shared" ca="1" si="305"/>
        <v>0</v>
      </c>
      <c r="W952">
        <f ca="1">Inputs!B15+(Inputs!D15-Inputs!B15)*BETAINV(RAND(),Model!H9,Model!I9)</f>
        <v>1.5052711087663901</v>
      </c>
      <c r="X952">
        <f ca="1">Inputs!E15+(Inputs!G15-Inputs!E15)*BETAINV(RAND(),Model!J9,Model!K9)</f>
        <v>0.31474000836997862</v>
      </c>
      <c r="Y952">
        <f ca="1">(Inputs!H15+(Inputs!J15-Inputs!H15)*BETAINV(RAND(),Model!L9,Model!M9))*Inputs!$C$6</f>
        <v>25256.717462327157</v>
      </c>
      <c r="Z952">
        <f t="shared" ca="1" si="306"/>
        <v>0.47376904137222065</v>
      </c>
      <c r="AA952">
        <f t="shared" ca="1" si="307"/>
        <v>0.60197025266708704</v>
      </c>
      <c r="AB952">
        <f t="shared" ca="1" si="308"/>
        <v>0</v>
      </c>
      <c r="AC952" s="47">
        <f t="shared" ca="1" si="309"/>
        <v>0</v>
      </c>
      <c r="AD952">
        <f ca="1">Inputs!B16+(Inputs!D16-Inputs!B16)*BETAINV(RAND(),Model!H10,Model!I10)</f>
        <v>0.43495349656958682</v>
      </c>
      <c r="AE952">
        <f ca="1">Inputs!E16+(Inputs!G16-Inputs!E16)*BETAINV(RAND(),Model!J10,Model!K10)</f>
        <v>0.69829703405888455</v>
      </c>
      <c r="AF952">
        <f ca="1">(Inputs!H16+(Inputs!J16-Inputs!H16)*BETAINV(RAND(),Model!L10,Model!M10))*Inputs!$C$6</f>
        <v>105570.02819866696</v>
      </c>
      <c r="AG952">
        <f t="shared" ca="1" si="310"/>
        <v>0.30372673660808369</v>
      </c>
      <c r="AH952">
        <f t="shared" ca="1" si="311"/>
        <v>0.8394485348173879</v>
      </c>
      <c r="AI952">
        <f t="shared" ca="1" si="312"/>
        <v>1</v>
      </c>
      <c r="AJ952" s="47">
        <f t="shared" ca="1" si="313"/>
        <v>105570.02819866696</v>
      </c>
      <c r="AK952">
        <f t="shared" ca="1" si="314"/>
        <v>105570.02819866696</v>
      </c>
    </row>
    <row r="953" spans="2:37" x14ac:dyDescent="0.2">
      <c r="B953">
        <f ca="1">Inputs!B12+(Inputs!D12-Inputs!B12)*BETAINV(RAND(),Model!H6,Model!I6)</f>
        <v>3.0103646884831519</v>
      </c>
      <c r="C953">
        <f ca="1">Inputs!E12+(Inputs!G12-Inputs!E12)*BETAINV(RAND(),Model!J6,Model!K6)</f>
        <v>0.36209563648923437</v>
      </c>
      <c r="D953">
        <f ca="1">(Inputs!H12+(Inputs!J12-Inputs!H12)*BETAINV(RAND(),Model!L6,Model!M6))*Inputs!$C$6</f>
        <v>22481.155600549569</v>
      </c>
      <c r="E953">
        <f t="shared" ca="1" si="294"/>
        <v>1.0900399179410227</v>
      </c>
      <c r="F953">
        <f t="shared" ca="1" si="295"/>
        <v>0.4752288201857201</v>
      </c>
      <c r="G953">
        <f t="shared" ca="1" si="296"/>
        <v>1</v>
      </c>
      <c r="H953" s="47">
        <f t="shared" ca="1" si="297"/>
        <v>22481.155600549569</v>
      </c>
      <c r="I953">
        <f ca="1">Inputs!B13+(Inputs!D13-Inputs!B13)*BETAINV(RAND(),Model!H7,Model!I7)</f>
        <v>1.2773791547972333</v>
      </c>
      <c r="J953">
        <f ca="1">Inputs!E13+(Inputs!G13-Inputs!E13)*BETAINV(RAND(),Model!J7,Model!K7)</f>
        <v>0.32325669988411959</v>
      </c>
      <c r="K953">
        <f ca="1">(Inputs!H13+(Inputs!J13-Inputs!H13)*BETAINV(RAND(),Model!L7,Model!M7))*Inputs!$C$6</f>
        <v>59494.905866575602</v>
      </c>
      <c r="L953">
        <f t="shared" ca="1" si="298"/>
        <v>0.4129213700805196</v>
      </c>
      <c r="M953">
        <f t="shared" ca="1" si="299"/>
        <v>0.77789002778903382</v>
      </c>
      <c r="N953">
        <f t="shared" ca="1" si="300"/>
        <v>1</v>
      </c>
      <c r="O953" s="47">
        <f t="shared" ca="1" si="301"/>
        <v>59494.905866575602</v>
      </c>
      <c r="P953">
        <f ca="1">Inputs!B14+(Inputs!D14-Inputs!B14)*BETAINV(RAND(),Model!H8,Model!I8)</f>
        <v>0.45481762563481831</v>
      </c>
      <c r="Q953">
        <f ca="1">Inputs!E14+(Inputs!G14-Inputs!E14)*BETAINV(RAND(),Model!J8,Model!K8)</f>
        <v>0.63118082502573025</v>
      </c>
      <c r="R953">
        <f ca="1">(Inputs!H14+(Inputs!J14-Inputs!H14)*BETAINV(RAND(),Model!L8,Model!M8))*Inputs!$C$6</f>
        <v>489285.28283262934</v>
      </c>
      <c r="S953">
        <f t="shared" ca="1" si="302"/>
        <v>0.28707216418442832</v>
      </c>
      <c r="T953">
        <f t="shared" ca="1" si="303"/>
        <v>0.81406187957473009</v>
      </c>
      <c r="U953">
        <f t="shared" ca="1" si="304"/>
        <v>1</v>
      </c>
      <c r="V953" s="47">
        <f t="shared" ca="1" si="305"/>
        <v>489285.28283262934</v>
      </c>
      <c r="W953">
        <f ca="1">Inputs!B15+(Inputs!D15-Inputs!B15)*BETAINV(RAND(),Model!H9,Model!I9)</f>
        <v>0.92293773162309911</v>
      </c>
      <c r="X953">
        <f ca="1">Inputs!E15+(Inputs!G15-Inputs!E15)*BETAINV(RAND(),Model!J9,Model!K9)</f>
        <v>0.27291039573961251</v>
      </c>
      <c r="Y953">
        <f ca="1">(Inputs!H15+(Inputs!J15-Inputs!H15)*BETAINV(RAND(),Model!L9,Model!M9))*Inputs!$C$6</f>
        <v>26040.674169140941</v>
      </c>
      <c r="Z953">
        <f t="shared" ca="1" si="306"/>
        <v>0.25187930158028027</v>
      </c>
      <c r="AA953">
        <f t="shared" ca="1" si="307"/>
        <v>0.19481099440283201</v>
      </c>
      <c r="AB953">
        <f t="shared" ca="1" si="308"/>
        <v>0</v>
      </c>
      <c r="AC953" s="47">
        <f t="shared" ca="1" si="309"/>
        <v>0</v>
      </c>
      <c r="AD953">
        <f ca="1">Inputs!B16+(Inputs!D16-Inputs!B16)*BETAINV(RAND(),Model!H10,Model!I10)</f>
        <v>0.8642835390165029</v>
      </c>
      <c r="AE953">
        <f ca="1">Inputs!E16+(Inputs!G16-Inputs!E16)*BETAINV(RAND(),Model!J10,Model!K10)</f>
        <v>0.50675938571959056</v>
      </c>
      <c r="AF953">
        <f ca="1">(Inputs!H16+(Inputs!J16-Inputs!H16)*BETAINV(RAND(),Model!L10,Model!M10))*Inputs!$C$6</f>
        <v>65923.761701041745</v>
      </c>
      <c r="AG953">
        <f t="shared" ca="1" si="310"/>
        <v>0.43798379531955678</v>
      </c>
      <c r="AH953">
        <f t="shared" ca="1" si="311"/>
        <v>0.30332157061165055</v>
      </c>
      <c r="AI953">
        <f t="shared" ca="1" si="312"/>
        <v>0</v>
      </c>
      <c r="AJ953" s="47">
        <f t="shared" ca="1" si="313"/>
        <v>0</v>
      </c>
      <c r="AK953">
        <f t="shared" ca="1" si="314"/>
        <v>571261.34429975448</v>
      </c>
    </row>
    <row r="954" spans="2:37" x14ac:dyDescent="0.2">
      <c r="B954">
        <f ca="1">Inputs!B12+(Inputs!D12-Inputs!B12)*BETAINV(RAND(),Model!H6,Model!I6)</f>
        <v>2.0260557070568312</v>
      </c>
      <c r="C954">
        <f ca="1">Inputs!E12+(Inputs!G12-Inputs!E12)*BETAINV(RAND(),Model!J6,Model!K6)</f>
        <v>0.32279386552292444</v>
      </c>
      <c r="D954">
        <f ca="1">(Inputs!H12+(Inputs!J12-Inputs!H12)*BETAINV(RAND(),Model!L6,Model!M6))*Inputs!$C$6</f>
        <v>15784.880871066658</v>
      </c>
      <c r="E954">
        <f t="shared" ca="1" si="294"/>
        <v>0.65399835344565638</v>
      </c>
      <c r="F954">
        <f t="shared" ca="1" si="295"/>
        <v>0.408833082222127</v>
      </c>
      <c r="G954">
        <f t="shared" ca="1" si="296"/>
        <v>0</v>
      </c>
      <c r="H954" s="47">
        <f t="shared" ca="1" si="297"/>
        <v>0</v>
      </c>
      <c r="I954">
        <f ca="1">Inputs!B13+(Inputs!D13-Inputs!B13)*BETAINV(RAND(),Model!H7,Model!I7)</f>
        <v>3.4025969056072087</v>
      </c>
      <c r="J954">
        <f ca="1">Inputs!E13+(Inputs!G13-Inputs!E13)*BETAINV(RAND(),Model!J7,Model!K7)</f>
        <v>0.2246624247959248</v>
      </c>
      <c r="K954">
        <f ca="1">(Inputs!H13+(Inputs!J13-Inputs!H13)*BETAINV(RAND(),Model!L7,Model!M7))*Inputs!$C$6</f>
        <v>32198.704700495971</v>
      </c>
      <c r="L954">
        <f t="shared" ca="1" si="298"/>
        <v>0.764435671416826</v>
      </c>
      <c r="M954">
        <f t="shared" ca="1" si="299"/>
        <v>0.77145363685558621</v>
      </c>
      <c r="N954">
        <f t="shared" ca="1" si="300"/>
        <v>1</v>
      </c>
      <c r="O954" s="47">
        <f t="shared" ca="1" si="301"/>
        <v>32198.704700495971</v>
      </c>
      <c r="P954">
        <f ca="1">Inputs!B14+(Inputs!D14-Inputs!B14)*BETAINV(RAND(),Model!H8,Model!I8)</f>
        <v>0.2500839969096888</v>
      </c>
      <c r="Q954">
        <f ca="1">Inputs!E14+(Inputs!G14-Inputs!E14)*BETAINV(RAND(),Model!J8,Model!K8)</f>
        <v>0.58910684123926549</v>
      </c>
      <c r="R954">
        <f ca="1">(Inputs!H14+(Inputs!J14-Inputs!H14)*BETAINV(RAND(),Model!L8,Model!M8))*Inputs!$C$6</f>
        <v>346258.004450179</v>
      </c>
      <c r="S954">
        <f t="shared" ca="1" si="302"/>
        <v>0.14732619346395701</v>
      </c>
      <c r="T954">
        <f t="shared" ca="1" si="303"/>
        <v>0.70832990680141894</v>
      </c>
      <c r="U954">
        <f t="shared" ca="1" si="304"/>
        <v>0</v>
      </c>
      <c r="V954" s="47">
        <f t="shared" ca="1" si="305"/>
        <v>0</v>
      </c>
      <c r="W954">
        <f ca="1">Inputs!B15+(Inputs!D15-Inputs!B15)*BETAINV(RAND(),Model!H9,Model!I9)</f>
        <v>0.40736632361435393</v>
      </c>
      <c r="X954">
        <f ca="1">Inputs!E15+(Inputs!G15-Inputs!E15)*BETAINV(RAND(),Model!J9,Model!K9)</f>
        <v>0.53247677130908011</v>
      </c>
      <c r="Y954">
        <f ca="1">(Inputs!H15+(Inputs!J15-Inputs!H15)*BETAINV(RAND(),Model!L9,Model!M9))*Inputs!$C$6</f>
        <v>44809.031884036034</v>
      </c>
      <c r="Z954">
        <f t="shared" ca="1" si="306"/>
        <v>0.21691310473822106</v>
      </c>
      <c r="AA954">
        <f t="shared" ca="1" si="307"/>
        <v>0.4852136297496239</v>
      </c>
      <c r="AB954">
        <f t="shared" ca="1" si="308"/>
        <v>0</v>
      </c>
      <c r="AC954" s="47">
        <f t="shared" ca="1" si="309"/>
        <v>0</v>
      </c>
      <c r="AD954">
        <f ca="1">Inputs!B16+(Inputs!D16-Inputs!B16)*BETAINV(RAND(),Model!H10,Model!I10)</f>
        <v>0.3013927021998008</v>
      </c>
      <c r="AE954">
        <f ca="1">Inputs!E16+(Inputs!G16-Inputs!E16)*BETAINV(RAND(),Model!J10,Model!K10)</f>
        <v>0.71054787137205366</v>
      </c>
      <c r="AF954">
        <f ca="1">(Inputs!H16+(Inputs!J16-Inputs!H16)*BETAINV(RAND(),Model!L10,Model!M10))*Inputs!$C$6</f>
        <v>41826.549018328624</v>
      </c>
      <c r="AG954">
        <f t="shared" ca="1" si="310"/>
        <v>0.21415394299513973</v>
      </c>
      <c r="AH954">
        <f t="shared" ca="1" si="311"/>
        <v>0.39305939730410888</v>
      </c>
      <c r="AI954">
        <f t="shared" ca="1" si="312"/>
        <v>0</v>
      </c>
      <c r="AJ954" s="47">
        <f t="shared" ca="1" si="313"/>
        <v>0</v>
      </c>
      <c r="AK954">
        <f t="shared" ca="1" si="314"/>
        <v>32198.704700495971</v>
      </c>
    </row>
    <row r="955" spans="2:37" x14ac:dyDescent="0.2">
      <c r="B955">
        <f ca="1">Inputs!B12+(Inputs!D12-Inputs!B12)*BETAINV(RAND(),Model!H6,Model!I6)</f>
        <v>5.7617105998360039</v>
      </c>
      <c r="C955">
        <f ca="1">Inputs!E12+(Inputs!G12-Inputs!E12)*BETAINV(RAND(),Model!J6,Model!K6)</f>
        <v>0.25209629652748466</v>
      </c>
      <c r="D955">
        <f ca="1">(Inputs!H12+(Inputs!J12-Inputs!H12)*BETAINV(RAND(),Model!L6,Model!M6))*Inputs!$C$6</f>
        <v>33307.77477347001</v>
      </c>
      <c r="E955">
        <f t="shared" ca="1" si="294"/>
        <v>1.4525059038818087</v>
      </c>
      <c r="F955">
        <f t="shared" ca="1" si="295"/>
        <v>0.79042760661314837</v>
      </c>
      <c r="G955">
        <f t="shared" ca="1" si="296"/>
        <v>2</v>
      </c>
      <c r="H955" s="47">
        <f t="shared" ca="1" si="297"/>
        <v>66615.549546940019</v>
      </c>
      <c r="I955">
        <f ca="1">Inputs!B13+(Inputs!D13-Inputs!B13)*BETAINV(RAND(),Model!H7,Model!I7)</f>
        <v>4.2942041988843052</v>
      </c>
      <c r="J955">
        <f ca="1">Inputs!E13+(Inputs!G13-Inputs!E13)*BETAINV(RAND(),Model!J7,Model!K7)</f>
        <v>0.20049562613554994</v>
      </c>
      <c r="K955">
        <f ca="1">(Inputs!H13+(Inputs!J13-Inputs!H13)*BETAINV(RAND(),Model!L7,Model!M7))*Inputs!$C$6</f>
        <v>24045.720955494937</v>
      </c>
      <c r="L955">
        <f t="shared" ca="1" si="298"/>
        <v>0.86096915960921638</v>
      </c>
      <c r="M955">
        <f t="shared" ca="1" si="299"/>
        <v>0.12253234882674591</v>
      </c>
      <c r="N955">
        <f t="shared" ca="1" si="300"/>
        <v>0</v>
      </c>
      <c r="O955" s="47">
        <f t="shared" ca="1" si="301"/>
        <v>0</v>
      </c>
      <c r="P955">
        <f ca="1">Inputs!B14+(Inputs!D14-Inputs!B14)*BETAINV(RAND(),Model!H8,Model!I8)</f>
        <v>0.40566786404919453</v>
      </c>
      <c r="Q955">
        <f ca="1">Inputs!E14+(Inputs!G14-Inputs!E14)*BETAINV(RAND(),Model!J8,Model!K8)</f>
        <v>0.79258141512317426</v>
      </c>
      <c r="R955">
        <f ca="1">(Inputs!H14+(Inputs!J14-Inputs!H14)*BETAINV(RAND(),Model!L8,Model!M8))*Inputs!$C$6</f>
        <v>210241.53465810607</v>
      </c>
      <c r="S955">
        <f t="shared" ca="1" si="302"/>
        <v>0.32152480975810604</v>
      </c>
      <c r="T955">
        <f t="shared" ca="1" si="303"/>
        <v>0.82169274431190031</v>
      </c>
      <c r="U955">
        <f t="shared" ca="1" si="304"/>
        <v>1</v>
      </c>
      <c r="V955" s="47">
        <f t="shared" ca="1" si="305"/>
        <v>210241.53465810607</v>
      </c>
      <c r="W955">
        <f ca="1">Inputs!B15+(Inputs!D15-Inputs!B15)*BETAINV(RAND(),Model!H9,Model!I9)</f>
        <v>1.6988762132912274</v>
      </c>
      <c r="X955">
        <f ca="1">Inputs!E15+(Inputs!G15-Inputs!E15)*BETAINV(RAND(),Model!J9,Model!K9)</f>
        <v>0.35718353008479542</v>
      </c>
      <c r="Y955">
        <f ca="1">(Inputs!H15+(Inputs!J15-Inputs!H15)*BETAINV(RAND(),Model!L9,Model!M9))*Inputs!$C$6</f>
        <v>30219.311087830909</v>
      </c>
      <c r="Z955">
        <f t="shared" ca="1" si="306"/>
        <v>0.60681060304045042</v>
      </c>
      <c r="AA955">
        <f t="shared" ca="1" si="307"/>
        <v>0.16326313965980066</v>
      </c>
      <c r="AB955">
        <f t="shared" ca="1" si="308"/>
        <v>0</v>
      </c>
      <c r="AC955" s="47">
        <f t="shared" ca="1" si="309"/>
        <v>0</v>
      </c>
      <c r="AD955">
        <f ca="1">Inputs!B16+(Inputs!D16-Inputs!B16)*BETAINV(RAND(),Model!H10,Model!I10)</f>
        <v>0.59336437254616237</v>
      </c>
      <c r="AE955">
        <f ca="1">Inputs!E16+(Inputs!G16-Inputs!E16)*BETAINV(RAND(),Model!J10,Model!K10)</f>
        <v>0.58555899523251909</v>
      </c>
      <c r="AF955">
        <f ca="1">(Inputs!H16+(Inputs!J16-Inputs!H16)*BETAINV(RAND(),Model!L10,Model!M10))*Inputs!$C$6</f>
        <v>121537.27326568487</v>
      </c>
      <c r="AG955">
        <f t="shared" ca="1" si="310"/>
        <v>0.34744984579490495</v>
      </c>
      <c r="AH955">
        <f t="shared" ca="1" si="311"/>
        <v>0.12111132111806688</v>
      </c>
      <c r="AI955">
        <f t="shared" ca="1" si="312"/>
        <v>0</v>
      </c>
      <c r="AJ955" s="47">
        <f t="shared" ca="1" si="313"/>
        <v>0</v>
      </c>
      <c r="AK955">
        <f t="shared" ca="1" si="314"/>
        <v>276857.08420504606</v>
      </c>
    </row>
    <row r="956" spans="2:37" x14ac:dyDescent="0.2">
      <c r="B956">
        <f ca="1">Inputs!B12+(Inputs!D12-Inputs!B12)*BETAINV(RAND(),Model!H6,Model!I6)</f>
        <v>2.4920062808762666</v>
      </c>
      <c r="C956">
        <f ca="1">Inputs!E12+(Inputs!G12-Inputs!E12)*BETAINV(RAND(),Model!J6,Model!K6)</f>
        <v>0.3934595099837746</v>
      </c>
      <c r="D956">
        <f ca="1">(Inputs!H12+(Inputs!J12-Inputs!H12)*BETAINV(RAND(),Model!L6,Model!M6))*Inputs!$C$6</f>
        <v>26961.94378213329</v>
      </c>
      <c r="E956">
        <f t="shared" ca="1" si="294"/>
        <v>0.9805035701500644</v>
      </c>
      <c r="F956">
        <f t="shared" ca="1" si="295"/>
        <v>0.18704720202519365</v>
      </c>
      <c r="G956">
        <f t="shared" ca="1" si="296"/>
        <v>0</v>
      </c>
      <c r="H956" s="47">
        <f t="shared" ca="1" si="297"/>
        <v>0</v>
      </c>
      <c r="I956">
        <f ca="1">Inputs!B13+(Inputs!D13-Inputs!B13)*BETAINV(RAND(),Model!H7,Model!I7)</f>
        <v>2.1503054363643086</v>
      </c>
      <c r="J956">
        <f ca="1">Inputs!E13+(Inputs!G13-Inputs!E13)*BETAINV(RAND(),Model!J7,Model!K7)</f>
        <v>0.37978268546721272</v>
      </c>
      <c r="K956">
        <f ca="1">(Inputs!H13+(Inputs!J13-Inputs!H13)*BETAINV(RAND(),Model!L7,Model!M7))*Inputs!$C$6</f>
        <v>32642.591053066142</v>
      </c>
      <c r="L956">
        <f t="shared" ca="1" si="298"/>
        <v>0.81664877319718376</v>
      </c>
      <c r="M956">
        <f t="shared" ca="1" si="299"/>
        <v>0.50259067086162579</v>
      </c>
      <c r="N956">
        <f t="shared" ca="1" si="300"/>
        <v>1</v>
      </c>
      <c r="O956" s="47">
        <f t="shared" ca="1" si="301"/>
        <v>32642.591053066142</v>
      </c>
      <c r="P956">
        <f ca="1">Inputs!B14+(Inputs!D14-Inputs!B14)*BETAINV(RAND(),Model!H8,Model!I8)</f>
        <v>0.46159387436036359</v>
      </c>
      <c r="Q956">
        <f ca="1">Inputs!E14+(Inputs!G14-Inputs!E14)*BETAINV(RAND(),Model!J8,Model!K8)</f>
        <v>0.5231421216621317</v>
      </c>
      <c r="R956">
        <f ca="1">(Inputs!H14+(Inputs!J14-Inputs!H14)*BETAINV(RAND(),Model!L8,Model!M8))*Inputs!$C$6</f>
        <v>462938.11547344137</v>
      </c>
      <c r="S956">
        <f t="shared" ca="1" si="302"/>
        <v>0.24147919877912405</v>
      </c>
      <c r="T956">
        <f t="shared" ca="1" si="303"/>
        <v>0.64918140613114961</v>
      </c>
      <c r="U956">
        <f t="shared" ca="1" si="304"/>
        <v>0</v>
      </c>
      <c r="V956" s="47">
        <f t="shared" ca="1" si="305"/>
        <v>0</v>
      </c>
      <c r="W956">
        <f ca="1">Inputs!B15+(Inputs!D15-Inputs!B15)*BETAINV(RAND(),Model!H9,Model!I9)</f>
        <v>0.98484227854073358</v>
      </c>
      <c r="X956">
        <f ca="1">Inputs!E15+(Inputs!G15-Inputs!E15)*BETAINV(RAND(),Model!J9,Model!K9)</f>
        <v>0.48059389807642899</v>
      </c>
      <c r="Y956">
        <f ca="1">(Inputs!H15+(Inputs!J15-Inputs!H15)*BETAINV(RAND(),Model!L9,Model!M9))*Inputs!$C$6</f>
        <v>37084.836057727072</v>
      </c>
      <c r="Z956">
        <f t="shared" ca="1" si="306"/>
        <v>0.47330918963436341</v>
      </c>
      <c r="AA956">
        <f t="shared" ca="1" si="307"/>
        <v>0.81532581235900248</v>
      </c>
      <c r="AB956">
        <f t="shared" ca="1" si="308"/>
        <v>1</v>
      </c>
      <c r="AC956" s="47">
        <f t="shared" ca="1" si="309"/>
        <v>37084.836057727072</v>
      </c>
      <c r="AD956">
        <f ca="1">Inputs!B16+(Inputs!D16-Inputs!B16)*BETAINV(RAND(),Model!H10,Model!I10)</f>
        <v>0.69798027051906386</v>
      </c>
      <c r="AE956">
        <f ca="1">Inputs!E16+(Inputs!G16-Inputs!E16)*BETAINV(RAND(),Model!J10,Model!K10)</f>
        <v>0.56141153743808592</v>
      </c>
      <c r="AF956">
        <f ca="1">(Inputs!H16+(Inputs!J16-Inputs!H16)*BETAINV(RAND(),Model!L10,Model!M10))*Inputs!$C$6</f>
        <v>42621.421524623169</v>
      </c>
      <c r="AG956">
        <f t="shared" ca="1" si="310"/>
        <v>0.39185417677355877</v>
      </c>
      <c r="AH956">
        <f t="shared" ca="1" si="311"/>
        <v>0.62214678322006434</v>
      </c>
      <c r="AI956">
        <f t="shared" ca="1" si="312"/>
        <v>0</v>
      </c>
      <c r="AJ956" s="47">
        <f t="shared" ca="1" si="313"/>
        <v>0</v>
      </c>
      <c r="AK956">
        <f t="shared" ca="1" si="314"/>
        <v>69727.427110793215</v>
      </c>
    </row>
    <row r="957" spans="2:37" x14ac:dyDescent="0.2">
      <c r="B957">
        <f ca="1">Inputs!B12+(Inputs!D12-Inputs!B12)*BETAINV(RAND(),Model!H6,Model!I6)</f>
        <v>3.3616995424017082</v>
      </c>
      <c r="C957">
        <f ca="1">Inputs!E12+(Inputs!G12-Inputs!E12)*BETAINV(RAND(),Model!J6,Model!K6)</f>
        <v>0.34454623702669573</v>
      </c>
      <c r="D957">
        <f ca="1">(Inputs!H12+(Inputs!J12-Inputs!H12)*BETAINV(RAND(),Model!L6,Model!M6))*Inputs!$C$6</f>
        <v>23542.445093313388</v>
      </c>
      <c r="E957">
        <f t="shared" ca="1" si="294"/>
        <v>1.1582609273488735</v>
      </c>
      <c r="F957">
        <f t="shared" ca="1" si="295"/>
        <v>0.63001784847076714</v>
      </c>
      <c r="G957">
        <f t="shared" ca="1" si="296"/>
        <v>1</v>
      </c>
      <c r="H957" s="47">
        <f t="shared" ca="1" si="297"/>
        <v>23542.445093313388</v>
      </c>
      <c r="I957">
        <f ca="1">Inputs!B13+(Inputs!D13-Inputs!B13)*BETAINV(RAND(),Model!H7,Model!I7)</f>
        <v>3.7550220620439863</v>
      </c>
      <c r="J957">
        <f ca="1">Inputs!E13+(Inputs!G13-Inputs!E13)*BETAINV(RAND(),Model!J7,Model!K7)</f>
        <v>0.36298832311805107</v>
      </c>
      <c r="K957">
        <f ca="1">(Inputs!H13+(Inputs!J13-Inputs!H13)*BETAINV(RAND(),Model!L7,Model!M7))*Inputs!$C$6</f>
        <v>55486.495610282785</v>
      </c>
      <c r="L957">
        <f t="shared" ca="1" si="298"/>
        <v>1.3630291615726329</v>
      </c>
      <c r="M957">
        <f t="shared" ca="1" si="299"/>
        <v>0.91387395505222813</v>
      </c>
      <c r="N957">
        <f t="shared" ca="1" si="300"/>
        <v>3</v>
      </c>
      <c r="O957" s="47">
        <f t="shared" ca="1" si="301"/>
        <v>166459.48683084836</v>
      </c>
      <c r="P957">
        <f ca="1">Inputs!B14+(Inputs!D14-Inputs!B14)*BETAINV(RAND(),Model!H8,Model!I8)</f>
        <v>0.30539821343540863</v>
      </c>
      <c r="Q957">
        <f ca="1">Inputs!E14+(Inputs!G14-Inputs!E14)*BETAINV(RAND(),Model!J8,Model!K8)</f>
        <v>0.51886837146890286</v>
      </c>
      <c r="R957">
        <f ca="1">(Inputs!H14+(Inputs!J14-Inputs!H14)*BETAINV(RAND(),Model!L8,Model!M8))*Inputs!$C$6</f>
        <v>300474.6427224247</v>
      </c>
      <c r="S957">
        <f t="shared" ca="1" si="302"/>
        <v>0.15846147365474289</v>
      </c>
      <c r="T957">
        <f t="shared" ca="1" si="303"/>
        <v>0.87097298366305709</v>
      </c>
      <c r="U957">
        <f t="shared" ca="1" si="304"/>
        <v>1</v>
      </c>
      <c r="V957" s="47">
        <f t="shared" ca="1" si="305"/>
        <v>300474.6427224247</v>
      </c>
      <c r="W957">
        <f ca="1">Inputs!B15+(Inputs!D15-Inputs!B15)*BETAINV(RAND(),Model!H9,Model!I9)</f>
        <v>0.85373237141007507</v>
      </c>
      <c r="X957">
        <f ca="1">Inputs!E15+(Inputs!G15-Inputs!E15)*BETAINV(RAND(),Model!J9,Model!K9)</f>
        <v>0.46078127419805059</v>
      </c>
      <c r="Y957">
        <f ca="1">(Inputs!H15+(Inputs!J15-Inputs!H15)*BETAINV(RAND(),Model!L9,Model!M9))*Inputs!$C$6</f>
        <v>44567.007989935162</v>
      </c>
      <c r="Z957">
        <f t="shared" ca="1" si="306"/>
        <v>0.39338388992245776</v>
      </c>
      <c r="AA957">
        <f t="shared" ca="1" si="307"/>
        <v>0.4349073991560527</v>
      </c>
      <c r="AB957">
        <f t="shared" ca="1" si="308"/>
        <v>0</v>
      </c>
      <c r="AC957" s="47">
        <f t="shared" ca="1" si="309"/>
        <v>0</v>
      </c>
      <c r="AD957">
        <f ca="1">Inputs!B16+(Inputs!D16-Inputs!B16)*BETAINV(RAND(),Model!H10,Model!I10)</f>
        <v>0.75471763718338725</v>
      </c>
      <c r="AE957">
        <f ca="1">Inputs!E16+(Inputs!G16-Inputs!E16)*BETAINV(RAND(),Model!J10,Model!K10)</f>
        <v>0.53217871091300262</v>
      </c>
      <c r="AF957">
        <f ca="1">(Inputs!H16+(Inputs!J16-Inputs!H16)*BETAINV(RAND(),Model!L10,Model!M10))*Inputs!$C$6</f>
        <v>121639.58716429207</v>
      </c>
      <c r="AG957">
        <f t="shared" ca="1" si="310"/>
        <v>0.40164465925956222</v>
      </c>
      <c r="AH957">
        <f t="shared" ca="1" si="311"/>
        <v>0.70182090173620715</v>
      </c>
      <c r="AI957">
        <f t="shared" ca="1" si="312"/>
        <v>1</v>
      </c>
      <c r="AJ957" s="47">
        <f t="shared" ca="1" si="313"/>
        <v>121639.58716429207</v>
      </c>
      <c r="AK957">
        <f t="shared" ca="1" si="314"/>
        <v>612116.16181087855</v>
      </c>
    </row>
    <row r="958" spans="2:37" x14ac:dyDescent="0.2">
      <c r="B958">
        <f ca="1">Inputs!B12+(Inputs!D12-Inputs!B12)*BETAINV(RAND(),Model!H6,Model!I6)</f>
        <v>4.8047754472324353</v>
      </c>
      <c r="C958">
        <f ca="1">Inputs!E12+(Inputs!G12-Inputs!E12)*BETAINV(RAND(),Model!J6,Model!K6)</f>
        <v>0.401732673210215</v>
      </c>
      <c r="D958">
        <f ca="1">(Inputs!H12+(Inputs!J12-Inputs!H12)*BETAINV(RAND(),Model!L6,Model!M6))*Inputs!$C$6</f>
        <v>14387.045068321053</v>
      </c>
      <c r="E958">
        <f t="shared" ca="1" si="294"/>
        <v>1.9302352845914925</v>
      </c>
      <c r="F958">
        <f t="shared" ca="1" si="295"/>
        <v>0.77758829604978108</v>
      </c>
      <c r="G958">
        <f t="shared" ca="1" si="296"/>
        <v>3</v>
      </c>
      <c r="H958" s="47">
        <f t="shared" ca="1" si="297"/>
        <v>43161.135204963161</v>
      </c>
      <c r="I958">
        <f ca="1">Inputs!B13+(Inputs!D13-Inputs!B13)*BETAINV(RAND(),Model!H7,Model!I7)</f>
        <v>1.3879035107104425</v>
      </c>
      <c r="J958">
        <f ca="1">Inputs!E13+(Inputs!G13-Inputs!E13)*BETAINV(RAND(),Model!J7,Model!K7)</f>
        <v>0.28982625732217593</v>
      </c>
      <c r="K958">
        <f ca="1">(Inputs!H13+(Inputs!J13-Inputs!H13)*BETAINV(RAND(),Model!L7,Model!M7))*Inputs!$C$6</f>
        <v>45372.734283134618</v>
      </c>
      <c r="L958">
        <f t="shared" ca="1" si="298"/>
        <v>0.40225088003351606</v>
      </c>
      <c r="M958">
        <f t="shared" ca="1" si="299"/>
        <v>0.85291918081933082</v>
      </c>
      <c r="N958">
        <f t="shared" ca="1" si="300"/>
        <v>1</v>
      </c>
      <c r="O958" s="47">
        <f t="shared" ca="1" si="301"/>
        <v>45372.734283134618</v>
      </c>
      <c r="P958">
        <f ca="1">Inputs!B14+(Inputs!D14-Inputs!B14)*BETAINV(RAND(),Model!H8,Model!I8)</f>
        <v>0.45992233175817065</v>
      </c>
      <c r="Q958">
        <f ca="1">Inputs!E14+(Inputs!G14-Inputs!E14)*BETAINV(RAND(),Model!J8,Model!K8)</f>
        <v>0.68117895936499373</v>
      </c>
      <c r="R958">
        <f ca="1">(Inputs!H14+(Inputs!J14-Inputs!H14)*BETAINV(RAND(),Model!L8,Model!M8))*Inputs!$C$6</f>
        <v>448419.97273587569</v>
      </c>
      <c r="S958">
        <f t="shared" ca="1" si="302"/>
        <v>0.31328941533575211</v>
      </c>
      <c r="T958">
        <f t="shared" ca="1" si="303"/>
        <v>0.93425101350331485</v>
      </c>
      <c r="U958">
        <f t="shared" ca="1" si="304"/>
        <v>1</v>
      </c>
      <c r="V958" s="47">
        <f t="shared" ca="1" si="305"/>
        <v>448419.97273587569</v>
      </c>
      <c r="W958">
        <f ca="1">Inputs!B15+(Inputs!D15-Inputs!B15)*BETAINV(RAND(),Model!H9,Model!I9)</f>
        <v>0.73690981242305975</v>
      </c>
      <c r="X958">
        <f ca="1">Inputs!E15+(Inputs!G15-Inputs!E15)*BETAINV(RAND(),Model!J9,Model!K9)</f>
        <v>0.34105749511910433</v>
      </c>
      <c r="Y958">
        <f ca="1">(Inputs!H15+(Inputs!J15-Inputs!H15)*BETAINV(RAND(),Model!L9,Model!M9))*Inputs!$C$6</f>
        <v>50526.805357920872</v>
      </c>
      <c r="Z958">
        <f t="shared" ca="1" si="306"/>
        <v>0.25132861475369778</v>
      </c>
      <c r="AA958">
        <f t="shared" ca="1" si="307"/>
        <v>0.83140527388183527</v>
      </c>
      <c r="AB958">
        <f t="shared" ca="1" si="308"/>
        <v>1</v>
      </c>
      <c r="AC958" s="47">
        <f t="shared" ca="1" si="309"/>
        <v>50526.805357920872</v>
      </c>
      <c r="AD958">
        <f ca="1">Inputs!B16+(Inputs!D16-Inputs!B16)*BETAINV(RAND(),Model!H10,Model!I10)</f>
        <v>0.99312417892248228</v>
      </c>
      <c r="AE958">
        <f ca="1">Inputs!E16+(Inputs!G16-Inputs!E16)*BETAINV(RAND(),Model!J10,Model!K10)</f>
        <v>0.5705001321511296</v>
      </c>
      <c r="AF958">
        <f ca="1">(Inputs!H16+(Inputs!J16-Inputs!H16)*BETAINV(RAND(),Model!L10,Model!M10))*Inputs!$C$6</f>
        <v>75965.947860384724</v>
      </c>
      <c r="AG958">
        <f t="shared" ca="1" si="310"/>
        <v>0.56657747531775826</v>
      </c>
      <c r="AH958">
        <f t="shared" ca="1" si="311"/>
        <v>3.4112903834577879E-2</v>
      </c>
      <c r="AI958">
        <f t="shared" ca="1" si="312"/>
        <v>0</v>
      </c>
      <c r="AJ958" s="47">
        <f t="shared" ca="1" si="313"/>
        <v>0</v>
      </c>
      <c r="AK958">
        <f t="shared" ca="1" si="314"/>
        <v>587480.6475818943</v>
      </c>
    </row>
    <row r="959" spans="2:37" x14ac:dyDescent="0.2">
      <c r="B959">
        <f ca="1">Inputs!B12+(Inputs!D12-Inputs!B12)*BETAINV(RAND(),Model!H6,Model!I6)</f>
        <v>4.2817273838992866</v>
      </c>
      <c r="C959">
        <f ca="1">Inputs!E12+(Inputs!G12-Inputs!E12)*BETAINV(RAND(),Model!J6,Model!K6)</f>
        <v>0.36011370994341135</v>
      </c>
      <c r="D959">
        <f ca="1">(Inputs!H12+(Inputs!J12-Inputs!H12)*BETAINV(RAND(),Model!L6,Model!M6))*Inputs!$C$6</f>
        <v>40991.555847216776</v>
      </c>
      <c r="E959">
        <f t="shared" ca="1" si="294"/>
        <v>1.5419087331822692</v>
      </c>
      <c r="F959">
        <f t="shared" ca="1" si="295"/>
        <v>0.3322819917779265</v>
      </c>
      <c r="G959">
        <f t="shared" ca="1" si="296"/>
        <v>1</v>
      </c>
      <c r="H959" s="47">
        <f t="shared" ca="1" si="297"/>
        <v>40991.555847216776</v>
      </c>
      <c r="I959">
        <f ca="1">Inputs!B13+(Inputs!D13-Inputs!B13)*BETAINV(RAND(),Model!H7,Model!I7)</f>
        <v>1.8729197204107586</v>
      </c>
      <c r="J959">
        <f ca="1">Inputs!E13+(Inputs!G13-Inputs!E13)*BETAINV(RAND(),Model!J7,Model!K7)</f>
        <v>0.19221334877348792</v>
      </c>
      <c r="K959">
        <f ca="1">(Inputs!H13+(Inputs!J13-Inputs!H13)*BETAINV(RAND(),Model!L7,Model!M7))*Inputs!$C$6</f>
        <v>65946.800810240355</v>
      </c>
      <c r="L959">
        <f t="shared" ca="1" si="298"/>
        <v>0.3600001714440566</v>
      </c>
      <c r="M959">
        <f t="shared" ca="1" si="299"/>
        <v>0.12167074718649729</v>
      </c>
      <c r="N959">
        <f t="shared" ca="1" si="300"/>
        <v>0</v>
      </c>
      <c r="O959" s="47">
        <f t="shared" ca="1" si="301"/>
        <v>0</v>
      </c>
      <c r="P959">
        <f ca="1">Inputs!B14+(Inputs!D14-Inputs!B14)*BETAINV(RAND(),Model!H8,Model!I8)</f>
        <v>0.37251983776126185</v>
      </c>
      <c r="Q959">
        <f ca="1">Inputs!E14+(Inputs!G14-Inputs!E14)*BETAINV(RAND(),Model!J8,Model!K8)</f>
        <v>0.53224929795666009</v>
      </c>
      <c r="R959">
        <f ca="1">(Inputs!H14+(Inputs!J14-Inputs!H14)*BETAINV(RAND(),Model!L8,Model!M8))*Inputs!$C$6</f>
        <v>395365.29020035645</v>
      </c>
      <c r="S959">
        <f t="shared" ca="1" si="302"/>
        <v>0.19827342212336055</v>
      </c>
      <c r="T959">
        <f t="shared" ca="1" si="303"/>
        <v>0.9523774428313061</v>
      </c>
      <c r="U959">
        <f t="shared" ca="1" si="304"/>
        <v>1</v>
      </c>
      <c r="V959" s="47">
        <f t="shared" ca="1" si="305"/>
        <v>395365.29020035645</v>
      </c>
      <c r="W959">
        <f ca="1">Inputs!B15+(Inputs!D15-Inputs!B15)*BETAINV(RAND(),Model!H9,Model!I9)</f>
        <v>1.122653943824178</v>
      </c>
      <c r="X959">
        <f ca="1">Inputs!E15+(Inputs!G15-Inputs!E15)*BETAINV(RAND(),Model!J9,Model!K9)</f>
        <v>0.38115086242975449</v>
      </c>
      <c r="Y959">
        <f ca="1">(Inputs!H15+(Inputs!J15-Inputs!H15)*BETAINV(RAND(),Model!L9,Model!M9))*Inputs!$C$6</f>
        <v>28274.807607197512</v>
      </c>
      <c r="Z959">
        <f t="shared" ca="1" si="306"/>
        <v>0.42790051889875064</v>
      </c>
      <c r="AA959">
        <f t="shared" ca="1" si="307"/>
        <v>0.90975837720159769</v>
      </c>
      <c r="AB959">
        <f t="shared" ca="1" si="308"/>
        <v>1</v>
      </c>
      <c r="AC959" s="47">
        <f t="shared" ca="1" si="309"/>
        <v>28274.807607197512</v>
      </c>
      <c r="AD959">
        <f ca="1">Inputs!B16+(Inputs!D16-Inputs!B16)*BETAINV(RAND(),Model!H10,Model!I10)</f>
        <v>1.0864291030048896</v>
      </c>
      <c r="AE959">
        <f ca="1">Inputs!E16+(Inputs!G16-Inputs!E16)*BETAINV(RAND(),Model!J10,Model!K10)</f>
        <v>0.57240317692658405</v>
      </c>
      <c r="AF959">
        <f ca="1">(Inputs!H16+(Inputs!J16-Inputs!H16)*BETAINV(RAND(),Model!L10,Model!M10))*Inputs!$C$6</f>
        <v>41315.819683182352</v>
      </c>
      <c r="AG959">
        <f t="shared" ca="1" si="310"/>
        <v>0.62187547006549782</v>
      </c>
      <c r="AH959">
        <f t="shared" ca="1" si="311"/>
        <v>0.42707211676553392</v>
      </c>
      <c r="AI959">
        <f t="shared" ca="1" si="312"/>
        <v>0</v>
      </c>
      <c r="AJ959" s="47">
        <f t="shared" ca="1" si="313"/>
        <v>0</v>
      </c>
      <c r="AK959">
        <f t="shared" ca="1" si="314"/>
        <v>464631.65365477075</v>
      </c>
    </row>
    <row r="960" spans="2:37" x14ac:dyDescent="0.2">
      <c r="B960">
        <f ca="1">Inputs!B12+(Inputs!D12-Inputs!B12)*BETAINV(RAND(),Model!H6,Model!I6)</f>
        <v>4.8111154559837317</v>
      </c>
      <c r="C960">
        <f ca="1">Inputs!E12+(Inputs!G12-Inputs!E12)*BETAINV(RAND(),Model!J6,Model!K6)</f>
        <v>0.32695007709196022</v>
      </c>
      <c r="D960">
        <f ca="1">(Inputs!H12+(Inputs!J12-Inputs!H12)*BETAINV(RAND(),Model!L6,Model!M6))*Inputs!$C$6</f>
        <v>36359.250689783643</v>
      </c>
      <c r="E960">
        <f t="shared" ca="1" si="294"/>
        <v>1.5729945692322025</v>
      </c>
      <c r="F960">
        <f t="shared" ca="1" si="295"/>
        <v>0.53585566185327116</v>
      </c>
      <c r="G960">
        <f t="shared" ca="1" si="296"/>
        <v>2</v>
      </c>
      <c r="H960" s="47">
        <f t="shared" ca="1" si="297"/>
        <v>72718.501379567286</v>
      </c>
      <c r="I960">
        <f ca="1">Inputs!B13+(Inputs!D13-Inputs!B13)*BETAINV(RAND(),Model!H7,Model!I7)</f>
        <v>1.7601940641148537</v>
      </c>
      <c r="J960">
        <f ca="1">Inputs!E13+(Inputs!G13-Inputs!E13)*BETAINV(RAND(),Model!J7,Model!K7)</f>
        <v>0.23607953147021657</v>
      </c>
      <c r="K960">
        <f ca="1">(Inputs!H13+(Inputs!J13-Inputs!H13)*BETAINV(RAND(),Model!L7,Model!M7))*Inputs!$C$6</f>
        <v>30474.345459149499</v>
      </c>
      <c r="L960">
        <f t="shared" ca="1" si="298"/>
        <v>0.41554578995289099</v>
      </c>
      <c r="M960">
        <f t="shared" ca="1" si="299"/>
        <v>0.28620322962176303</v>
      </c>
      <c r="N960">
        <f t="shared" ca="1" si="300"/>
        <v>0</v>
      </c>
      <c r="O960" s="47">
        <f t="shared" ca="1" si="301"/>
        <v>0</v>
      </c>
      <c r="P960">
        <f ca="1">Inputs!B14+(Inputs!D14-Inputs!B14)*BETAINV(RAND(),Model!H8,Model!I8)</f>
        <v>0.13056128289146046</v>
      </c>
      <c r="Q960">
        <f ca="1">Inputs!E14+(Inputs!G14-Inputs!E14)*BETAINV(RAND(),Model!J8,Model!K8)</f>
        <v>0.54350351105439576</v>
      </c>
      <c r="R960">
        <f ca="1">(Inputs!H14+(Inputs!J14-Inputs!H14)*BETAINV(RAND(),Model!L8,Model!M8))*Inputs!$C$6</f>
        <v>344181.17152520892</v>
      </c>
      <c r="S960">
        <f t="shared" ca="1" si="302"/>
        <v>7.096051565927497E-2</v>
      </c>
      <c r="T960">
        <f t="shared" ca="1" si="303"/>
        <v>0.42541788702796801</v>
      </c>
      <c r="U960">
        <f t="shared" ca="1" si="304"/>
        <v>0</v>
      </c>
      <c r="V960" s="47">
        <f t="shared" ca="1" si="305"/>
        <v>0</v>
      </c>
      <c r="W960">
        <f ca="1">Inputs!B15+(Inputs!D15-Inputs!B15)*BETAINV(RAND(),Model!H9,Model!I9)</f>
        <v>0.79655149180700491</v>
      </c>
      <c r="X960">
        <f ca="1">Inputs!E15+(Inputs!G15-Inputs!E15)*BETAINV(RAND(),Model!J9,Model!K9)</f>
        <v>0.61126178122189545</v>
      </c>
      <c r="Y960">
        <f ca="1">(Inputs!H15+(Inputs!J15-Inputs!H15)*BETAINV(RAND(),Model!L9,Model!M9))*Inputs!$C$6</f>
        <v>17651.530892572671</v>
      </c>
      <c r="Z960">
        <f t="shared" ca="1" si="306"/>
        <v>0.48690148371690789</v>
      </c>
      <c r="AA960">
        <f t="shared" ca="1" si="307"/>
        <v>0.56619602666601576</v>
      </c>
      <c r="AB960">
        <f t="shared" ca="1" si="308"/>
        <v>0</v>
      </c>
      <c r="AC960" s="47">
        <f t="shared" ca="1" si="309"/>
        <v>0</v>
      </c>
      <c r="AD960">
        <f ca="1">Inputs!B16+(Inputs!D16-Inputs!B16)*BETAINV(RAND(),Model!H10,Model!I10)</f>
        <v>0.65665885065295937</v>
      </c>
      <c r="AE960">
        <f ca="1">Inputs!E16+(Inputs!G16-Inputs!E16)*BETAINV(RAND(),Model!J10,Model!K10)</f>
        <v>0.57383881507084245</v>
      </c>
      <c r="AF960">
        <f ca="1">(Inputs!H16+(Inputs!J16-Inputs!H16)*BETAINV(RAND(),Model!L10,Model!M10))*Inputs!$C$6</f>
        <v>62496.861853457354</v>
      </c>
      <c r="AG960">
        <f t="shared" ca="1" si="310"/>
        <v>0.37681633676447551</v>
      </c>
      <c r="AH960">
        <f t="shared" ca="1" si="311"/>
        <v>0.52851036911772198</v>
      </c>
      <c r="AI960">
        <f t="shared" ca="1" si="312"/>
        <v>0</v>
      </c>
      <c r="AJ960" s="47">
        <f t="shared" ca="1" si="313"/>
        <v>0</v>
      </c>
      <c r="AK960">
        <f t="shared" ca="1" si="314"/>
        <v>72718.501379567286</v>
      </c>
    </row>
    <row r="961" spans="2:37" x14ac:dyDescent="0.2">
      <c r="B961">
        <f ca="1">Inputs!B12+(Inputs!D12-Inputs!B12)*BETAINV(RAND(),Model!H6,Model!I6)</f>
        <v>2.3682365330527104</v>
      </c>
      <c r="C961">
        <f ca="1">Inputs!E12+(Inputs!G12-Inputs!E12)*BETAINV(RAND(),Model!J6,Model!K6)</f>
        <v>0.29280441106690608</v>
      </c>
      <c r="D961">
        <f ca="1">(Inputs!H12+(Inputs!J12-Inputs!H12)*BETAINV(RAND(),Model!L6,Model!M6))*Inputs!$C$6</f>
        <v>19497.661803805728</v>
      </c>
      <c r="E961">
        <f t="shared" ca="1" si="294"/>
        <v>0.69343010332763033</v>
      </c>
      <c r="F961">
        <f t="shared" ca="1" si="295"/>
        <v>0.78377243949830389</v>
      </c>
      <c r="G961">
        <f t="shared" ca="1" si="296"/>
        <v>1</v>
      </c>
      <c r="H961" s="47">
        <f t="shared" ca="1" si="297"/>
        <v>19497.661803805728</v>
      </c>
      <c r="I961">
        <f ca="1">Inputs!B13+(Inputs!D13-Inputs!B13)*BETAINV(RAND(),Model!H7,Model!I7)</f>
        <v>1.848409746073459</v>
      </c>
      <c r="J961">
        <f ca="1">Inputs!E13+(Inputs!G13-Inputs!E13)*BETAINV(RAND(),Model!J7,Model!K7)</f>
        <v>0.22778603173621742</v>
      </c>
      <c r="K961">
        <f ca="1">(Inputs!H13+(Inputs!J13-Inputs!H13)*BETAINV(RAND(),Model!L7,Model!M7))*Inputs!$C$6</f>
        <v>57315.834994870689</v>
      </c>
      <c r="L961">
        <f t="shared" ca="1" si="298"/>
        <v>0.42104192108062249</v>
      </c>
      <c r="M961">
        <f t="shared" ca="1" si="299"/>
        <v>0.45937269261812463</v>
      </c>
      <c r="N961">
        <f t="shared" ca="1" si="300"/>
        <v>0</v>
      </c>
      <c r="O961" s="47">
        <f t="shared" ca="1" si="301"/>
        <v>0</v>
      </c>
      <c r="P961">
        <f ca="1">Inputs!B14+(Inputs!D14-Inputs!B14)*BETAINV(RAND(),Model!H8,Model!I8)</f>
        <v>0.14515006171199013</v>
      </c>
      <c r="Q961">
        <f ca="1">Inputs!E14+(Inputs!G14-Inputs!E14)*BETAINV(RAND(),Model!J8,Model!K8)</f>
        <v>0.52596861886949697</v>
      </c>
      <c r="R961">
        <f ca="1">(Inputs!H14+(Inputs!J14-Inputs!H14)*BETAINV(RAND(),Model!L8,Model!M8))*Inputs!$C$6</f>
        <v>329617.39098065143</v>
      </c>
      <c r="S961">
        <f t="shared" ca="1" si="302"/>
        <v>7.6344377487477702E-2</v>
      </c>
      <c r="T961">
        <f t="shared" ca="1" si="303"/>
        <v>0.72764831348910319</v>
      </c>
      <c r="U961">
        <f t="shared" ca="1" si="304"/>
        <v>0</v>
      </c>
      <c r="V961" s="47">
        <f t="shared" ca="1" si="305"/>
        <v>0</v>
      </c>
      <c r="W961">
        <f ca="1">Inputs!B15+(Inputs!D15-Inputs!B15)*BETAINV(RAND(),Model!H9,Model!I9)</f>
        <v>1.3511271647663834</v>
      </c>
      <c r="X961">
        <f ca="1">Inputs!E15+(Inputs!G15-Inputs!E15)*BETAINV(RAND(),Model!J9,Model!K9)</f>
        <v>0.37078642488707808</v>
      </c>
      <c r="Y961">
        <f ca="1">(Inputs!H15+(Inputs!J15-Inputs!H15)*BETAINV(RAND(),Model!L9,Model!M9))*Inputs!$C$6</f>
        <v>12853.062582205654</v>
      </c>
      <c r="Z961">
        <f t="shared" ca="1" si="306"/>
        <v>0.50097961099154142</v>
      </c>
      <c r="AA961">
        <f t="shared" ca="1" si="307"/>
        <v>0.54885589127366685</v>
      </c>
      <c r="AB961">
        <f t="shared" ca="1" si="308"/>
        <v>0</v>
      </c>
      <c r="AC961" s="47">
        <f t="shared" ca="1" si="309"/>
        <v>0</v>
      </c>
      <c r="AD961">
        <f ca="1">Inputs!B16+(Inputs!D16-Inputs!B16)*BETAINV(RAND(),Model!H10,Model!I10)</f>
        <v>0.44991025669659945</v>
      </c>
      <c r="AE961">
        <f ca="1">Inputs!E16+(Inputs!G16-Inputs!E16)*BETAINV(RAND(),Model!J10,Model!K10)</f>
        <v>0.52870257973099877</v>
      </c>
      <c r="AF961">
        <f ca="1">(Inputs!H16+(Inputs!J16-Inputs!H16)*BETAINV(RAND(),Model!L10,Model!M10))*Inputs!$C$6</f>
        <v>115837.08820952111</v>
      </c>
      <c r="AG961">
        <f t="shared" ca="1" si="310"/>
        <v>0.237868713362928</v>
      </c>
      <c r="AH961">
        <f t="shared" ca="1" si="311"/>
        <v>0.93290703111022688</v>
      </c>
      <c r="AI961">
        <f t="shared" ca="1" si="312"/>
        <v>1</v>
      </c>
      <c r="AJ961" s="47">
        <f t="shared" ca="1" si="313"/>
        <v>115837.08820952111</v>
      </c>
      <c r="AK961">
        <f t="shared" ca="1" si="314"/>
        <v>135334.75001332685</v>
      </c>
    </row>
    <row r="962" spans="2:37" x14ac:dyDescent="0.2">
      <c r="B962">
        <f ca="1">Inputs!B12+(Inputs!D12-Inputs!B12)*BETAINV(RAND(),Model!H6,Model!I6)</f>
        <v>4.5262331820955701</v>
      </c>
      <c r="C962">
        <f ca="1">Inputs!E12+(Inputs!G12-Inputs!E12)*BETAINV(RAND(),Model!J6,Model!K6)</f>
        <v>0.41240088862545288</v>
      </c>
      <c r="D962">
        <f ca="1">(Inputs!H12+(Inputs!J12-Inputs!H12)*BETAINV(RAND(),Model!L6,Model!M6))*Inputs!$C$6</f>
        <v>19847.537839361852</v>
      </c>
      <c r="E962">
        <f t="shared" ca="1" si="294"/>
        <v>1.8666225864222243</v>
      </c>
      <c r="F962">
        <f t="shared" ca="1" si="295"/>
        <v>0.40793319695754837</v>
      </c>
      <c r="G962">
        <f t="shared" ca="1" si="296"/>
        <v>1</v>
      </c>
      <c r="H962" s="47">
        <f t="shared" ca="1" si="297"/>
        <v>19847.537839361852</v>
      </c>
      <c r="I962">
        <f ca="1">Inputs!B13+(Inputs!D13-Inputs!B13)*BETAINV(RAND(),Model!H7,Model!I7)</f>
        <v>1.6228176404558412</v>
      </c>
      <c r="J962">
        <f ca="1">Inputs!E13+(Inputs!G13-Inputs!E13)*BETAINV(RAND(),Model!J7,Model!K7)</f>
        <v>0.35471663827433886</v>
      </c>
      <c r="K962">
        <f ca="1">(Inputs!H13+(Inputs!J13-Inputs!H13)*BETAINV(RAND(),Model!L7,Model!M7))*Inputs!$C$6</f>
        <v>45567.595510089683</v>
      </c>
      <c r="L962">
        <f t="shared" ca="1" si="298"/>
        <v>0.57564041795479071</v>
      </c>
      <c r="M962">
        <f t="shared" ca="1" si="299"/>
        <v>0.95518365827246454</v>
      </c>
      <c r="N962">
        <f t="shared" ca="1" si="300"/>
        <v>2</v>
      </c>
      <c r="O962" s="47">
        <f t="shared" ca="1" si="301"/>
        <v>91135.191020179365</v>
      </c>
      <c r="P962">
        <f ca="1">Inputs!B14+(Inputs!D14-Inputs!B14)*BETAINV(RAND(),Model!H8,Model!I8)</f>
        <v>0.48376059772770086</v>
      </c>
      <c r="Q962">
        <f ca="1">Inputs!E14+(Inputs!G14-Inputs!E14)*BETAINV(RAND(),Model!J8,Model!K8)</f>
        <v>0.77326385325539926</v>
      </c>
      <c r="R962">
        <f ca="1">(Inputs!H14+(Inputs!J14-Inputs!H14)*BETAINV(RAND(),Model!L8,Model!M8))*Inputs!$C$6</f>
        <v>430748.81503928435</v>
      </c>
      <c r="S962">
        <f t="shared" ca="1" si="302"/>
        <v>0.37407458385205711</v>
      </c>
      <c r="T962">
        <f t="shared" ca="1" si="303"/>
        <v>0.15584853131013177</v>
      </c>
      <c r="U962">
        <f t="shared" ca="1" si="304"/>
        <v>0</v>
      </c>
      <c r="V962" s="47">
        <f t="shared" ca="1" si="305"/>
        <v>0</v>
      </c>
      <c r="W962">
        <f ca="1">Inputs!B15+(Inputs!D15-Inputs!B15)*BETAINV(RAND(),Model!H9,Model!I9)</f>
        <v>0.80075636214693691</v>
      </c>
      <c r="X962">
        <f ca="1">Inputs!E15+(Inputs!G15-Inputs!E15)*BETAINV(RAND(),Model!J9,Model!K9)</f>
        <v>0.50678536998542234</v>
      </c>
      <c r="Y962">
        <f ca="1">(Inputs!H15+(Inputs!J15-Inputs!H15)*BETAINV(RAND(),Model!L9,Model!M9))*Inputs!$C$6</f>
        <v>14379.328367536567</v>
      </c>
      <c r="Z962">
        <f t="shared" ca="1" si="306"/>
        <v>0.40581160925881626</v>
      </c>
      <c r="AA962">
        <f t="shared" ca="1" si="307"/>
        <v>0.19088435245679058</v>
      </c>
      <c r="AB962">
        <f t="shared" ca="1" si="308"/>
        <v>0</v>
      </c>
      <c r="AC962" s="47">
        <f t="shared" ca="1" si="309"/>
        <v>0</v>
      </c>
      <c r="AD962">
        <f ca="1">Inputs!B16+(Inputs!D16-Inputs!B16)*BETAINV(RAND(),Model!H10,Model!I10)</f>
        <v>0.46085674149634909</v>
      </c>
      <c r="AE962">
        <f ca="1">Inputs!E16+(Inputs!G16-Inputs!E16)*BETAINV(RAND(),Model!J10,Model!K10)</f>
        <v>0.55263015813993088</v>
      </c>
      <c r="AF962">
        <f ca="1">(Inputs!H16+(Inputs!J16-Inputs!H16)*BETAINV(RAND(),Model!L10,Model!M10))*Inputs!$C$6</f>
        <v>73651.281847589897</v>
      </c>
      <c r="AG962">
        <f t="shared" ca="1" si="310"/>
        <v>0.25468333393298065</v>
      </c>
      <c r="AH962">
        <f t="shared" ca="1" si="311"/>
        <v>0.43217252430527231</v>
      </c>
      <c r="AI962">
        <f t="shared" ca="1" si="312"/>
        <v>0</v>
      </c>
      <c r="AJ962" s="47">
        <f t="shared" ca="1" si="313"/>
        <v>0</v>
      </c>
      <c r="AK962">
        <f t="shared" ca="1" si="314"/>
        <v>110982.72885954121</v>
      </c>
    </row>
    <row r="963" spans="2:37" x14ac:dyDescent="0.2">
      <c r="B963">
        <f ca="1">Inputs!B12+(Inputs!D12-Inputs!B12)*BETAINV(RAND(),Model!H6,Model!I6)</f>
        <v>4.7344041856512238</v>
      </c>
      <c r="C963">
        <f ca="1">Inputs!E12+(Inputs!G12-Inputs!E12)*BETAINV(RAND(),Model!J6,Model!K6)</f>
        <v>0.26791229097016067</v>
      </c>
      <c r="D963">
        <f ca="1">(Inputs!H12+(Inputs!J12-Inputs!H12)*BETAINV(RAND(),Model!L6,Model!M6))*Inputs!$C$6</f>
        <v>30160.168749558903</v>
      </c>
      <c r="E963">
        <f t="shared" ca="1" si="294"/>
        <v>1.2684050717565372</v>
      </c>
      <c r="F963">
        <f t="shared" ca="1" si="295"/>
        <v>0.68728804128691423</v>
      </c>
      <c r="G963">
        <f t="shared" ca="1" si="296"/>
        <v>2</v>
      </c>
      <c r="H963" s="47">
        <f t="shared" ca="1" si="297"/>
        <v>60320.337499117806</v>
      </c>
      <c r="I963">
        <f ca="1">Inputs!B13+(Inputs!D13-Inputs!B13)*BETAINV(RAND(),Model!H7,Model!I7)</f>
        <v>2.2157097911576784</v>
      </c>
      <c r="J963">
        <f ca="1">Inputs!E13+(Inputs!G13-Inputs!E13)*BETAINV(RAND(),Model!J7,Model!K7)</f>
        <v>0.26274495708927581</v>
      </c>
      <c r="K963">
        <f ca="1">(Inputs!H13+(Inputs!J13-Inputs!H13)*BETAINV(RAND(),Model!L7,Model!M7))*Inputs!$C$6</f>
        <v>45697.162465385809</v>
      </c>
      <c r="L963">
        <f t="shared" ca="1" si="298"/>
        <v>0.58216657400001248</v>
      </c>
      <c r="M963">
        <f t="shared" ca="1" si="299"/>
        <v>0.55723541657590636</v>
      </c>
      <c r="N963">
        <f t="shared" ca="1" si="300"/>
        <v>0</v>
      </c>
      <c r="O963" s="47">
        <f t="shared" ca="1" si="301"/>
        <v>0</v>
      </c>
      <c r="P963">
        <f ca="1">Inputs!B14+(Inputs!D14-Inputs!B14)*BETAINV(RAND(),Model!H8,Model!I8)</f>
        <v>0.2392687786283412</v>
      </c>
      <c r="Q963">
        <f ca="1">Inputs!E14+(Inputs!G14-Inputs!E14)*BETAINV(RAND(),Model!J8,Model!K8)</f>
        <v>0.40791987265729018</v>
      </c>
      <c r="R963">
        <f ca="1">(Inputs!H14+(Inputs!J14-Inputs!H14)*BETAINV(RAND(),Model!L8,Model!M8))*Inputs!$C$6</f>
        <v>536031.53781159816</v>
      </c>
      <c r="S963">
        <f t="shared" ca="1" si="302"/>
        <v>9.7602489708938298E-2</v>
      </c>
      <c r="T963">
        <f t="shared" ca="1" si="303"/>
        <v>0.88947654815530131</v>
      </c>
      <c r="U963">
        <f t="shared" ca="1" si="304"/>
        <v>0</v>
      </c>
      <c r="V963" s="47">
        <f t="shared" ca="1" si="305"/>
        <v>0</v>
      </c>
      <c r="W963">
        <f ca="1">Inputs!B15+(Inputs!D15-Inputs!B15)*BETAINV(RAND(),Model!H9,Model!I9)</f>
        <v>1.5579940871432965</v>
      </c>
      <c r="X963">
        <f ca="1">Inputs!E15+(Inputs!G15-Inputs!E15)*BETAINV(RAND(),Model!J9,Model!K9)</f>
        <v>0.41517607389754896</v>
      </c>
      <c r="Y963">
        <f ca="1">(Inputs!H15+(Inputs!J15-Inputs!H15)*BETAINV(RAND(),Model!L9,Model!M9))*Inputs!$C$6</f>
        <v>33462.040246840996</v>
      </c>
      <c r="Z963">
        <f t="shared" ca="1" si="306"/>
        <v>0.64684186825574963</v>
      </c>
      <c r="AA963">
        <f t="shared" ca="1" si="307"/>
        <v>0.75396594834790165</v>
      </c>
      <c r="AB963">
        <f t="shared" ca="1" si="308"/>
        <v>1</v>
      </c>
      <c r="AC963" s="47">
        <f t="shared" ca="1" si="309"/>
        <v>33462.040246840996</v>
      </c>
      <c r="AD963">
        <f ca="1">Inputs!B16+(Inputs!D16-Inputs!B16)*BETAINV(RAND(),Model!H10,Model!I10)</f>
        <v>0.63831305677900585</v>
      </c>
      <c r="AE963">
        <f ca="1">Inputs!E16+(Inputs!G16-Inputs!E16)*BETAINV(RAND(),Model!J10,Model!K10)</f>
        <v>0.71639477563899134</v>
      </c>
      <c r="AF963">
        <f ca="1">(Inputs!H16+(Inputs!J16-Inputs!H16)*BETAINV(RAND(),Model!L10,Model!M10))*Inputs!$C$6</f>
        <v>57793.218267344884</v>
      </c>
      <c r="AG963">
        <f t="shared" ca="1" si="310"/>
        <v>0.45728413909863463</v>
      </c>
      <c r="AH963">
        <f t="shared" ca="1" si="311"/>
        <v>0.3216019980659065</v>
      </c>
      <c r="AI963">
        <f t="shared" ca="1" si="312"/>
        <v>0</v>
      </c>
      <c r="AJ963" s="47">
        <f t="shared" ca="1" si="313"/>
        <v>0</v>
      </c>
      <c r="AK963">
        <f t="shared" ca="1" si="314"/>
        <v>93782.377745958802</v>
      </c>
    </row>
    <row r="964" spans="2:37" x14ac:dyDescent="0.2">
      <c r="B964">
        <f ca="1">Inputs!B12+(Inputs!D12-Inputs!B12)*BETAINV(RAND(),Model!H6,Model!I6)</f>
        <v>1.9965398720863827</v>
      </c>
      <c r="C964">
        <f ca="1">Inputs!E12+(Inputs!G12-Inputs!E12)*BETAINV(RAND(),Model!J6,Model!K6)</f>
        <v>0.44478407707823098</v>
      </c>
      <c r="D964">
        <f ca="1">(Inputs!H12+(Inputs!J12-Inputs!H12)*BETAINV(RAND(),Model!L6,Model!M6))*Inputs!$C$6</f>
        <v>28264.195267687584</v>
      </c>
      <c r="E964">
        <f t="shared" ca="1" si="294"/>
        <v>0.88802914435583102</v>
      </c>
      <c r="F964">
        <f t="shared" ca="1" si="295"/>
        <v>0.14463588138950723</v>
      </c>
      <c r="G964">
        <f t="shared" ca="1" si="296"/>
        <v>0</v>
      </c>
      <c r="H964" s="47">
        <f t="shared" ca="1" si="297"/>
        <v>0</v>
      </c>
      <c r="I964">
        <f ca="1">Inputs!B13+(Inputs!D13-Inputs!B13)*BETAINV(RAND(),Model!H7,Model!I7)</f>
        <v>2.5964124263849104</v>
      </c>
      <c r="J964">
        <f ca="1">Inputs!E13+(Inputs!G13-Inputs!E13)*BETAINV(RAND(),Model!J7,Model!K7)</f>
        <v>0.29125139591043003</v>
      </c>
      <c r="K964">
        <f ca="1">(Inputs!H13+(Inputs!J13-Inputs!H13)*BETAINV(RAND(),Model!L7,Model!M7))*Inputs!$C$6</f>
        <v>12826.477987844337</v>
      </c>
      <c r="L964">
        <f t="shared" ca="1" si="298"/>
        <v>0.75620874354379186</v>
      </c>
      <c r="M964">
        <f t="shared" ca="1" si="299"/>
        <v>0.25576501995294165</v>
      </c>
      <c r="N964">
        <f t="shared" ca="1" si="300"/>
        <v>0</v>
      </c>
      <c r="O964" s="47">
        <f t="shared" ca="1" si="301"/>
        <v>0</v>
      </c>
      <c r="P964">
        <f ca="1">Inputs!B14+(Inputs!D14-Inputs!B14)*BETAINV(RAND(),Model!H8,Model!I8)</f>
        <v>0.25400101935739738</v>
      </c>
      <c r="Q964">
        <f ca="1">Inputs!E14+(Inputs!G14-Inputs!E14)*BETAINV(RAND(),Model!J8,Model!K8)</f>
        <v>0.5860257820693896</v>
      </c>
      <c r="R964">
        <f ca="1">(Inputs!H14+(Inputs!J14-Inputs!H14)*BETAINV(RAND(),Model!L8,Model!M8))*Inputs!$C$6</f>
        <v>280078.12759529357</v>
      </c>
      <c r="S964">
        <f t="shared" ca="1" si="302"/>
        <v>0.14885114601534097</v>
      </c>
      <c r="T964">
        <f t="shared" ca="1" si="303"/>
        <v>0.92376548561283045</v>
      </c>
      <c r="U964">
        <f t="shared" ca="1" si="304"/>
        <v>1</v>
      </c>
      <c r="V964" s="47">
        <f t="shared" ca="1" si="305"/>
        <v>280078.12759529357</v>
      </c>
      <c r="W964">
        <f ca="1">Inputs!B15+(Inputs!D15-Inputs!B15)*BETAINV(RAND(),Model!H9,Model!I9)</f>
        <v>0.64698440824722958</v>
      </c>
      <c r="X964">
        <f ca="1">Inputs!E15+(Inputs!G15-Inputs!E15)*BETAINV(RAND(),Model!J9,Model!K9)</f>
        <v>0.40719526503827497</v>
      </c>
      <c r="Y964">
        <f ca="1">(Inputs!H15+(Inputs!J15-Inputs!H15)*BETAINV(RAND(),Model!L9,Model!M9))*Inputs!$C$6</f>
        <v>27119.865216420447</v>
      </c>
      <c r="Z964">
        <f t="shared" ca="1" si="306"/>
        <v>0.26344898759186214</v>
      </c>
      <c r="AA964">
        <f t="shared" ca="1" si="307"/>
        <v>0.75071435365339934</v>
      </c>
      <c r="AB964">
        <f t="shared" ca="1" si="308"/>
        <v>0</v>
      </c>
      <c r="AC964" s="47">
        <f t="shared" ca="1" si="309"/>
        <v>0</v>
      </c>
      <c r="AD964">
        <f ca="1">Inputs!B16+(Inputs!D16-Inputs!B16)*BETAINV(RAND(),Model!H10,Model!I10)</f>
        <v>0.63630067053698403</v>
      </c>
      <c r="AE964">
        <f ca="1">Inputs!E16+(Inputs!G16-Inputs!E16)*BETAINV(RAND(),Model!J10,Model!K10)</f>
        <v>0.59789194392955947</v>
      </c>
      <c r="AF964">
        <f ca="1">(Inputs!H16+(Inputs!J16-Inputs!H16)*BETAINV(RAND(),Model!L10,Model!M10))*Inputs!$C$6</f>
        <v>103303.38440735322</v>
      </c>
      <c r="AG964">
        <f t="shared" ca="1" si="310"/>
        <v>0.38043904483103952</v>
      </c>
      <c r="AH964">
        <f t="shared" ca="1" si="311"/>
        <v>0.7942813729989866</v>
      </c>
      <c r="AI964">
        <f t="shared" ca="1" si="312"/>
        <v>1</v>
      </c>
      <c r="AJ964" s="47">
        <f t="shared" ca="1" si="313"/>
        <v>103303.38440735322</v>
      </c>
      <c r="AK964">
        <f t="shared" ca="1" si="314"/>
        <v>383381.51200264681</v>
      </c>
    </row>
    <row r="965" spans="2:37" x14ac:dyDescent="0.2">
      <c r="B965">
        <f ca="1">Inputs!B12+(Inputs!D12-Inputs!B12)*BETAINV(RAND(),Model!H6,Model!I6)</f>
        <v>5.3926050313471769</v>
      </c>
      <c r="C965">
        <f ca="1">Inputs!E12+(Inputs!G12-Inputs!E12)*BETAINV(RAND(),Model!J6,Model!K6)</f>
        <v>0.30498996945050205</v>
      </c>
      <c r="D965">
        <f ca="1">(Inputs!H12+(Inputs!J12-Inputs!H12)*BETAINV(RAND(),Model!L6,Model!M6))*Inputs!$C$6</f>
        <v>21155.806709814147</v>
      </c>
      <c r="E965">
        <f t="shared" ca="1" si="294"/>
        <v>1.6446904437691992</v>
      </c>
      <c r="F965">
        <f t="shared" ca="1" si="295"/>
        <v>0.57173338288512776</v>
      </c>
      <c r="G965">
        <f t="shared" ca="1" si="296"/>
        <v>2</v>
      </c>
      <c r="H965" s="47">
        <f t="shared" ca="1" si="297"/>
        <v>42311.613419628295</v>
      </c>
      <c r="I965">
        <f ca="1">Inputs!B13+(Inputs!D13-Inputs!B13)*BETAINV(RAND(),Model!H7,Model!I7)</f>
        <v>3.3493225601935306</v>
      </c>
      <c r="J965">
        <f ca="1">Inputs!E13+(Inputs!G13-Inputs!E13)*BETAINV(RAND(),Model!J7,Model!K7)</f>
        <v>0.20876063851407992</v>
      </c>
      <c r="K965">
        <f ca="1">(Inputs!H13+(Inputs!J13-Inputs!H13)*BETAINV(RAND(),Model!L7,Model!M7))*Inputs!$C$6</f>
        <v>58972.370989816496</v>
      </c>
      <c r="L965">
        <f t="shared" ca="1" si="298"/>
        <v>0.69920671625561426</v>
      </c>
      <c r="M965">
        <f t="shared" ca="1" si="299"/>
        <v>0.60067075845662465</v>
      </c>
      <c r="N965">
        <f t="shared" ca="1" si="300"/>
        <v>1</v>
      </c>
      <c r="O965" s="47">
        <f t="shared" ca="1" si="301"/>
        <v>58972.370989816496</v>
      </c>
      <c r="P965">
        <f ca="1">Inputs!B14+(Inputs!D14-Inputs!B14)*BETAINV(RAND(),Model!H8,Model!I8)</f>
        <v>0.38303124195944938</v>
      </c>
      <c r="Q965">
        <f ca="1">Inputs!E14+(Inputs!G14-Inputs!E14)*BETAINV(RAND(),Model!J8,Model!K8)</f>
        <v>0.46232822747599689</v>
      </c>
      <c r="R965">
        <f ca="1">(Inputs!H14+(Inputs!J14-Inputs!H14)*BETAINV(RAND(),Model!L8,Model!M8))*Inputs!$C$6</f>
        <v>410468.86072019982</v>
      </c>
      <c r="S965">
        <f t="shared" ca="1" si="302"/>
        <v>0.17708615516304191</v>
      </c>
      <c r="T965">
        <f t="shared" ca="1" si="303"/>
        <v>0.25917439165371947</v>
      </c>
      <c r="U965">
        <f t="shared" ca="1" si="304"/>
        <v>0</v>
      </c>
      <c r="V965" s="47">
        <f t="shared" ca="1" si="305"/>
        <v>0</v>
      </c>
      <c r="W965">
        <f ca="1">Inputs!B15+(Inputs!D15-Inputs!B15)*BETAINV(RAND(),Model!H9,Model!I9)</f>
        <v>1.9299548186531139</v>
      </c>
      <c r="X965">
        <f ca="1">Inputs!E15+(Inputs!G15-Inputs!E15)*BETAINV(RAND(),Model!J9,Model!K9)</f>
        <v>0.3866636406352213</v>
      </c>
      <c r="Y965">
        <f ca="1">(Inputs!H15+(Inputs!J15-Inputs!H15)*BETAINV(RAND(),Model!L9,Model!M9))*Inputs!$C$6</f>
        <v>27563.932540233625</v>
      </c>
      <c r="Z965">
        <f t="shared" ca="1" si="306"/>
        <v>0.74624335644190132</v>
      </c>
      <c r="AA965">
        <f t="shared" ca="1" si="307"/>
        <v>0.64838070492644584</v>
      </c>
      <c r="AB965">
        <f t="shared" ca="1" si="308"/>
        <v>1</v>
      </c>
      <c r="AC965" s="47">
        <f t="shared" ca="1" si="309"/>
        <v>27563.932540233625</v>
      </c>
      <c r="AD965">
        <f ca="1">Inputs!B16+(Inputs!D16-Inputs!B16)*BETAINV(RAND(),Model!H10,Model!I10)</f>
        <v>0.91814912299746521</v>
      </c>
      <c r="AE965">
        <f ca="1">Inputs!E16+(Inputs!G16-Inputs!E16)*BETAINV(RAND(),Model!J10,Model!K10)</f>
        <v>0.49425292104189711</v>
      </c>
      <c r="AF965">
        <f ca="1">(Inputs!H16+(Inputs!J16-Inputs!H16)*BETAINV(RAND(),Model!L10,Model!M10))*Inputs!$C$6</f>
        <v>129176.31536609039</v>
      </c>
      <c r="AG965">
        <f t="shared" ca="1" si="310"/>
        <v>0.45379788599355325</v>
      </c>
      <c r="AH965">
        <f t="shared" ca="1" si="311"/>
        <v>0.2847702965079264</v>
      </c>
      <c r="AI965">
        <f t="shared" ca="1" si="312"/>
        <v>0</v>
      </c>
      <c r="AJ965" s="47">
        <f t="shared" ca="1" si="313"/>
        <v>0</v>
      </c>
      <c r="AK965">
        <f t="shared" ca="1" si="314"/>
        <v>128847.91694967842</v>
      </c>
    </row>
    <row r="966" spans="2:37" x14ac:dyDescent="0.2">
      <c r="B966">
        <f ca="1">Inputs!B12+(Inputs!D12-Inputs!B12)*BETAINV(RAND(),Model!H6,Model!I6)</f>
        <v>4.8841660113536669</v>
      </c>
      <c r="C966">
        <f ca="1">Inputs!E12+(Inputs!G12-Inputs!E12)*BETAINV(RAND(),Model!J6,Model!K6)</f>
        <v>0.47570129021693319</v>
      </c>
      <c r="D966">
        <f ca="1">(Inputs!H12+(Inputs!J12-Inputs!H12)*BETAINV(RAND(),Model!L6,Model!M6))*Inputs!$C$6</f>
        <v>12887.097731116735</v>
      </c>
      <c r="E966">
        <f t="shared" ca="1" si="294"/>
        <v>2.3234040732346317</v>
      </c>
      <c r="F966">
        <f t="shared" ca="1" si="295"/>
        <v>0.6952631908475182</v>
      </c>
      <c r="G966">
        <f t="shared" ca="1" si="296"/>
        <v>3</v>
      </c>
      <c r="H966" s="47">
        <f t="shared" ca="1" si="297"/>
        <v>38661.293193350204</v>
      </c>
      <c r="I966">
        <f ca="1">Inputs!B13+(Inputs!D13-Inputs!B13)*BETAINV(RAND(),Model!H7,Model!I7)</f>
        <v>3.3326011794791195</v>
      </c>
      <c r="J966">
        <f ca="1">Inputs!E13+(Inputs!G13-Inputs!E13)*BETAINV(RAND(),Model!J7,Model!K7)</f>
        <v>0.23453771978653504</v>
      </c>
      <c r="K966">
        <f ca="1">(Inputs!H13+(Inputs!J13-Inputs!H13)*BETAINV(RAND(),Model!L7,Model!M7))*Inputs!$C$6</f>
        <v>28012.99637770819</v>
      </c>
      <c r="L966">
        <f t="shared" ca="1" si="298"/>
        <v>0.78162068159294984</v>
      </c>
      <c r="M966">
        <f t="shared" ca="1" si="299"/>
        <v>0.22749717781488665</v>
      </c>
      <c r="N966">
        <f t="shared" ca="1" si="300"/>
        <v>0</v>
      </c>
      <c r="O966" s="47">
        <f t="shared" ca="1" si="301"/>
        <v>0</v>
      </c>
      <c r="P966">
        <f ca="1">Inputs!B14+(Inputs!D14-Inputs!B14)*BETAINV(RAND(),Model!H8,Model!I8)</f>
        <v>0.19828039593052099</v>
      </c>
      <c r="Q966">
        <f ca="1">Inputs!E14+(Inputs!G14-Inputs!E14)*BETAINV(RAND(),Model!J8,Model!K8)</f>
        <v>0.57408518711362677</v>
      </c>
      <c r="R966">
        <f ca="1">(Inputs!H14+(Inputs!J14-Inputs!H14)*BETAINV(RAND(),Model!L8,Model!M8))*Inputs!$C$6</f>
        <v>646289.46530071599</v>
      </c>
      <c r="S966">
        <f t="shared" ca="1" si="302"/>
        <v>0.11382983819873714</v>
      </c>
      <c r="T966">
        <f t="shared" ca="1" si="303"/>
        <v>0.24423490111953949</v>
      </c>
      <c r="U966">
        <f t="shared" ca="1" si="304"/>
        <v>0</v>
      </c>
      <c r="V966" s="47">
        <f t="shared" ca="1" si="305"/>
        <v>0</v>
      </c>
      <c r="W966">
        <f ca="1">Inputs!B15+(Inputs!D15-Inputs!B15)*BETAINV(RAND(),Model!H9,Model!I9)</f>
        <v>0.81120718147549975</v>
      </c>
      <c r="X966">
        <f ca="1">Inputs!E15+(Inputs!G15-Inputs!E15)*BETAINV(RAND(),Model!J9,Model!K9)</f>
        <v>0.46870724862389213</v>
      </c>
      <c r="Y966">
        <f ca="1">(Inputs!H15+(Inputs!J15-Inputs!H15)*BETAINV(RAND(),Model!L9,Model!M9))*Inputs!$C$6</f>
        <v>30877.860442699523</v>
      </c>
      <c r="Z966">
        <f t="shared" ca="1" si="306"/>
        <v>0.38021868609332382</v>
      </c>
      <c r="AA966">
        <f t="shared" ca="1" si="307"/>
        <v>0.79965133988465031</v>
      </c>
      <c r="AB966">
        <f t="shared" ca="1" si="308"/>
        <v>1</v>
      </c>
      <c r="AC966" s="47">
        <f t="shared" ca="1" si="309"/>
        <v>30877.860442699523</v>
      </c>
      <c r="AD966">
        <f ca="1">Inputs!B16+(Inputs!D16-Inputs!B16)*BETAINV(RAND(),Model!H10,Model!I10)</f>
        <v>1.1004257223189322</v>
      </c>
      <c r="AE966">
        <f ca="1">Inputs!E16+(Inputs!G16-Inputs!E16)*BETAINV(RAND(),Model!J10,Model!K10)</f>
        <v>0.5567436946567168</v>
      </c>
      <c r="AF966">
        <f ca="1">(Inputs!H16+(Inputs!J16-Inputs!H16)*BETAINV(RAND(),Model!L10,Model!M10))*Inputs!$C$6</f>
        <v>61301.560579305253</v>
      </c>
      <c r="AG966">
        <f t="shared" ca="1" si="310"/>
        <v>0.61265508233912858</v>
      </c>
      <c r="AH966">
        <f t="shared" ca="1" si="311"/>
        <v>0.2937026263767023</v>
      </c>
      <c r="AI966">
        <f t="shared" ca="1" si="312"/>
        <v>0</v>
      </c>
      <c r="AJ966" s="47">
        <f t="shared" ca="1" si="313"/>
        <v>0</v>
      </c>
      <c r="AK966">
        <f t="shared" ca="1" si="314"/>
        <v>69539.153636049727</v>
      </c>
    </row>
    <row r="967" spans="2:37" x14ac:dyDescent="0.2">
      <c r="B967">
        <f ca="1">Inputs!B12+(Inputs!D12-Inputs!B12)*BETAINV(RAND(),Model!H6,Model!I6)</f>
        <v>3.2019651791878556</v>
      </c>
      <c r="C967">
        <f ca="1">Inputs!E12+(Inputs!G12-Inputs!E12)*BETAINV(RAND(),Model!J6,Model!K6)</f>
        <v>0.21087361814676056</v>
      </c>
      <c r="D967">
        <f ca="1">(Inputs!H12+(Inputs!J12-Inputs!H12)*BETAINV(RAND(),Model!L6,Model!M6))*Inputs!$C$6</f>
        <v>27028.812851408547</v>
      </c>
      <c r="E967">
        <f t="shared" ca="1" si="294"/>
        <v>0.67520998251528364</v>
      </c>
      <c r="F967">
        <f t="shared" ca="1" si="295"/>
        <v>0.36530989111901613</v>
      </c>
      <c r="G967">
        <f t="shared" ca="1" si="296"/>
        <v>0</v>
      </c>
      <c r="H967" s="47">
        <f t="shared" ca="1" si="297"/>
        <v>0</v>
      </c>
      <c r="I967">
        <f ca="1">Inputs!B13+(Inputs!D13-Inputs!B13)*BETAINV(RAND(),Model!H7,Model!I7)</f>
        <v>1.4763314458626069</v>
      </c>
      <c r="J967">
        <f ca="1">Inputs!E13+(Inputs!G13-Inputs!E13)*BETAINV(RAND(),Model!J7,Model!K7)</f>
        <v>0.20914087790664518</v>
      </c>
      <c r="K967">
        <f ca="1">(Inputs!H13+(Inputs!J13-Inputs!H13)*BETAINV(RAND(),Model!L7,Model!M7))*Inputs!$C$6</f>
        <v>51635.916667587</v>
      </c>
      <c r="L967">
        <f t="shared" ca="1" si="298"/>
        <v>0.30876125466889243</v>
      </c>
      <c r="M967">
        <f t="shared" ca="1" si="299"/>
        <v>0.67749944081930236</v>
      </c>
      <c r="N967">
        <f t="shared" ca="1" si="300"/>
        <v>0</v>
      </c>
      <c r="O967" s="47">
        <f t="shared" ca="1" si="301"/>
        <v>0</v>
      </c>
      <c r="P967">
        <f ca="1">Inputs!B14+(Inputs!D14-Inputs!B14)*BETAINV(RAND(),Model!H8,Model!I8)</f>
        <v>0.20678689122403093</v>
      </c>
      <c r="Q967">
        <f ca="1">Inputs!E14+(Inputs!G14-Inputs!E14)*BETAINV(RAND(),Model!J8,Model!K8)</f>
        <v>0.42303019024068544</v>
      </c>
      <c r="R967">
        <f ca="1">(Inputs!H14+(Inputs!J14-Inputs!H14)*BETAINV(RAND(),Model!L8,Model!M8))*Inputs!$C$6</f>
        <v>503139.01554058818</v>
      </c>
      <c r="S967">
        <f t="shared" ca="1" si="302"/>
        <v>8.7477097933781736E-2</v>
      </c>
      <c r="T967">
        <f t="shared" ca="1" si="303"/>
        <v>0.72177396592193277</v>
      </c>
      <c r="U967">
        <f t="shared" ca="1" si="304"/>
        <v>0</v>
      </c>
      <c r="V967" s="47">
        <f t="shared" ca="1" si="305"/>
        <v>0</v>
      </c>
      <c r="W967">
        <f ca="1">Inputs!B15+(Inputs!D15-Inputs!B15)*BETAINV(RAND(),Model!H9,Model!I9)</f>
        <v>0.58286886923070558</v>
      </c>
      <c r="X967">
        <f ca="1">Inputs!E15+(Inputs!G15-Inputs!E15)*BETAINV(RAND(),Model!J9,Model!K9)</f>
        <v>0.36834300597042335</v>
      </c>
      <c r="Y967">
        <f ca="1">(Inputs!H15+(Inputs!J15-Inputs!H15)*BETAINV(RAND(),Model!L9,Model!M9))*Inputs!$C$6</f>
        <v>37718.328930481315</v>
      </c>
      <c r="Z967">
        <f t="shared" ca="1" si="306"/>
        <v>0.21469567137901968</v>
      </c>
      <c r="AA967">
        <f t="shared" ca="1" si="307"/>
        <v>0.59746183584907631</v>
      </c>
      <c r="AB967">
        <f t="shared" ca="1" si="308"/>
        <v>0</v>
      </c>
      <c r="AC967" s="47">
        <f t="shared" ca="1" si="309"/>
        <v>0</v>
      </c>
      <c r="AD967">
        <f ca="1">Inputs!B16+(Inputs!D16-Inputs!B16)*BETAINV(RAND(),Model!H10,Model!I10)</f>
        <v>0.56793352054313484</v>
      </c>
      <c r="AE967">
        <f ca="1">Inputs!E16+(Inputs!G16-Inputs!E16)*BETAINV(RAND(),Model!J10,Model!K10)</f>
        <v>0.57081498668552832</v>
      </c>
      <c r="AF967">
        <f ca="1">(Inputs!H16+(Inputs!J16-Inputs!H16)*BETAINV(RAND(),Model!L10,Model!M10))*Inputs!$C$6</f>
        <v>75950.812798492407</v>
      </c>
      <c r="AG967">
        <f t="shared" ca="1" si="310"/>
        <v>0.32418496496709476</v>
      </c>
      <c r="AH967">
        <f t="shared" ca="1" si="311"/>
        <v>0.24759916805451687</v>
      </c>
      <c r="AI967">
        <f t="shared" ca="1" si="312"/>
        <v>0</v>
      </c>
      <c r="AJ967" s="47">
        <f t="shared" ca="1" si="313"/>
        <v>0</v>
      </c>
      <c r="AK967">
        <f t="shared" ca="1" si="314"/>
        <v>0</v>
      </c>
    </row>
    <row r="968" spans="2:37" x14ac:dyDescent="0.2">
      <c r="B968">
        <f ca="1">Inputs!B12+(Inputs!D12-Inputs!B12)*BETAINV(RAND(),Model!H6,Model!I6)</f>
        <v>3.7635851016784687</v>
      </c>
      <c r="C968">
        <f ca="1">Inputs!E12+(Inputs!G12-Inputs!E12)*BETAINV(RAND(),Model!J6,Model!K6)</f>
        <v>0.33128295103923866</v>
      </c>
      <c r="D968">
        <f ca="1">(Inputs!H12+(Inputs!J12-Inputs!H12)*BETAINV(RAND(),Model!L6,Model!M6))*Inputs!$C$6</f>
        <v>37018.391376464242</v>
      </c>
      <c r="E968">
        <f t="shared" ca="1" si="294"/>
        <v>1.2468115789713563</v>
      </c>
      <c r="F968">
        <f t="shared" ca="1" si="295"/>
        <v>0.71597600394668659</v>
      </c>
      <c r="G968">
        <f t="shared" ca="1" si="296"/>
        <v>2</v>
      </c>
      <c r="H968" s="47">
        <f t="shared" ca="1" si="297"/>
        <v>74036.782752928484</v>
      </c>
      <c r="I968">
        <f ca="1">Inputs!B13+(Inputs!D13-Inputs!B13)*BETAINV(RAND(),Model!H7,Model!I7)</f>
        <v>2.9140215351688434</v>
      </c>
      <c r="J968">
        <f ca="1">Inputs!E13+(Inputs!G13-Inputs!E13)*BETAINV(RAND(),Model!J7,Model!K7)</f>
        <v>0.39171519984575365</v>
      </c>
      <c r="K968">
        <f ca="1">(Inputs!H13+(Inputs!J13-Inputs!H13)*BETAINV(RAND(),Model!L7,Model!M7))*Inputs!$C$6</f>
        <v>45774.491606737916</v>
      </c>
      <c r="L968">
        <f t="shared" ca="1" si="298"/>
        <v>1.1414665280034932</v>
      </c>
      <c r="M968">
        <f t="shared" ca="1" si="299"/>
        <v>0.82223060508915202</v>
      </c>
      <c r="N968">
        <f t="shared" ca="1" si="300"/>
        <v>2</v>
      </c>
      <c r="O968" s="47">
        <f t="shared" ca="1" si="301"/>
        <v>91548.983213475833</v>
      </c>
      <c r="P968">
        <f ca="1">Inputs!B14+(Inputs!D14-Inputs!B14)*BETAINV(RAND(),Model!H8,Model!I8)</f>
        <v>0.54799554309648424</v>
      </c>
      <c r="Q968">
        <f ca="1">Inputs!E14+(Inputs!G14-Inputs!E14)*BETAINV(RAND(),Model!J8,Model!K8)</f>
        <v>0.7772165057450735</v>
      </c>
      <c r="R968">
        <f ca="1">(Inputs!H14+(Inputs!J14-Inputs!H14)*BETAINV(RAND(),Model!L8,Model!M8))*Inputs!$C$6</f>
        <v>447553.30893889285</v>
      </c>
      <c r="S968">
        <f t="shared" ca="1" si="302"/>
        <v>0.42591118116932331</v>
      </c>
      <c r="T968">
        <f t="shared" ca="1" si="303"/>
        <v>0.41428950390277675</v>
      </c>
      <c r="U968">
        <f t="shared" ca="1" si="304"/>
        <v>0</v>
      </c>
      <c r="V968" s="47">
        <f t="shared" ca="1" si="305"/>
        <v>0</v>
      </c>
      <c r="W968">
        <f ca="1">Inputs!B15+(Inputs!D15-Inputs!B15)*BETAINV(RAND(),Model!H9,Model!I9)</f>
        <v>0.85683408587486598</v>
      </c>
      <c r="X968">
        <f ca="1">Inputs!E15+(Inputs!G15-Inputs!E15)*BETAINV(RAND(),Model!J9,Model!K9)</f>
        <v>0.43009114308047702</v>
      </c>
      <c r="Y968">
        <f ca="1">(Inputs!H15+(Inputs!J15-Inputs!H15)*BETAINV(RAND(),Model!L9,Model!M9))*Inputs!$C$6</f>
        <v>14608.741960265184</v>
      </c>
      <c r="Z968">
        <f t="shared" ca="1" si="306"/>
        <v>0.36851675142423673</v>
      </c>
      <c r="AA968">
        <f t="shared" ca="1" si="307"/>
        <v>0.74567790843306958</v>
      </c>
      <c r="AB968">
        <f t="shared" ca="1" si="308"/>
        <v>1</v>
      </c>
      <c r="AC968" s="47">
        <f t="shared" ca="1" si="309"/>
        <v>14608.741960265184</v>
      </c>
      <c r="AD968">
        <f ca="1">Inputs!B16+(Inputs!D16-Inputs!B16)*BETAINV(RAND(),Model!H10,Model!I10)</f>
        <v>0.60538826716803262</v>
      </c>
      <c r="AE968">
        <f ca="1">Inputs!E16+(Inputs!G16-Inputs!E16)*BETAINV(RAND(),Model!J10,Model!K10)</f>
        <v>0.5821128453029577</v>
      </c>
      <c r="AF968">
        <f ca="1">(Inputs!H16+(Inputs!J16-Inputs!H16)*BETAINV(RAND(),Model!L10,Model!M10))*Inputs!$C$6</f>
        <v>60580.56060315825</v>
      </c>
      <c r="AG968">
        <f t="shared" ca="1" si="310"/>
        <v>0.35240428671421059</v>
      </c>
      <c r="AH968">
        <f t="shared" ca="1" si="311"/>
        <v>0.75834054151562236</v>
      </c>
      <c r="AI968">
        <f t="shared" ca="1" si="312"/>
        <v>1</v>
      </c>
      <c r="AJ968" s="47">
        <f t="shared" ca="1" si="313"/>
        <v>60580.56060315825</v>
      </c>
      <c r="AK968">
        <f t="shared" ca="1" si="314"/>
        <v>240775.06852982775</v>
      </c>
    </row>
    <row r="969" spans="2:37" x14ac:dyDescent="0.2">
      <c r="B969">
        <f ca="1">Inputs!B12+(Inputs!D12-Inputs!B12)*BETAINV(RAND(),Model!H6,Model!I6)</f>
        <v>4.1045513887417941</v>
      </c>
      <c r="C969">
        <f ca="1">Inputs!E12+(Inputs!G12-Inputs!E12)*BETAINV(RAND(),Model!J6,Model!K6)</f>
        <v>0.18562600635820911</v>
      </c>
      <c r="D969">
        <f ca="1">(Inputs!H12+(Inputs!J12-Inputs!H12)*BETAINV(RAND(),Model!L6,Model!M6))*Inputs!$C$6</f>
        <v>13985.738714409203</v>
      </c>
      <c r="E969">
        <f t="shared" ca="1" si="294"/>
        <v>0.76191148218418037</v>
      </c>
      <c r="F969">
        <f t="shared" ca="1" si="295"/>
        <v>0.11400674434568037</v>
      </c>
      <c r="G969">
        <f t="shared" ca="1" si="296"/>
        <v>0</v>
      </c>
      <c r="H969" s="47">
        <f t="shared" ca="1" si="297"/>
        <v>0</v>
      </c>
      <c r="I969">
        <f ca="1">Inputs!B13+(Inputs!D13-Inputs!B13)*BETAINV(RAND(),Model!H7,Model!I7)</f>
        <v>2.3562198872008602</v>
      </c>
      <c r="J969">
        <f ca="1">Inputs!E13+(Inputs!G13-Inputs!E13)*BETAINV(RAND(),Model!J7,Model!K7)</f>
        <v>0.37524708352589309</v>
      </c>
      <c r="K969">
        <f ca="1">(Inputs!H13+(Inputs!J13-Inputs!H13)*BETAINV(RAND(),Model!L7,Model!M7))*Inputs!$C$6</f>
        <v>39504.326153946808</v>
      </c>
      <c r="L969">
        <f t="shared" ca="1" si="298"/>
        <v>0.88416464081783153</v>
      </c>
      <c r="M969">
        <f t="shared" ca="1" si="299"/>
        <v>0.25512644138441265</v>
      </c>
      <c r="N969">
        <f t="shared" ca="1" si="300"/>
        <v>0</v>
      </c>
      <c r="O969" s="47">
        <f t="shared" ca="1" si="301"/>
        <v>0</v>
      </c>
      <c r="P969">
        <f ca="1">Inputs!B14+(Inputs!D14-Inputs!B14)*BETAINV(RAND(),Model!H8,Model!I8)</f>
        <v>0.51779492869278387</v>
      </c>
      <c r="Q969">
        <f ca="1">Inputs!E14+(Inputs!G14-Inputs!E14)*BETAINV(RAND(),Model!J8,Model!K8)</f>
        <v>0.78240003367020783</v>
      </c>
      <c r="R969">
        <f ca="1">(Inputs!H14+(Inputs!J14-Inputs!H14)*BETAINV(RAND(),Model!L8,Model!M8))*Inputs!$C$6</f>
        <v>431353.34344304702</v>
      </c>
      <c r="S969">
        <f t="shared" ca="1" si="302"/>
        <v>0.40512276964349697</v>
      </c>
      <c r="T969">
        <f t="shared" ca="1" si="303"/>
        <v>0.39365509395018483</v>
      </c>
      <c r="U969">
        <f t="shared" ca="1" si="304"/>
        <v>0</v>
      </c>
      <c r="V969" s="47">
        <f t="shared" ca="1" si="305"/>
        <v>0</v>
      </c>
      <c r="W969">
        <f ca="1">Inputs!B15+(Inputs!D15-Inputs!B15)*BETAINV(RAND(),Model!H9,Model!I9)</f>
        <v>1.1231323430536571</v>
      </c>
      <c r="X969">
        <f ca="1">Inputs!E15+(Inputs!G15-Inputs!E15)*BETAINV(RAND(),Model!J9,Model!K9)</f>
        <v>0.34957120915431783</v>
      </c>
      <c r="Y969">
        <f ca="1">(Inputs!H15+(Inputs!J15-Inputs!H15)*BETAINV(RAND(),Model!L9,Model!M9))*Inputs!$C$6</f>
        <v>23846.503353859011</v>
      </c>
      <c r="Z969">
        <f t="shared" ca="1" si="306"/>
        <v>0.39261473120158902</v>
      </c>
      <c r="AA969">
        <f t="shared" ca="1" si="307"/>
        <v>0.46366171924880439</v>
      </c>
      <c r="AB969">
        <f t="shared" ca="1" si="308"/>
        <v>0</v>
      </c>
      <c r="AC969" s="47">
        <f t="shared" ca="1" si="309"/>
        <v>0</v>
      </c>
      <c r="AD969">
        <f ca="1">Inputs!B16+(Inputs!D16-Inputs!B16)*BETAINV(RAND(),Model!H10,Model!I10)</f>
        <v>0.63342096108533452</v>
      </c>
      <c r="AE969">
        <f ca="1">Inputs!E16+(Inputs!G16-Inputs!E16)*BETAINV(RAND(),Model!J10,Model!K10)</f>
        <v>0.67921833806624698</v>
      </c>
      <c r="AF969">
        <f ca="1">(Inputs!H16+(Inputs!J16-Inputs!H16)*BETAINV(RAND(),Model!L10,Model!M10))*Inputs!$C$6</f>
        <v>156687.4495822824</v>
      </c>
      <c r="AG969">
        <f t="shared" ca="1" si="310"/>
        <v>0.43023113248470579</v>
      </c>
      <c r="AH969">
        <f t="shared" ca="1" si="311"/>
        <v>0.44990817575098907</v>
      </c>
      <c r="AI969">
        <f t="shared" ca="1" si="312"/>
        <v>0</v>
      </c>
      <c r="AJ969" s="47">
        <f t="shared" ca="1" si="313"/>
        <v>0</v>
      </c>
      <c r="AK969">
        <f t="shared" ca="1" si="314"/>
        <v>0</v>
      </c>
    </row>
    <row r="970" spans="2:37" x14ac:dyDescent="0.2">
      <c r="B970">
        <f ca="1">Inputs!B12+(Inputs!D12-Inputs!B12)*BETAINV(RAND(),Model!H6,Model!I6)</f>
        <v>3.9429385190294512</v>
      </c>
      <c r="C970">
        <f ca="1">Inputs!E12+(Inputs!G12-Inputs!E12)*BETAINV(RAND(),Model!J6,Model!K6)</f>
        <v>0.3143893228064556</v>
      </c>
      <c r="D970">
        <f ca="1">(Inputs!H12+(Inputs!J12-Inputs!H12)*BETAINV(RAND(),Model!L6,Model!M6))*Inputs!$C$6</f>
        <v>11631.714462631408</v>
      </c>
      <c r="E970">
        <f t="shared" ca="1" si="294"/>
        <v>1.2396177708651581</v>
      </c>
      <c r="F970">
        <f t="shared" ca="1" si="295"/>
        <v>0.19945536603538572</v>
      </c>
      <c r="G970">
        <f t="shared" ca="1" si="296"/>
        <v>0</v>
      </c>
      <c r="H970" s="47">
        <f t="shared" ca="1" si="297"/>
        <v>0</v>
      </c>
      <c r="I970">
        <f ca="1">Inputs!B13+(Inputs!D13-Inputs!B13)*BETAINV(RAND(),Model!H7,Model!I7)</f>
        <v>1.468620917752224</v>
      </c>
      <c r="J970">
        <f ca="1">Inputs!E13+(Inputs!G13-Inputs!E13)*BETAINV(RAND(),Model!J7,Model!K7)</f>
        <v>0.23622678330598029</v>
      </c>
      <c r="K970">
        <f ca="1">(Inputs!H13+(Inputs!J13-Inputs!H13)*BETAINV(RAND(),Model!L7,Model!M7))*Inputs!$C$6</f>
        <v>52252.936640234737</v>
      </c>
      <c r="L970">
        <f t="shared" ca="1" si="298"/>
        <v>0.34692759529648454</v>
      </c>
      <c r="M970">
        <f t="shared" ca="1" si="299"/>
        <v>0.73534135813819235</v>
      </c>
      <c r="N970">
        <f t="shared" ca="1" si="300"/>
        <v>1</v>
      </c>
      <c r="O970" s="47">
        <f t="shared" ca="1" si="301"/>
        <v>52252.936640234737</v>
      </c>
      <c r="P970">
        <f ca="1">Inputs!B14+(Inputs!D14-Inputs!B14)*BETAINV(RAND(),Model!H8,Model!I8)</f>
        <v>0.27508583117013174</v>
      </c>
      <c r="Q970">
        <f ca="1">Inputs!E14+(Inputs!G14-Inputs!E14)*BETAINV(RAND(),Model!J8,Model!K8)</f>
        <v>0.61630288550232715</v>
      </c>
      <c r="R970">
        <f ca="1">(Inputs!H14+(Inputs!J14-Inputs!H14)*BETAINV(RAND(),Model!L8,Model!M8))*Inputs!$C$6</f>
        <v>513670.41501362558</v>
      </c>
      <c r="S970">
        <f t="shared" ca="1" si="302"/>
        <v>0.1695361915109582</v>
      </c>
      <c r="T970">
        <f t="shared" ca="1" si="303"/>
        <v>0.2322025274216204</v>
      </c>
      <c r="U970">
        <f t="shared" ca="1" si="304"/>
        <v>0</v>
      </c>
      <c r="V970" s="47">
        <f t="shared" ca="1" si="305"/>
        <v>0</v>
      </c>
      <c r="W970">
        <f ca="1">Inputs!B15+(Inputs!D15-Inputs!B15)*BETAINV(RAND(),Model!H9,Model!I9)</f>
        <v>1.2716082524062209</v>
      </c>
      <c r="X970">
        <f ca="1">Inputs!E15+(Inputs!G15-Inputs!E15)*BETAINV(RAND(),Model!J9,Model!K9)</f>
        <v>0.53005223826123737</v>
      </c>
      <c r="Y970">
        <f ca="1">(Inputs!H15+(Inputs!J15-Inputs!H15)*BETAINV(RAND(),Model!L9,Model!M9))*Inputs!$C$6</f>
        <v>45583.411410418266</v>
      </c>
      <c r="Z970">
        <f t="shared" ca="1" si="306"/>
        <v>0.67401880037937789</v>
      </c>
      <c r="AA970">
        <f t="shared" ca="1" si="307"/>
        <v>2.3639722905725913E-2</v>
      </c>
      <c r="AB970">
        <f t="shared" ca="1" si="308"/>
        <v>0</v>
      </c>
      <c r="AC970" s="47">
        <f t="shared" ca="1" si="309"/>
        <v>0</v>
      </c>
      <c r="AD970">
        <f ca="1">Inputs!B16+(Inputs!D16-Inputs!B16)*BETAINV(RAND(),Model!H10,Model!I10)</f>
        <v>0.43317545467908802</v>
      </c>
      <c r="AE970">
        <f ca="1">Inputs!E16+(Inputs!G16-Inputs!E16)*BETAINV(RAND(),Model!J10,Model!K10)</f>
        <v>0.53611268409000412</v>
      </c>
      <c r="AF970">
        <f ca="1">(Inputs!H16+(Inputs!J16-Inputs!H16)*BETAINV(RAND(),Model!L10,Model!M10))*Inputs!$C$6</f>
        <v>69931.891856104907</v>
      </c>
      <c r="AG970">
        <f t="shared" ca="1" si="310"/>
        <v>0.23223085568991381</v>
      </c>
      <c r="AH970">
        <f t="shared" ca="1" si="311"/>
        <v>0.45056443455953277</v>
      </c>
      <c r="AI970">
        <f t="shared" ca="1" si="312"/>
        <v>0</v>
      </c>
      <c r="AJ970" s="47">
        <f t="shared" ca="1" si="313"/>
        <v>0</v>
      </c>
      <c r="AK970">
        <f t="shared" ca="1" si="314"/>
        <v>52252.936640234737</v>
      </c>
    </row>
    <row r="971" spans="2:37" x14ac:dyDescent="0.2">
      <c r="B971">
        <f ca="1">Inputs!B12+(Inputs!D12-Inputs!B12)*BETAINV(RAND(),Model!H6,Model!I6)</f>
        <v>4.1393820259486986</v>
      </c>
      <c r="C971">
        <f ca="1">Inputs!E12+(Inputs!G12-Inputs!E12)*BETAINV(RAND(),Model!J6,Model!K6)</f>
        <v>0.30375325280703425</v>
      </c>
      <c r="D971">
        <f ca="1">(Inputs!H12+(Inputs!J12-Inputs!H12)*BETAINV(RAND(),Model!L6,Model!M6))*Inputs!$C$6</f>
        <v>35184.251647382713</v>
      </c>
      <c r="E971">
        <f t="shared" ca="1" si="294"/>
        <v>1.2573507549928886</v>
      </c>
      <c r="F971">
        <f t="shared" ca="1" si="295"/>
        <v>0.18658751572855858</v>
      </c>
      <c r="G971">
        <f t="shared" ca="1" si="296"/>
        <v>0</v>
      </c>
      <c r="H971" s="47">
        <f t="shared" ca="1" si="297"/>
        <v>0</v>
      </c>
      <c r="I971">
        <f ca="1">Inputs!B13+(Inputs!D13-Inputs!B13)*BETAINV(RAND(),Model!H7,Model!I7)</f>
        <v>2.7901394405719873</v>
      </c>
      <c r="J971">
        <f ca="1">Inputs!E13+(Inputs!G13-Inputs!E13)*BETAINV(RAND(),Model!J7,Model!K7)</f>
        <v>0.28317934040365111</v>
      </c>
      <c r="K971">
        <f ca="1">(Inputs!H13+(Inputs!J13-Inputs!H13)*BETAINV(RAND(),Model!L7,Model!M7))*Inputs!$C$6</f>
        <v>37009.369016766206</v>
      </c>
      <c r="L971">
        <f t="shared" ca="1" si="298"/>
        <v>0.79010984641538751</v>
      </c>
      <c r="M971">
        <f t="shared" ca="1" si="299"/>
        <v>0.99475994184885208</v>
      </c>
      <c r="N971">
        <f t="shared" ca="1" si="300"/>
        <v>4</v>
      </c>
      <c r="O971" s="47">
        <f t="shared" ca="1" si="301"/>
        <v>148037.47606706482</v>
      </c>
      <c r="P971">
        <f ca="1">Inputs!B14+(Inputs!D14-Inputs!B14)*BETAINV(RAND(),Model!H8,Model!I8)</f>
        <v>0.37282834577743307</v>
      </c>
      <c r="Q971">
        <f ca="1">Inputs!E14+(Inputs!G14-Inputs!E14)*BETAINV(RAND(),Model!J8,Model!K8)</f>
        <v>0.56901083550853238</v>
      </c>
      <c r="R971">
        <f ca="1">(Inputs!H14+(Inputs!J14-Inputs!H14)*BETAINV(RAND(),Model!L8,Model!M8))*Inputs!$C$6</f>
        <v>367541.90984644945</v>
      </c>
      <c r="S971">
        <f t="shared" ca="1" si="302"/>
        <v>0.21214336853208121</v>
      </c>
      <c r="T971">
        <f t="shared" ca="1" si="303"/>
        <v>5.0625070913578929E-2</v>
      </c>
      <c r="U971">
        <f t="shared" ca="1" si="304"/>
        <v>0</v>
      </c>
      <c r="V971" s="47">
        <f t="shared" ca="1" si="305"/>
        <v>0</v>
      </c>
      <c r="W971">
        <f ca="1">Inputs!B15+(Inputs!D15-Inputs!B15)*BETAINV(RAND(),Model!H9,Model!I9)</f>
        <v>0.40980388688049368</v>
      </c>
      <c r="X971">
        <f ca="1">Inputs!E15+(Inputs!G15-Inputs!E15)*BETAINV(RAND(),Model!J9,Model!K9)</f>
        <v>0.3788938268071923</v>
      </c>
      <c r="Y971">
        <f ca="1">(Inputs!H15+(Inputs!J15-Inputs!H15)*BETAINV(RAND(),Model!L9,Model!M9))*Inputs!$C$6</f>
        <v>18761.962865906164</v>
      </c>
      <c r="Z971">
        <f t="shared" ca="1" si="306"/>
        <v>0.155272162940612</v>
      </c>
      <c r="AA971">
        <f t="shared" ca="1" si="307"/>
        <v>8.5539722136349305E-2</v>
      </c>
      <c r="AB971">
        <f t="shared" ca="1" si="308"/>
        <v>0</v>
      </c>
      <c r="AC971" s="47">
        <f t="shared" ca="1" si="309"/>
        <v>0</v>
      </c>
      <c r="AD971">
        <f ca="1">Inputs!B16+(Inputs!D16-Inputs!B16)*BETAINV(RAND(),Model!H10,Model!I10)</f>
        <v>0.80907802676949658</v>
      </c>
      <c r="AE971">
        <f ca="1">Inputs!E16+(Inputs!G16-Inputs!E16)*BETAINV(RAND(),Model!J10,Model!K10)</f>
        <v>0.5765077192614807</v>
      </c>
      <c r="AF971">
        <f ca="1">(Inputs!H16+(Inputs!J16-Inputs!H16)*BETAINV(RAND(),Model!L10,Model!M10))*Inputs!$C$6</f>
        <v>125860.35938190416</v>
      </c>
      <c r="AG971">
        <f t="shared" ca="1" si="310"/>
        <v>0.46643972791746169</v>
      </c>
      <c r="AH971">
        <f t="shared" ca="1" si="311"/>
        <v>0.79172450160233021</v>
      </c>
      <c r="AI971">
        <f t="shared" ca="1" si="312"/>
        <v>1</v>
      </c>
      <c r="AJ971" s="47">
        <f t="shared" ca="1" si="313"/>
        <v>125860.35938190416</v>
      </c>
      <c r="AK971">
        <f t="shared" ca="1" si="314"/>
        <v>273897.83544896898</v>
      </c>
    </row>
    <row r="972" spans="2:37" x14ac:dyDescent="0.2">
      <c r="B972">
        <f ca="1">Inputs!B12+(Inputs!D12-Inputs!B12)*BETAINV(RAND(),Model!H6,Model!I6)</f>
        <v>4.1950047516234346</v>
      </c>
      <c r="C972">
        <f ca="1">Inputs!E12+(Inputs!G12-Inputs!E12)*BETAINV(RAND(),Model!J6,Model!K6)</f>
        <v>0.43519613803792156</v>
      </c>
      <c r="D972">
        <f ca="1">(Inputs!H12+(Inputs!J12-Inputs!H12)*BETAINV(RAND(),Model!L6,Model!M6))*Inputs!$C$6</f>
        <v>38802.196315610592</v>
      </c>
      <c r="E972">
        <f t="shared" ref="E972:E1011" ca="1" si="315">B972*C972</f>
        <v>1.8256498669572492</v>
      </c>
      <c r="F972">
        <f t="shared" ref="F972:F1011" ca="1" si="316">RAND()</f>
        <v>0.68828369275078072</v>
      </c>
      <c r="G972">
        <f t="shared" ref="G972:G1011" ca="1" si="317">IF(F972&lt;EXP(-E972),0,IF(F972&lt;EXP(-E972)*(1+E972),1,IF(F972&lt;EXP(-E972)*(1+E972+E972^2/2),2,IF(F972&lt;EXP(-E972)*(1+E972+E972^2/2+E972^3/6),3,4))))</f>
        <v>2</v>
      </c>
      <c r="H972" s="47">
        <f t="shared" ref="H972:H1011" ca="1" si="318">G972*D972</f>
        <v>77604.392631221184</v>
      </c>
      <c r="I972">
        <f ca="1">Inputs!B13+(Inputs!D13-Inputs!B13)*BETAINV(RAND(),Model!H7,Model!I7)</f>
        <v>1.2283208124123679</v>
      </c>
      <c r="J972">
        <f ca="1">Inputs!E13+(Inputs!G13-Inputs!E13)*BETAINV(RAND(),Model!J7,Model!K7)</f>
        <v>0.24920648581273866</v>
      </c>
      <c r="K972">
        <f ca="1">(Inputs!H13+(Inputs!J13-Inputs!H13)*BETAINV(RAND(),Model!L7,Model!M7))*Inputs!$C$6</f>
        <v>59251.607023928358</v>
      </c>
      <c r="L972">
        <f t="shared" ref="L972:L1011" ca="1" si="319">I972*J972</f>
        <v>0.3061055131119344</v>
      </c>
      <c r="M972">
        <f t="shared" ref="M972:M1011" ca="1" si="320">RAND()</f>
        <v>0.74801022586718213</v>
      </c>
      <c r="N972">
        <f t="shared" ref="N972:N1011" ca="1" si="321">IF(M972&lt;EXP(-L972),0,IF(M972&lt;EXP(-L972)*(1+L972),1,IF(M972&lt;EXP(-L972)*(1+L972+L972^2/2),2,IF(M972&lt;EXP(-L972)*(1+L972+L972^2/2+L972^3/6),3,4))))</f>
        <v>1</v>
      </c>
      <c r="O972" s="47">
        <f t="shared" ref="O972:O1011" ca="1" si="322">N972*K972</f>
        <v>59251.607023928358</v>
      </c>
      <c r="P972">
        <f ca="1">Inputs!B14+(Inputs!D14-Inputs!B14)*BETAINV(RAND(),Model!H8,Model!I8)</f>
        <v>0.2677529156328618</v>
      </c>
      <c r="Q972">
        <f ca="1">Inputs!E14+(Inputs!G14-Inputs!E14)*BETAINV(RAND(),Model!J8,Model!K8)</f>
        <v>0.597496604357034</v>
      </c>
      <c r="R972">
        <f ca="1">(Inputs!H14+(Inputs!J14-Inputs!H14)*BETAINV(RAND(),Model!L8,Model!M8))*Inputs!$C$6</f>
        <v>378952.12645640696</v>
      </c>
      <c r="S972">
        <f t="shared" ref="S972:S1011" ca="1" si="323">P972*Q972</f>
        <v>0.15998145789733034</v>
      </c>
      <c r="T972">
        <f t="shared" ref="T972:T1011" ca="1" si="324">RAND()</f>
        <v>2.376602784198667E-2</v>
      </c>
      <c r="U972">
        <f t="shared" ref="U972:U1011" ca="1" si="325">IF(T972&lt;EXP(-S972),0,IF(T972&lt;EXP(-S972)*(1+S972),1,IF(T972&lt;EXP(-S972)*(1+S972+S972^2/2),2,IF(T972&lt;EXP(-S972)*(1+S972+S972^2/2+S972^3/6),3,4))))</f>
        <v>0</v>
      </c>
      <c r="V972" s="47">
        <f t="shared" ref="V972:V1011" ca="1" si="326">U972*R972</f>
        <v>0</v>
      </c>
      <c r="W972">
        <f ca="1">Inputs!B15+(Inputs!D15-Inputs!B15)*BETAINV(RAND(),Model!H9,Model!I9)</f>
        <v>0.87334639636606926</v>
      </c>
      <c r="X972">
        <f ca="1">Inputs!E15+(Inputs!G15-Inputs!E15)*BETAINV(RAND(),Model!J9,Model!K9)</f>
        <v>0.6055455367045276</v>
      </c>
      <c r="Y972">
        <f ca="1">(Inputs!H15+(Inputs!J15-Inputs!H15)*BETAINV(RAND(),Model!L9,Model!M9))*Inputs!$C$6</f>
        <v>12699.865868505889</v>
      </c>
      <c r="Z972">
        <f t="shared" ref="Z972:Z1011" ca="1" si="327">W972*X972</f>
        <v>0.52885101231645648</v>
      </c>
      <c r="AA972">
        <f t="shared" ref="AA972:AA1011" ca="1" si="328">RAND()</f>
        <v>0.65500368812062182</v>
      </c>
      <c r="AB972">
        <f t="shared" ref="AB972:AB1011" ca="1" si="329">IF(AA972&lt;EXP(-Z972),0,IF(AA972&lt;EXP(-Z972)*(1+Z972),1,IF(AA972&lt;EXP(-Z972)*(1+Z972+Z972^2/2),2,IF(AA972&lt;EXP(-Z972)*(1+Z972+Z972^2/2+Z972^3/6),3,4))))</f>
        <v>1</v>
      </c>
      <c r="AC972" s="47">
        <f t="shared" ref="AC972:AC1011" ca="1" si="330">AB972*Y972</f>
        <v>12699.865868505889</v>
      </c>
      <c r="AD972">
        <f ca="1">Inputs!B16+(Inputs!D16-Inputs!B16)*BETAINV(RAND(),Model!H10,Model!I10)</f>
        <v>1.086402363581219</v>
      </c>
      <c r="AE972">
        <f ca="1">Inputs!E16+(Inputs!G16-Inputs!E16)*BETAINV(RAND(),Model!J10,Model!K10)</f>
        <v>0.73415873677856247</v>
      </c>
      <c r="AF972">
        <f ca="1">(Inputs!H16+(Inputs!J16-Inputs!H16)*BETAINV(RAND(),Model!L10,Model!M10))*Inputs!$C$6</f>
        <v>49891.119953820147</v>
      </c>
      <c r="AG972">
        <f t="shared" ref="AG972:AG1011" ca="1" si="331">AD972*AE972</f>
        <v>0.79759178688003229</v>
      </c>
      <c r="AH972">
        <f t="shared" ref="AH972:AH1011" ca="1" si="332">RAND()</f>
        <v>0.18489764780282436</v>
      </c>
      <c r="AI972">
        <f t="shared" ref="AI972:AI1011" ca="1" si="333">IF(AH972&lt;EXP(-AG972),0,IF(AH972&lt;EXP(-AG972)*(1+AG972),1,IF(AH972&lt;EXP(-AG972)*(1+AG972+AG972^2/2),2,IF(AH972&lt;EXP(-AG972)*(1+AG972+AG972^2/2+AG972^3/6),3,4))))</f>
        <v>0</v>
      </c>
      <c r="AJ972" s="47">
        <f t="shared" ref="AJ972:AJ1011" ca="1" si="334">AI972*AF972</f>
        <v>0</v>
      </c>
      <c r="AK972">
        <f t="shared" ref="AK972:AK1011" ca="1" si="335">H972+O972+V972+AC972+AJ972</f>
        <v>149555.8655236554</v>
      </c>
    </row>
    <row r="973" spans="2:37" x14ac:dyDescent="0.2">
      <c r="B973">
        <f ca="1">Inputs!B12+(Inputs!D12-Inputs!B12)*BETAINV(RAND(),Model!H6,Model!I6)</f>
        <v>2.9562620875344421</v>
      </c>
      <c r="C973">
        <f ca="1">Inputs!E12+(Inputs!G12-Inputs!E12)*BETAINV(RAND(),Model!J6,Model!K6)</f>
        <v>0.286166811369711</v>
      </c>
      <c r="D973">
        <f ca="1">(Inputs!H12+(Inputs!J12-Inputs!H12)*BETAINV(RAND(),Model!L6,Model!M6))*Inputs!$C$6</f>
        <v>30489.240680417035</v>
      </c>
      <c r="E973">
        <f t="shared" ca="1" si="315"/>
        <v>0.84598409516289674</v>
      </c>
      <c r="F973">
        <f t="shared" ca="1" si="316"/>
        <v>0.84313391869344356</v>
      </c>
      <c r="G973">
        <f t="shared" ca="1" si="317"/>
        <v>2</v>
      </c>
      <c r="H973" s="47">
        <f t="shared" ca="1" si="318"/>
        <v>60978.48136083407</v>
      </c>
      <c r="I973">
        <f ca="1">Inputs!B13+(Inputs!D13-Inputs!B13)*BETAINV(RAND(),Model!H7,Model!I7)</f>
        <v>2.059714988539608</v>
      </c>
      <c r="J973">
        <f ca="1">Inputs!E13+(Inputs!G13-Inputs!E13)*BETAINV(RAND(),Model!J7,Model!K7)</f>
        <v>0.29240802244565245</v>
      </c>
      <c r="K973">
        <f ca="1">(Inputs!H13+(Inputs!J13-Inputs!H13)*BETAINV(RAND(),Model!L7,Model!M7))*Inputs!$C$6</f>
        <v>49310.443815727667</v>
      </c>
      <c r="L973">
        <f t="shared" ca="1" si="319"/>
        <v>0.60227718660053642</v>
      </c>
      <c r="M973">
        <f t="shared" ca="1" si="320"/>
        <v>0.42307812076047224</v>
      </c>
      <c r="N973">
        <f t="shared" ca="1" si="321"/>
        <v>0</v>
      </c>
      <c r="O973" s="47">
        <f t="shared" ca="1" si="322"/>
        <v>0</v>
      </c>
      <c r="P973">
        <f ca="1">Inputs!B14+(Inputs!D14-Inputs!B14)*BETAINV(RAND(),Model!H8,Model!I8)</f>
        <v>0.31996311090295271</v>
      </c>
      <c r="Q973">
        <f ca="1">Inputs!E14+(Inputs!G14-Inputs!E14)*BETAINV(RAND(),Model!J8,Model!K8)</f>
        <v>0.55755135906306741</v>
      </c>
      <c r="R973">
        <f ca="1">(Inputs!H14+(Inputs!J14-Inputs!H14)*BETAINV(RAND(),Model!L8,Model!M8))*Inputs!$C$6</f>
        <v>507009.77676910185</v>
      </c>
      <c r="S973">
        <f t="shared" ca="1" si="323"/>
        <v>0.17839586733398824</v>
      </c>
      <c r="T973">
        <f t="shared" ca="1" si="324"/>
        <v>0.33263715587686715</v>
      </c>
      <c r="U973">
        <f t="shared" ca="1" si="325"/>
        <v>0</v>
      </c>
      <c r="V973" s="47">
        <f t="shared" ca="1" si="326"/>
        <v>0</v>
      </c>
      <c r="W973">
        <f ca="1">Inputs!B15+(Inputs!D15-Inputs!B15)*BETAINV(RAND(),Model!H9,Model!I9)</f>
        <v>1.2276047854796888</v>
      </c>
      <c r="X973">
        <f ca="1">Inputs!E15+(Inputs!G15-Inputs!E15)*BETAINV(RAND(),Model!J9,Model!K9)</f>
        <v>0.47096883376888721</v>
      </c>
      <c r="Y973">
        <f ca="1">(Inputs!H15+(Inputs!J15-Inputs!H15)*BETAINV(RAND(),Model!L9,Model!M9))*Inputs!$C$6</f>
        <v>41642.947735361769</v>
      </c>
      <c r="Z973">
        <f t="shared" ca="1" si="327"/>
        <v>0.578163594146474</v>
      </c>
      <c r="AA973">
        <f t="shared" ca="1" si="328"/>
        <v>0.78486652694779691</v>
      </c>
      <c r="AB973">
        <f t="shared" ca="1" si="329"/>
        <v>1</v>
      </c>
      <c r="AC973" s="47">
        <f t="shared" ca="1" si="330"/>
        <v>41642.947735361769</v>
      </c>
      <c r="AD973">
        <f ca="1">Inputs!B16+(Inputs!D16-Inputs!B16)*BETAINV(RAND(),Model!H10,Model!I10)</f>
        <v>0.27067550169891352</v>
      </c>
      <c r="AE973">
        <f ca="1">Inputs!E16+(Inputs!G16-Inputs!E16)*BETAINV(RAND(),Model!J10,Model!K10)</f>
        <v>0.71090873397281085</v>
      </c>
      <c r="AF973">
        <f ca="1">(Inputs!H16+(Inputs!J16-Inputs!H16)*BETAINV(RAND(),Model!L10,Model!M10))*Inputs!$C$6</f>
        <v>56528.677274813796</v>
      </c>
      <c r="AG973">
        <f t="shared" ca="1" si="331"/>
        <v>0.19242557823023002</v>
      </c>
      <c r="AH973">
        <f t="shared" ca="1" si="332"/>
        <v>0.70225276645934798</v>
      </c>
      <c r="AI973">
        <f t="shared" ca="1" si="333"/>
        <v>0</v>
      </c>
      <c r="AJ973" s="47">
        <f t="shared" ca="1" si="334"/>
        <v>0</v>
      </c>
      <c r="AK973">
        <f t="shared" ca="1" si="335"/>
        <v>102621.42909619585</v>
      </c>
    </row>
    <row r="974" spans="2:37" x14ac:dyDescent="0.2">
      <c r="B974">
        <f ca="1">Inputs!B12+(Inputs!D12-Inputs!B12)*BETAINV(RAND(),Model!H6,Model!I6)</f>
        <v>5.8327428865871598</v>
      </c>
      <c r="C974">
        <f ca="1">Inputs!E12+(Inputs!G12-Inputs!E12)*BETAINV(RAND(),Model!J6,Model!K6)</f>
        <v>0.39433669807673422</v>
      </c>
      <c r="D974">
        <f ca="1">(Inputs!H12+(Inputs!J12-Inputs!H12)*BETAINV(RAND(),Model!L6,Model!M6))*Inputs!$C$6</f>
        <v>20082.712584760873</v>
      </c>
      <c r="E974">
        <f t="shared" ca="1" si="315"/>
        <v>2.3000645706273399</v>
      </c>
      <c r="F974">
        <f t="shared" ca="1" si="316"/>
        <v>0.76655378565727228</v>
      </c>
      <c r="G974">
        <f t="shared" ca="1" si="317"/>
        <v>3</v>
      </c>
      <c r="H974" s="47">
        <f t="shared" ca="1" si="318"/>
        <v>60248.137754282623</v>
      </c>
      <c r="I974">
        <f ca="1">Inputs!B13+(Inputs!D13-Inputs!B13)*BETAINV(RAND(),Model!H7,Model!I7)</f>
        <v>1.0543734675242091</v>
      </c>
      <c r="J974">
        <f ca="1">Inputs!E13+(Inputs!G13-Inputs!E13)*BETAINV(RAND(),Model!J7,Model!K7)</f>
        <v>0.29401844401053101</v>
      </c>
      <c r="K974">
        <f ca="1">(Inputs!H13+(Inputs!J13-Inputs!H13)*BETAINV(RAND(),Model!L7,Model!M7))*Inputs!$C$6</f>
        <v>34859.73690587539</v>
      </c>
      <c r="L974">
        <f t="shared" ca="1" si="319"/>
        <v>0.31000524632745613</v>
      </c>
      <c r="M974">
        <f t="shared" ca="1" si="320"/>
        <v>0.35513300157785477</v>
      </c>
      <c r="N974">
        <f t="shared" ca="1" si="321"/>
        <v>0</v>
      </c>
      <c r="O974" s="47">
        <f t="shared" ca="1" si="322"/>
        <v>0</v>
      </c>
      <c r="P974">
        <f ca="1">Inputs!B14+(Inputs!D14-Inputs!B14)*BETAINV(RAND(),Model!H8,Model!I8)</f>
        <v>0.22070221741310236</v>
      </c>
      <c r="Q974">
        <f ca="1">Inputs!E14+(Inputs!G14-Inputs!E14)*BETAINV(RAND(),Model!J8,Model!K8)</f>
        <v>0.74654273857466857</v>
      </c>
      <c r="R974">
        <f ca="1">(Inputs!H14+(Inputs!J14-Inputs!H14)*BETAINV(RAND(),Model!L8,Model!M8))*Inputs!$C$6</f>
        <v>471600.59979214898</v>
      </c>
      <c r="S974">
        <f t="shared" ca="1" si="323"/>
        <v>0.16476363779707934</v>
      </c>
      <c r="T974">
        <f t="shared" ca="1" si="324"/>
        <v>0.2303097982928517</v>
      </c>
      <c r="U974">
        <f t="shared" ca="1" si="325"/>
        <v>0</v>
      </c>
      <c r="V974" s="47">
        <f t="shared" ca="1" si="326"/>
        <v>0</v>
      </c>
      <c r="W974">
        <f ca="1">Inputs!B15+(Inputs!D15-Inputs!B15)*BETAINV(RAND(),Model!H9,Model!I9)</f>
        <v>0.90725734516189105</v>
      </c>
      <c r="X974">
        <f ca="1">Inputs!E15+(Inputs!G15-Inputs!E15)*BETAINV(RAND(),Model!J9,Model!K9)</f>
        <v>0.31755470411131986</v>
      </c>
      <c r="Y974">
        <f ca="1">(Inputs!H15+(Inputs!J15-Inputs!H15)*BETAINV(RAND(),Model!L9,Model!M9))*Inputs!$C$6</f>
        <v>40528.102533119949</v>
      </c>
      <c r="Z974">
        <f t="shared" ca="1" si="327"/>
        <v>0.28810383779570592</v>
      </c>
      <c r="AA974">
        <f t="shared" ca="1" si="328"/>
        <v>0.30974080675213578</v>
      </c>
      <c r="AB974">
        <f t="shared" ca="1" si="329"/>
        <v>0</v>
      </c>
      <c r="AC974" s="47">
        <f t="shared" ca="1" si="330"/>
        <v>0</v>
      </c>
      <c r="AD974">
        <f ca="1">Inputs!B16+(Inputs!D16-Inputs!B16)*BETAINV(RAND(),Model!H10,Model!I10)</f>
        <v>0.66182740232264936</v>
      </c>
      <c r="AE974">
        <f ca="1">Inputs!E16+(Inputs!G16-Inputs!E16)*BETAINV(RAND(),Model!J10,Model!K10)</f>
        <v>0.56740691619666594</v>
      </c>
      <c r="AF974">
        <f ca="1">(Inputs!H16+(Inputs!J16-Inputs!H16)*BETAINV(RAND(),Model!L10,Model!M10))*Inputs!$C$6</f>
        <v>83921.441758499452</v>
      </c>
      <c r="AG974">
        <f t="shared" ca="1" si="331"/>
        <v>0.37552544540634464</v>
      </c>
      <c r="AH974">
        <f t="shared" ca="1" si="332"/>
        <v>0.42032299908033011</v>
      </c>
      <c r="AI974">
        <f t="shared" ca="1" si="333"/>
        <v>0</v>
      </c>
      <c r="AJ974" s="47">
        <f t="shared" ca="1" si="334"/>
        <v>0</v>
      </c>
      <c r="AK974">
        <f t="shared" ca="1" si="335"/>
        <v>60248.137754282623</v>
      </c>
    </row>
    <row r="975" spans="2:37" x14ac:dyDescent="0.2">
      <c r="B975">
        <f ca="1">Inputs!B12+(Inputs!D12-Inputs!B12)*BETAINV(RAND(),Model!H6,Model!I6)</f>
        <v>4.1075673820651089</v>
      </c>
      <c r="C975">
        <f ca="1">Inputs!E12+(Inputs!G12-Inputs!E12)*BETAINV(RAND(),Model!J6,Model!K6)</f>
        <v>0.45867101038424785</v>
      </c>
      <c r="D975">
        <f ca="1">(Inputs!H12+(Inputs!J12-Inputs!H12)*BETAINV(RAND(),Model!L6,Model!M6))*Inputs!$C$6</f>
        <v>18642.158595689729</v>
      </c>
      <c r="E975">
        <f t="shared" ca="1" si="315"/>
        <v>1.8840220813531834</v>
      </c>
      <c r="F975">
        <f t="shared" ca="1" si="316"/>
        <v>0.66889554463611967</v>
      </c>
      <c r="G975">
        <f t="shared" ca="1" si="317"/>
        <v>2</v>
      </c>
      <c r="H975" s="47">
        <f t="shared" ca="1" si="318"/>
        <v>37284.317191379458</v>
      </c>
      <c r="I975">
        <f ca="1">Inputs!B13+(Inputs!D13-Inputs!B13)*BETAINV(RAND(),Model!H7,Model!I7)</f>
        <v>4.1109263676675178</v>
      </c>
      <c r="J975">
        <f ca="1">Inputs!E13+(Inputs!G13-Inputs!E13)*BETAINV(RAND(),Model!J7,Model!K7)</f>
        <v>0.25659755647226157</v>
      </c>
      <c r="K975">
        <f ca="1">(Inputs!H13+(Inputs!J13-Inputs!H13)*BETAINV(RAND(),Model!L7,Model!M7))*Inputs!$C$6</f>
        <v>22178.31692936366</v>
      </c>
      <c r="L975">
        <f t="shared" ca="1" si="319"/>
        <v>1.0548536607808749</v>
      </c>
      <c r="M975">
        <f t="shared" ca="1" si="320"/>
        <v>1.1619018440079398E-2</v>
      </c>
      <c r="N975">
        <f t="shared" ca="1" si="321"/>
        <v>0</v>
      </c>
      <c r="O975" s="47">
        <f t="shared" ca="1" si="322"/>
        <v>0</v>
      </c>
      <c r="P975">
        <f ca="1">Inputs!B14+(Inputs!D14-Inputs!B14)*BETAINV(RAND(),Model!H8,Model!I8)</f>
        <v>0.25495388728624951</v>
      </c>
      <c r="Q975">
        <f ca="1">Inputs!E14+(Inputs!G14-Inputs!E14)*BETAINV(RAND(),Model!J8,Model!K8)</f>
        <v>0.5714161045998396</v>
      </c>
      <c r="R975">
        <f ca="1">(Inputs!H14+(Inputs!J14-Inputs!H14)*BETAINV(RAND(),Model!L8,Model!M8))*Inputs!$C$6</f>
        <v>473972.77569694363</v>
      </c>
      <c r="S975">
        <f t="shared" ca="1" si="323"/>
        <v>0.14568475712569526</v>
      </c>
      <c r="T975">
        <f t="shared" ca="1" si="324"/>
        <v>0.54726787531037546</v>
      </c>
      <c r="U975">
        <f t="shared" ca="1" si="325"/>
        <v>0</v>
      </c>
      <c r="V975" s="47">
        <f t="shared" ca="1" si="326"/>
        <v>0</v>
      </c>
      <c r="W975">
        <f ca="1">Inputs!B15+(Inputs!D15-Inputs!B15)*BETAINV(RAND(),Model!H9,Model!I9)</f>
        <v>1.4728849504461887</v>
      </c>
      <c r="X975">
        <f ca="1">Inputs!E15+(Inputs!G15-Inputs!E15)*BETAINV(RAND(),Model!J9,Model!K9)</f>
        <v>0.43720263816343852</v>
      </c>
      <c r="Y975">
        <f ca="1">(Inputs!H15+(Inputs!J15-Inputs!H15)*BETAINV(RAND(),Model!L9,Model!M9))*Inputs!$C$6</f>
        <v>33527.354920646867</v>
      </c>
      <c r="Z975">
        <f t="shared" ca="1" si="327"/>
        <v>0.64394918604629914</v>
      </c>
      <c r="AA975">
        <f t="shared" ca="1" si="328"/>
        <v>0.23046365414721759</v>
      </c>
      <c r="AB975">
        <f t="shared" ca="1" si="329"/>
        <v>0</v>
      </c>
      <c r="AC975" s="47">
        <f t="shared" ca="1" si="330"/>
        <v>0</v>
      </c>
      <c r="AD975">
        <f ca="1">Inputs!B16+(Inputs!D16-Inputs!B16)*BETAINV(RAND(),Model!H10,Model!I10)</f>
        <v>0.81641886779074047</v>
      </c>
      <c r="AE975">
        <f ca="1">Inputs!E16+(Inputs!G16-Inputs!E16)*BETAINV(RAND(),Model!J10,Model!K10)</f>
        <v>0.66840492902060245</v>
      </c>
      <c r="AF975">
        <f ca="1">(Inputs!H16+(Inputs!J16-Inputs!H16)*BETAINV(RAND(),Model!L10,Model!M10))*Inputs!$C$6</f>
        <v>63247.91677494446</v>
      </c>
      <c r="AG975">
        <f t="shared" ca="1" si="331"/>
        <v>0.54569839537675047</v>
      </c>
      <c r="AH975">
        <f t="shared" ca="1" si="332"/>
        <v>0.9192689235389363</v>
      </c>
      <c r="AI975">
        <f t="shared" ca="1" si="333"/>
        <v>2</v>
      </c>
      <c r="AJ975" s="47">
        <f t="shared" ca="1" si="334"/>
        <v>126495.83354988892</v>
      </c>
      <c r="AK975">
        <f t="shared" ca="1" si="335"/>
        <v>163780.15074126839</v>
      </c>
    </row>
    <row r="976" spans="2:37" x14ac:dyDescent="0.2">
      <c r="B976">
        <f ca="1">Inputs!B12+(Inputs!D12-Inputs!B12)*BETAINV(RAND(),Model!H6,Model!I6)</f>
        <v>3.3668999444067822</v>
      </c>
      <c r="C976">
        <f ca="1">Inputs!E12+(Inputs!G12-Inputs!E12)*BETAINV(RAND(),Model!J6,Model!K6)</f>
        <v>0.21489390690211455</v>
      </c>
      <c r="D976">
        <f ca="1">(Inputs!H12+(Inputs!J12-Inputs!H12)*BETAINV(RAND(),Model!L6,Model!M6))*Inputs!$C$6</f>
        <v>58023.815360052438</v>
      </c>
      <c r="E976">
        <f t="shared" ca="1" si="315"/>
        <v>0.72352628320208567</v>
      </c>
      <c r="F976">
        <f t="shared" ca="1" si="316"/>
        <v>0.95904654593929106</v>
      </c>
      <c r="G976">
        <f t="shared" ca="1" si="317"/>
        <v>2</v>
      </c>
      <c r="H976" s="47">
        <f t="shared" ca="1" si="318"/>
        <v>116047.63072010488</v>
      </c>
      <c r="I976">
        <f ca="1">Inputs!B13+(Inputs!D13-Inputs!B13)*BETAINV(RAND(),Model!H7,Model!I7)</f>
        <v>1.7152077813812014</v>
      </c>
      <c r="J976">
        <f ca="1">Inputs!E13+(Inputs!G13-Inputs!E13)*BETAINV(RAND(),Model!J7,Model!K7)</f>
        <v>0.35055825348942637</v>
      </c>
      <c r="K976">
        <f ca="1">(Inputs!H13+(Inputs!J13-Inputs!H13)*BETAINV(RAND(),Model!L7,Model!M7))*Inputs!$C$6</f>
        <v>53271.000223974857</v>
      </c>
      <c r="L976">
        <f t="shared" ca="1" si="319"/>
        <v>0.60128024421246784</v>
      </c>
      <c r="M976">
        <f t="shared" ca="1" si="320"/>
        <v>0.13598447166741867</v>
      </c>
      <c r="N976">
        <f t="shared" ca="1" si="321"/>
        <v>0</v>
      </c>
      <c r="O976" s="47">
        <f t="shared" ca="1" si="322"/>
        <v>0</v>
      </c>
      <c r="P976">
        <f ca="1">Inputs!B14+(Inputs!D14-Inputs!B14)*BETAINV(RAND(),Model!H8,Model!I8)</f>
        <v>0.25588006625361837</v>
      </c>
      <c r="Q976">
        <f ca="1">Inputs!E14+(Inputs!G14-Inputs!E14)*BETAINV(RAND(),Model!J8,Model!K8)</f>
        <v>0.55514075956291808</v>
      </c>
      <c r="R976">
        <f ca="1">(Inputs!H14+(Inputs!J14-Inputs!H14)*BETAINV(RAND(),Model!L8,Model!M8))*Inputs!$C$6</f>
        <v>612329.30833702267</v>
      </c>
      <c r="S976">
        <f t="shared" ca="1" si="323"/>
        <v>0.1420494543370435</v>
      </c>
      <c r="T976">
        <f t="shared" ca="1" si="324"/>
        <v>0.19323762942003986</v>
      </c>
      <c r="U976">
        <f t="shared" ca="1" si="325"/>
        <v>0</v>
      </c>
      <c r="V976" s="47">
        <f t="shared" ca="1" si="326"/>
        <v>0</v>
      </c>
      <c r="W976">
        <f ca="1">Inputs!B15+(Inputs!D15-Inputs!B15)*BETAINV(RAND(),Model!H9,Model!I9)</f>
        <v>0.78703969872465995</v>
      </c>
      <c r="X976">
        <f ca="1">Inputs!E15+(Inputs!G15-Inputs!E15)*BETAINV(RAND(),Model!J9,Model!K9)</f>
        <v>0.52729301869839418</v>
      </c>
      <c r="Y976">
        <f ca="1">(Inputs!H15+(Inputs!J15-Inputs!H15)*BETAINV(RAND(),Model!L9,Model!M9))*Inputs!$C$6</f>
        <v>50865.616119945262</v>
      </c>
      <c r="Z976">
        <f t="shared" ca="1" si="327"/>
        <v>0.41500053857600067</v>
      </c>
      <c r="AA976">
        <f t="shared" ca="1" si="328"/>
        <v>0.43266457807756098</v>
      </c>
      <c r="AB976">
        <f t="shared" ca="1" si="329"/>
        <v>0</v>
      </c>
      <c r="AC976" s="47">
        <f t="shared" ca="1" si="330"/>
        <v>0</v>
      </c>
      <c r="AD976">
        <f ca="1">Inputs!B16+(Inputs!D16-Inputs!B16)*BETAINV(RAND(),Model!H10,Model!I10)</f>
        <v>0.85814356660835212</v>
      </c>
      <c r="AE976">
        <f ca="1">Inputs!E16+(Inputs!G16-Inputs!E16)*BETAINV(RAND(),Model!J10,Model!K10)</f>
        <v>0.69410909100352947</v>
      </c>
      <c r="AF976">
        <f ca="1">(Inputs!H16+(Inputs!J16-Inputs!H16)*BETAINV(RAND(),Model!L10,Model!M10))*Inputs!$C$6</f>
        <v>69495.476676138423</v>
      </c>
      <c r="AG976">
        <f t="shared" ca="1" si="331"/>
        <v>0.59564525096905008</v>
      </c>
      <c r="AH976">
        <f t="shared" ca="1" si="332"/>
        <v>0.3200138121100855</v>
      </c>
      <c r="AI976">
        <f t="shared" ca="1" si="333"/>
        <v>0</v>
      </c>
      <c r="AJ976" s="47">
        <f t="shared" ca="1" si="334"/>
        <v>0</v>
      </c>
      <c r="AK976">
        <f t="shared" ca="1" si="335"/>
        <v>116047.63072010488</v>
      </c>
    </row>
    <row r="977" spans="2:37" x14ac:dyDescent="0.2">
      <c r="B977">
        <f ca="1">Inputs!B12+(Inputs!D12-Inputs!B12)*BETAINV(RAND(),Model!H6,Model!I6)</f>
        <v>4.1298545407215395</v>
      </c>
      <c r="C977">
        <f ca="1">Inputs!E12+(Inputs!G12-Inputs!E12)*BETAINV(RAND(),Model!J6,Model!K6)</f>
        <v>0.16190217778875499</v>
      </c>
      <c r="D977">
        <f ca="1">(Inputs!H12+(Inputs!J12-Inputs!H12)*BETAINV(RAND(),Model!L6,Model!M6))*Inputs!$C$6</f>
        <v>25844.518730810887</v>
      </c>
      <c r="E977">
        <f t="shared" ca="1" si="315"/>
        <v>0.66863244409359579</v>
      </c>
      <c r="F977">
        <f t="shared" ca="1" si="316"/>
        <v>0.30530544293104989</v>
      </c>
      <c r="G977">
        <f t="shared" ca="1" si="317"/>
        <v>0</v>
      </c>
      <c r="H977" s="47">
        <f t="shared" ca="1" si="318"/>
        <v>0</v>
      </c>
      <c r="I977">
        <f ca="1">Inputs!B13+(Inputs!D13-Inputs!B13)*BETAINV(RAND(),Model!H7,Model!I7)</f>
        <v>2.2547155625434909</v>
      </c>
      <c r="J977">
        <f ca="1">Inputs!E13+(Inputs!G13-Inputs!E13)*BETAINV(RAND(),Model!J7,Model!K7)</f>
        <v>0.17404935020130302</v>
      </c>
      <c r="K977">
        <f ca="1">(Inputs!H13+(Inputs!J13-Inputs!H13)*BETAINV(RAND(),Model!L7,Model!M7))*Inputs!$C$6</f>
        <v>33693.484789899368</v>
      </c>
      <c r="L977">
        <f t="shared" ca="1" si="319"/>
        <v>0.39243177854945999</v>
      </c>
      <c r="M977">
        <f t="shared" ca="1" si="320"/>
        <v>0.5346603126174253</v>
      </c>
      <c r="N977">
        <f t="shared" ca="1" si="321"/>
        <v>0</v>
      </c>
      <c r="O977" s="47">
        <f t="shared" ca="1" si="322"/>
        <v>0</v>
      </c>
      <c r="P977">
        <f ca="1">Inputs!B14+(Inputs!D14-Inputs!B14)*BETAINV(RAND(),Model!H8,Model!I8)</f>
        <v>0.1172413977656766</v>
      </c>
      <c r="Q977">
        <f ca="1">Inputs!E14+(Inputs!G14-Inputs!E14)*BETAINV(RAND(),Model!J8,Model!K8)</f>
        <v>0.68045719766484924</v>
      </c>
      <c r="R977">
        <f ca="1">(Inputs!H14+(Inputs!J14-Inputs!H14)*BETAINV(RAND(),Model!L8,Model!M8))*Inputs!$C$6</f>
        <v>216836.17058510194</v>
      </c>
      <c r="S977">
        <f t="shared" ca="1" si="323"/>
        <v>7.9777752973942212E-2</v>
      </c>
      <c r="T977">
        <f t="shared" ca="1" si="324"/>
        <v>0.3724352624459869</v>
      </c>
      <c r="U977">
        <f t="shared" ca="1" si="325"/>
        <v>0</v>
      </c>
      <c r="V977" s="47">
        <f t="shared" ca="1" si="326"/>
        <v>0</v>
      </c>
      <c r="W977">
        <f ca="1">Inputs!B15+(Inputs!D15-Inputs!B15)*BETAINV(RAND(),Model!H9,Model!I9)</f>
        <v>1.5731896207888787</v>
      </c>
      <c r="X977">
        <f ca="1">Inputs!E15+(Inputs!G15-Inputs!E15)*BETAINV(RAND(),Model!J9,Model!K9)</f>
        <v>0.34667729447914963</v>
      </c>
      <c r="Y977">
        <f ca="1">(Inputs!H15+(Inputs!J15-Inputs!H15)*BETAINV(RAND(),Model!L9,Model!M9))*Inputs!$C$6</f>
        <v>21136.591905639325</v>
      </c>
      <c r="Z977">
        <f t="shared" ca="1" si="327"/>
        <v>0.54538912143776785</v>
      </c>
      <c r="AA977">
        <f t="shared" ca="1" si="328"/>
        <v>0.76561651030249478</v>
      </c>
      <c r="AB977">
        <f t="shared" ca="1" si="329"/>
        <v>1</v>
      </c>
      <c r="AC977" s="47">
        <f t="shared" ca="1" si="330"/>
        <v>21136.591905639325</v>
      </c>
      <c r="AD977">
        <f ca="1">Inputs!B16+(Inputs!D16-Inputs!B16)*BETAINV(RAND(),Model!H10,Model!I10)</f>
        <v>0.62069061084833399</v>
      </c>
      <c r="AE977">
        <f ca="1">Inputs!E16+(Inputs!G16-Inputs!E16)*BETAINV(RAND(),Model!J10,Model!K10)</f>
        <v>0.60276733698582274</v>
      </c>
      <c r="AF977">
        <f ca="1">(Inputs!H16+(Inputs!J16-Inputs!H16)*BETAINV(RAND(),Model!L10,Model!M10))*Inputs!$C$6</f>
        <v>104910.52786750424</v>
      </c>
      <c r="AG977">
        <f t="shared" ca="1" si="331"/>
        <v>0.37413202659315392</v>
      </c>
      <c r="AH977">
        <f t="shared" ca="1" si="332"/>
        <v>0.6582271817104558</v>
      </c>
      <c r="AI977">
        <f t="shared" ca="1" si="333"/>
        <v>0</v>
      </c>
      <c r="AJ977" s="47">
        <f t="shared" ca="1" si="334"/>
        <v>0</v>
      </c>
      <c r="AK977">
        <f t="shared" ca="1" si="335"/>
        <v>21136.591905639325</v>
      </c>
    </row>
    <row r="978" spans="2:37" x14ac:dyDescent="0.2">
      <c r="B978">
        <f ca="1">Inputs!B12+(Inputs!D12-Inputs!B12)*BETAINV(RAND(),Model!H6,Model!I6)</f>
        <v>4.0603212184350532</v>
      </c>
      <c r="C978">
        <f ca="1">Inputs!E12+(Inputs!G12-Inputs!E12)*BETAINV(RAND(),Model!J6,Model!K6)</f>
        <v>0.31031786085775481</v>
      </c>
      <c r="D978">
        <f ca="1">(Inputs!H12+(Inputs!J12-Inputs!H12)*BETAINV(RAND(),Model!L6,Model!M6))*Inputs!$C$6</f>
        <v>8635.2210629833862</v>
      </c>
      <c r="E978">
        <f t="shared" ca="1" si="315"/>
        <v>1.2599901949001184</v>
      </c>
      <c r="F978">
        <f t="shared" ca="1" si="316"/>
        <v>0.43040555128055691</v>
      </c>
      <c r="G978">
        <f t="shared" ca="1" si="317"/>
        <v>1</v>
      </c>
      <c r="H978" s="47">
        <f t="shared" ca="1" si="318"/>
        <v>8635.2210629833862</v>
      </c>
      <c r="I978">
        <f ca="1">Inputs!B13+(Inputs!D13-Inputs!B13)*BETAINV(RAND(),Model!H7,Model!I7)</f>
        <v>0.98505774768199039</v>
      </c>
      <c r="J978">
        <f ca="1">Inputs!E13+(Inputs!G13-Inputs!E13)*BETAINV(RAND(),Model!J7,Model!K7)</f>
        <v>0.21560570965404013</v>
      </c>
      <c r="K978">
        <f ca="1">(Inputs!H13+(Inputs!J13-Inputs!H13)*BETAINV(RAND(),Model!L7,Model!M7))*Inputs!$C$6</f>
        <v>18474.852578047299</v>
      </c>
      <c r="L978">
        <f t="shared" ca="1" si="319"/>
        <v>0.21238407473918594</v>
      </c>
      <c r="M978">
        <f t="shared" ca="1" si="320"/>
        <v>0.53776784118037813</v>
      </c>
      <c r="N978">
        <f t="shared" ca="1" si="321"/>
        <v>0</v>
      </c>
      <c r="O978" s="47">
        <f t="shared" ca="1" si="322"/>
        <v>0</v>
      </c>
      <c r="P978">
        <f ca="1">Inputs!B14+(Inputs!D14-Inputs!B14)*BETAINV(RAND(),Model!H8,Model!I8)</f>
        <v>0.56715037525329526</v>
      </c>
      <c r="Q978">
        <f ca="1">Inputs!E14+(Inputs!G14-Inputs!E14)*BETAINV(RAND(),Model!J8,Model!K8)</f>
        <v>0.66938079642614556</v>
      </c>
      <c r="R978">
        <f ca="1">(Inputs!H14+(Inputs!J14-Inputs!H14)*BETAINV(RAND(),Model!L8,Model!M8))*Inputs!$C$6</f>
        <v>394762.54430512496</v>
      </c>
      <c r="S978">
        <f t="shared" ca="1" si="323"/>
        <v>0.37963956988043812</v>
      </c>
      <c r="T978">
        <f t="shared" ca="1" si="324"/>
        <v>1.3106542225426621E-2</v>
      </c>
      <c r="U978">
        <f t="shared" ca="1" si="325"/>
        <v>0</v>
      </c>
      <c r="V978" s="47">
        <f t="shared" ca="1" si="326"/>
        <v>0</v>
      </c>
      <c r="W978">
        <f ca="1">Inputs!B15+(Inputs!D15-Inputs!B15)*BETAINV(RAND(),Model!H9,Model!I9)</f>
        <v>1.8000515764164884</v>
      </c>
      <c r="X978">
        <f ca="1">Inputs!E15+(Inputs!G15-Inputs!E15)*BETAINV(RAND(),Model!J9,Model!K9)</f>
        <v>0.56488556763324094</v>
      </c>
      <c r="Y978">
        <f ca="1">(Inputs!H15+(Inputs!J15-Inputs!H15)*BETAINV(RAND(),Model!L9,Model!M9))*Inputs!$C$6</f>
        <v>55440.282909724716</v>
      </c>
      <c r="Z978">
        <f t="shared" ca="1" si="327"/>
        <v>1.0168231565131383</v>
      </c>
      <c r="AA978">
        <f t="shared" ca="1" si="328"/>
        <v>0.2321164594403704</v>
      </c>
      <c r="AB978">
        <f t="shared" ca="1" si="329"/>
        <v>0</v>
      </c>
      <c r="AC978" s="47">
        <f t="shared" ca="1" si="330"/>
        <v>0</v>
      </c>
      <c r="AD978">
        <f ca="1">Inputs!B16+(Inputs!D16-Inputs!B16)*BETAINV(RAND(),Model!H10,Model!I10)</f>
        <v>1.3473873334407145</v>
      </c>
      <c r="AE978">
        <f ca="1">Inputs!E16+(Inputs!G16-Inputs!E16)*BETAINV(RAND(),Model!J10,Model!K10)</f>
        <v>0.60357649544114789</v>
      </c>
      <c r="AF978">
        <f ca="1">(Inputs!H16+(Inputs!J16-Inputs!H16)*BETAINV(RAND(),Model!L10,Model!M10))*Inputs!$C$6</f>
        <v>91497.992196441715</v>
      </c>
      <c r="AG978">
        <f t="shared" ca="1" si="331"/>
        <v>0.81325132471993977</v>
      </c>
      <c r="AH978">
        <f t="shared" ca="1" si="332"/>
        <v>0.91430485535688832</v>
      </c>
      <c r="AI978">
        <f t="shared" ca="1" si="333"/>
        <v>2</v>
      </c>
      <c r="AJ978" s="47">
        <f t="shared" ca="1" si="334"/>
        <v>182995.98439288343</v>
      </c>
      <c r="AK978">
        <f t="shared" ca="1" si="335"/>
        <v>191631.20545586682</v>
      </c>
    </row>
    <row r="979" spans="2:37" x14ac:dyDescent="0.2">
      <c r="B979">
        <f ca="1">Inputs!B12+(Inputs!D12-Inputs!B12)*BETAINV(RAND(),Model!H6,Model!I6)</f>
        <v>4.5922112681340312</v>
      </c>
      <c r="C979">
        <f ca="1">Inputs!E12+(Inputs!G12-Inputs!E12)*BETAINV(RAND(),Model!J6,Model!K6)</f>
        <v>0.27042692272736651</v>
      </c>
      <c r="D979">
        <f ca="1">(Inputs!H12+(Inputs!J12-Inputs!H12)*BETAINV(RAND(),Model!L6,Model!M6))*Inputs!$C$6</f>
        <v>27747.378953979569</v>
      </c>
      <c r="E979">
        <f t="shared" ca="1" si="315"/>
        <v>1.2418575617554235</v>
      </c>
      <c r="F979">
        <f t="shared" ca="1" si="316"/>
        <v>0.25570396891565073</v>
      </c>
      <c r="G979">
        <f t="shared" ca="1" si="317"/>
        <v>0</v>
      </c>
      <c r="H979" s="47">
        <f t="shared" ca="1" si="318"/>
        <v>0</v>
      </c>
      <c r="I979">
        <f ca="1">Inputs!B13+(Inputs!D13-Inputs!B13)*BETAINV(RAND(),Model!H7,Model!I7)</f>
        <v>3.8512290364836517</v>
      </c>
      <c r="J979">
        <f ca="1">Inputs!E13+(Inputs!G13-Inputs!E13)*BETAINV(RAND(),Model!J7,Model!K7)</f>
        <v>0.1448790389814692</v>
      </c>
      <c r="K979">
        <f ca="1">(Inputs!H13+(Inputs!J13-Inputs!H13)*BETAINV(RAND(),Model!L7,Model!M7))*Inputs!$C$6</f>
        <v>43394.934300226509</v>
      </c>
      <c r="L979">
        <f t="shared" ca="1" si="319"/>
        <v>0.55796236170328106</v>
      </c>
      <c r="M979">
        <f t="shared" ca="1" si="320"/>
        <v>0.6442449714041445</v>
      </c>
      <c r="N979">
        <f t="shared" ca="1" si="321"/>
        <v>1</v>
      </c>
      <c r="O979" s="47">
        <f t="shared" ca="1" si="322"/>
        <v>43394.934300226509</v>
      </c>
      <c r="P979">
        <f ca="1">Inputs!B14+(Inputs!D14-Inputs!B14)*BETAINV(RAND(),Model!H8,Model!I8)</f>
        <v>0.27156845219652492</v>
      </c>
      <c r="Q979">
        <f ca="1">Inputs!E14+(Inputs!G14-Inputs!E14)*BETAINV(RAND(),Model!J8,Model!K8)</f>
        <v>0.84263378164656166</v>
      </c>
      <c r="R979">
        <f ca="1">(Inputs!H14+(Inputs!J14-Inputs!H14)*BETAINV(RAND(),Model!L8,Model!M8))*Inputs!$C$6</f>
        <v>288270.02554104605</v>
      </c>
      <c r="S979">
        <f t="shared" ca="1" si="323"/>
        <v>0.22883275185026131</v>
      </c>
      <c r="T979">
        <f t="shared" ca="1" si="324"/>
        <v>0.50600579311822613</v>
      </c>
      <c r="U979">
        <f t="shared" ca="1" si="325"/>
        <v>0</v>
      </c>
      <c r="V979" s="47">
        <f t="shared" ca="1" si="326"/>
        <v>0</v>
      </c>
      <c r="W979">
        <f ca="1">Inputs!B15+(Inputs!D15-Inputs!B15)*BETAINV(RAND(),Model!H9,Model!I9)</f>
        <v>2.0989466689125003</v>
      </c>
      <c r="X979">
        <f ca="1">Inputs!E15+(Inputs!G15-Inputs!E15)*BETAINV(RAND(),Model!J9,Model!K9)</f>
        <v>0.41199319934879225</v>
      </c>
      <c r="Y979">
        <f ca="1">(Inputs!H15+(Inputs!J15-Inputs!H15)*BETAINV(RAND(),Model!L9,Model!M9))*Inputs!$C$6</f>
        <v>23671.132934115209</v>
      </c>
      <c r="Z979">
        <f t="shared" ca="1" si="327"/>
        <v>0.86475175338775112</v>
      </c>
      <c r="AA979">
        <f t="shared" ca="1" si="328"/>
        <v>0.65895089109908844</v>
      </c>
      <c r="AB979">
        <f t="shared" ca="1" si="329"/>
        <v>1</v>
      </c>
      <c r="AC979" s="47">
        <f t="shared" ca="1" si="330"/>
        <v>23671.132934115209</v>
      </c>
      <c r="AD979">
        <f ca="1">Inputs!B16+(Inputs!D16-Inputs!B16)*BETAINV(RAND(),Model!H10,Model!I10)</f>
        <v>0.89909739260593979</v>
      </c>
      <c r="AE979">
        <f ca="1">Inputs!E16+(Inputs!G16-Inputs!E16)*BETAINV(RAND(),Model!J10,Model!K10)</f>
        <v>0.67141276956715612</v>
      </c>
      <c r="AF979">
        <f ca="1">(Inputs!H16+(Inputs!J16-Inputs!H16)*BETAINV(RAND(),Model!L10,Model!M10))*Inputs!$C$6</f>
        <v>121772.30863470104</v>
      </c>
      <c r="AG979">
        <f t="shared" ca="1" si="331"/>
        <v>0.60366547048016272</v>
      </c>
      <c r="AH979">
        <f t="shared" ca="1" si="332"/>
        <v>0.18006134018824516</v>
      </c>
      <c r="AI979">
        <f t="shared" ca="1" si="333"/>
        <v>0</v>
      </c>
      <c r="AJ979" s="47">
        <f t="shared" ca="1" si="334"/>
        <v>0</v>
      </c>
      <c r="AK979">
        <f t="shared" ca="1" si="335"/>
        <v>67066.067234341725</v>
      </c>
    </row>
    <row r="980" spans="2:37" x14ac:dyDescent="0.2">
      <c r="B980">
        <f ca="1">Inputs!B12+(Inputs!D12-Inputs!B12)*BETAINV(RAND(),Model!H6,Model!I6)</f>
        <v>4.1651614210909393</v>
      </c>
      <c r="C980">
        <f ca="1">Inputs!E12+(Inputs!G12-Inputs!E12)*BETAINV(RAND(),Model!J6,Model!K6)</f>
        <v>0.31947010690957511</v>
      </c>
      <c r="D980">
        <f ca="1">(Inputs!H12+(Inputs!J12-Inputs!H12)*BETAINV(RAND(),Model!L6,Model!M6))*Inputs!$C$6</f>
        <v>27162.615433707761</v>
      </c>
      <c r="E980">
        <f t="shared" ca="1" si="315"/>
        <v>1.3306445644915601</v>
      </c>
      <c r="F980">
        <f t="shared" ca="1" si="316"/>
        <v>1.6379838091311161E-2</v>
      </c>
      <c r="G980">
        <f t="shared" ca="1" si="317"/>
        <v>0</v>
      </c>
      <c r="H980" s="47">
        <f t="shared" ca="1" si="318"/>
        <v>0</v>
      </c>
      <c r="I980">
        <f ca="1">Inputs!B13+(Inputs!D13-Inputs!B13)*BETAINV(RAND(),Model!H7,Model!I7)</f>
        <v>2.7444906202513826</v>
      </c>
      <c r="J980">
        <f ca="1">Inputs!E13+(Inputs!G13-Inputs!E13)*BETAINV(RAND(),Model!J7,Model!K7)</f>
        <v>0.3063156210282113</v>
      </c>
      <c r="K980">
        <f ca="1">(Inputs!H13+(Inputs!J13-Inputs!H13)*BETAINV(RAND(),Model!L7,Model!M7))*Inputs!$C$6</f>
        <v>24275.075102100403</v>
      </c>
      <c r="L980">
        <f t="shared" ca="1" si="319"/>
        <v>0.84068034874840314</v>
      </c>
      <c r="M980">
        <f t="shared" ca="1" si="320"/>
        <v>0.41989257410809044</v>
      </c>
      <c r="N980">
        <f t="shared" ca="1" si="321"/>
        <v>0</v>
      </c>
      <c r="O980" s="47">
        <f t="shared" ca="1" si="322"/>
        <v>0</v>
      </c>
      <c r="P980">
        <f ca="1">Inputs!B14+(Inputs!D14-Inputs!B14)*BETAINV(RAND(),Model!H8,Model!I8)</f>
        <v>0.20212273653037888</v>
      </c>
      <c r="Q980">
        <f ca="1">Inputs!E14+(Inputs!G14-Inputs!E14)*BETAINV(RAND(),Model!J8,Model!K8)</f>
        <v>0.56960250250038102</v>
      </c>
      <c r="R980">
        <f ca="1">(Inputs!H14+(Inputs!J14-Inputs!H14)*BETAINV(RAND(),Model!L8,Model!M8))*Inputs!$C$6</f>
        <v>277346.49462877854</v>
      </c>
      <c r="S980">
        <f t="shared" ca="1" si="323"/>
        <v>0.11512961653992899</v>
      </c>
      <c r="T980">
        <f t="shared" ca="1" si="324"/>
        <v>0.71725130003179971</v>
      </c>
      <c r="U980">
        <f t="shared" ca="1" si="325"/>
        <v>0</v>
      </c>
      <c r="V980" s="47">
        <f t="shared" ca="1" si="326"/>
        <v>0</v>
      </c>
      <c r="W980">
        <f ca="1">Inputs!B15+(Inputs!D15-Inputs!B15)*BETAINV(RAND(),Model!H9,Model!I9)</f>
        <v>0.63337037740253399</v>
      </c>
      <c r="X980">
        <f ca="1">Inputs!E15+(Inputs!G15-Inputs!E15)*BETAINV(RAND(),Model!J9,Model!K9)</f>
        <v>0.31740918039725352</v>
      </c>
      <c r="Y980">
        <f ca="1">(Inputs!H15+(Inputs!J15-Inputs!H15)*BETAINV(RAND(),Model!L9,Model!M9))*Inputs!$C$6</f>
        <v>20354.767720573949</v>
      </c>
      <c r="Z980">
        <f t="shared" ca="1" si="327"/>
        <v>0.20103757237923744</v>
      </c>
      <c r="AA980">
        <f t="shared" ca="1" si="328"/>
        <v>0.3743569028206305</v>
      </c>
      <c r="AB980">
        <f t="shared" ca="1" si="329"/>
        <v>0</v>
      </c>
      <c r="AC980" s="47">
        <f t="shared" ca="1" si="330"/>
        <v>0</v>
      </c>
      <c r="AD980">
        <f ca="1">Inputs!B16+(Inputs!D16-Inputs!B16)*BETAINV(RAND(),Model!H10,Model!I10)</f>
        <v>0.82978872721023156</v>
      </c>
      <c r="AE980">
        <f ca="1">Inputs!E16+(Inputs!G16-Inputs!E16)*BETAINV(RAND(),Model!J10,Model!K10)</f>
        <v>0.4924909371776649</v>
      </c>
      <c r="AF980">
        <f ca="1">(Inputs!H16+(Inputs!J16-Inputs!H16)*BETAINV(RAND(),Model!L10,Model!M10))*Inputs!$C$6</f>
        <v>132517.16269764295</v>
      </c>
      <c r="AG980">
        <f t="shared" ca="1" si="331"/>
        <v>0.40866342792322868</v>
      </c>
      <c r="AH980">
        <f t="shared" ca="1" si="332"/>
        <v>0.12196982400718548</v>
      </c>
      <c r="AI980">
        <f t="shared" ca="1" si="333"/>
        <v>0</v>
      </c>
      <c r="AJ980" s="47">
        <f t="shared" ca="1" si="334"/>
        <v>0</v>
      </c>
      <c r="AK980">
        <f t="shared" ca="1" si="335"/>
        <v>0</v>
      </c>
    </row>
    <row r="981" spans="2:37" x14ac:dyDescent="0.2">
      <c r="B981">
        <f ca="1">Inputs!B12+(Inputs!D12-Inputs!B12)*BETAINV(RAND(),Model!H6,Model!I6)</f>
        <v>4.4537731003328105</v>
      </c>
      <c r="C981">
        <f ca="1">Inputs!E12+(Inputs!G12-Inputs!E12)*BETAINV(RAND(),Model!J6,Model!K6)</f>
        <v>0.42645001310334807</v>
      </c>
      <c r="D981">
        <f ca="1">(Inputs!H12+(Inputs!J12-Inputs!H12)*BETAINV(RAND(),Model!L6,Model!M6))*Inputs!$C$6</f>
        <v>30428.644619272796</v>
      </c>
      <c r="E981">
        <f t="shared" ca="1" si="315"/>
        <v>1.8993115969962662</v>
      </c>
      <c r="F981">
        <f t="shared" ca="1" si="316"/>
        <v>0.65671064558696401</v>
      </c>
      <c r="G981">
        <f t="shared" ca="1" si="317"/>
        <v>2</v>
      </c>
      <c r="H981" s="47">
        <f t="shared" ca="1" si="318"/>
        <v>60857.289238545593</v>
      </c>
      <c r="I981">
        <f ca="1">Inputs!B13+(Inputs!D13-Inputs!B13)*BETAINV(RAND(),Model!H7,Model!I7)</f>
        <v>0.95784977050426812</v>
      </c>
      <c r="J981">
        <f ca="1">Inputs!E13+(Inputs!G13-Inputs!E13)*BETAINV(RAND(),Model!J7,Model!K7)</f>
        <v>0.26450666980326842</v>
      </c>
      <c r="K981">
        <f ca="1">(Inputs!H13+(Inputs!J13-Inputs!H13)*BETAINV(RAND(),Model!L7,Model!M7))*Inputs!$C$6</f>
        <v>28582.124499398167</v>
      </c>
      <c r="L981">
        <f t="shared" ca="1" si="319"/>
        <v>0.25335765296790891</v>
      </c>
      <c r="M981">
        <f t="shared" ca="1" si="320"/>
        <v>0.29336318726089761</v>
      </c>
      <c r="N981">
        <f t="shared" ca="1" si="321"/>
        <v>0</v>
      </c>
      <c r="O981" s="47">
        <f t="shared" ca="1" si="322"/>
        <v>0</v>
      </c>
      <c r="P981">
        <f ca="1">Inputs!B14+(Inputs!D14-Inputs!B14)*BETAINV(RAND(),Model!H8,Model!I8)</f>
        <v>0.19174922543221878</v>
      </c>
      <c r="Q981">
        <f ca="1">Inputs!E14+(Inputs!G14-Inputs!E14)*BETAINV(RAND(),Model!J8,Model!K8)</f>
        <v>0.74408327603300439</v>
      </c>
      <c r="R981">
        <f ca="1">(Inputs!H14+(Inputs!J14-Inputs!H14)*BETAINV(RAND(),Model!L8,Model!M8))*Inputs!$C$6</f>
        <v>365096.83532901376</v>
      </c>
      <c r="S981">
        <f t="shared" ca="1" si="323"/>
        <v>0.14267739183639644</v>
      </c>
      <c r="T981">
        <f t="shared" ca="1" si="324"/>
        <v>0.19103597391357607</v>
      </c>
      <c r="U981">
        <f t="shared" ca="1" si="325"/>
        <v>0</v>
      </c>
      <c r="V981" s="47">
        <f t="shared" ca="1" si="326"/>
        <v>0</v>
      </c>
      <c r="W981">
        <f ca="1">Inputs!B15+(Inputs!D15-Inputs!B15)*BETAINV(RAND(),Model!H9,Model!I9)</f>
        <v>1.7022304753100355</v>
      </c>
      <c r="X981">
        <f ca="1">Inputs!E15+(Inputs!G15-Inputs!E15)*BETAINV(RAND(),Model!J9,Model!K9)</f>
        <v>0.56370550637020433</v>
      </c>
      <c r="Y981">
        <f ca="1">(Inputs!H15+(Inputs!J15-Inputs!H15)*BETAINV(RAND(),Model!L9,Model!M9))*Inputs!$C$6</f>
        <v>50614.940604663512</v>
      </c>
      <c r="Z981">
        <f t="shared" ca="1" si="327"/>
        <v>0.95955669204343719</v>
      </c>
      <c r="AA981">
        <f t="shared" ca="1" si="328"/>
        <v>0.99402318137373868</v>
      </c>
      <c r="AB981">
        <f t="shared" ca="1" si="329"/>
        <v>4</v>
      </c>
      <c r="AC981" s="47">
        <f t="shared" ca="1" si="330"/>
        <v>202459.76241865405</v>
      </c>
      <c r="AD981">
        <f ca="1">Inputs!B16+(Inputs!D16-Inputs!B16)*BETAINV(RAND(),Model!H10,Model!I10)</f>
        <v>0.24892171038544569</v>
      </c>
      <c r="AE981">
        <f ca="1">Inputs!E16+(Inputs!G16-Inputs!E16)*BETAINV(RAND(),Model!J10,Model!K10)</f>
        <v>0.5292057138529529</v>
      </c>
      <c r="AF981">
        <f ca="1">(Inputs!H16+(Inputs!J16-Inputs!H16)*BETAINV(RAND(),Model!L10,Model!M10))*Inputs!$C$6</f>
        <v>67812.314889074114</v>
      </c>
      <c r="AG981">
        <f t="shared" ca="1" si="331"/>
        <v>0.13173079143802779</v>
      </c>
      <c r="AH981">
        <f t="shared" ca="1" si="332"/>
        <v>0.62409837520557221</v>
      </c>
      <c r="AI981">
        <f t="shared" ca="1" si="333"/>
        <v>0</v>
      </c>
      <c r="AJ981" s="47">
        <f t="shared" ca="1" si="334"/>
        <v>0</v>
      </c>
      <c r="AK981">
        <f t="shared" ca="1" si="335"/>
        <v>263317.05165719963</v>
      </c>
    </row>
    <row r="982" spans="2:37" x14ac:dyDescent="0.2">
      <c r="B982">
        <f ca="1">Inputs!B12+(Inputs!D12-Inputs!B12)*BETAINV(RAND(),Model!H6,Model!I6)</f>
        <v>5.4832841757319377</v>
      </c>
      <c r="C982">
        <f ca="1">Inputs!E12+(Inputs!G12-Inputs!E12)*BETAINV(RAND(),Model!J6,Model!K6)</f>
        <v>0.36812391707438485</v>
      </c>
      <c r="D982">
        <f ca="1">(Inputs!H12+(Inputs!J12-Inputs!H12)*BETAINV(RAND(),Model!L6,Model!M6))*Inputs!$C$6</f>
        <v>24192.261229016618</v>
      </c>
      <c r="E982">
        <f t="shared" ca="1" si="315"/>
        <v>2.0185280492024305</v>
      </c>
      <c r="F982">
        <f t="shared" ca="1" si="316"/>
        <v>9.9080467506465486E-2</v>
      </c>
      <c r="G982">
        <f t="shared" ca="1" si="317"/>
        <v>0</v>
      </c>
      <c r="H982" s="47">
        <f t="shared" ca="1" si="318"/>
        <v>0</v>
      </c>
      <c r="I982">
        <f ca="1">Inputs!B13+(Inputs!D13-Inputs!B13)*BETAINV(RAND(),Model!H7,Model!I7)</f>
        <v>2.1420968766444259</v>
      </c>
      <c r="J982">
        <f ca="1">Inputs!E13+(Inputs!G13-Inputs!E13)*BETAINV(RAND(),Model!J7,Model!K7)</f>
        <v>0.17639991129348234</v>
      </c>
      <c r="K982">
        <f ca="1">(Inputs!H13+(Inputs!J13-Inputs!H13)*BETAINV(RAND(),Model!L7,Model!M7))*Inputs!$C$6</f>
        <v>41050.405167910918</v>
      </c>
      <c r="L982">
        <f t="shared" ca="1" si="319"/>
        <v>0.3778656990221223</v>
      </c>
      <c r="M982">
        <f t="shared" ca="1" si="320"/>
        <v>0.52721334662058283</v>
      </c>
      <c r="N982">
        <f t="shared" ca="1" si="321"/>
        <v>0</v>
      </c>
      <c r="O982" s="47">
        <f t="shared" ca="1" si="322"/>
        <v>0</v>
      </c>
      <c r="P982">
        <f ca="1">Inputs!B14+(Inputs!D14-Inputs!B14)*BETAINV(RAND(),Model!H8,Model!I8)</f>
        <v>0.3772292831111107</v>
      </c>
      <c r="Q982">
        <f ca="1">Inputs!E14+(Inputs!G14-Inputs!E14)*BETAINV(RAND(),Model!J8,Model!K8)</f>
        <v>0.6479376366569094</v>
      </c>
      <c r="R982">
        <f ca="1">(Inputs!H14+(Inputs!J14-Inputs!H14)*BETAINV(RAND(),Model!L8,Model!M8))*Inputs!$C$6</f>
        <v>517912.63867803995</v>
      </c>
      <c r="S982">
        <f t="shared" ca="1" si="323"/>
        <v>0.24442105017679325</v>
      </c>
      <c r="T982">
        <f t="shared" ca="1" si="324"/>
        <v>0.3009642198392074</v>
      </c>
      <c r="U982">
        <f t="shared" ca="1" si="325"/>
        <v>0</v>
      </c>
      <c r="V982" s="47">
        <f t="shared" ca="1" si="326"/>
        <v>0</v>
      </c>
      <c r="W982">
        <f ca="1">Inputs!B15+(Inputs!D15-Inputs!B15)*BETAINV(RAND(),Model!H9,Model!I9)</f>
        <v>0.98660690286147656</v>
      </c>
      <c r="X982">
        <f ca="1">Inputs!E15+(Inputs!G15-Inputs!E15)*BETAINV(RAND(),Model!J9,Model!K9)</f>
        <v>0.40306480628217534</v>
      </c>
      <c r="Y982">
        <f ca="1">(Inputs!H15+(Inputs!J15-Inputs!H15)*BETAINV(RAND(),Model!L9,Model!M9))*Inputs!$C$6</f>
        <v>70229.222169389977</v>
      </c>
      <c r="Z982">
        <f t="shared" ca="1" si="327"/>
        <v>0.39766652017851806</v>
      </c>
      <c r="AA982">
        <f t="shared" ca="1" si="328"/>
        <v>0.3992186352705589</v>
      </c>
      <c r="AB982">
        <f t="shared" ca="1" si="329"/>
        <v>0</v>
      </c>
      <c r="AC982" s="47">
        <f t="shared" ca="1" si="330"/>
        <v>0</v>
      </c>
      <c r="AD982">
        <f ca="1">Inputs!B16+(Inputs!D16-Inputs!B16)*BETAINV(RAND(),Model!H10,Model!I10)</f>
        <v>0.668801838963899</v>
      </c>
      <c r="AE982">
        <f ca="1">Inputs!E16+(Inputs!G16-Inputs!E16)*BETAINV(RAND(),Model!J10,Model!K10)</f>
        <v>0.56739919601942279</v>
      </c>
      <c r="AF982">
        <f ca="1">(Inputs!H16+(Inputs!J16-Inputs!H16)*BETAINV(RAND(),Model!L10,Model!M10))*Inputs!$C$6</f>
        <v>131115.35626251824</v>
      </c>
      <c r="AG982">
        <f t="shared" ca="1" si="331"/>
        <v>0.37947762572442778</v>
      </c>
      <c r="AH982">
        <f t="shared" ca="1" si="332"/>
        <v>0.41966929215821014</v>
      </c>
      <c r="AI982">
        <f t="shared" ca="1" si="333"/>
        <v>0</v>
      </c>
      <c r="AJ982" s="47">
        <f t="shared" ca="1" si="334"/>
        <v>0</v>
      </c>
      <c r="AK982">
        <f t="shared" ca="1" si="335"/>
        <v>0</v>
      </c>
    </row>
    <row r="983" spans="2:37" x14ac:dyDescent="0.2">
      <c r="B983">
        <f ca="1">Inputs!B12+(Inputs!D12-Inputs!B12)*BETAINV(RAND(),Model!H6,Model!I6)</f>
        <v>2.5775895534550348</v>
      </c>
      <c r="C983">
        <f ca="1">Inputs!E12+(Inputs!G12-Inputs!E12)*BETAINV(RAND(),Model!J6,Model!K6)</f>
        <v>0.27236870386200723</v>
      </c>
      <c r="D983">
        <f ca="1">(Inputs!H12+(Inputs!J12-Inputs!H12)*BETAINV(RAND(),Model!L6,Model!M6))*Inputs!$C$6</f>
        <v>22331.312630886023</v>
      </c>
      <c r="E983">
        <f t="shared" ca="1" si="315"/>
        <v>0.70205472576279782</v>
      </c>
      <c r="F983">
        <f t="shared" ca="1" si="316"/>
        <v>0.2827110989082795</v>
      </c>
      <c r="G983">
        <f t="shared" ca="1" si="317"/>
        <v>0</v>
      </c>
      <c r="H983" s="47">
        <f t="shared" ca="1" si="318"/>
        <v>0</v>
      </c>
      <c r="I983">
        <f ca="1">Inputs!B13+(Inputs!D13-Inputs!B13)*BETAINV(RAND(),Model!H7,Model!I7)</f>
        <v>2.5351661651289876</v>
      </c>
      <c r="J983">
        <f ca="1">Inputs!E13+(Inputs!G13-Inputs!E13)*BETAINV(RAND(),Model!J7,Model!K7)</f>
        <v>0.23637791736505442</v>
      </c>
      <c r="K983">
        <f ca="1">(Inputs!H13+(Inputs!J13-Inputs!H13)*BETAINV(RAND(),Model!L7,Model!M7))*Inputs!$C$6</f>
        <v>35360.572422985759</v>
      </c>
      <c r="L983">
        <f t="shared" ca="1" si="319"/>
        <v>0.59925729828754171</v>
      </c>
      <c r="M983">
        <f t="shared" ca="1" si="320"/>
        <v>3.2472487716835863E-2</v>
      </c>
      <c r="N983">
        <f t="shared" ca="1" si="321"/>
        <v>0</v>
      </c>
      <c r="O983" s="47">
        <f t="shared" ca="1" si="322"/>
        <v>0</v>
      </c>
      <c r="P983">
        <f ca="1">Inputs!B14+(Inputs!D14-Inputs!B14)*BETAINV(RAND(),Model!H8,Model!I8)</f>
        <v>0.36435397253306578</v>
      </c>
      <c r="Q983">
        <f ca="1">Inputs!E14+(Inputs!G14-Inputs!E14)*BETAINV(RAND(),Model!J8,Model!K8)</f>
        <v>0.65373433104748191</v>
      </c>
      <c r="R983">
        <f ca="1">(Inputs!H14+(Inputs!J14-Inputs!H14)*BETAINV(RAND(),Model!L8,Model!M8))*Inputs!$C$6</f>
        <v>352489.3799370866</v>
      </c>
      <c r="S983">
        <f t="shared" ca="1" si="323"/>
        <v>0.23819070049839636</v>
      </c>
      <c r="T983">
        <f t="shared" ca="1" si="324"/>
        <v>0.54547192022810198</v>
      </c>
      <c r="U983">
        <f t="shared" ca="1" si="325"/>
        <v>0</v>
      </c>
      <c r="V983" s="47">
        <f t="shared" ca="1" si="326"/>
        <v>0</v>
      </c>
      <c r="W983">
        <f ca="1">Inputs!B15+(Inputs!D15-Inputs!B15)*BETAINV(RAND(),Model!H9,Model!I9)</f>
        <v>1.233857227530843</v>
      </c>
      <c r="X983">
        <f ca="1">Inputs!E15+(Inputs!G15-Inputs!E15)*BETAINV(RAND(),Model!J9,Model!K9)</f>
        <v>0.38227323873553259</v>
      </c>
      <c r="Y983">
        <f ca="1">(Inputs!H15+(Inputs!J15-Inputs!H15)*BETAINV(RAND(),Model!L9,Model!M9))*Inputs!$C$6</f>
        <v>25203.23131494868</v>
      </c>
      <c r="Z983">
        <f t="shared" ca="1" si="327"/>
        <v>0.47167059850546034</v>
      </c>
      <c r="AA983">
        <f t="shared" ca="1" si="328"/>
        <v>0.93936437186108512</v>
      </c>
      <c r="AB983">
        <f t="shared" ca="1" si="329"/>
        <v>2</v>
      </c>
      <c r="AC983" s="47">
        <f t="shared" ca="1" si="330"/>
        <v>50406.46262989736</v>
      </c>
      <c r="AD983">
        <f ca="1">Inputs!B16+(Inputs!D16-Inputs!B16)*BETAINV(RAND(),Model!H10,Model!I10)</f>
        <v>1.2531859091720592</v>
      </c>
      <c r="AE983">
        <f ca="1">Inputs!E16+(Inputs!G16-Inputs!E16)*BETAINV(RAND(),Model!J10,Model!K10)</f>
        <v>0.61680141761805785</v>
      </c>
      <c r="AF983">
        <f ca="1">(Inputs!H16+(Inputs!J16-Inputs!H16)*BETAINV(RAND(),Model!L10,Model!M10))*Inputs!$C$6</f>
        <v>81802.445767544952</v>
      </c>
      <c r="AG983">
        <f t="shared" ca="1" si="331"/>
        <v>0.77296684531630078</v>
      </c>
      <c r="AH983">
        <f t="shared" ca="1" si="332"/>
        <v>0.1486510422246109</v>
      </c>
      <c r="AI983">
        <f t="shared" ca="1" si="333"/>
        <v>0</v>
      </c>
      <c r="AJ983" s="47">
        <f t="shared" ca="1" si="334"/>
        <v>0</v>
      </c>
      <c r="AK983">
        <f t="shared" ca="1" si="335"/>
        <v>50406.46262989736</v>
      </c>
    </row>
    <row r="984" spans="2:37" x14ac:dyDescent="0.2">
      <c r="B984">
        <f ca="1">Inputs!B12+(Inputs!D12-Inputs!B12)*BETAINV(RAND(),Model!H6,Model!I6)</f>
        <v>5.6325386200519301</v>
      </c>
      <c r="C984">
        <f ca="1">Inputs!E12+(Inputs!G12-Inputs!E12)*BETAINV(RAND(),Model!J6,Model!K6)</f>
        <v>0.27621702205093634</v>
      </c>
      <c r="D984">
        <f ca="1">(Inputs!H12+(Inputs!J12-Inputs!H12)*BETAINV(RAND(),Model!L6,Model!M6))*Inputs!$C$6</f>
        <v>26628.78256569491</v>
      </c>
      <c r="E984">
        <f t="shared" ca="1" si="315"/>
        <v>1.5558030442176345</v>
      </c>
      <c r="F984">
        <f t="shared" ca="1" si="316"/>
        <v>0.10794222086854532</v>
      </c>
      <c r="G984">
        <f t="shared" ca="1" si="317"/>
        <v>0</v>
      </c>
      <c r="H984" s="47">
        <f t="shared" ca="1" si="318"/>
        <v>0</v>
      </c>
      <c r="I984">
        <f ca="1">Inputs!B13+(Inputs!D13-Inputs!B13)*BETAINV(RAND(),Model!H7,Model!I7)</f>
        <v>1.4763764850426009</v>
      </c>
      <c r="J984">
        <f ca="1">Inputs!E13+(Inputs!G13-Inputs!E13)*BETAINV(RAND(),Model!J7,Model!K7)</f>
        <v>0.18766364163664798</v>
      </c>
      <c r="K984">
        <f ca="1">(Inputs!H13+(Inputs!J13-Inputs!H13)*BETAINV(RAND(),Model!L7,Model!M7))*Inputs!$C$6</f>
        <v>61939.175947833384</v>
      </c>
      <c r="L984">
        <f t="shared" ca="1" si="319"/>
        <v>0.27706218760980861</v>
      </c>
      <c r="M984">
        <f t="shared" ca="1" si="320"/>
        <v>0.19653021143622862</v>
      </c>
      <c r="N984">
        <f t="shared" ca="1" si="321"/>
        <v>0</v>
      </c>
      <c r="O984" s="47">
        <f t="shared" ca="1" si="322"/>
        <v>0</v>
      </c>
      <c r="P984">
        <f ca="1">Inputs!B14+(Inputs!D14-Inputs!B14)*BETAINV(RAND(),Model!H8,Model!I8)</f>
        <v>0.30509028785381265</v>
      </c>
      <c r="Q984">
        <f ca="1">Inputs!E14+(Inputs!G14-Inputs!E14)*BETAINV(RAND(),Model!J8,Model!K8)</f>
        <v>0.64299458739982085</v>
      </c>
      <c r="R984">
        <f ca="1">(Inputs!H14+(Inputs!J14-Inputs!H14)*BETAINV(RAND(),Model!L8,Model!M8))*Inputs!$C$6</f>
        <v>487370.06119340728</v>
      </c>
      <c r="S984">
        <f t="shared" ca="1" si="323"/>
        <v>0.19617140375825484</v>
      </c>
      <c r="T984">
        <f t="shared" ca="1" si="324"/>
        <v>0.55079398815775149</v>
      </c>
      <c r="U984">
        <f t="shared" ca="1" si="325"/>
        <v>0</v>
      </c>
      <c r="V984" s="47">
        <f t="shared" ca="1" si="326"/>
        <v>0</v>
      </c>
      <c r="W984">
        <f ca="1">Inputs!B15+(Inputs!D15-Inputs!B15)*BETAINV(RAND(),Model!H9,Model!I9)</f>
        <v>1.0977090656276136</v>
      </c>
      <c r="X984">
        <f ca="1">Inputs!E15+(Inputs!G15-Inputs!E15)*BETAINV(RAND(),Model!J9,Model!K9)</f>
        <v>0.37796579958331378</v>
      </c>
      <c r="Y984">
        <f ca="1">(Inputs!H15+(Inputs!J15-Inputs!H15)*BETAINV(RAND(),Model!L9,Model!M9))*Inputs!$C$6</f>
        <v>47555.702611510475</v>
      </c>
      <c r="Z984">
        <f t="shared" ca="1" si="327"/>
        <v>0.41489648469979323</v>
      </c>
      <c r="AA984">
        <f t="shared" ca="1" si="328"/>
        <v>0.70295093539367481</v>
      </c>
      <c r="AB984">
        <f t="shared" ca="1" si="329"/>
        <v>1</v>
      </c>
      <c r="AC984" s="47">
        <f t="shared" ca="1" si="330"/>
        <v>47555.702611510475</v>
      </c>
      <c r="AD984">
        <f ca="1">Inputs!B16+(Inputs!D16-Inputs!B16)*BETAINV(RAND(),Model!H10,Model!I10)</f>
        <v>1.2388565194330885</v>
      </c>
      <c r="AE984">
        <f ca="1">Inputs!E16+(Inputs!G16-Inputs!E16)*BETAINV(RAND(),Model!J10,Model!K10)</f>
        <v>0.66323572635518802</v>
      </c>
      <c r="AF984">
        <f ca="1">(Inputs!H16+(Inputs!J16-Inputs!H16)*BETAINV(RAND(),Model!L10,Model!M10))*Inputs!$C$6</f>
        <v>72260.933197004269</v>
      </c>
      <c r="AG984">
        <f t="shared" ca="1" si="331"/>
        <v>0.8216539035160646</v>
      </c>
      <c r="AH984">
        <f t="shared" ca="1" si="332"/>
        <v>0.82536801105391611</v>
      </c>
      <c r="AI984">
        <f t="shared" ca="1" si="333"/>
        <v>2</v>
      </c>
      <c r="AJ984" s="47">
        <f t="shared" ca="1" si="334"/>
        <v>144521.86639400854</v>
      </c>
      <c r="AK984">
        <f t="shared" ca="1" si="335"/>
        <v>192077.56900551901</v>
      </c>
    </row>
    <row r="985" spans="2:37" x14ac:dyDescent="0.2">
      <c r="B985">
        <f ca="1">Inputs!B12+(Inputs!D12-Inputs!B12)*BETAINV(RAND(),Model!H6,Model!I6)</f>
        <v>2.9489079574721169</v>
      </c>
      <c r="C985">
        <f ca="1">Inputs!E12+(Inputs!G12-Inputs!E12)*BETAINV(RAND(),Model!J6,Model!K6)</f>
        <v>0.20808168075712852</v>
      </c>
      <c r="D985">
        <f ca="1">(Inputs!H12+(Inputs!J12-Inputs!H12)*BETAINV(RAND(),Model!L6,Model!M6))*Inputs!$C$6</f>
        <v>31782.89683238605</v>
      </c>
      <c r="E985">
        <f t="shared" ca="1" si="315"/>
        <v>0.61361372418886895</v>
      </c>
      <c r="F985">
        <f t="shared" ca="1" si="316"/>
        <v>0.95139898587530225</v>
      </c>
      <c r="G985">
        <f t="shared" ca="1" si="317"/>
        <v>2</v>
      </c>
      <c r="H985" s="47">
        <f t="shared" ca="1" si="318"/>
        <v>63565.7936647721</v>
      </c>
      <c r="I985">
        <f ca="1">Inputs!B13+(Inputs!D13-Inputs!B13)*BETAINV(RAND(),Model!H7,Model!I7)</f>
        <v>3.124334238683204</v>
      </c>
      <c r="J985">
        <f ca="1">Inputs!E13+(Inputs!G13-Inputs!E13)*BETAINV(RAND(),Model!J7,Model!K7)</f>
        <v>0.21925963037302176</v>
      </c>
      <c r="K985">
        <f ca="1">(Inputs!H13+(Inputs!J13-Inputs!H13)*BETAINV(RAND(),Model!L7,Model!M7))*Inputs!$C$6</f>
        <v>68281.890863596971</v>
      </c>
      <c r="L985">
        <f t="shared" ca="1" si="319"/>
        <v>0.68504037033545562</v>
      </c>
      <c r="M985">
        <f t="shared" ca="1" si="320"/>
        <v>0.33861987742487498</v>
      </c>
      <c r="N985">
        <f t="shared" ca="1" si="321"/>
        <v>0</v>
      </c>
      <c r="O985" s="47">
        <f t="shared" ca="1" si="322"/>
        <v>0</v>
      </c>
      <c r="P985">
        <f ca="1">Inputs!B14+(Inputs!D14-Inputs!B14)*BETAINV(RAND(),Model!H8,Model!I8)</f>
        <v>0.30402978267756797</v>
      </c>
      <c r="Q985">
        <f ca="1">Inputs!E14+(Inputs!G14-Inputs!E14)*BETAINV(RAND(),Model!J8,Model!K8)</f>
        <v>0.67061805372378713</v>
      </c>
      <c r="R985">
        <f ca="1">(Inputs!H14+(Inputs!J14-Inputs!H14)*BETAINV(RAND(),Model!L8,Model!M8))*Inputs!$C$6</f>
        <v>372180.46612458833</v>
      </c>
      <c r="S985">
        <f t="shared" ca="1" si="323"/>
        <v>0.2038878611332966</v>
      </c>
      <c r="T985">
        <f t="shared" ca="1" si="324"/>
        <v>0.46300621543071385</v>
      </c>
      <c r="U985">
        <f t="shared" ca="1" si="325"/>
        <v>0</v>
      </c>
      <c r="V985" s="47">
        <f t="shared" ca="1" si="326"/>
        <v>0</v>
      </c>
      <c r="W985">
        <f ca="1">Inputs!B15+(Inputs!D15-Inputs!B15)*BETAINV(RAND(),Model!H9,Model!I9)</f>
        <v>1.0370310534657325</v>
      </c>
      <c r="X985">
        <f ca="1">Inputs!E15+(Inputs!G15-Inputs!E15)*BETAINV(RAND(),Model!J9,Model!K9)</f>
        <v>0.3272808692795045</v>
      </c>
      <c r="Y985">
        <f ca="1">(Inputs!H15+(Inputs!J15-Inputs!H15)*BETAINV(RAND(),Model!L9,Model!M9))*Inputs!$C$6</f>
        <v>15814.861811060398</v>
      </c>
      <c r="Z985">
        <f t="shared" ca="1" si="327"/>
        <v>0.33940042464810527</v>
      </c>
      <c r="AA985">
        <f t="shared" ca="1" si="328"/>
        <v>0.87986130713827626</v>
      </c>
      <c r="AB985">
        <f t="shared" ca="1" si="329"/>
        <v>1</v>
      </c>
      <c r="AC985" s="47">
        <f t="shared" ca="1" si="330"/>
        <v>15814.861811060398</v>
      </c>
      <c r="AD985">
        <f ca="1">Inputs!B16+(Inputs!D16-Inputs!B16)*BETAINV(RAND(),Model!H10,Model!I10)</f>
        <v>0.74017033570556356</v>
      </c>
      <c r="AE985">
        <f ca="1">Inputs!E16+(Inputs!G16-Inputs!E16)*BETAINV(RAND(),Model!J10,Model!K10)</f>
        <v>0.56712748180443695</v>
      </c>
      <c r="AF985">
        <f ca="1">(Inputs!H16+(Inputs!J16-Inputs!H16)*BETAINV(RAND(),Model!L10,Model!M10))*Inputs!$C$6</f>
        <v>53720.249052562045</v>
      </c>
      <c r="AG985">
        <f t="shared" ca="1" si="331"/>
        <v>0.419770938595041</v>
      </c>
      <c r="AH985">
        <f t="shared" ca="1" si="332"/>
        <v>0.10228568852136444</v>
      </c>
      <c r="AI985">
        <f t="shared" ca="1" si="333"/>
        <v>0</v>
      </c>
      <c r="AJ985" s="47">
        <f t="shared" ca="1" si="334"/>
        <v>0</v>
      </c>
      <c r="AK985">
        <f t="shared" ca="1" si="335"/>
        <v>79380.655475832493</v>
      </c>
    </row>
    <row r="986" spans="2:37" x14ac:dyDescent="0.2">
      <c r="B986">
        <f ca="1">Inputs!B12+(Inputs!D12-Inputs!B12)*BETAINV(RAND(),Model!H6,Model!I6)</f>
        <v>3.2289680067012401</v>
      </c>
      <c r="C986">
        <f ca="1">Inputs!E12+(Inputs!G12-Inputs!E12)*BETAINV(RAND(),Model!J6,Model!K6)</f>
        <v>0.21664604610319643</v>
      </c>
      <c r="D986">
        <f ca="1">(Inputs!H12+(Inputs!J12-Inputs!H12)*BETAINV(RAND(),Model!L6,Model!M6))*Inputs!$C$6</f>
        <v>32137.691462440031</v>
      </c>
      <c r="E986">
        <f t="shared" ca="1" si="315"/>
        <v>0.69954315164554315</v>
      </c>
      <c r="F986">
        <f t="shared" ca="1" si="316"/>
        <v>0.64880327146054884</v>
      </c>
      <c r="G986">
        <f t="shared" ca="1" si="317"/>
        <v>1</v>
      </c>
      <c r="H986" s="47">
        <f t="shared" ca="1" si="318"/>
        <v>32137.691462440031</v>
      </c>
      <c r="I986">
        <f ca="1">Inputs!B13+(Inputs!D13-Inputs!B13)*BETAINV(RAND(),Model!H7,Model!I7)</f>
        <v>2.202662418055211</v>
      </c>
      <c r="J986">
        <f ca="1">Inputs!E13+(Inputs!G13-Inputs!E13)*BETAINV(RAND(),Model!J7,Model!K7)</f>
        <v>0.28170742669187865</v>
      </c>
      <c r="K986">
        <f ca="1">(Inputs!H13+(Inputs!J13-Inputs!H13)*BETAINV(RAND(),Model!L7,Model!M7))*Inputs!$C$6</f>
        <v>26843.726318912224</v>
      </c>
      <c r="L986">
        <f t="shared" ca="1" si="319"/>
        <v>0.62050636166124451</v>
      </c>
      <c r="M986">
        <f t="shared" ca="1" si="320"/>
        <v>0.9564116326761225</v>
      </c>
      <c r="N986">
        <f t="shared" ca="1" si="321"/>
        <v>2</v>
      </c>
      <c r="O986" s="47">
        <f t="shared" ca="1" si="322"/>
        <v>53687.452637824448</v>
      </c>
      <c r="P986">
        <f ca="1">Inputs!B14+(Inputs!D14-Inputs!B14)*BETAINV(RAND(),Model!H8,Model!I8)</f>
        <v>0.43203070007065092</v>
      </c>
      <c r="Q986">
        <f ca="1">Inputs!E14+(Inputs!G14-Inputs!E14)*BETAINV(RAND(),Model!J8,Model!K8)</f>
        <v>0.61967243308868525</v>
      </c>
      <c r="R986">
        <f ca="1">(Inputs!H14+(Inputs!J14-Inputs!H14)*BETAINV(RAND(),Model!L8,Model!M8))*Inputs!$C$6</f>
        <v>397416.8454481173</v>
      </c>
      <c r="S986">
        <f t="shared" ca="1" si="323"/>
        <v>0.26771751508178826</v>
      </c>
      <c r="T986">
        <f t="shared" ca="1" si="324"/>
        <v>0.11895451288741765</v>
      </c>
      <c r="U986">
        <f t="shared" ca="1" si="325"/>
        <v>0</v>
      </c>
      <c r="V986" s="47">
        <f t="shared" ca="1" si="326"/>
        <v>0</v>
      </c>
      <c r="W986">
        <f ca="1">Inputs!B15+(Inputs!D15-Inputs!B15)*BETAINV(RAND(),Model!H9,Model!I9)</f>
        <v>2.1341398492260741</v>
      </c>
      <c r="X986">
        <f ca="1">Inputs!E15+(Inputs!G15-Inputs!E15)*BETAINV(RAND(),Model!J9,Model!K9)</f>
        <v>0.49870435908800587</v>
      </c>
      <c r="Y986">
        <f ca="1">(Inputs!H15+(Inputs!J15-Inputs!H15)*BETAINV(RAND(),Model!L9,Model!M9))*Inputs!$C$6</f>
        <v>31976.32063238971</v>
      </c>
      <c r="Z986">
        <f t="shared" ca="1" si="327"/>
        <v>1.0643048457124629</v>
      </c>
      <c r="AA986">
        <f t="shared" ca="1" si="328"/>
        <v>0.14426104113369131</v>
      </c>
      <c r="AB986">
        <f t="shared" ca="1" si="329"/>
        <v>0</v>
      </c>
      <c r="AC986" s="47">
        <f t="shared" ca="1" si="330"/>
        <v>0</v>
      </c>
      <c r="AD986">
        <f ca="1">Inputs!B16+(Inputs!D16-Inputs!B16)*BETAINV(RAND(),Model!H10,Model!I10)</f>
        <v>0.78442703871190966</v>
      </c>
      <c r="AE986">
        <f ca="1">Inputs!E16+(Inputs!G16-Inputs!E16)*BETAINV(RAND(),Model!J10,Model!K10)</f>
        <v>0.52051762845018978</v>
      </c>
      <c r="AF986">
        <f ca="1">(Inputs!H16+(Inputs!J16-Inputs!H16)*BETAINV(RAND(),Model!L10,Model!M10))*Inputs!$C$6</f>
        <v>99590.123620197701</v>
      </c>
      <c r="AG986">
        <f t="shared" ca="1" si="331"/>
        <v>0.40830810188252842</v>
      </c>
      <c r="AH986">
        <f t="shared" ca="1" si="332"/>
        <v>0.90217844538021519</v>
      </c>
      <c r="AI986">
        <f t="shared" ca="1" si="333"/>
        <v>1</v>
      </c>
      <c r="AJ986" s="47">
        <f t="shared" ca="1" si="334"/>
        <v>99590.123620197701</v>
      </c>
      <c r="AK986">
        <f t="shared" ca="1" si="335"/>
        <v>185415.26772046217</v>
      </c>
    </row>
    <row r="987" spans="2:37" x14ac:dyDescent="0.2">
      <c r="B987">
        <f ca="1">Inputs!B12+(Inputs!D12-Inputs!B12)*BETAINV(RAND(),Model!H6,Model!I6)</f>
        <v>1.472697788105592</v>
      </c>
      <c r="C987">
        <f ca="1">Inputs!E12+(Inputs!G12-Inputs!E12)*BETAINV(RAND(),Model!J6,Model!K6)</f>
        <v>0.30852793266400191</v>
      </c>
      <c r="D987">
        <f ca="1">(Inputs!H12+(Inputs!J12-Inputs!H12)*BETAINV(RAND(),Model!L6,Model!M6))*Inputs!$C$6</f>
        <v>24766.092612967375</v>
      </c>
      <c r="E987">
        <f t="shared" ca="1" si="315"/>
        <v>0.45436840400306666</v>
      </c>
      <c r="F987">
        <f t="shared" ca="1" si="316"/>
        <v>0.12164304898335021</v>
      </c>
      <c r="G987">
        <f t="shared" ca="1" si="317"/>
        <v>0</v>
      </c>
      <c r="H987" s="47">
        <f t="shared" ca="1" si="318"/>
        <v>0</v>
      </c>
      <c r="I987">
        <f ca="1">Inputs!B13+(Inputs!D13-Inputs!B13)*BETAINV(RAND(),Model!H7,Model!I7)</f>
        <v>3.1652452629472365</v>
      </c>
      <c r="J987">
        <f ca="1">Inputs!E13+(Inputs!G13-Inputs!E13)*BETAINV(RAND(),Model!J7,Model!K7)</f>
        <v>0.17424814605546757</v>
      </c>
      <c r="K987">
        <f ca="1">(Inputs!H13+(Inputs!J13-Inputs!H13)*BETAINV(RAND(),Model!L7,Model!M7))*Inputs!$C$6</f>
        <v>34021.850526994123</v>
      </c>
      <c r="L987">
        <f t="shared" ca="1" si="319"/>
        <v>0.55153811887940696</v>
      </c>
      <c r="M987">
        <f t="shared" ca="1" si="320"/>
        <v>3.3691640786017496E-2</v>
      </c>
      <c r="N987">
        <f t="shared" ca="1" si="321"/>
        <v>0</v>
      </c>
      <c r="O987" s="47">
        <f t="shared" ca="1" si="322"/>
        <v>0</v>
      </c>
      <c r="P987">
        <f ca="1">Inputs!B14+(Inputs!D14-Inputs!B14)*BETAINV(RAND(),Model!H8,Model!I8)</f>
        <v>0.22274827818570359</v>
      </c>
      <c r="Q987">
        <f ca="1">Inputs!E14+(Inputs!G14-Inputs!E14)*BETAINV(RAND(),Model!J8,Model!K8)</f>
        <v>0.84265133019040572</v>
      </c>
      <c r="R987">
        <f ca="1">(Inputs!H14+(Inputs!J14-Inputs!H14)*BETAINV(RAND(),Model!L8,Model!M8))*Inputs!$C$6</f>
        <v>604181.70143105683</v>
      </c>
      <c r="S987">
        <f t="shared" ca="1" si="323"/>
        <v>0.18769913291080567</v>
      </c>
      <c r="T987">
        <f t="shared" ca="1" si="324"/>
        <v>0.26807065169279165</v>
      </c>
      <c r="U987">
        <f t="shared" ca="1" si="325"/>
        <v>0</v>
      </c>
      <c r="V987" s="47">
        <f t="shared" ca="1" si="326"/>
        <v>0</v>
      </c>
      <c r="W987">
        <f ca="1">Inputs!B15+(Inputs!D15-Inputs!B15)*BETAINV(RAND(),Model!H9,Model!I9)</f>
        <v>0.55210284641992891</v>
      </c>
      <c r="X987">
        <f ca="1">Inputs!E15+(Inputs!G15-Inputs!E15)*BETAINV(RAND(),Model!J9,Model!K9)</f>
        <v>0.41739485496860129</v>
      </c>
      <c r="Y987">
        <f ca="1">(Inputs!H15+(Inputs!J15-Inputs!H15)*BETAINV(RAND(),Model!L9,Model!M9))*Inputs!$C$6</f>
        <v>27253.21251472965</v>
      </c>
      <c r="Z987">
        <f t="shared" ca="1" si="327"/>
        <v>0.23044488750919817</v>
      </c>
      <c r="AA987">
        <f t="shared" ca="1" si="328"/>
        <v>0.71401371545859194</v>
      </c>
      <c r="AB987">
        <f t="shared" ca="1" si="329"/>
        <v>0</v>
      </c>
      <c r="AC987" s="47">
        <f t="shared" ca="1" si="330"/>
        <v>0</v>
      </c>
      <c r="AD987">
        <f ca="1">Inputs!B16+(Inputs!D16-Inputs!B16)*BETAINV(RAND(),Model!H10,Model!I10)</f>
        <v>0.64435155539618849</v>
      </c>
      <c r="AE987">
        <f ca="1">Inputs!E16+(Inputs!G16-Inputs!E16)*BETAINV(RAND(),Model!J10,Model!K10)</f>
        <v>0.56075873335621229</v>
      </c>
      <c r="AF987">
        <f ca="1">(Inputs!H16+(Inputs!J16-Inputs!H16)*BETAINV(RAND(),Model!L10,Model!M10))*Inputs!$C$6</f>
        <v>84600.043635249167</v>
      </c>
      <c r="AG987">
        <f t="shared" ca="1" si="331"/>
        <v>0.36132576204007194</v>
      </c>
      <c r="AH987">
        <f t="shared" ca="1" si="332"/>
        <v>0.79133702847331788</v>
      </c>
      <c r="AI987">
        <f t="shared" ca="1" si="333"/>
        <v>1</v>
      </c>
      <c r="AJ987" s="47">
        <f t="shared" ca="1" si="334"/>
        <v>84600.043635249167</v>
      </c>
      <c r="AK987">
        <f t="shared" ca="1" si="335"/>
        <v>84600.043635249167</v>
      </c>
    </row>
    <row r="988" spans="2:37" x14ac:dyDescent="0.2">
      <c r="B988">
        <f ca="1">Inputs!B12+(Inputs!D12-Inputs!B12)*BETAINV(RAND(),Model!H6,Model!I6)</f>
        <v>2.9964424081119816</v>
      </c>
      <c r="C988">
        <f ca="1">Inputs!E12+(Inputs!G12-Inputs!E12)*BETAINV(RAND(),Model!J6,Model!K6)</f>
        <v>0.20857271856906967</v>
      </c>
      <c r="D988">
        <f ca="1">(Inputs!H12+(Inputs!J12-Inputs!H12)*BETAINV(RAND(),Model!L6,Model!M6))*Inputs!$C$6</f>
        <v>23907.440709390692</v>
      </c>
      <c r="E988">
        <f t="shared" ca="1" si="315"/>
        <v>0.62497613909556571</v>
      </c>
      <c r="F988">
        <f t="shared" ca="1" si="316"/>
        <v>0.38687502041945199</v>
      </c>
      <c r="G988">
        <f t="shared" ca="1" si="317"/>
        <v>0</v>
      </c>
      <c r="H988" s="47">
        <f t="shared" ca="1" si="318"/>
        <v>0</v>
      </c>
      <c r="I988">
        <f ca="1">Inputs!B13+(Inputs!D13-Inputs!B13)*BETAINV(RAND(),Model!H7,Model!I7)</f>
        <v>2.4893058399645565</v>
      </c>
      <c r="J988">
        <f ca="1">Inputs!E13+(Inputs!G13-Inputs!E13)*BETAINV(RAND(),Model!J7,Model!K7)</f>
        <v>0.21566392327448924</v>
      </c>
      <c r="K988">
        <f ca="1">(Inputs!H13+(Inputs!J13-Inputs!H13)*BETAINV(RAND(),Model!L7,Model!M7))*Inputs!$C$6</f>
        <v>20811.842115269068</v>
      </c>
      <c r="L988">
        <f t="shared" ca="1" si="319"/>
        <v>0.53685346367685416</v>
      </c>
      <c r="M988">
        <f t="shared" ca="1" si="320"/>
        <v>0.99995940538023931</v>
      </c>
      <c r="N988">
        <f t="shared" ca="1" si="321"/>
        <v>4</v>
      </c>
      <c r="O988" s="47">
        <f t="shared" ca="1" si="322"/>
        <v>83247.368461076272</v>
      </c>
      <c r="P988">
        <f ca="1">Inputs!B14+(Inputs!D14-Inputs!B14)*BETAINV(RAND(),Model!H8,Model!I8)</f>
        <v>0.4110406062209202</v>
      </c>
      <c r="Q988">
        <f ca="1">Inputs!E14+(Inputs!G14-Inputs!E14)*BETAINV(RAND(),Model!J8,Model!K8)</f>
        <v>0.59491076733270232</v>
      </c>
      <c r="R988">
        <f ca="1">(Inputs!H14+(Inputs!J14-Inputs!H14)*BETAINV(RAND(),Model!L8,Model!M8))*Inputs!$C$6</f>
        <v>293429.96407650068</v>
      </c>
      <c r="S988">
        <f t="shared" ca="1" si="323"/>
        <v>0.24453248245178677</v>
      </c>
      <c r="T988">
        <f t="shared" ca="1" si="324"/>
        <v>0.43090539123304983</v>
      </c>
      <c r="U988">
        <f t="shared" ca="1" si="325"/>
        <v>0</v>
      </c>
      <c r="V988" s="47">
        <f t="shared" ca="1" si="326"/>
        <v>0</v>
      </c>
      <c r="W988">
        <f ca="1">Inputs!B15+(Inputs!D15-Inputs!B15)*BETAINV(RAND(),Model!H9,Model!I9)</f>
        <v>0.93188171487596927</v>
      </c>
      <c r="X988">
        <f ca="1">Inputs!E15+(Inputs!G15-Inputs!E15)*BETAINV(RAND(),Model!J9,Model!K9)</f>
        <v>0.2526888859539792</v>
      </c>
      <c r="Y988">
        <f ca="1">(Inputs!H15+(Inputs!J15-Inputs!H15)*BETAINV(RAND(),Model!L9,Model!M9))*Inputs!$C$6</f>
        <v>16935.375330907249</v>
      </c>
      <c r="Z988">
        <f t="shared" ca="1" si="327"/>
        <v>0.23547615237289235</v>
      </c>
      <c r="AA988">
        <f t="shared" ca="1" si="328"/>
        <v>0.26407055804629742</v>
      </c>
      <c r="AB988">
        <f t="shared" ca="1" si="329"/>
        <v>0</v>
      </c>
      <c r="AC988" s="47">
        <f t="shared" ca="1" si="330"/>
        <v>0</v>
      </c>
      <c r="AD988">
        <f ca="1">Inputs!B16+(Inputs!D16-Inputs!B16)*BETAINV(RAND(),Model!H10,Model!I10)</f>
        <v>0.89080314871019883</v>
      </c>
      <c r="AE988">
        <f ca="1">Inputs!E16+(Inputs!G16-Inputs!E16)*BETAINV(RAND(),Model!J10,Model!K10)</f>
        <v>0.60258292136114067</v>
      </c>
      <c r="AF988">
        <f ca="1">(Inputs!H16+(Inputs!J16-Inputs!H16)*BETAINV(RAND(),Model!L10,Model!M10))*Inputs!$C$6</f>
        <v>58661.496519637498</v>
      </c>
      <c r="AG988">
        <f t="shared" ca="1" si="331"/>
        <v>0.53678276370749423</v>
      </c>
      <c r="AH988">
        <f t="shared" ca="1" si="332"/>
        <v>0.48481285386277995</v>
      </c>
      <c r="AI988">
        <f t="shared" ca="1" si="333"/>
        <v>0</v>
      </c>
      <c r="AJ988" s="47">
        <f t="shared" ca="1" si="334"/>
        <v>0</v>
      </c>
      <c r="AK988">
        <f t="shared" ca="1" si="335"/>
        <v>83247.368461076272</v>
      </c>
    </row>
    <row r="989" spans="2:37" x14ac:dyDescent="0.2">
      <c r="B989">
        <f ca="1">Inputs!B12+(Inputs!D12-Inputs!B12)*BETAINV(RAND(),Model!H6,Model!I6)</f>
        <v>4.0107241499439992</v>
      </c>
      <c r="C989">
        <f ca="1">Inputs!E12+(Inputs!G12-Inputs!E12)*BETAINV(RAND(),Model!J6,Model!K6)</f>
        <v>0.29089062647610336</v>
      </c>
      <c r="D989">
        <f ca="1">(Inputs!H12+(Inputs!J12-Inputs!H12)*BETAINV(RAND(),Model!L6,Model!M6))*Inputs!$C$6</f>
        <v>30886.335172953732</v>
      </c>
      <c r="E989">
        <f t="shared" ca="1" si="315"/>
        <v>1.166682060600047</v>
      </c>
      <c r="F989">
        <f t="shared" ca="1" si="316"/>
        <v>0.85693480812591782</v>
      </c>
      <c r="G989">
        <f t="shared" ca="1" si="317"/>
        <v>2</v>
      </c>
      <c r="H989" s="47">
        <f t="shared" ca="1" si="318"/>
        <v>61772.670345907463</v>
      </c>
      <c r="I989">
        <f ca="1">Inputs!B13+(Inputs!D13-Inputs!B13)*BETAINV(RAND(),Model!H7,Model!I7)</f>
        <v>1.4421732379996355</v>
      </c>
      <c r="J989">
        <f ca="1">Inputs!E13+(Inputs!G13-Inputs!E13)*BETAINV(RAND(),Model!J7,Model!K7)</f>
        <v>0.21041918118013017</v>
      </c>
      <c r="K989">
        <f ca="1">(Inputs!H13+(Inputs!J13-Inputs!H13)*BETAINV(RAND(),Model!L7,Model!M7))*Inputs!$C$6</f>
        <v>17952.956828458922</v>
      </c>
      <c r="L989">
        <f t="shared" ca="1" si="319"/>
        <v>0.3034609118597803</v>
      </c>
      <c r="M989">
        <f t="shared" ca="1" si="320"/>
        <v>0.57166050766022247</v>
      </c>
      <c r="N989">
        <f t="shared" ca="1" si="321"/>
        <v>0</v>
      </c>
      <c r="O989" s="47">
        <f t="shared" ca="1" si="322"/>
        <v>0</v>
      </c>
      <c r="P989">
        <f ca="1">Inputs!B14+(Inputs!D14-Inputs!B14)*BETAINV(RAND(),Model!H8,Model!I8)</f>
        <v>0.38394628389976071</v>
      </c>
      <c r="Q989">
        <f ca="1">Inputs!E14+(Inputs!G14-Inputs!E14)*BETAINV(RAND(),Model!J8,Model!K8)</f>
        <v>0.71299936399238861</v>
      </c>
      <c r="R989">
        <f ca="1">(Inputs!H14+(Inputs!J14-Inputs!H14)*BETAINV(RAND(),Model!L8,Model!M8))*Inputs!$C$6</f>
        <v>246883.84601643492</v>
      </c>
      <c r="S989">
        <f t="shared" ca="1" si="323"/>
        <v>0.27375345622777048</v>
      </c>
      <c r="T989">
        <f t="shared" ca="1" si="324"/>
        <v>0.94373591477728425</v>
      </c>
      <c r="U989">
        <f t="shared" ca="1" si="325"/>
        <v>1</v>
      </c>
      <c r="V989" s="47">
        <f t="shared" ca="1" si="326"/>
        <v>246883.84601643492</v>
      </c>
      <c r="W989">
        <f ca="1">Inputs!B15+(Inputs!D15-Inputs!B15)*BETAINV(RAND(),Model!H9,Model!I9)</f>
        <v>0.81040568406796809</v>
      </c>
      <c r="X989">
        <f ca="1">Inputs!E15+(Inputs!G15-Inputs!E15)*BETAINV(RAND(),Model!J9,Model!K9)</f>
        <v>0.42264184315380504</v>
      </c>
      <c r="Y989">
        <f ca="1">(Inputs!H15+(Inputs!J15-Inputs!H15)*BETAINV(RAND(),Model!L9,Model!M9))*Inputs!$C$6</f>
        <v>24077.013852975921</v>
      </c>
      <c r="Z989">
        <f t="shared" ca="1" si="327"/>
        <v>0.34251135201680627</v>
      </c>
      <c r="AA989">
        <f t="shared" ca="1" si="328"/>
        <v>0.82578026857811937</v>
      </c>
      <c r="AB989">
        <f t="shared" ca="1" si="329"/>
        <v>1</v>
      </c>
      <c r="AC989" s="47">
        <f t="shared" ca="1" si="330"/>
        <v>24077.013852975921</v>
      </c>
      <c r="AD989">
        <f ca="1">Inputs!B16+(Inputs!D16-Inputs!B16)*BETAINV(RAND(),Model!H10,Model!I10)</f>
        <v>0.41166572513301491</v>
      </c>
      <c r="AE989">
        <f ca="1">Inputs!E16+(Inputs!G16-Inputs!E16)*BETAINV(RAND(),Model!J10,Model!K10)</f>
        <v>0.62403867938650326</v>
      </c>
      <c r="AF989">
        <f ca="1">(Inputs!H16+(Inputs!J16-Inputs!H16)*BETAINV(RAND(),Model!L10,Model!M10))*Inputs!$C$6</f>
        <v>122251.90593254274</v>
      </c>
      <c r="AG989">
        <f t="shared" ca="1" si="331"/>
        <v>0.25689533546069387</v>
      </c>
      <c r="AH989">
        <f t="shared" ca="1" si="332"/>
        <v>0.16338364001799721</v>
      </c>
      <c r="AI989">
        <f t="shared" ca="1" si="333"/>
        <v>0</v>
      </c>
      <c r="AJ989" s="47">
        <f t="shared" ca="1" si="334"/>
        <v>0</v>
      </c>
      <c r="AK989">
        <f t="shared" ca="1" si="335"/>
        <v>332733.53021531831</v>
      </c>
    </row>
    <row r="990" spans="2:37" x14ac:dyDescent="0.2">
      <c r="B990">
        <f ca="1">Inputs!B12+(Inputs!D12-Inputs!B12)*BETAINV(RAND(),Model!H6,Model!I6)</f>
        <v>5.323148516196321</v>
      </c>
      <c r="C990">
        <f ca="1">Inputs!E12+(Inputs!G12-Inputs!E12)*BETAINV(RAND(),Model!J6,Model!K6)</f>
        <v>0.16875453664662796</v>
      </c>
      <c r="D990">
        <f ca="1">(Inputs!H12+(Inputs!J12-Inputs!H12)*BETAINV(RAND(),Model!L6,Model!M6))*Inputs!$C$6</f>
        <v>34956.088355480555</v>
      </c>
      <c r="E990">
        <f t="shared" ca="1" si="315"/>
        <v>0.89830546135189526</v>
      </c>
      <c r="F990">
        <f t="shared" ca="1" si="316"/>
        <v>0.44284532357769502</v>
      </c>
      <c r="G990">
        <f t="shared" ca="1" si="317"/>
        <v>1</v>
      </c>
      <c r="H990" s="47">
        <f t="shared" ca="1" si="318"/>
        <v>34956.088355480555</v>
      </c>
      <c r="I990">
        <f ca="1">Inputs!B13+(Inputs!D13-Inputs!B13)*BETAINV(RAND(),Model!H7,Model!I7)</f>
        <v>1.7104424354391867</v>
      </c>
      <c r="J990">
        <f ca="1">Inputs!E13+(Inputs!G13-Inputs!E13)*BETAINV(RAND(),Model!J7,Model!K7)</f>
        <v>0.20757193434350438</v>
      </c>
      <c r="K990">
        <f ca="1">(Inputs!H13+(Inputs!J13-Inputs!H13)*BETAINV(RAND(),Model!L7,Model!M7))*Inputs!$C$6</f>
        <v>43635.492081280347</v>
      </c>
      <c r="L990">
        <f t="shared" ca="1" si="319"/>
        <v>0.3550398449073266</v>
      </c>
      <c r="M990">
        <f t="shared" ca="1" si="320"/>
        <v>0.64879137051422631</v>
      </c>
      <c r="N990">
        <f t="shared" ca="1" si="321"/>
        <v>0</v>
      </c>
      <c r="O990" s="47">
        <f t="shared" ca="1" si="322"/>
        <v>0</v>
      </c>
      <c r="P990">
        <f ca="1">Inputs!B14+(Inputs!D14-Inputs!B14)*BETAINV(RAND(),Model!H8,Model!I8)</f>
        <v>0.40144831045843987</v>
      </c>
      <c r="Q990">
        <f ca="1">Inputs!E14+(Inputs!G14-Inputs!E14)*BETAINV(RAND(),Model!J8,Model!K8)</f>
        <v>0.46364637217146881</v>
      </c>
      <c r="R990">
        <f ca="1">(Inputs!H14+(Inputs!J14-Inputs!H14)*BETAINV(RAND(),Model!L8,Model!M8))*Inputs!$C$6</f>
        <v>576333.63182469725</v>
      </c>
      <c r="S990">
        <f t="shared" ca="1" si="323"/>
        <v>0.18613005275842118</v>
      </c>
      <c r="T990">
        <f t="shared" ca="1" si="324"/>
        <v>0.17824796907285301</v>
      </c>
      <c r="U990">
        <f t="shared" ca="1" si="325"/>
        <v>0</v>
      </c>
      <c r="V990" s="47">
        <f t="shared" ca="1" si="326"/>
        <v>0</v>
      </c>
      <c r="W990">
        <f ca="1">Inputs!B15+(Inputs!D15-Inputs!B15)*BETAINV(RAND(),Model!H9,Model!I9)</f>
        <v>1.4584636941627973</v>
      </c>
      <c r="X990">
        <f ca="1">Inputs!E15+(Inputs!G15-Inputs!E15)*BETAINV(RAND(),Model!J9,Model!K9)</f>
        <v>0.5994468272519109</v>
      </c>
      <c r="Y990">
        <f ca="1">(Inputs!H15+(Inputs!J15-Inputs!H15)*BETAINV(RAND(),Model!L9,Model!M9))*Inputs!$C$6</f>
        <v>31913.469315038434</v>
      </c>
      <c r="Z990">
        <f t="shared" ca="1" si="327"/>
        <v>0.87427143412799013</v>
      </c>
      <c r="AA990">
        <f t="shared" ca="1" si="328"/>
        <v>0.63189628062895176</v>
      </c>
      <c r="AB990">
        <f t="shared" ca="1" si="329"/>
        <v>1</v>
      </c>
      <c r="AC990" s="47">
        <f t="shared" ca="1" si="330"/>
        <v>31913.469315038434</v>
      </c>
      <c r="AD990">
        <f ca="1">Inputs!B16+(Inputs!D16-Inputs!B16)*BETAINV(RAND(),Model!H10,Model!I10)</f>
        <v>0.5401484531029529</v>
      </c>
      <c r="AE990">
        <f ca="1">Inputs!E16+(Inputs!G16-Inputs!E16)*BETAINV(RAND(),Model!J10,Model!K10)</f>
        <v>0.6040854616703023</v>
      </c>
      <c r="AF990">
        <f ca="1">(Inputs!H16+(Inputs!J16-Inputs!H16)*BETAINV(RAND(),Model!L10,Model!M10))*Inputs!$C$6</f>
        <v>116783.90810172111</v>
      </c>
      <c r="AG990">
        <f t="shared" ca="1" si="331"/>
        <v>0.32629582766319692</v>
      </c>
      <c r="AH990">
        <f t="shared" ca="1" si="332"/>
        <v>0.34754927290588089</v>
      </c>
      <c r="AI990">
        <f t="shared" ca="1" si="333"/>
        <v>0</v>
      </c>
      <c r="AJ990" s="47">
        <f t="shared" ca="1" si="334"/>
        <v>0</v>
      </c>
      <c r="AK990">
        <f t="shared" ca="1" si="335"/>
        <v>66869.557670518989</v>
      </c>
    </row>
    <row r="991" spans="2:37" x14ac:dyDescent="0.2">
      <c r="B991">
        <f ca="1">Inputs!B12+(Inputs!D12-Inputs!B12)*BETAINV(RAND(),Model!H6,Model!I6)</f>
        <v>4.5559982812809778</v>
      </c>
      <c r="C991">
        <f ca="1">Inputs!E12+(Inputs!G12-Inputs!E12)*BETAINV(RAND(),Model!J6,Model!K6)</f>
        <v>0.40085325235436142</v>
      </c>
      <c r="D991">
        <f ca="1">(Inputs!H12+(Inputs!J12-Inputs!H12)*BETAINV(RAND(),Model!L6,Model!M6))*Inputs!$C$6</f>
        <v>36524.945078013639</v>
      </c>
      <c r="E991">
        <f t="shared" ca="1" si="315"/>
        <v>1.8262867287723608</v>
      </c>
      <c r="F991">
        <f t="shared" ca="1" si="316"/>
        <v>0.35334158428073204</v>
      </c>
      <c r="G991">
        <f t="shared" ca="1" si="317"/>
        <v>1</v>
      </c>
      <c r="H991" s="47">
        <f t="shared" ca="1" si="318"/>
        <v>36524.945078013639</v>
      </c>
      <c r="I991">
        <f ca="1">Inputs!B13+(Inputs!D13-Inputs!B13)*BETAINV(RAND(),Model!H7,Model!I7)</f>
        <v>0.93443075525216424</v>
      </c>
      <c r="J991">
        <f ca="1">Inputs!E13+(Inputs!G13-Inputs!E13)*BETAINV(RAND(),Model!J7,Model!K7)</f>
        <v>0.22645181891675784</v>
      </c>
      <c r="K991">
        <f ca="1">(Inputs!H13+(Inputs!J13-Inputs!H13)*BETAINV(RAND(),Model!L7,Model!M7))*Inputs!$C$6</f>
        <v>15616.002089324078</v>
      </c>
      <c r="L991">
        <f t="shared" ca="1" si="319"/>
        <v>0.21160354417861235</v>
      </c>
      <c r="M991">
        <f t="shared" ca="1" si="320"/>
        <v>0.69475153997594663</v>
      </c>
      <c r="N991">
        <f t="shared" ca="1" si="321"/>
        <v>0</v>
      </c>
      <c r="O991" s="47">
        <f t="shared" ca="1" si="322"/>
        <v>0</v>
      </c>
      <c r="P991">
        <f ca="1">Inputs!B14+(Inputs!D14-Inputs!B14)*BETAINV(RAND(),Model!H8,Model!I8)</f>
        <v>0.2463099633608884</v>
      </c>
      <c r="Q991">
        <f ca="1">Inputs!E14+(Inputs!G14-Inputs!E14)*BETAINV(RAND(),Model!J8,Model!K8)</f>
        <v>0.52760820490714133</v>
      </c>
      <c r="R991">
        <f ca="1">(Inputs!H14+(Inputs!J14-Inputs!H14)*BETAINV(RAND(),Model!L8,Model!M8))*Inputs!$C$6</f>
        <v>207005.32738004561</v>
      </c>
      <c r="S991">
        <f t="shared" ca="1" si="323"/>
        <v>0.12995515761958207</v>
      </c>
      <c r="T991">
        <f t="shared" ca="1" si="324"/>
        <v>0.15200749039339689</v>
      </c>
      <c r="U991">
        <f t="shared" ca="1" si="325"/>
        <v>0</v>
      </c>
      <c r="V991" s="47">
        <f t="shared" ca="1" si="326"/>
        <v>0</v>
      </c>
      <c r="W991">
        <f ca="1">Inputs!B15+(Inputs!D15-Inputs!B15)*BETAINV(RAND(),Model!H9,Model!I9)</f>
        <v>0.96434629813464601</v>
      </c>
      <c r="X991">
        <f ca="1">Inputs!E15+(Inputs!G15-Inputs!E15)*BETAINV(RAND(),Model!J9,Model!K9)</f>
        <v>0.49763021904117444</v>
      </c>
      <c r="Y991">
        <f ca="1">(Inputs!H15+(Inputs!J15-Inputs!H15)*BETAINV(RAND(),Model!L9,Model!M9))*Inputs!$C$6</f>
        <v>31458.348286205077</v>
      </c>
      <c r="Z991">
        <f t="shared" ca="1" si="327"/>
        <v>0.47988785957228958</v>
      </c>
      <c r="AA991">
        <f t="shared" ca="1" si="328"/>
        <v>0.4076778294257476</v>
      </c>
      <c r="AB991">
        <f t="shared" ca="1" si="329"/>
        <v>0</v>
      </c>
      <c r="AC991" s="47">
        <f t="shared" ca="1" si="330"/>
        <v>0</v>
      </c>
      <c r="AD991">
        <f ca="1">Inputs!B16+(Inputs!D16-Inputs!B16)*BETAINV(RAND(),Model!H10,Model!I10)</f>
        <v>0.45157969485246524</v>
      </c>
      <c r="AE991">
        <f ca="1">Inputs!E16+(Inputs!G16-Inputs!E16)*BETAINV(RAND(),Model!J10,Model!K10)</f>
        <v>0.71623309385778966</v>
      </c>
      <c r="AF991">
        <f ca="1">(Inputs!H16+(Inputs!J16-Inputs!H16)*BETAINV(RAND(),Model!L10,Model!M10))*Inputs!$C$6</f>
        <v>120814.41640205575</v>
      </c>
      <c r="AG991">
        <f t="shared" ca="1" si="331"/>
        <v>0.32343632196753774</v>
      </c>
      <c r="AH991">
        <f t="shared" ca="1" si="332"/>
        <v>0.7945566884567532</v>
      </c>
      <c r="AI991">
        <f t="shared" ca="1" si="333"/>
        <v>1</v>
      </c>
      <c r="AJ991" s="47">
        <f t="shared" ca="1" si="334"/>
        <v>120814.41640205575</v>
      </c>
      <c r="AK991">
        <f t="shared" ca="1" si="335"/>
        <v>157339.3614800694</v>
      </c>
    </row>
    <row r="992" spans="2:37" x14ac:dyDescent="0.2">
      <c r="B992">
        <f ca="1">Inputs!B12+(Inputs!D12-Inputs!B12)*BETAINV(RAND(),Model!H6,Model!I6)</f>
        <v>4.0528666553208819</v>
      </c>
      <c r="C992">
        <f ca="1">Inputs!E12+(Inputs!G12-Inputs!E12)*BETAINV(RAND(),Model!J6,Model!K6)</f>
        <v>0.37861667968836571</v>
      </c>
      <c r="D992">
        <f ca="1">(Inputs!H12+(Inputs!J12-Inputs!H12)*BETAINV(RAND(),Model!L6,Model!M6))*Inputs!$C$6</f>
        <v>13251.031083425365</v>
      </c>
      <c r="E992">
        <f t="shared" ca="1" si="315"/>
        <v>1.5344829162572844</v>
      </c>
      <c r="F992">
        <f t="shared" ca="1" si="316"/>
        <v>0.47703702643167467</v>
      </c>
      <c r="G992">
        <f t="shared" ca="1" si="317"/>
        <v>1</v>
      </c>
      <c r="H992" s="47">
        <f t="shared" ca="1" si="318"/>
        <v>13251.031083425365</v>
      </c>
      <c r="I992">
        <f ca="1">Inputs!B13+(Inputs!D13-Inputs!B13)*BETAINV(RAND(),Model!H7,Model!I7)</f>
        <v>1.4740472335022112</v>
      </c>
      <c r="J992">
        <f ca="1">Inputs!E13+(Inputs!G13-Inputs!E13)*BETAINV(RAND(),Model!J7,Model!K7)</f>
        <v>0.23133412981629245</v>
      </c>
      <c r="K992">
        <f ca="1">(Inputs!H13+(Inputs!J13-Inputs!H13)*BETAINV(RAND(),Model!L7,Model!M7))*Inputs!$C$6</f>
        <v>30699.898141893682</v>
      </c>
      <c r="L992">
        <f t="shared" ca="1" si="319"/>
        <v>0.34099743407034727</v>
      </c>
      <c r="M992">
        <f t="shared" ca="1" si="320"/>
        <v>0.34509385823335403</v>
      </c>
      <c r="N992">
        <f t="shared" ca="1" si="321"/>
        <v>0</v>
      </c>
      <c r="O992" s="47">
        <f t="shared" ca="1" si="322"/>
        <v>0</v>
      </c>
      <c r="P992">
        <f ca="1">Inputs!B14+(Inputs!D14-Inputs!B14)*BETAINV(RAND(),Model!H8,Model!I8)</f>
        <v>0.17879396918714793</v>
      </c>
      <c r="Q992">
        <f ca="1">Inputs!E14+(Inputs!G14-Inputs!E14)*BETAINV(RAND(),Model!J8,Model!K8)</f>
        <v>0.69449057909154188</v>
      </c>
      <c r="R992">
        <f ca="1">(Inputs!H14+(Inputs!J14-Inputs!H14)*BETAINV(RAND(),Model!L8,Model!M8))*Inputs!$C$6</f>
        <v>496495.2267125037</v>
      </c>
      <c r="S992">
        <f t="shared" ca="1" si="323"/>
        <v>0.12417072719885766</v>
      </c>
      <c r="T992">
        <f t="shared" ca="1" si="324"/>
        <v>0.97467575503089665</v>
      </c>
      <c r="U992">
        <f t="shared" ca="1" si="325"/>
        <v>1</v>
      </c>
      <c r="V992" s="47">
        <f t="shared" ca="1" si="326"/>
        <v>496495.2267125037</v>
      </c>
      <c r="W992">
        <f ca="1">Inputs!B15+(Inputs!D15-Inputs!B15)*BETAINV(RAND(),Model!H9,Model!I9)</f>
        <v>0.44839414421665635</v>
      </c>
      <c r="X992">
        <f ca="1">Inputs!E15+(Inputs!G15-Inputs!E15)*BETAINV(RAND(),Model!J9,Model!K9)</f>
        <v>0.41748559577814925</v>
      </c>
      <c r="Y992">
        <f ca="1">(Inputs!H15+(Inputs!J15-Inputs!H15)*BETAINV(RAND(),Model!L9,Model!M9))*Inputs!$C$6</f>
        <v>13289.476733138796</v>
      </c>
      <c r="Z992">
        <f t="shared" ca="1" si="327"/>
        <v>0.18719809644172417</v>
      </c>
      <c r="AA992">
        <f t="shared" ca="1" si="328"/>
        <v>0.24385017431679856</v>
      </c>
      <c r="AB992">
        <f t="shared" ca="1" si="329"/>
        <v>0</v>
      </c>
      <c r="AC992" s="47">
        <f t="shared" ca="1" si="330"/>
        <v>0</v>
      </c>
      <c r="AD992">
        <f ca="1">Inputs!B16+(Inputs!D16-Inputs!B16)*BETAINV(RAND(),Model!H10,Model!I10)</f>
        <v>0.75155645361021794</v>
      </c>
      <c r="AE992">
        <f ca="1">Inputs!E16+(Inputs!G16-Inputs!E16)*BETAINV(RAND(),Model!J10,Model!K10)</f>
        <v>0.78557145200194434</v>
      </c>
      <c r="AF992">
        <f ca="1">(Inputs!H16+(Inputs!J16-Inputs!H16)*BETAINV(RAND(),Model!L10,Model!M10))*Inputs!$C$6</f>
        <v>56540.658054491047</v>
      </c>
      <c r="AG992">
        <f t="shared" ca="1" si="331"/>
        <v>0.5904012945240108</v>
      </c>
      <c r="AH992">
        <f t="shared" ca="1" si="332"/>
        <v>0.98114248794455028</v>
      </c>
      <c r="AI992">
        <f t="shared" ca="1" si="333"/>
        <v>3</v>
      </c>
      <c r="AJ992" s="47">
        <f t="shared" ca="1" si="334"/>
        <v>169621.97416347315</v>
      </c>
      <c r="AK992">
        <f t="shared" ca="1" si="335"/>
        <v>679368.23195940221</v>
      </c>
    </row>
    <row r="993" spans="2:37" x14ac:dyDescent="0.2">
      <c r="B993">
        <f ca="1">Inputs!B12+(Inputs!D12-Inputs!B12)*BETAINV(RAND(),Model!H6,Model!I6)</f>
        <v>2.6075901528157566</v>
      </c>
      <c r="C993">
        <f ca="1">Inputs!E12+(Inputs!G12-Inputs!E12)*BETAINV(RAND(),Model!J6,Model!K6)</f>
        <v>0.49116006317934857</v>
      </c>
      <c r="D993">
        <f ca="1">(Inputs!H12+(Inputs!J12-Inputs!H12)*BETAINV(RAND(),Model!L6,Model!M6))*Inputs!$C$6</f>
        <v>15525.17499407286</v>
      </c>
      <c r="E993">
        <f t="shared" ca="1" si="315"/>
        <v>1.2807441442028342</v>
      </c>
      <c r="F993">
        <f t="shared" ca="1" si="316"/>
        <v>0.64303427607299923</v>
      </c>
      <c r="G993">
        <f t="shared" ca="1" si="317"/>
        <v>2</v>
      </c>
      <c r="H993" s="47">
        <f t="shared" ca="1" si="318"/>
        <v>31050.349988145721</v>
      </c>
      <c r="I993">
        <f ca="1">Inputs!B13+(Inputs!D13-Inputs!B13)*BETAINV(RAND(),Model!H7,Model!I7)</f>
        <v>3.7995386243104949</v>
      </c>
      <c r="J993">
        <f ca="1">Inputs!E13+(Inputs!G13-Inputs!E13)*BETAINV(RAND(),Model!J7,Model!K7)</f>
        <v>0.33097482726293459</v>
      </c>
      <c r="K993">
        <f ca="1">(Inputs!H13+(Inputs!J13-Inputs!H13)*BETAINV(RAND(),Model!L7,Model!M7))*Inputs!$C$6</f>
        <v>28780.818119204876</v>
      </c>
      <c r="L993">
        <f t="shared" ca="1" si="319"/>
        <v>1.2575516398600142</v>
      </c>
      <c r="M993">
        <f t="shared" ca="1" si="320"/>
        <v>6.9332671970225856E-3</v>
      </c>
      <c r="N993">
        <f t="shared" ca="1" si="321"/>
        <v>0</v>
      </c>
      <c r="O993" s="47">
        <f t="shared" ca="1" si="322"/>
        <v>0</v>
      </c>
      <c r="P993">
        <f ca="1">Inputs!B14+(Inputs!D14-Inputs!B14)*BETAINV(RAND(),Model!H8,Model!I8)</f>
        <v>0.13384616979926295</v>
      </c>
      <c r="Q993">
        <f ca="1">Inputs!E14+(Inputs!G14-Inputs!E14)*BETAINV(RAND(),Model!J8,Model!K8)</f>
        <v>0.55030408642009776</v>
      </c>
      <c r="R993">
        <f ca="1">(Inputs!H14+(Inputs!J14-Inputs!H14)*BETAINV(RAND(),Model!L8,Model!M8))*Inputs!$C$6</f>
        <v>441121.29403456225</v>
      </c>
      <c r="S993">
        <f t="shared" ca="1" si="323"/>
        <v>7.3656094192212682E-2</v>
      </c>
      <c r="T993">
        <f t="shared" ca="1" si="324"/>
        <v>6.0696041311222859E-2</v>
      </c>
      <c r="U993">
        <f t="shared" ca="1" si="325"/>
        <v>0</v>
      </c>
      <c r="V993" s="47">
        <f t="shared" ca="1" si="326"/>
        <v>0</v>
      </c>
      <c r="W993">
        <f ca="1">Inputs!B15+(Inputs!D15-Inputs!B15)*BETAINV(RAND(),Model!H9,Model!I9)</f>
        <v>0.42842511181577542</v>
      </c>
      <c r="X993">
        <f ca="1">Inputs!E15+(Inputs!G15-Inputs!E15)*BETAINV(RAND(),Model!J9,Model!K9)</f>
        <v>0.53226307291411301</v>
      </c>
      <c r="Y993">
        <f ca="1">(Inputs!H15+(Inputs!J15-Inputs!H15)*BETAINV(RAND(),Model!L9,Model!M9))*Inputs!$C$6</f>
        <v>39530.776475231331</v>
      </c>
      <c r="Z993">
        <f t="shared" ca="1" si="327"/>
        <v>0.22803486652863708</v>
      </c>
      <c r="AA993">
        <f t="shared" ca="1" si="328"/>
        <v>0.54997971404360202</v>
      </c>
      <c r="AB993">
        <f t="shared" ca="1" si="329"/>
        <v>0</v>
      </c>
      <c r="AC993" s="47">
        <f t="shared" ca="1" si="330"/>
        <v>0</v>
      </c>
      <c r="AD993">
        <f ca="1">Inputs!B16+(Inputs!D16-Inputs!B16)*BETAINV(RAND(),Model!H10,Model!I10)</f>
        <v>0.89840849563993963</v>
      </c>
      <c r="AE993">
        <f ca="1">Inputs!E16+(Inputs!G16-Inputs!E16)*BETAINV(RAND(),Model!J10,Model!K10)</f>
        <v>0.6279063933399246</v>
      </c>
      <c r="AF993">
        <f ca="1">(Inputs!H16+(Inputs!J16-Inputs!H16)*BETAINV(RAND(),Model!L10,Model!M10))*Inputs!$C$6</f>
        <v>107841.11034250203</v>
      </c>
      <c r="AG993">
        <f t="shared" ca="1" si="331"/>
        <v>0.56411643824322188</v>
      </c>
      <c r="AH993">
        <f t="shared" ca="1" si="332"/>
        <v>0.50392258030960724</v>
      </c>
      <c r="AI993">
        <f t="shared" ca="1" si="333"/>
        <v>0</v>
      </c>
      <c r="AJ993" s="47">
        <f t="shared" ca="1" si="334"/>
        <v>0</v>
      </c>
      <c r="AK993">
        <f t="shared" ca="1" si="335"/>
        <v>31050.349988145721</v>
      </c>
    </row>
    <row r="994" spans="2:37" x14ac:dyDescent="0.2">
      <c r="B994">
        <f ca="1">Inputs!B12+(Inputs!D12-Inputs!B12)*BETAINV(RAND(),Model!H6,Model!I6)</f>
        <v>1.166446199516513</v>
      </c>
      <c r="C994">
        <f ca="1">Inputs!E12+(Inputs!G12-Inputs!E12)*BETAINV(RAND(),Model!J6,Model!K6)</f>
        <v>0.39794918837134086</v>
      </c>
      <c r="D994">
        <f ca="1">(Inputs!H12+(Inputs!J12-Inputs!H12)*BETAINV(RAND(),Model!L6,Model!M6))*Inputs!$C$6</f>
        <v>21457.706297006611</v>
      </c>
      <c r="E994">
        <f t="shared" ca="1" si="315"/>
        <v>0.46418631837643143</v>
      </c>
      <c r="F994">
        <f t="shared" ca="1" si="316"/>
        <v>0.69363922261870703</v>
      </c>
      <c r="G994">
        <f t="shared" ca="1" si="317"/>
        <v>1</v>
      </c>
      <c r="H994" s="47">
        <f t="shared" ca="1" si="318"/>
        <v>21457.706297006611</v>
      </c>
      <c r="I994">
        <f ca="1">Inputs!B13+(Inputs!D13-Inputs!B13)*BETAINV(RAND(),Model!H7,Model!I7)</f>
        <v>1.2483952282521644</v>
      </c>
      <c r="J994">
        <f ca="1">Inputs!E13+(Inputs!G13-Inputs!E13)*BETAINV(RAND(),Model!J7,Model!K7)</f>
        <v>0.14980665890835457</v>
      </c>
      <c r="K994">
        <f ca="1">(Inputs!H13+(Inputs!J13-Inputs!H13)*BETAINV(RAND(),Model!L7,Model!M7))*Inputs!$C$6</f>
        <v>32908.413409590175</v>
      </c>
      <c r="L994">
        <f t="shared" ca="1" si="319"/>
        <v>0.18701791814158944</v>
      </c>
      <c r="M994">
        <f t="shared" ca="1" si="320"/>
        <v>0.69627808237343158</v>
      </c>
      <c r="N994">
        <f t="shared" ca="1" si="321"/>
        <v>0</v>
      </c>
      <c r="O994" s="47">
        <f t="shared" ca="1" si="322"/>
        <v>0</v>
      </c>
      <c r="P994">
        <f ca="1">Inputs!B14+(Inputs!D14-Inputs!B14)*BETAINV(RAND(),Model!H8,Model!I8)</f>
        <v>0.26026552804688013</v>
      </c>
      <c r="Q994">
        <f ca="1">Inputs!E14+(Inputs!G14-Inputs!E14)*BETAINV(RAND(),Model!J8,Model!K8)</f>
        <v>0.53038394694430502</v>
      </c>
      <c r="R994">
        <f ca="1">(Inputs!H14+(Inputs!J14-Inputs!H14)*BETAINV(RAND(),Model!L8,Model!M8))*Inputs!$C$6</f>
        <v>413912.10023842193</v>
      </c>
      <c r="S994">
        <f t="shared" ca="1" si="323"/>
        <v>0.138040658019048</v>
      </c>
      <c r="T994">
        <f t="shared" ca="1" si="324"/>
        <v>0.72236466097593666</v>
      </c>
      <c r="U994">
        <f t="shared" ca="1" si="325"/>
        <v>0</v>
      </c>
      <c r="V994" s="47">
        <f t="shared" ca="1" si="326"/>
        <v>0</v>
      </c>
      <c r="W994">
        <f ca="1">Inputs!B15+(Inputs!D15-Inputs!B15)*BETAINV(RAND(),Model!H9,Model!I9)</f>
        <v>1.7392379483259535</v>
      </c>
      <c r="X994">
        <f ca="1">Inputs!E15+(Inputs!G15-Inputs!E15)*BETAINV(RAND(),Model!J9,Model!K9)</f>
        <v>0.39574754513840898</v>
      </c>
      <c r="Y994">
        <f ca="1">(Inputs!H15+(Inputs!J15-Inputs!H15)*BETAINV(RAND(),Model!L9,Model!M9))*Inputs!$C$6</f>
        <v>33099.210930214533</v>
      </c>
      <c r="Z994">
        <f t="shared" ca="1" si="327"/>
        <v>0.68829914846155915</v>
      </c>
      <c r="AA994">
        <f t="shared" ca="1" si="328"/>
        <v>0.69461962620853734</v>
      </c>
      <c r="AB994">
        <f t="shared" ca="1" si="329"/>
        <v>1</v>
      </c>
      <c r="AC994" s="47">
        <f t="shared" ca="1" si="330"/>
        <v>33099.210930214533</v>
      </c>
      <c r="AD994">
        <f ca="1">Inputs!B16+(Inputs!D16-Inputs!B16)*BETAINV(RAND(),Model!H10,Model!I10)</f>
        <v>0.87724076107050353</v>
      </c>
      <c r="AE994">
        <f ca="1">Inputs!E16+(Inputs!G16-Inputs!E16)*BETAINV(RAND(),Model!J10,Model!K10)</f>
        <v>0.48972710298589173</v>
      </c>
      <c r="AF994">
        <f ca="1">(Inputs!H16+(Inputs!J16-Inputs!H16)*BETAINV(RAND(),Model!L10,Model!M10))*Inputs!$C$6</f>
        <v>79599.577681247072</v>
      </c>
      <c r="AG994">
        <f t="shared" ca="1" si="331"/>
        <v>0.42960857654019652</v>
      </c>
      <c r="AH994">
        <f t="shared" ca="1" si="332"/>
        <v>0.71157004350271846</v>
      </c>
      <c r="AI994">
        <f t="shared" ca="1" si="333"/>
        <v>1</v>
      </c>
      <c r="AJ994" s="47">
        <f t="shared" ca="1" si="334"/>
        <v>79599.577681247072</v>
      </c>
      <c r="AK994">
        <f t="shared" ca="1" si="335"/>
        <v>134156.49490846822</v>
      </c>
    </row>
    <row r="995" spans="2:37" x14ac:dyDescent="0.2">
      <c r="B995">
        <f ca="1">Inputs!B12+(Inputs!D12-Inputs!B12)*BETAINV(RAND(),Model!H6,Model!I6)</f>
        <v>5.1652939872751942</v>
      </c>
      <c r="C995">
        <f ca="1">Inputs!E12+(Inputs!G12-Inputs!E12)*BETAINV(RAND(),Model!J6,Model!K6)</f>
        <v>0.34266365936808363</v>
      </c>
      <c r="D995">
        <f ca="1">(Inputs!H12+(Inputs!J12-Inputs!H12)*BETAINV(RAND(),Model!L6,Model!M6))*Inputs!$C$6</f>
        <v>10129.298834442789</v>
      </c>
      <c r="E995">
        <f t="shared" ca="1" si="315"/>
        <v>1.7699585393916777</v>
      </c>
      <c r="F995">
        <f t="shared" ca="1" si="316"/>
        <v>0.85898391498427873</v>
      </c>
      <c r="G995">
        <f t="shared" ca="1" si="317"/>
        <v>3</v>
      </c>
      <c r="H995" s="47">
        <f t="shared" ca="1" si="318"/>
        <v>30387.896503328368</v>
      </c>
      <c r="I995">
        <f ca="1">Inputs!B13+(Inputs!D13-Inputs!B13)*BETAINV(RAND(),Model!H7,Model!I7)</f>
        <v>0.8566433921480322</v>
      </c>
      <c r="J995">
        <f ca="1">Inputs!E13+(Inputs!G13-Inputs!E13)*BETAINV(RAND(),Model!J7,Model!K7)</f>
        <v>0.32159184438385324</v>
      </c>
      <c r="K995">
        <f ca="1">(Inputs!H13+(Inputs!J13-Inputs!H13)*BETAINV(RAND(),Model!L7,Model!M7))*Inputs!$C$6</f>
        <v>24249.389945603376</v>
      </c>
      <c r="L995">
        <f t="shared" ca="1" si="319"/>
        <v>0.27548952846012614</v>
      </c>
      <c r="M995">
        <f t="shared" ca="1" si="320"/>
        <v>0.47636125034872945</v>
      </c>
      <c r="N995">
        <f t="shared" ca="1" si="321"/>
        <v>0</v>
      </c>
      <c r="O995" s="47">
        <f t="shared" ca="1" si="322"/>
        <v>0</v>
      </c>
      <c r="P995">
        <f ca="1">Inputs!B14+(Inputs!D14-Inputs!B14)*BETAINV(RAND(),Model!H8,Model!I8)</f>
        <v>0.37252506753284909</v>
      </c>
      <c r="Q995">
        <f ca="1">Inputs!E14+(Inputs!G14-Inputs!E14)*BETAINV(RAND(),Model!J8,Model!K8)</f>
        <v>0.74626519447090822</v>
      </c>
      <c r="R995">
        <f ca="1">(Inputs!H14+(Inputs!J14-Inputs!H14)*BETAINV(RAND(),Model!L8,Model!M8))*Inputs!$C$6</f>
        <v>472829.77094676689</v>
      </c>
      <c r="S995">
        <f t="shared" ca="1" si="323"/>
        <v>0.27800249196768984</v>
      </c>
      <c r="T995">
        <f t="shared" ca="1" si="324"/>
        <v>0.34224828444549016</v>
      </c>
      <c r="U995">
        <f t="shared" ca="1" si="325"/>
        <v>0</v>
      </c>
      <c r="V995" s="47">
        <f t="shared" ca="1" si="326"/>
        <v>0</v>
      </c>
      <c r="W995">
        <f ca="1">Inputs!B15+(Inputs!D15-Inputs!B15)*BETAINV(RAND(),Model!H9,Model!I9)</f>
        <v>1.4534121230561181</v>
      </c>
      <c r="X995">
        <f ca="1">Inputs!E15+(Inputs!G15-Inputs!E15)*BETAINV(RAND(),Model!J9,Model!K9)</f>
        <v>0.45100211153774206</v>
      </c>
      <c r="Y995">
        <f ca="1">(Inputs!H15+(Inputs!J15-Inputs!H15)*BETAINV(RAND(),Model!L9,Model!M9))*Inputs!$C$6</f>
        <v>46986.277166371132</v>
      </c>
      <c r="Z995">
        <f t="shared" ca="1" si="327"/>
        <v>0.65549193643286185</v>
      </c>
      <c r="AA995">
        <f t="shared" ca="1" si="328"/>
        <v>0.51379679907555409</v>
      </c>
      <c r="AB995">
        <f t="shared" ca="1" si="329"/>
        <v>0</v>
      </c>
      <c r="AC995" s="47">
        <f t="shared" ca="1" si="330"/>
        <v>0</v>
      </c>
      <c r="AD995">
        <f ca="1">Inputs!B16+(Inputs!D16-Inputs!B16)*BETAINV(RAND(),Model!H10,Model!I10)</f>
        <v>0.52405553592764198</v>
      </c>
      <c r="AE995">
        <f ca="1">Inputs!E16+(Inputs!G16-Inputs!E16)*BETAINV(RAND(),Model!J10,Model!K10)</f>
        <v>0.50569306990363538</v>
      </c>
      <c r="AF995">
        <f ca="1">(Inputs!H16+(Inputs!J16-Inputs!H16)*BETAINV(RAND(),Model!L10,Model!M10))*Inputs!$C$6</f>
        <v>108995.33142973627</v>
      </c>
      <c r="AG995">
        <f t="shared" ca="1" si="331"/>
        <v>0.26501125276324417</v>
      </c>
      <c r="AH995">
        <f t="shared" ca="1" si="332"/>
        <v>0.32117240062884123</v>
      </c>
      <c r="AI995">
        <f t="shared" ca="1" si="333"/>
        <v>0</v>
      </c>
      <c r="AJ995" s="47">
        <f t="shared" ca="1" si="334"/>
        <v>0</v>
      </c>
      <c r="AK995">
        <f t="shared" ca="1" si="335"/>
        <v>30387.896503328368</v>
      </c>
    </row>
    <row r="996" spans="2:37" x14ac:dyDescent="0.2">
      <c r="B996">
        <f ca="1">Inputs!B12+(Inputs!D12-Inputs!B12)*BETAINV(RAND(),Model!H6,Model!I6)</f>
        <v>2.632996536440432</v>
      </c>
      <c r="C996">
        <f ca="1">Inputs!E12+(Inputs!G12-Inputs!E12)*BETAINV(RAND(),Model!J6,Model!K6)</f>
        <v>0.19009838596233752</v>
      </c>
      <c r="D996">
        <f ca="1">(Inputs!H12+(Inputs!J12-Inputs!H12)*BETAINV(RAND(),Model!L6,Model!M6))*Inputs!$C$6</f>
        <v>25027.195858526306</v>
      </c>
      <c r="E996">
        <f t="shared" ca="1" si="315"/>
        <v>0.50052839182175113</v>
      </c>
      <c r="F996">
        <f t="shared" ca="1" si="316"/>
        <v>0.12793560311128382</v>
      </c>
      <c r="G996">
        <f t="shared" ca="1" si="317"/>
        <v>0</v>
      </c>
      <c r="H996" s="47">
        <f t="shared" ca="1" si="318"/>
        <v>0</v>
      </c>
      <c r="I996">
        <f ca="1">Inputs!B13+(Inputs!D13-Inputs!B13)*BETAINV(RAND(),Model!H7,Model!I7)</f>
        <v>1.5682427977859887</v>
      </c>
      <c r="J996">
        <f ca="1">Inputs!E13+(Inputs!G13-Inputs!E13)*BETAINV(RAND(),Model!J7,Model!K7)</f>
        <v>0.35403316405040541</v>
      </c>
      <c r="K996">
        <f ca="1">(Inputs!H13+(Inputs!J13-Inputs!H13)*BETAINV(RAND(),Model!L7,Model!M7))*Inputs!$C$6</f>
        <v>37317.262215993098</v>
      </c>
      <c r="L996">
        <f t="shared" ca="1" si="319"/>
        <v>0.55520995969943376</v>
      </c>
      <c r="M996">
        <f t="shared" ca="1" si="320"/>
        <v>0.44172630851534556</v>
      </c>
      <c r="N996">
        <f t="shared" ca="1" si="321"/>
        <v>0</v>
      </c>
      <c r="O996" s="47">
        <f t="shared" ca="1" si="322"/>
        <v>0</v>
      </c>
      <c r="P996">
        <f ca="1">Inputs!B14+(Inputs!D14-Inputs!B14)*BETAINV(RAND(),Model!H8,Model!I8)</f>
        <v>0.12594166060267445</v>
      </c>
      <c r="Q996">
        <f ca="1">Inputs!E14+(Inputs!G14-Inputs!E14)*BETAINV(RAND(),Model!J8,Model!K8)</f>
        <v>0.5926264198522595</v>
      </c>
      <c r="R996">
        <f ca="1">(Inputs!H14+(Inputs!J14-Inputs!H14)*BETAINV(RAND(),Model!L8,Model!M8))*Inputs!$C$6</f>
        <v>455585.62957707251</v>
      </c>
      <c r="S996">
        <f t="shared" ca="1" si="323"/>
        <v>7.4636355433211315E-2</v>
      </c>
      <c r="T996">
        <f t="shared" ca="1" si="324"/>
        <v>0.26723261392412556</v>
      </c>
      <c r="U996">
        <f t="shared" ca="1" si="325"/>
        <v>0</v>
      </c>
      <c r="V996" s="47">
        <f t="shared" ca="1" si="326"/>
        <v>0</v>
      </c>
      <c r="W996">
        <f ca="1">Inputs!B15+(Inputs!D15-Inputs!B15)*BETAINV(RAND(),Model!H9,Model!I9)</f>
        <v>1.0241457262277818</v>
      </c>
      <c r="X996">
        <f ca="1">Inputs!E15+(Inputs!G15-Inputs!E15)*BETAINV(RAND(),Model!J9,Model!K9)</f>
        <v>0.30332441603311266</v>
      </c>
      <c r="Y996">
        <f ca="1">(Inputs!H15+(Inputs!J15-Inputs!H15)*BETAINV(RAND(),Model!L9,Model!M9))*Inputs!$C$6</f>
        <v>15406.91028671938</v>
      </c>
      <c r="Z996">
        <f t="shared" ca="1" si="327"/>
        <v>0.31064840434085</v>
      </c>
      <c r="AA996">
        <f t="shared" ca="1" si="328"/>
        <v>0.6893059101642397</v>
      </c>
      <c r="AB996">
        <f t="shared" ca="1" si="329"/>
        <v>0</v>
      </c>
      <c r="AC996" s="47">
        <f t="shared" ca="1" si="330"/>
        <v>0</v>
      </c>
      <c r="AD996">
        <f ca="1">Inputs!B16+(Inputs!D16-Inputs!B16)*BETAINV(RAND(),Model!H10,Model!I10)</f>
        <v>0.60243739970774579</v>
      </c>
      <c r="AE996">
        <f ca="1">Inputs!E16+(Inputs!G16-Inputs!E16)*BETAINV(RAND(),Model!J10,Model!K10)</f>
        <v>0.58447914101546061</v>
      </c>
      <c r="AF996">
        <f ca="1">(Inputs!H16+(Inputs!J16-Inputs!H16)*BETAINV(RAND(),Model!L10,Model!M10))*Inputs!$C$6</f>
        <v>62768.803418456031</v>
      </c>
      <c r="AG996">
        <f t="shared" ca="1" si="331"/>
        <v>0.35211209389677095</v>
      </c>
      <c r="AH996">
        <f t="shared" ca="1" si="332"/>
        <v>0.74525801206955733</v>
      </c>
      <c r="AI996">
        <f t="shared" ca="1" si="333"/>
        <v>1</v>
      </c>
      <c r="AJ996" s="47">
        <f t="shared" ca="1" si="334"/>
        <v>62768.803418456031</v>
      </c>
      <c r="AK996">
        <f t="shared" ca="1" si="335"/>
        <v>62768.803418456031</v>
      </c>
    </row>
    <row r="997" spans="2:37" x14ac:dyDescent="0.2">
      <c r="B997">
        <f ca="1">Inputs!B12+(Inputs!D12-Inputs!B12)*BETAINV(RAND(),Model!H6,Model!I6)</f>
        <v>1.9843733468698619</v>
      </c>
      <c r="C997">
        <f ca="1">Inputs!E12+(Inputs!G12-Inputs!E12)*BETAINV(RAND(),Model!J6,Model!K6)</f>
        <v>0.27752022544555677</v>
      </c>
      <c r="D997">
        <f ca="1">(Inputs!H12+(Inputs!J12-Inputs!H12)*BETAINV(RAND(),Model!L6,Model!M6))*Inputs!$C$6</f>
        <v>21880.444325182874</v>
      </c>
      <c r="E997">
        <f t="shared" ca="1" si="315"/>
        <v>0.55070373859147814</v>
      </c>
      <c r="F997">
        <f t="shared" ca="1" si="316"/>
        <v>0.89743598906886313</v>
      </c>
      <c r="G997">
        <f t="shared" ca="1" si="317"/>
        <v>2</v>
      </c>
      <c r="H997" s="47">
        <f t="shared" ca="1" si="318"/>
        <v>43760.888650365749</v>
      </c>
      <c r="I997">
        <f ca="1">Inputs!B13+(Inputs!D13-Inputs!B13)*BETAINV(RAND(),Model!H7,Model!I7)</f>
        <v>2.4639740115359094</v>
      </c>
      <c r="J997">
        <f ca="1">Inputs!E13+(Inputs!G13-Inputs!E13)*BETAINV(RAND(),Model!J7,Model!K7)</f>
        <v>0.28317056380455763</v>
      </c>
      <c r="K997">
        <f ca="1">(Inputs!H13+(Inputs!J13-Inputs!H13)*BETAINV(RAND(),Model!L7,Model!M7))*Inputs!$C$6</f>
        <v>25707.565569646591</v>
      </c>
      <c r="L997">
        <f t="shared" ca="1" si="319"/>
        <v>0.69772491004640103</v>
      </c>
      <c r="M997">
        <f t="shared" ca="1" si="320"/>
        <v>0.88200691706434653</v>
      </c>
      <c r="N997">
        <f t="shared" ca="1" si="321"/>
        <v>2</v>
      </c>
      <c r="O997" s="47">
        <f t="shared" ca="1" si="322"/>
        <v>51415.131139293182</v>
      </c>
      <c r="P997">
        <f ca="1">Inputs!B14+(Inputs!D14-Inputs!B14)*BETAINV(RAND(),Model!H8,Model!I8)</f>
        <v>0.14739371690209485</v>
      </c>
      <c r="Q997">
        <f ca="1">Inputs!E14+(Inputs!G14-Inputs!E14)*BETAINV(RAND(),Model!J8,Model!K8)</f>
        <v>0.56973062352588655</v>
      </c>
      <c r="R997">
        <f ca="1">(Inputs!H14+(Inputs!J14-Inputs!H14)*BETAINV(RAND(),Model!L8,Model!M8))*Inputs!$C$6</f>
        <v>321282.56502004777</v>
      </c>
      <c r="S997">
        <f t="shared" ca="1" si="323"/>
        <v>8.3974714234428496E-2</v>
      </c>
      <c r="T997">
        <f t="shared" ca="1" si="324"/>
        <v>0.24041857855090865</v>
      </c>
      <c r="U997">
        <f t="shared" ca="1" si="325"/>
        <v>0</v>
      </c>
      <c r="V997" s="47">
        <f t="shared" ca="1" si="326"/>
        <v>0</v>
      </c>
      <c r="W997">
        <f ca="1">Inputs!B15+(Inputs!D15-Inputs!B15)*BETAINV(RAND(),Model!H9,Model!I9)</f>
        <v>0.34434451164351443</v>
      </c>
      <c r="X997">
        <f ca="1">Inputs!E15+(Inputs!G15-Inputs!E15)*BETAINV(RAND(),Model!J9,Model!K9)</f>
        <v>0.47950877770110589</v>
      </c>
      <c r="Y997">
        <f ca="1">(Inputs!H15+(Inputs!J15-Inputs!H15)*BETAINV(RAND(),Model!L9,Model!M9))*Inputs!$C$6</f>
        <v>24857.025213194811</v>
      </c>
      <c r="Z997">
        <f t="shared" ca="1" si="327"/>
        <v>0.16511621588626582</v>
      </c>
      <c r="AA997">
        <f t="shared" ca="1" si="328"/>
        <v>0.50672134858433782</v>
      </c>
      <c r="AB997">
        <f t="shared" ca="1" si="329"/>
        <v>0</v>
      </c>
      <c r="AC997" s="47">
        <f t="shared" ca="1" si="330"/>
        <v>0</v>
      </c>
      <c r="AD997">
        <f ca="1">Inputs!B16+(Inputs!D16-Inputs!B16)*BETAINV(RAND(),Model!H10,Model!I10)</f>
        <v>0.37826913694794884</v>
      </c>
      <c r="AE997">
        <f ca="1">Inputs!E16+(Inputs!G16-Inputs!E16)*BETAINV(RAND(),Model!J10,Model!K10)</f>
        <v>0.49821592694927641</v>
      </c>
      <c r="AF997">
        <f ca="1">(Inputs!H16+(Inputs!J16-Inputs!H16)*BETAINV(RAND(),Model!L10,Model!M10))*Inputs!$C$6</f>
        <v>87334.589272502708</v>
      </c>
      <c r="AG997">
        <f t="shared" ca="1" si="331"/>
        <v>0.18845970870082512</v>
      </c>
      <c r="AH997">
        <f t="shared" ca="1" si="332"/>
        <v>0.15077672218049376</v>
      </c>
      <c r="AI997">
        <f t="shared" ca="1" si="333"/>
        <v>0</v>
      </c>
      <c r="AJ997" s="47">
        <f t="shared" ca="1" si="334"/>
        <v>0</v>
      </c>
      <c r="AK997">
        <f t="shared" ca="1" si="335"/>
        <v>95176.019789658923</v>
      </c>
    </row>
    <row r="998" spans="2:37" x14ac:dyDescent="0.2">
      <c r="B998">
        <f ca="1">Inputs!B12+(Inputs!D12-Inputs!B12)*BETAINV(RAND(),Model!H6,Model!I6)</f>
        <v>4.1737292169876365</v>
      </c>
      <c r="C998">
        <f ca="1">Inputs!E12+(Inputs!G12-Inputs!E12)*BETAINV(RAND(),Model!J6,Model!K6)</f>
        <v>0.1889545282440323</v>
      </c>
      <c r="D998">
        <f ca="1">(Inputs!H12+(Inputs!J12-Inputs!H12)*BETAINV(RAND(),Model!L6,Model!M6))*Inputs!$C$6</f>
        <v>27156.849128706934</v>
      </c>
      <c r="E998">
        <f t="shared" ca="1" si="315"/>
        <v>0.78864503521423324</v>
      </c>
      <c r="F998">
        <f t="shared" ca="1" si="316"/>
        <v>0.35248014735148558</v>
      </c>
      <c r="G998">
        <f t="shared" ca="1" si="317"/>
        <v>0</v>
      </c>
      <c r="H998" s="47">
        <f t="shared" ca="1" si="318"/>
        <v>0</v>
      </c>
      <c r="I998">
        <f ca="1">Inputs!B13+(Inputs!D13-Inputs!B13)*BETAINV(RAND(),Model!H7,Model!I7)</f>
        <v>2.2251550470693013</v>
      </c>
      <c r="J998">
        <f ca="1">Inputs!E13+(Inputs!G13-Inputs!E13)*BETAINV(RAND(),Model!J7,Model!K7)</f>
        <v>0.36262210530693417</v>
      </c>
      <c r="K998">
        <f ca="1">(Inputs!H13+(Inputs!J13-Inputs!H13)*BETAINV(RAND(),Model!L7,Model!M7))*Inputs!$C$6</f>
        <v>32673.630494426307</v>
      </c>
      <c r="L998">
        <f t="shared" ca="1" si="319"/>
        <v>0.80689040780262022</v>
      </c>
      <c r="M998">
        <f t="shared" ca="1" si="320"/>
        <v>0.39266308658932059</v>
      </c>
      <c r="N998">
        <f t="shared" ca="1" si="321"/>
        <v>0</v>
      </c>
      <c r="O998" s="47">
        <f t="shared" ca="1" si="322"/>
        <v>0</v>
      </c>
      <c r="P998">
        <f ca="1">Inputs!B14+(Inputs!D14-Inputs!B14)*BETAINV(RAND(),Model!H8,Model!I8)</f>
        <v>0.19735399240209561</v>
      </c>
      <c r="Q998">
        <f ca="1">Inputs!E14+(Inputs!G14-Inputs!E14)*BETAINV(RAND(),Model!J8,Model!K8)</f>
        <v>0.47771286109434197</v>
      </c>
      <c r="R998">
        <f ca="1">(Inputs!H14+(Inputs!J14-Inputs!H14)*BETAINV(RAND(),Model!L8,Model!M8))*Inputs!$C$6</f>
        <v>200848.87963217151</v>
      </c>
      <c r="S998">
        <f t="shared" ca="1" si="323"/>
        <v>9.4278540358796126E-2</v>
      </c>
      <c r="T998">
        <f t="shared" ca="1" si="324"/>
        <v>0.66790221695506902</v>
      </c>
      <c r="U998">
        <f t="shared" ca="1" si="325"/>
        <v>0</v>
      </c>
      <c r="V998" s="47">
        <f t="shared" ca="1" si="326"/>
        <v>0</v>
      </c>
      <c r="W998">
        <f ca="1">Inputs!B15+(Inputs!D15-Inputs!B15)*BETAINV(RAND(),Model!H9,Model!I9)</f>
        <v>1.1668252105831467</v>
      </c>
      <c r="X998">
        <f ca="1">Inputs!E15+(Inputs!G15-Inputs!E15)*BETAINV(RAND(),Model!J9,Model!K9)</f>
        <v>0.41049463860991869</v>
      </c>
      <c r="Y998">
        <f ca="1">(Inputs!H15+(Inputs!J15-Inputs!H15)*BETAINV(RAND(),Model!L9,Model!M9))*Inputs!$C$6</f>
        <v>67566.159151770858</v>
      </c>
      <c r="Z998">
        <f t="shared" ca="1" si="327"/>
        <v>0.47897549313927107</v>
      </c>
      <c r="AA998">
        <f t="shared" ca="1" si="328"/>
        <v>0.10554991895731303</v>
      </c>
      <c r="AB998">
        <f t="shared" ca="1" si="329"/>
        <v>0</v>
      </c>
      <c r="AC998" s="47">
        <f t="shared" ca="1" si="330"/>
        <v>0</v>
      </c>
      <c r="AD998">
        <f ca="1">Inputs!B16+(Inputs!D16-Inputs!B16)*BETAINV(RAND(),Model!H10,Model!I10)</f>
        <v>0.73804072843428403</v>
      </c>
      <c r="AE998">
        <f ca="1">Inputs!E16+(Inputs!G16-Inputs!E16)*BETAINV(RAND(),Model!J10,Model!K10)</f>
        <v>0.57211447785421721</v>
      </c>
      <c r="AF998">
        <f ca="1">(Inputs!H16+(Inputs!J16-Inputs!H16)*BETAINV(RAND(),Model!L10,Model!M10))*Inputs!$C$6</f>
        <v>59918.105647559314</v>
      </c>
      <c r="AG998">
        <f t="shared" ca="1" si="331"/>
        <v>0.42224378598332651</v>
      </c>
      <c r="AH998">
        <f t="shared" ca="1" si="332"/>
        <v>0.34731523372197737</v>
      </c>
      <c r="AI998">
        <f t="shared" ca="1" si="333"/>
        <v>0</v>
      </c>
      <c r="AJ998" s="47">
        <f t="shared" ca="1" si="334"/>
        <v>0</v>
      </c>
      <c r="AK998">
        <f t="shared" ca="1" si="335"/>
        <v>0</v>
      </c>
    </row>
    <row r="999" spans="2:37" x14ac:dyDescent="0.2">
      <c r="B999">
        <f ca="1">Inputs!B12+(Inputs!D12-Inputs!B12)*BETAINV(RAND(),Model!H6,Model!I6)</f>
        <v>4.1819843843270341</v>
      </c>
      <c r="C999">
        <f ca="1">Inputs!E12+(Inputs!G12-Inputs!E12)*BETAINV(RAND(),Model!J6,Model!K6)</f>
        <v>0.33565236828102357</v>
      </c>
      <c r="D999">
        <f ca="1">(Inputs!H12+(Inputs!J12-Inputs!H12)*BETAINV(RAND(),Model!L6,Model!M6))*Inputs!$C$6</f>
        <v>20473.042179483728</v>
      </c>
      <c r="E999">
        <f t="shared" ca="1" si="315"/>
        <v>1.4036929627136272</v>
      </c>
      <c r="F999">
        <f t="shared" ca="1" si="316"/>
        <v>0.55961866832928964</v>
      </c>
      <c r="G999">
        <f t="shared" ca="1" si="317"/>
        <v>1</v>
      </c>
      <c r="H999" s="47">
        <f t="shared" ca="1" si="318"/>
        <v>20473.042179483728</v>
      </c>
      <c r="I999">
        <f ca="1">Inputs!B13+(Inputs!D13-Inputs!B13)*BETAINV(RAND(),Model!H7,Model!I7)</f>
        <v>3.2518966950240555</v>
      </c>
      <c r="J999">
        <f ca="1">Inputs!E13+(Inputs!G13-Inputs!E13)*BETAINV(RAND(),Model!J7,Model!K7)</f>
        <v>0.2734526362050328</v>
      </c>
      <c r="K999">
        <f ca="1">(Inputs!H13+(Inputs!J13-Inputs!H13)*BETAINV(RAND(),Model!L7,Model!M7))*Inputs!$C$6</f>
        <v>22350.150765676961</v>
      </c>
      <c r="L999">
        <f t="shared" ca="1" si="319"/>
        <v>0.88923972392076156</v>
      </c>
      <c r="M999">
        <f t="shared" ca="1" si="320"/>
        <v>0.40584684591925901</v>
      </c>
      <c r="N999">
        <f t="shared" ca="1" si="321"/>
        <v>0</v>
      </c>
      <c r="O999" s="47">
        <f t="shared" ca="1" si="322"/>
        <v>0</v>
      </c>
      <c r="P999">
        <f ca="1">Inputs!B14+(Inputs!D14-Inputs!B14)*BETAINV(RAND(),Model!H8,Model!I8)</f>
        <v>0.40243170706537856</v>
      </c>
      <c r="Q999">
        <f ca="1">Inputs!E14+(Inputs!G14-Inputs!E14)*BETAINV(RAND(),Model!J8,Model!K8)</f>
        <v>0.67941479980220143</v>
      </c>
      <c r="R999">
        <f ca="1">(Inputs!H14+(Inputs!J14-Inputs!H14)*BETAINV(RAND(),Model!L8,Model!M8))*Inputs!$C$6</f>
        <v>214744.6865027895</v>
      </c>
      <c r="S999">
        <f t="shared" ca="1" si="323"/>
        <v>0.27341805768988237</v>
      </c>
      <c r="T999">
        <f t="shared" ca="1" si="324"/>
        <v>0.23391851024592902</v>
      </c>
      <c r="U999">
        <f t="shared" ca="1" si="325"/>
        <v>0</v>
      </c>
      <c r="V999" s="47">
        <f t="shared" ca="1" si="326"/>
        <v>0</v>
      </c>
      <c r="W999">
        <f ca="1">Inputs!B15+(Inputs!D15-Inputs!B15)*BETAINV(RAND(),Model!H9,Model!I9)</f>
        <v>1.47234589793987</v>
      </c>
      <c r="X999">
        <f ca="1">Inputs!E15+(Inputs!G15-Inputs!E15)*BETAINV(RAND(),Model!J9,Model!K9)</f>
        <v>0.29872829242651411</v>
      </c>
      <c r="Y999">
        <f ca="1">(Inputs!H15+(Inputs!J15-Inputs!H15)*BETAINV(RAND(),Model!L9,Model!M9))*Inputs!$C$6</f>
        <v>52978.878682788505</v>
      </c>
      <c r="Z999">
        <f t="shared" ca="1" si="327"/>
        <v>0.43983137595276001</v>
      </c>
      <c r="AA999">
        <f t="shared" ca="1" si="328"/>
        <v>0.91657787165475502</v>
      </c>
      <c r="AB999">
        <f t="shared" ca="1" si="329"/>
        <v>1</v>
      </c>
      <c r="AC999" s="47">
        <f t="shared" ca="1" si="330"/>
        <v>52978.878682788505</v>
      </c>
      <c r="AD999">
        <f ca="1">Inputs!B16+(Inputs!D16-Inputs!B16)*BETAINV(RAND(),Model!H10,Model!I10)</f>
        <v>0.95681628204957625</v>
      </c>
      <c r="AE999">
        <f ca="1">Inputs!E16+(Inputs!G16-Inputs!E16)*BETAINV(RAND(),Model!J10,Model!K10)</f>
        <v>0.47488478204290951</v>
      </c>
      <c r="AF999">
        <f ca="1">(Inputs!H16+(Inputs!J16-Inputs!H16)*BETAINV(RAND(),Model!L10,Model!M10))*Inputs!$C$6</f>
        <v>128217.4779474385</v>
      </c>
      <c r="AG999">
        <f t="shared" ca="1" si="331"/>
        <v>0.45437749155622004</v>
      </c>
      <c r="AH999">
        <f t="shared" ca="1" si="332"/>
        <v>0.53800865604062198</v>
      </c>
      <c r="AI999">
        <f t="shared" ca="1" si="333"/>
        <v>0</v>
      </c>
      <c r="AJ999" s="47">
        <f t="shared" ca="1" si="334"/>
        <v>0</v>
      </c>
      <c r="AK999">
        <f t="shared" ca="1" si="335"/>
        <v>73451.920862272236</v>
      </c>
    </row>
    <row r="1000" spans="2:37" x14ac:dyDescent="0.2">
      <c r="B1000">
        <f ca="1">Inputs!B12+(Inputs!D12-Inputs!B12)*BETAINV(RAND(),Model!H6,Model!I6)</f>
        <v>3.450896226175391</v>
      </c>
      <c r="C1000">
        <f ca="1">Inputs!E12+(Inputs!G12-Inputs!E12)*BETAINV(RAND(),Model!J6,Model!K6)</f>
        <v>0.3345389791115867</v>
      </c>
      <c r="D1000">
        <f ca="1">(Inputs!H12+(Inputs!J12-Inputs!H12)*BETAINV(RAND(),Model!L6,Model!M6))*Inputs!$C$6</f>
        <v>10064.84704661059</v>
      </c>
      <c r="E1000">
        <f t="shared" ca="1" si="315"/>
        <v>1.1544593005247425</v>
      </c>
      <c r="F1000">
        <f t="shared" ca="1" si="316"/>
        <v>0.3599477255024861</v>
      </c>
      <c r="G1000">
        <f t="shared" ca="1" si="317"/>
        <v>1</v>
      </c>
      <c r="H1000" s="47">
        <f t="shared" ca="1" si="318"/>
        <v>10064.84704661059</v>
      </c>
      <c r="I1000">
        <f ca="1">Inputs!B13+(Inputs!D13-Inputs!B13)*BETAINV(RAND(),Model!H7,Model!I7)</f>
        <v>2.6464623545496395</v>
      </c>
      <c r="J1000">
        <f ca="1">Inputs!E13+(Inputs!G13-Inputs!E13)*BETAINV(RAND(),Model!J7,Model!K7)</f>
        <v>0.29800964736284052</v>
      </c>
      <c r="K1000">
        <f ca="1">(Inputs!H13+(Inputs!J13-Inputs!H13)*BETAINV(RAND(),Model!L7,Model!M7))*Inputs!$C$6</f>
        <v>18120.524776566013</v>
      </c>
      <c r="L1000">
        <f t="shared" ca="1" si="319"/>
        <v>0.78867131303837068</v>
      </c>
      <c r="M1000">
        <f t="shared" ca="1" si="320"/>
        <v>0.82649341193779846</v>
      </c>
      <c r="N1000">
        <f t="shared" ca="1" si="321"/>
        <v>2</v>
      </c>
      <c r="O1000" s="47">
        <f t="shared" ca="1" si="322"/>
        <v>36241.049553132027</v>
      </c>
      <c r="P1000">
        <f ca="1">Inputs!B14+(Inputs!D14-Inputs!B14)*BETAINV(RAND(),Model!H8,Model!I8)</f>
        <v>0.47570538517325534</v>
      </c>
      <c r="Q1000">
        <f ca="1">Inputs!E14+(Inputs!G14-Inputs!E14)*BETAINV(RAND(),Model!J8,Model!K8)</f>
        <v>0.72924515220195452</v>
      </c>
      <c r="R1000">
        <f ca="1">(Inputs!H14+(Inputs!J14-Inputs!H14)*BETAINV(RAND(),Model!L8,Model!M8))*Inputs!$C$6</f>
        <v>481603.21897291741</v>
      </c>
      <c r="S1000">
        <f t="shared" ca="1" si="323"/>
        <v>0.34690584601395996</v>
      </c>
      <c r="T1000">
        <f t="shared" ca="1" si="324"/>
        <v>0.63553791941773341</v>
      </c>
      <c r="U1000">
        <f t="shared" ca="1" si="325"/>
        <v>0</v>
      </c>
      <c r="V1000" s="47">
        <f t="shared" ca="1" si="326"/>
        <v>0</v>
      </c>
      <c r="W1000">
        <f ca="1">Inputs!B15+(Inputs!D15-Inputs!B15)*BETAINV(RAND(),Model!H9,Model!I9)</f>
        <v>1.8071261856367062</v>
      </c>
      <c r="X1000">
        <f ca="1">Inputs!E15+(Inputs!G15-Inputs!E15)*BETAINV(RAND(),Model!J9,Model!K9)</f>
        <v>0.32430759661472769</v>
      </c>
      <c r="Y1000">
        <f ca="1">(Inputs!H15+(Inputs!J15-Inputs!H15)*BETAINV(RAND(),Model!L9,Model!M9))*Inputs!$C$6</f>
        <v>19037.476310355753</v>
      </c>
      <c r="Z1000">
        <f t="shared" ca="1" si="327"/>
        <v>0.58606475004338043</v>
      </c>
      <c r="AA1000">
        <f t="shared" ca="1" si="328"/>
        <v>1.3149640803182261E-2</v>
      </c>
      <c r="AB1000">
        <f t="shared" ca="1" si="329"/>
        <v>0</v>
      </c>
      <c r="AC1000" s="47">
        <f t="shared" ca="1" si="330"/>
        <v>0</v>
      </c>
      <c r="AD1000">
        <f ca="1">Inputs!B16+(Inputs!D16-Inputs!B16)*BETAINV(RAND(),Model!H10,Model!I10)</f>
        <v>0.72856402005687393</v>
      </c>
      <c r="AE1000">
        <f ca="1">Inputs!E16+(Inputs!G16-Inputs!E16)*BETAINV(RAND(),Model!J10,Model!K10)</f>
        <v>0.72341763846550911</v>
      </c>
      <c r="AF1000">
        <f ca="1">(Inputs!H16+(Inputs!J16-Inputs!H16)*BETAINV(RAND(),Model!L10,Model!M10))*Inputs!$C$6</f>
        <v>53064.363103272772</v>
      </c>
      <c r="AG1000">
        <f t="shared" ca="1" si="331"/>
        <v>0.52705606286048157</v>
      </c>
      <c r="AH1000">
        <f t="shared" ca="1" si="332"/>
        <v>0.17550091162185977</v>
      </c>
      <c r="AI1000">
        <f t="shared" ca="1" si="333"/>
        <v>0</v>
      </c>
      <c r="AJ1000" s="47">
        <f t="shared" ca="1" si="334"/>
        <v>0</v>
      </c>
      <c r="AK1000">
        <f t="shared" ca="1" si="335"/>
        <v>46305.896599742613</v>
      </c>
    </row>
    <row r="1001" spans="2:37" x14ac:dyDescent="0.2">
      <c r="B1001">
        <f ca="1">Inputs!B12+(Inputs!D12-Inputs!B12)*BETAINV(RAND(),Model!H6,Model!I6)</f>
        <v>1.6332229453349716</v>
      </c>
      <c r="C1001">
        <f ca="1">Inputs!E12+(Inputs!G12-Inputs!E12)*BETAINV(RAND(),Model!J6,Model!K6)</f>
        <v>0.34749312877037353</v>
      </c>
      <c r="D1001">
        <f ca="1">(Inputs!H12+(Inputs!J12-Inputs!H12)*BETAINV(RAND(),Model!L6,Model!M6))*Inputs!$C$6</f>
        <v>25098.355655683052</v>
      </c>
      <c r="E1001">
        <f t="shared" ca="1" si="315"/>
        <v>0.56753375125401395</v>
      </c>
      <c r="F1001">
        <f t="shared" ca="1" si="316"/>
        <v>0.91970871390691666</v>
      </c>
      <c r="G1001">
        <f t="shared" ca="1" si="317"/>
        <v>2</v>
      </c>
      <c r="H1001" s="47">
        <f t="shared" ca="1" si="318"/>
        <v>50196.711311366103</v>
      </c>
      <c r="I1001">
        <f ca="1">Inputs!B13+(Inputs!D13-Inputs!B13)*BETAINV(RAND(),Model!H7,Model!I7)</f>
        <v>1.3069015716591943</v>
      </c>
      <c r="J1001">
        <f ca="1">Inputs!E13+(Inputs!G13-Inputs!E13)*BETAINV(RAND(),Model!J7,Model!K7)</f>
        <v>0.23093295225648</v>
      </c>
      <c r="K1001">
        <f ca="1">(Inputs!H13+(Inputs!J13-Inputs!H13)*BETAINV(RAND(),Model!L7,Model!M7))*Inputs!$C$6</f>
        <v>48433.981064156891</v>
      </c>
      <c r="L1001">
        <f t="shared" ca="1" si="319"/>
        <v>0.30180663825189141</v>
      </c>
      <c r="M1001">
        <f t="shared" ca="1" si="320"/>
        <v>0.49075228628778489</v>
      </c>
      <c r="N1001">
        <f t="shared" ca="1" si="321"/>
        <v>0</v>
      </c>
      <c r="O1001" s="47">
        <f t="shared" ca="1" si="322"/>
        <v>0</v>
      </c>
      <c r="P1001">
        <f ca="1">Inputs!B14+(Inputs!D14-Inputs!B14)*BETAINV(RAND(),Model!H8,Model!I8)</f>
        <v>0.45950790525003782</v>
      </c>
      <c r="Q1001">
        <f ca="1">Inputs!E14+(Inputs!G14-Inputs!E14)*BETAINV(RAND(),Model!J8,Model!K8)</f>
        <v>0.62159741345175346</v>
      </c>
      <c r="R1001">
        <f ca="1">(Inputs!H14+(Inputs!J14-Inputs!H14)*BETAINV(RAND(),Model!L8,Model!M8))*Inputs!$C$6</f>
        <v>570808.85323814058</v>
      </c>
      <c r="S1001">
        <f t="shared" ca="1" si="323"/>
        <v>0.28562892536405693</v>
      </c>
      <c r="T1001">
        <f t="shared" ca="1" si="324"/>
        <v>2.9904860759345508E-3</v>
      </c>
      <c r="U1001">
        <f t="shared" ca="1" si="325"/>
        <v>0</v>
      </c>
      <c r="V1001" s="47">
        <f t="shared" ca="1" si="326"/>
        <v>0</v>
      </c>
      <c r="W1001">
        <f ca="1">Inputs!B15+(Inputs!D15-Inputs!B15)*BETAINV(RAND(),Model!H9,Model!I9)</f>
        <v>0.44603573329938645</v>
      </c>
      <c r="X1001">
        <f ca="1">Inputs!E15+(Inputs!G15-Inputs!E15)*BETAINV(RAND(),Model!J9,Model!K9)</f>
        <v>0.67218916071028811</v>
      </c>
      <c r="Y1001">
        <f ca="1">(Inputs!H15+(Inputs!J15-Inputs!H15)*BETAINV(RAND(),Model!L9,Model!M9))*Inputs!$C$6</f>
        <v>38840.469723913513</v>
      </c>
      <c r="Z1001">
        <f t="shared" ca="1" si="327"/>
        <v>0.2998203852133125</v>
      </c>
      <c r="AA1001">
        <f t="shared" ca="1" si="328"/>
        <v>0.55696248476723997</v>
      </c>
      <c r="AB1001">
        <f t="shared" ca="1" si="329"/>
        <v>0</v>
      </c>
      <c r="AC1001" s="47">
        <f t="shared" ca="1" si="330"/>
        <v>0</v>
      </c>
      <c r="AD1001">
        <f ca="1">Inputs!B16+(Inputs!D16-Inputs!B16)*BETAINV(RAND(),Model!H10,Model!I10)</f>
        <v>0.38932635020010847</v>
      </c>
      <c r="AE1001">
        <f ca="1">Inputs!E16+(Inputs!G16-Inputs!E16)*BETAINV(RAND(),Model!J10,Model!K10)</f>
        <v>0.55387513866293636</v>
      </c>
      <c r="AF1001">
        <f ca="1">(Inputs!H16+(Inputs!J16-Inputs!H16)*BETAINV(RAND(),Model!L10,Model!M10))*Inputs!$C$6</f>
        <v>101407.24086619227</v>
      </c>
      <c r="AG1001">
        <f t="shared" ca="1" si="331"/>
        <v>0.21563818620222</v>
      </c>
      <c r="AH1001">
        <f t="shared" ca="1" si="332"/>
        <v>0.19296586409971761</v>
      </c>
      <c r="AI1001">
        <f t="shared" ca="1" si="333"/>
        <v>0</v>
      </c>
      <c r="AJ1001" s="47">
        <f t="shared" ca="1" si="334"/>
        <v>0</v>
      </c>
      <c r="AK1001">
        <f t="shared" ca="1" si="335"/>
        <v>50196.711311366103</v>
      </c>
    </row>
    <row r="1002" spans="2:37" x14ac:dyDescent="0.2">
      <c r="B1002">
        <f ca="1">Inputs!B12+(Inputs!D12-Inputs!B12)*BETAINV(RAND(),Model!H6,Model!I6)</f>
        <v>3.8624235431566092</v>
      </c>
      <c r="C1002">
        <f ca="1">Inputs!E12+(Inputs!G12-Inputs!E12)*BETAINV(RAND(),Model!J6,Model!K6)</f>
        <v>0.42103305961850801</v>
      </c>
      <c r="D1002">
        <f ca="1">(Inputs!H12+(Inputs!J12-Inputs!H12)*BETAINV(RAND(),Model!L6,Model!M6))*Inputs!$C$6</f>
        <v>41811.07000324277</v>
      </c>
      <c r="E1002">
        <f t="shared" ca="1" si="315"/>
        <v>1.6262080019177856</v>
      </c>
      <c r="F1002">
        <f t="shared" ca="1" si="316"/>
        <v>0.51798618495435111</v>
      </c>
      <c r="G1002">
        <f t="shared" ca="1" si="317"/>
        <v>2</v>
      </c>
      <c r="H1002" s="47">
        <f t="shared" ca="1" si="318"/>
        <v>83622.140006485541</v>
      </c>
      <c r="I1002">
        <f ca="1">Inputs!B13+(Inputs!D13-Inputs!B13)*BETAINV(RAND(),Model!H7,Model!I7)</f>
        <v>1.7277776504449089</v>
      </c>
      <c r="J1002">
        <f ca="1">Inputs!E13+(Inputs!G13-Inputs!E13)*BETAINV(RAND(),Model!J7,Model!K7)</f>
        <v>0.30989931095384859</v>
      </c>
      <c r="K1002">
        <f ca="1">(Inputs!H13+(Inputs!J13-Inputs!H13)*BETAINV(RAND(),Model!L7,Model!M7))*Inputs!$C$6</f>
        <v>41965.879050632662</v>
      </c>
      <c r="L1002">
        <f t="shared" ca="1" si="319"/>
        <v>0.53543710335433681</v>
      </c>
      <c r="M1002">
        <f t="shared" ca="1" si="320"/>
        <v>0.31936036893957398</v>
      </c>
      <c r="N1002">
        <f t="shared" ca="1" si="321"/>
        <v>0</v>
      </c>
      <c r="O1002" s="47">
        <f t="shared" ca="1" si="322"/>
        <v>0</v>
      </c>
      <c r="P1002">
        <f ca="1">Inputs!B14+(Inputs!D14-Inputs!B14)*BETAINV(RAND(),Model!H8,Model!I8)</f>
        <v>0.45568097158741183</v>
      </c>
      <c r="Q1002">
        <f ca="1">Inputs!E14+(Inputs!G14-Inputs!E14)*BETAINV(RAND(),Model!J8,Model!K8)</f>
        <v>0.73103705750888803</v>
      </c>
      <c r="R1002">
        <f ca="1">(Inputs!H14+(Inputs!J14-Inputs!H14)*BETAINV(RAND(),Model!L8,Model!M8))*Inputs!$C$6</f>
        <v>379356.46261059085</v>
      </c>
      <c r="S1002">
        <f t="shared" ca="1" si="323"/>
        <v>0.33311967663205277</v>
      </c>
      <c r="T1002">
        <f t="shared" ca="1" si="324"/>
        <v>2.8810620289475453E-2</v>
      </c>
      <c r="U1002">
        <f t="shared" ca="1" si="325"/>
        <v>0</v>
      </c>
      <c r="V1002" s="47">
        <f t="shared" ca="1" si="326"/>
        <v>0</v>
      </c>
      <c r="W1002">
        <f ca="1">Inputs!B15+(Inputs!D15-Inputs!B15)*BETAINV(RAND(),Model!H9,Model!I9)</f>
        <v>2.1392376434385612</v>
      </c>
      <c r="X1002">
        <f ca="1">Inputs!E15+(Inputs!G15-Inputs!E15)*BETAINV(RAND(),Model!J9,Model!K9)</f>
        <v>0.38654341968635947</v>
      </c>
      <c r="Y1002">
        <f ca="1">(Inputs!H15+(Inputs!J15-Inputs!H15)*BETAINV(RAND(),Model!L9,Model!M9))*Inputs!$C$6</f>
        <v>36155.803967528009</v>
      </c>
      <c r="Z1002">
        <f t="shared" ca="1" si="327"/>
        <v>0.82690823421653037</v>
      </c>
      <c r="AA1002">
        <f t="shared" ca="1" si="328"/>
        <v>0.91507989955001767</v>
      </c>
      <c r="AB1002">
        <f t="shared" ca="1" si="329"/>
        <v>2</v>
      </c>
      <c r="AC1002" s="47">
        <f t="shared" ca="1" si="330"/>
        <v>72311.607935056018</v>
      </c>
      <c r="AD1002">
        <f ca="1">Inputs!B16+(Inputs!D16-Inputs!B16)*BETAINV(RAND(),Model!H10,Model!I10)</f>
        <v>0.84369315759882801</v>
      </c>
      <c r="AE1002">
        <f ca="1">Inputs!E16+(Inputs!G16-Inputs!E16)*BETAINV(RAND(),Model!J10,Model!K10)</f>
        <v>0.62826761539478193</v>
      </c>
      <c r="AF1002">
        <f ca="1">(Inputs!H16+(Inputs!J16-Inputs!H16)*BETAINV(RAND(),Model!L10,Model!M10))*Inputs!$C$6</f>
        <v>81787.783821880294</v>
      </c>
      <c r="AG1002">
        <f t="shared" ca="1" si="331"/>
        <v>0.5300650882495096</v>
      </c>
      <c r="AH1002">
        <f t="shared" ca="1" si="332"/>
        <v>0.25386925696435714</v>
      </c>
      <c r="AI1002">
        <f t="shared" ca="1" si="333"/>
        <v>0</v>
      </c>
      <c r="AJ1002" s="47">
        <f t="shared" ca="1" si="334"/>
        <v>0</v>
      </c>
      <c r="AK1002">
        <f t="shared" ca="1" si="335"/>
        <v>155933.74794154154</v>
      </c>
    </row>
    <row r="1003" spans="2:37" x14ac:dyDescent="0.2">
      <c r="B1003">
        <f ca="1">Inputs!B12+(Inputs!D12-Inputs!B12)*BETAINV(RAND(),Model!H6,Model!I6)</f>
        <v>2.3033774997197765</v>
      </c>
      <c r="C1003">
        <f ca="1">Inputs!E12+(Inputs!G12-Inputs!E12)*BETAINV(RAND(),Model!J6,Model!K6)</f>
        <v>0.4039264787051059</v>
      </c>
      <c r="D1003">
        <f ca="1">(Inputs!H12+(Inputs!J12-Inputs!H12)*BETAINV(RAND(),Model!L6,Model!M6))*Inputs!$C$6</f>
        <v>16425.519174686859</v>
      </c>
      <c r="E1003">
        <f t="shared" ca="1" si="315"/>
        <v>0.93039516259038035</v>
      </c>
      <c r="F1003">
        <f t="shared" ca="1" si="316"/>
        <v>0.94127758820015794</v>
      </c>
      <c r="G1003">
        <f t="shared" ca="1" si="317"/>
        <v>3</v>
      </c>
      <c r="H1003" s="47">
        <f t="shared" ca="1" si="318"/>
        <v>49276.557524060576</v>
      </c>
      <c r="I1003">
        <f ca="1">Inputs!B13+(Inputs!D13-Inputs!B13)*BETAINV(RAND(),Model!H7,Model!I7)</f>
        <v>1.0987194055108565</v>
      </c>
      <c r="J1003">
        <f ca="1">Inputs!E13+(Inputs!G13-Inputs!E13)*BETAINV(RAND(),Model!J7,Model!K7)</f>
        <v>0.2386376700328138</v>
      </c>
      <c r="K1003">
        <f ca="1">(Inputs!H13+(Inputs!J13-Inputs!H13)*BETAINV(RAND(),Model!L7,Model!M7))*Inputs!$C$6</f>
        <v>43811.407189893529</v>
      </c>
      <c r="L1003">
        <f t="shared" ca="1" si="319"/>
        <v>0.26219583895094911</v>
      </c>
      <c r="M1003">
        <f t="shared" ca="1" si="320"/>
        <v>0.36290485184216037</v>
      </c>
      <c r="N1003">
        <f t="shared" ca="1" si="321"/>
        <v>0</v>
      </c>
      <c r="O1003" s="47">
        <f t="shared" ca="1" si="322"/>
        <v>0</v>
      </c>
      <c r="P1003">
        <f ca="1">Inputs!B14+(Inputs!D14-Inputs!B14)*BETAINV(RAND(),Model!H8,Model!I8)</f>
        <v>0.2780096443865917</v>
      </c>
      <c r="Q1003">
        <f ca="1">Inputs!E14+(Inputs!G14-Inputs!E14)*BETAINV(RAND(),Model!J8,Model!K8)</f>
        <v>0.68263555038498314</v>
      </c>
      <c r="R1003">
        <f ca="1">(Inputs!H14+(Inputs!J14-Inputs!H14)*BETAINV(RAND(),Model!L8,Model!M8))*Inputs!$C$6</f>
        <v>395128.9575973397</v>
      </c>
      <c r="S1003">
        <f t="shared" ca="1" si="323"/>
        <v>0.18977926660817446</v>
      </c>
      <c r="T1003">
        <f t="shared" ca="1" si="324"/>
        <v>0.37854883312688137</v>
      </c>
      <c r="U1003">
        <f t="shared" ca="1" si="325"/>
        <v>0</v>
      </c>
      <c r="V1003" s="47">
        <f t="shared" ca="1" si="326"/>
        <v>0</v>
      </c>
      <c r="W1003">
        <f ca="1">Inputs!B15+(Inputs!D15-Inputs!B15)*BETAINV(RAND(),Model!H9,Model!I9)</f>
        <v>2.4151865273540216</v>
      </c>
      <c r="X1003">
        <f ca="1">Inputs!E15+(Inputs!G15-Inputs!E15)*BETAINV(RAND(),Model!J9,Model!K9)</f>
        <v>0.56780721412206314</v>
      </c>
      <c r="Y1003">
        <f ca="1">(Inputs!H15+(Inputs!J15-Inputs!H15)*BETAINV(RAND(),Model!L9,Model!M9))*Inputs!$C$6</f>
        <v>36156.375336940604</v>
      </c>
      <c r="Z1003">
        <f t="shared" ca="1" si="327"/>
        <v>1.371360333682027</v>
      </c>
      <c r="AA1003">
        <f t="shared" ca="1" si="328"/>
        <v>0.87671081695649733</v>
      </c>
      <c r="AB1003">
        <f t="shared" ca="1" si="329"/>
        <v>3</v>
      </c>
      <c r="AC1003" s="47">
        <f t="shared" ca="1" si="330"/>
        <v>108469.12601082181</v>
      </c>
      <c r="AD1003">
        <f ca="1">Inputs!B16+(Inputs!D16-Inputs!B16)*BETAINV(RAND(),Model!H10,Model!I10)</f>
        <v>0.50286013145560871</v>
      </c>
      <c r="AE1003">
        <f ca="1">Inputs!E16+(Inputs!G16-Inputs!E16)*BETAINV(RAND(),Model!J10,Model!K10)</f>
        <v>0.56800798625951265</v>
      </c>
      <c r="AF1003">
        <f ca="1">(Inputs!H16+(Inputs!J16-Inputs!H16)*BETAINV(RAND(),Model!L10,Model!M10))*Inputs!$C$6</f>
        <v>78022.57434707928</v>
      </c>
      <c r="AG1003">
        <f t="shared" ca="1" si="331"/>
        <v>0.28562857063829411</v>
      </c>
      <c r="AH1003">
        <f t="shared" ca="1" si="332"/>
        <v>0.92905173595578894</v>
      </c>
      <c r="AI1003">
        <f t="shared" ca="1" si="333"/>
        <v>1</v>
      </c>
      <c r="AJ1003" s="47">
        <f t="shared" ca="1" si="334"/>
        <v>78022.57434707928</v>
      </c>
      <c r="AK1003">
        <f t="shared" ca="1" si="335"/>
        <v>235768.25788196165</v>
      </c>
    </row>
    <row r="1004" spans="2:37" x14ac:dyDescent="0.2">
      <c r="B1004">
        <f ca="1">Inputs!B12+(Inputs!D12-Inputs!B12)*BETAINV(RAND(),Model!H6,Model!I6)</f>
        <v>3.0586656672640586</v>
      </c>
      <c r="C1004">
        <f ca="1">Inputs!E12+(Inputs!G12-Inputs!E12)*BETAINV(RAND(),Model!J6,Model!K6)</f>
        <v>0.23068248991175427</v>
      </c>
      <c r="D1004">
        <f ca="1">(Inputs!H12+(Inputs!J12-Inputs!H12)*BETAINV(RAND(),Model!L6,Model!M6))*Inputs!$C$6</f>
        <v>16047.093331796274</v>
      </c>
      <c r="E1004">
        <f t="shared" ca="1" si="315"/>
        <v>0.70558061193207033</v>
      </c>
      <c r="F1004">
        <f t="shared" ca="1" si="316"/>
        <v>0.60254298555121288</v>
      </c>
      <c r="G1004">
        <f t="shared" ca="1" si="317"/>
        <v>1</v>
      </c>
      <c r="H1004" s="47">
        <f t="shared" ca="1" si="318"/>
        <v>16047.093331796274</v>
      </c>
      <c r="I1004">
        <f ca="1">Inputs!B13+(Inputs!D13-Inputs!B13)*BETAINV(RAND(),Model!H7,Model!I7)</f>
        <v>1.8084148160835032</v>
      </c>
      <c r="J1004">
        <f ca="1">Inputs!E13+(Inputs!G13-Inputs!E13)*BETAINV(RAND(),Model!J7,Model!K7)</f>
        <v>0.3529108196238927</v>
      </c>
      <c r="K1004">
        <f ca="1">(Inputs!H13+(Inputs!J13-Inputs!H13)*BETAINV(RAND(),Model!L7,Model!M7))*Inputs!$C$6</f>
        <v>51044.244414884815</v>
      </c>
      <c r="L1004">
        <f t="shared" ca="1" si="319"/>
        <v>0.63820915496402031</v>
      </c>
      <c r="M1004">
        <f t="shared" ca="1" si="320"/>
        <v>0.77437661876575892</v>
      </c>
      <c r="N1004">
        <f t="shared" ca="1" si="321"/>
        <v>1</v>
      </c>
      <c r="O1004" s="47">
        <f t="shared" ca="1" si="322"/>
        <v>51044.244414884815</v>
      </c>
      <c r="P1004">
        <f ca="1">Inputs!B14+(Inputs!D14-Inputs!B14)*BETAINV(RAND(),Model!H8,Model!I8)</f>
        <v>0.2609395929454702</v>
      </c>
      <c r="Q1004">
        <f ca="1">Inputs!E14+(Inputs!G14-Inputs!E14)*BETAINV(RAND(),Model!J8,Model!K8)</f>
        <v>0.73093377544112437</v>
      </c>
      <c r="R1004">
        <f ca="1">(Inputs!H14+(Inputs!J14-Inputs!H14)*BETAINV(RAND(),Model!L8,Model!M8))*Inputs!$C$6</f>
        <v>554306.40526719205</v>
      </c>
      <c r="S1004">
        <f t="shared" ca="1" si="323"/>
        <v>0.19072956183370271</v>
      </c>
      <c r="T1004">
        <f t="shared" ca="1" si="324"/>
        <v>0.32971043048344917</v>
      </c>
      <c r="U1004">
        <f t="shared" ca="1" si="325"/>
        <v>0</v>
      </c>
      <c r="V1004" s="47">
        <f t="shared" ca="1" si="326"/>
        <v>0</v>
      </c>
      <c r="W1004">
        <f ca="1">Inputs!B15+(Inputs!D15-Inputs!B15)*BETAINV(RAND(),Model!H9,Model!I9)</f>
        <v>1.1878243357337188</v>
      </c>
      <c r="X1004">
        <f ca="1">Inputs!E15+(Inputs!G15-Inputs!E15)*BETAINV(RAND(),Model!J9,Model!K9)</f>
        <v>0.51278857689292912</v>
      </c>
      <c r="Y1004">
        <f ca="1">(Inputs!H15+(Inputs!J15-Inputs!H15)*BETAINV(RAND(),Model!L9,Model!M9))*Inputs!$C$6</f>
        <v>23110.557412394741</v>
      </c>
      <c r="Z1004">
        <f t="shared" ca="1" si="327"/>
        <v>0.60910275071968256</v>
      </c>
      <c r="AA1004">
        <f t="shared" ca="1" si="328"/>
        <v>0.67107765300549527</v>
      </c>
      <c r="AB1004">
        <f t="shared" ca="1" si="329"/>
        <v>1</v>
      </c>
      <c r="AC1004" s="47">
        <f t="shared" ca="1" si="330"/>
        <v>23110.557412394741</v>
      </c>
      <c r="AD1004">
        <f ca="1">Inputs!B16+(Inputs!D16-Inputs!B16)*BETAINV(RAND(),Model!H10,Model!I10)</f>
        <v>0.47576272072505976</v>
      </c>
      <c r="AE1004">
        <f ca="1">Inputs!E16+(Inputs!G16-Inputs!E16)*BETAINV(RAND(),Model!J10,Model!K10)</f>
        <v>0.66536465466414796</v>
      </c>
      <c r="AF1004">
        <f ca="1">(Inputs!H16+(Inputs!J16-Inputs!H16)*BETAINV(RAND(),Model!L10,Model!M10))*Inputs!$C$6</f>
        <v>108829.39874301563</v>
      </c>
      <c r="AG1004">
        <f t="shared" ca="1" si="331"/>
        <v>0.31655569837730485</v>
      </c>
      <c r="AH1004">
        <f t="shared" ca="1" si="332"/>
        <v>0.8154274798868818</v>
      </c>
      <c r="AI1004">
        <f t="shared" ca="1" si="333"/>
        <v>1</v>
      </c>
      <c r="AJ1004" s="47">
        <f t="shared" ca="1" si="334"/>
        <v>108829.39874301563</v>
      </c>
      <c r="AK1004">
        <f t="shared" ca="1" si="335"/>
        <v>199031.29390209145</v>
      </c>
    </row>
    <row r="1005" spans="2:37" x14ac:dyDescent="0.2">
      <c r="B1005">
        <f ca="1">Inputs!B12+(Inputs!D12-Inputs!B12)*BETAINV(RAND(),Model!H6,Model!I6)</f>
        <v>1.2164656183713736</v>
      </c>
      <c r="C1005">
        <f ca="1">Inputs!E12+(Inputs!G12-Inputs!E12)*BETAINV(RAND(),Model!J6,Model!K6)</f>
        <v>0.2794571275423155</v>
      </c>
      <c r="D1005">
        <f ca="1">(Inputs!H12+(Inputs!J12-Inputs!H12)*BETAINV(RAND(),Model!L6,Model!M6))*Inputs!$C$6</f>
        <v>9626.2363044826634</v>
      </c>
      <c r="E1005">
        <f t="shared" ca="1" si="315"/>
        <v>0.33994998746405064</v>
      </c>
      <c r="F1005">
        <f t="shared" ca="1" si="316"/>
        <v>0.10361173439075411</v>
      </c>
      <c r="G1005">
        <f t="shared" ca="1" si="317"/>
        <v>0</v>
      </c>
      <c r="H1005" s="47">
        <f t="shared" ca="1" si="318"/>
        <v>0</v>
      </c>
      <c r="I1005">
        <f ca="1">Inputs!B13+(Inputs!D13-Inputs!B13)*BETAINV(RAND(),Model!H7,Model!I7)</f>
        <v>2.3801535344279339</v>
      </c>
      <c r="J1005">
        <f ca="1">Inputs!E13+(Inputs!G13-Inputs!E13)*BETAINV(RAND(),Model!J7,Model!K7)</f>
        <v>0.23403425579713369</v>
      </c>
      <c r="K1005">
        <f ca="1">(Inputs!H13+(Inputs!J13-Inputs!H13)*BETAINV(RAND(),Model!L7,Model!M7))*Inputs!$C$6</f>
        <v>12276.783651271246</v>
      </c>
      <c r="L1005">
        <f t="shared" ca="1" si="319"/>
        <v>0.55703746111275887</v>
      </c>
      <c r="M1005">
        <f t="shared" ca="1" si="320"/>
        <v>0.15030612546997379</v>
      </c>
      <c r="N1005">
        <f t="shared" ca="1" si="321"/>
        <v>0</v>
      </c>
      <c r="O1005" s="47">
        <f t="shared" ca="1" si="322"/>
        <v>0</v>
      </c>
      <c r="P1005">
        <f ca="1">Inputs!B14+(Inputs!D14-Inputs!B14)*BETAINV(RAND(),Model!H8,Model!I8)</f>
        <v>0.59930055330920395</v>
      </c>
      <c r="Q1005">
        <f ca="1">Inputs!E14+(Inputs!G14-Inputs!E14)*BETAINV(RAND(),Model!J8,Model!K8)</f>
        <v>0.56530299687477825</v>
      </c>
      <c r="R1005">
        <f ca="1">(Inputs!H14+(Inputs!J14-Inputs!H14)*BETAINV(RAND(),Model!L8,Model!M8))*Inputs!$C$6</f>
        <v>274910.30074871989</v>
      </c>
      <c r="S1005">
        <f t="shared" ca="1" si="323"/>
        <v>0.33878639881440581</v>
      </c>
      <c r="T1005">
        <f t="shared" ca="1" si="324"/>
        <v>0.92064614568023606</v>
      </c>
      <c r="U1005">
        <f t="shared" ca="1" si="325"/>
        <v>1</v>
      </c>
      <c r="V1005" s="47">
        <f t="shared" ca="1" si="326"/>
        <v>274910.30074871989</v>
      </c>
      <c r="W1005">
        <f ca="1">Inputs!B15+(Inputs!D15-Inputs!B15)*BETAINV(RAND(),Model!H9,Model!I9)</f>
        <v>0.3730063814804051</v>
      </c>
      <c r="X1005">
        <f ca="1">Inputs!E15+(Inputs!G15-Inputs!E15)*BETAINV(RAND(),Model!J9,Model!K9)</f>
        <v>0.53712500515313888</v>
      </c>
      <c r="Y1005">
        <f ca="1">(Inputs!H15+(Inputs!J15-Inputs!H15)*BETAINV(RAND(),Model!L9,Model!M9))*Inputs!$C$6</f>
        <v>18434.553174448167</v>
      </c>
      <c r="Z1005">
        <f t="shared" ca="1" si="327"/>
        <v>0.20035105457481628</v>
      </c>
      <c r="AA1005">
        <f t="shared" ca="1" si="328"/>
        <v>0.92550998765682801</v>
      </c>
      <c r="AB1005">
        <f t="shared" ca="1" si="329"/>
        <v>1</v>
      </c>
      <c r="AC1005" s="47">
        <f t="shared" ca="1" si="330"/>
        <v>18434.553174448167</v>
      </c>
      <c r="AD1005">
        <f ca="1">Inputs!B16+(Inputs!D16-Inputs!B16)*BETAINV(RAND(),Model!H10,Model!I10)</f>
        <v>0.68623143688347543</v>
      </c>
      <c r="AE1005">
        <f ca="1">Inputs!E16+(Inputs!G16-Inputs!E16)*BETAINV(RAND(),Model!J10,Model!K10)</f>
        <v>0.57147493910492275</v>
      </c>
      <c r="AF1005">
        <f ca="1">(Inputs!H16+(Inputs!J16-Inputs!H16)*BETAINV(RAND(),Model!L10,Model!M10))*Inputs!$C$6</f>
        <v>131581.72971659392</v>
      </c>
      <c r="AG1005">
        <f t="shared" ca="1" si="331"/>
        <v>0.39216406860486774</v>
      </c>
      <c r="AH1005">
        <f t="shared" ca="1" si="332"/>
        <v>0.50666018560197901</v>
      </c>
      <c r="AI1005">
        <f t="shared" ca="1" si="333"/>
        <v>0</v>
      </c>
      <c r="AJ1005" s="47">
        <f t="shared" ca="1" si="334"/>
        <v>0</v>
      </c>
      <c r="AK1005">
        <f t="shared" ca="1" si="335"/>
        <v>293344.85392316803</v>
      </c>
    </row>
    <row r="1006" spans="2:37" x14ac:dyDescent="0.2">
      <c r="B1006">
        <f ca="1">Inputs!B12+(Inputs!D12-Inputs!B12)*BETAINV(RAND(),Model!H6,Model!I6)</f>
        <v>3.1784416797830484</v>
      </c>
      <c r="C1006">
        <f ca="1">Inputs!E12+(Inputs!G12-Inputs!E12)*BETAINV(RAND(),Model!J6,Model!K6)</f>
        <v>0.29217858046038475</v>
      </c>
      <c r="D1006">
        <f ca="1">(Inputs!H12+(Inputs!J12-Inputs!H12)*BETAINV(RAND(),Model!L6,Model!M6))*Inputs!$C$6</f>
        <v>28708.496388190786</v>
      </c>
      <c r="E1006">
        <f t="shared" ca="1" si="315"/>
        <v>0.92867257807513182</v>
      </c>
      <c r="F1006">
        <f t="shared" ca="1" si="316"/>
        <v>0.26989968801154163</v>
      </c>
      <c r="G1006">
        <f t="shared" ca="1" si="317"/>
        <v>0</v>
      </c>
      <c r="H1006" s="47">
        <f t="shared" ca="1" si="318"/>
        <v>0</v>
      </c>
      <c r="I1006">
        <f ca="1">Inputs!B13+(Inputs!D13-Inputs!B13)*BETAINV(RAND(),Model!H7,Model!I7)</f>
        <v>1.0315200944589313</v>
      </c>
      <c r="J1006">
        <f ca="1">Inputs!E13+(Inputs!G13-Inputs!E13)*BETAINV(RAND(),Model!J7,Model!K7)</f>
        <v>0.29579881529111379</v>
      </c>
      <c r="K1006">
        <f ca="1">(Inputs!H13+(Inputs!J13-Inputs!H13)*BETAINV(RAND(),Model!L7,Model!M7))*Inputs!$C$6</f>
        <v>31039.033085446499</v>
      </c>
      <c r="L1006">
        <f t="shared" ca="1" si="319"/>
        <v>0.30512242188992966</v>
      </c>
      <c r="M1006">
        <f t="shared" ca="1" si="320"/>
        <v>0.42072625997407909</v>
      </c>
      <c r="N1006">
        <f t="shared" ca="1" si="321"/>
        <v>0</v>
      </c>
      <c r="O1006" s="47">
        <f t="shared" ca="1" si="322"/>
        <v>0</v>
      </c>
      <c r="P1006">
        <f ca="1">Inputs!B14+(Inputs!D14-Inputs!B14)*BETAINV(RAND(),Model!H8,Model!I8)</f>
        <v>0.26881216698932342</v>
      </c>
      <c r="Q1006">
        <f ca="1">Inputs!E14+(Inputs!G14-Inputs!E14)*BETAINV(RAND(),Model!J8,Model!K8)</f>
        <v>0.51758568453649056</v>
      </c>
      <c r="R1006">
        <f ca="1">(Inputs!H14+(Inputs!J14-Inputs!H14)*BETAINV(RAND(),Model!L8,Model!M8))*Inputs!$C$6</f>
        <v>414480.90398826869</v>
      </c>
      <c r="S1006">
        <f t="shared" ca="1" si="323"/>
        <v>0.13913332946290638</v>
      </c>
      <c r="T1006">
        <f t="shared" ca="1" si="324"/>
        <v>0.70677866875664686</v>
      </c>
      <c r="U1006">
        <f t="shared" ca="1" si="325"/>
        <v>0</v>
      </c>
      <c r="V1006" s="47">
        <f t="shared" ca="1" si="326"/>
        <v>0</v>
      </c>
      <c r="W1006">
        <f ca="1">Inputs!B15+(Inputs!D15-Inputs!B15)*BETAINV(RAND(),Model!H9,Model!I9)</f>
        <v>0.50077960470585281</v>
      </c>
      <c r="X1006">
        <f ca="1">Inputs!E15+(Inputs!G15-Inputs!E15)*BETAINV(RAND(),Model!J9,Model!K9)</f>
        <v>0.51157729381804173</v>
      </c>
      <c r="Y1006">
        <f ca="1">(Inputs!H15+(Inputs!J15-Inputs!H15)*BETAINV(RAND(),Model!L9,Model!M9))*Inputs!$C$6</f>
        <v>24696.919944854617</v>
      </c>
      <c r="Z1006">
        <f t="shared" ca="1" si="327"/>
        <v>0.25618747497468886</v>
      </c>
      <c r="AA1006">
        <f t="shared" ca="1" si="328"/>
        <v>0.50911711459688902</v>
      </c>
      <c r="AB1006">
        <f t="shared" ca="1" si="329"/>
        <v>0</v>
      </c>
      <c r="AC1006" s="47">
        <f t="shared" ca="1" si="330"/>
        <v>0</v>
      </c>
      <c r="AD1006">
        <f ca="1">Inputs!B16+(Inputs!D16-Inputs!B16)*BETAINV(RAND(),Model!H10,Model!I10)</f>
        <v>0.48293697188688572</v>
      </c>
      <c r="AE1006">
        <f ca="1">Inputs!E16+(Inputs!G16-Inputs!E16)*BETAINV(RAND(),Model!J10,Model!K10)</f>
        <v>0.66515019915811147</v>
      </c>
      <c r="AF1006">
        <f ca="1">(Inputs!H16+(Inputs!J16-Inputs!H16)*BETAINV(RAND(),Model!L10,Model!M10))*Inputs!$C$6</f>
        <v>77702.409896156445</v>
      </c>
      <c r="AG1006">
        <f t="shared" ca="1" si="331"/>
        <v>0.32122562303137731</v>
      </c>
      <c r="AH1006">
        <f t="shared" ca="1" si="332"/>
        <v>0.68613604899577796</v>
      </c>
      <c r="AI1006">
        <f t="shared" ca="1" si="333"/>
        <v>0</v>
      </c>
      <c r="AJ1006" s="47">
        <f t="shared" ca="1" si="334"/>
        <v>0</v>
      </c>
      <c r="AK1006">
        <f t="shared" ca="1" si="335"/>
        <v>0</v>
      </c>
    </row>
    <row r="1007" spans="2:37" x14ac:dyDescent="0.2">
      <c r="B1007">
        <f ca="1">Inputs!B12+(Inputs!D12-Inputs!B12)*BETAINV(RAND(),Model!H6,Model!I6)</f>
        <v>5.6146472079523795</v>
      </c>
      <c r="C1007">
        <f ca="1">Inputs!E12+(Inputs!G12-Inputs!E12)*BETAINV(RAND(),Model!J6,Model!K6)</f>
        <v>0.25085712220064177</v>
      </c>
      <c r="D1007">
        <f ca="1">(Inputs!H12+(Inputs!J12-Inputs!H12)*BETAINV(RAND(),Model!L6,Model!M6))*Inputs!$C$6</f>
        <v>21020.401803987195</v>
      </c>
      <c r="E1007">
        <f t="shared" ca="1" si="315"/>
        <v>1.4084742407588022</v>
      </c>
      <c r="F1007">
        <f t="shared" ca="1" si="316"/>
        <v>0.74091404581485398</v>
      </c>
      <c r="G1007">
        <f t="shared" ca="1" si="317"/>
        <v>2</v>
      </c>
      <c r="H1007" s="47">
        <f t="shared" ca="1" si="318"/>
        <v>42040.803607974391</v>
      </c>
      <c r="I1007">
        <f ca="1">Inputs!B13+(Inputs!D13-Inputs!B13)*BETAINV(RAND(),Model!H7,Model!I7)</f>
        <v>1.1701956765447314</v>
      </c>
      <c r="J1007">
        <f ca="1">Inputs!E13+(Inputs!G13-Inputs!E13)*BETAINV(RAND(),Model!J7,Model!K7)</f>
        <v>0.25765638422002873</v>
      </c>
      <c r="K1007">
        <f ca="1">(Inputs!H13+(Inputs!J13-Inputs!H13)*BETAINV(RAND(),Model!L7,Model!M7))*Inputs!$C$6</f>
        <v>56881.854291411917</v>
      </c>
      <c r="L1007">
        <f t="shared" ca="1" si="319"/>
        <v>0.30150838684842579</v>
      </c>
      <c r="M1007">
        <f t="shared" ca="1" si="320"/>
        <v>3.3527514146927673E-2</v>
      </c>
      <c r="N1007">
        <f t="shared" ca="1" si="321"/>
        <v>0</v>
      </c>
      <c r="O1007" s="47">
        <f t="shared" ca="1" si="322"/>
        <v>0</v>
      </c>
      <c r="P1007">
        <f ca="1">Inputs!B14+(Inputs!D14-Inputs!B14)*BETAINV(RAND(),Model!H8,Model!I8)</f>
        <v>0.27802480840405153</v>
      </c>
      <c r="Q1007">
        <f ca="1">Inputs!E14+(Inputs!G14-Inputs!E14)*BETAINV(RAND(),Model!J8,Model!K8)</f>
        <v>0.47847957821352427</v>
      </c>
      <c r="R1007">
        <f ca="1">(Inputs!H14+(Inputs!J14-Inputs!H14)*BETAINV(RAND(),Model!L8,Model!M8))*Inputs!$C$6</f>
        <v>331466.11096709338</v>
      </c>
      <c r="S1007">
        <f t="shared" ca="1" si="323"/>
        <v>0.13302919305806649</v>
      </c>
      <c r="T1007">
        <f t="shared" ca="1" si="324"/>
        <v>0.6954964351131071</v>
      </c>
      <c r="U1007">
        <f t="shared" ca="1" si="325"/>
        <v>0</v>
      </c>
      <c r="V1007" s="47">
        <f t="shared" ca="1" si="326"/>
        <v>0</v>
      </c>
      <c r="W1007">
        <f ca="1">Inputs!B15+(Inputs!D15-Inputs!B15)*BETAINV(RAND(),Model!H9,Model!I9)</f>
        <v>1.285964048134189</v>
      </c>
      <c r="X1007">
        <f ca="1">Inputs!E15+(Inputs!G15-Inputs!E15)*BETAINV(RAND(),Model!J9,Model!K9)</f>
        <v>0.38034507647387206</v>
      </c>
      <c r="Y1007">
        <f ca="1">(Inputs!H15+(Inputs!J15-Inputs!H15)*BETAINV(RAND(),Model!L9,Model!M9))*Inputs!$C$6</f>
        <v>68015.082546733189</v>
      </c>
      <c r="Z1007">
        <f t="shared" ca="1" si="327"/>
        <v>0.4891100942302482</v>
      </c>
      <c r="AA1007">
        <f t="shared" ca="1" si="328"/>
        <v>0.33973214308258504</v>
      </c>
      <c r="AB1007">
        <f t="shared" ca="1" si="329"/>
        <v>0</v>
      </c>
      <c r="AC1007" s="47">
        <f t="shared" ca="1" si="330"/>
        <v>0</v>
      </c>
      <c r="AD1007">
        <f ca="1">Inputs!B16+(Inputs!D16-Inputs!B16)*BETAINV(RAND(),Model!H10,Model!I10)</f>
        <v>0.46624163913803229</v>
      </c>
      <c r="AE1007">
        <f ca="1">Inputs!E16+(Inputs!G16-Inputs!E16)*BETAINV(RAND(),Model!J10,Model!K10)</f>
        <v>0.773068235589496</v>
      </c>
      <c r="AF1007">
        <f ca="1">(Inputs!H16+(Inputs!J16-Inputs!H16)*BETAINV(RAND(),Model!L10,Model!M10))*Inputs!$C$6</f>
        <v>50498.800629222584</v>
      </c>
      <c r="AG1007">
        <f t="shared" ca="1" si="331"/>
        <v>0.36043660132679312</v>
      </c>
      <c r="AH1007">
        <f t="shared" ca="1" si="332"/>
        <v>0.50862374107588093</v>
      </c>
      <c r="AI1007">
        <f t="shared" ca="1" si="333"/>
        <v>0</v>
      </c>
      <c r="AJ1007" s="47">
        <f t="shared" ca="1" si="334"/>
        <v>0</v>
      </c>
      <c r="AK1007">
        <f t="shared" ca="1" si="335"/>
        <v>42040.803607974391</v>
      </c>
    </row>
    <row r="1008" spans="2:37" x14ac:dyDescent="0.2">
      <c r="B1008">
        <f ca="1">Inputs!B12+(Inputs!D12-Inputs!B12)*BETAINV(RAND(),Model!H6,Model!I6)</f>
        <v>4.0611697687126735</v>
      </c>
      <c r="C1008">
        <f ca="1">Inputs!E12+(Inputs!G12-Inputs!E12)*BETAINV(RAND(),Model!J6,Model!K6)</f>
        <v>0.30853309852408889</v>
      </c>
      <c r="D1008">
        <f ca="1">(Inputs!H12+(Inputs!J12-Inputs!H12)*BETAINV(RAND(),Model!L6,Model!M6))*Inputs!$C$6</f>
        <v>33660.640618106125</v>
      </c>
      <c r="E1008">
        <f t="shared" ca="1" si="315"/>
        <v>1.2530052923732786</v>
      </c>
      <c r="F1008">
        <f t="shared" ca="1" si="316"/>
        <v>0.50826322776160759</v>
      </c>
      <c r="G1008">
        <f t="shared" ca="1" si="317"/>
        <v>1</v>
      </c>
      <c r="H1008" s="47">
        <f t="shared" ca="1" si="318"/>
        <v>33660.640618106125</v>
      </c>
      <c r="I1008">
        <f ca="1">Inputs!B13+(Inputs!D13-Inputs!B13)*BETAINV(RAND(),Model!H7,Model!I7)</f>
        <v>1.4380076705054714</v>
      </c>
      <c r="J1008">
        <f ca="1">Inputs!E13+(Inputs!G13-Inputs!E13)*BETAINV(RAND(),Model!J7,Model!K7)</f>
        <v>0.4149785108562013</v>
      </c>
      <c r="K1008">
        <f ca="1">(Inputs!H13+(Inputs!J13-Inputs!H13)*BETAINV(RAND(),Model!L7,Model!M7))*Inputs!$C$6</f>
        <v>63216.482240234633</v>
      </c>
      <c r="L1008">
        <f t="shared" ca="1" si="319"/>
        <v>0.59674228170615551</v>
      </c>
      <c r="M1008">
        <f t="shared" ca="1" si="320"/>
        <v>1.5076257643885871E-2</v>
      </c>
      <c r="N1008">
        <f t="shared" ca="1" si="321"/>
        <v>0</v>
      </c>
      <c r="O1008" s="47">
        <f t="shared" ca="1" si="322"/>
        <v>0</v>
      </c>
      <c r="P1008">
        <f ca="1">Inputs!B14+(Inputs!D14-Inputs!B14)*BETAINV(RAND(),Model!H8,Model!I8)</f>
        <v>0.29293064219372184</v>
      </c>
      <c r="Q1008">
        <f ca="1">Inputs!E14+(Inputs!G14-Inputs!E14)*BETAINV(RAND(),Model!J8,Model!K8)</f>
        <v>0.55634373633137058</v>
      </c>
      <c r="R1008">
        <f ca="1">(Inputs!H14+(Inputs!J14-Inputs!H14)*BETAINV(RAND(),Model!L8,Model!M8))*Inputs!$C$6</f>
        <v>293846.94953840884</v>
      </c>
      <c r="S1008">
        <f t="shared" ca="1" si="323"/>
        <v>0.16297012796400304</v>
      </c>
      <c r="T1008">
        <f t="shared" ca="1" si="324"/>
        <v>0.55880306645283206</v>
      </c>
      <c r="U1008">
        <f t="shared" ca="1" si="325"/>
        <v>0</v>
      </c>
      <c r="V1008" s="47">
        <f t="shared" ca="1" si="326"/>
        <v>0</v>
      </c>
      <c r="W1008">
        <f ca="1">Inputs!B15+(Inputs!D15-Inputs!B15)*BETAINV(RAND(),Model!H9,Model!I9)</f>
        <v>0.86556016647864631</v>
      </c>
      <c r="X1008">
        <f ca="1">Inputs!E15+(Inputs!G15-Inputs!E15)*BETAINV(RAND(),Model!J9,Model!K9)</f>
        <v>0.38108550348351422</v>
      </c>
      <c r="Y1008">
        <f ca="1">(Inputs!H15+(Inputs!J15-Inputs!H15)*BETAINV(RAND(),Model!L9,Model!M9))*Inputs!$C$6</f>
        <v>34162.962107576437</v>
      </c>
      <c r="Z1008">
        <f t="shared" ca="1" si="327"/>
        <v>0.32985243183778934</v>
      </c>
      <c r="AA1008">
        <f t="shared" ca="1" si="328"/>
        <v>0.81594665813896572</v>
      </c>
      <c r="AB1008">
        <f t="shared" ca="1" si="329"/>
        <v>1</v>
      </c>
      <c r="AC1008" s="47">
        <f t="shared" ca="1" si="330"/>
        <v>34162.962107576437</v>
      </c>
      <c r="AD1008">
        <f ca="1">Inputs!B16+(Inputs!D16-Inputs!B16)*BETAINV(RAND(),Model!H10,Model!I10)</f>
        <v>0.52844045647110438</v>
      </c>
      <c r="AE1008">
        <f ca="1">Inputs!E16+(Inputs!G16-Inputs!E16)*BETAINV(RAND(),Model!J10,Model!K10)</f>
        <v>0.56450201047852167</v>
      </c>
      <c r="AF1008">
        <f ca="1">(Inputs!H16+(Inputs!J16-Inputs!H16)*BETAINV(RAND(),Model!L10,Model!M10))*Inputs!$C$6</f>
        <v>106390.74764619079</v>
      </c>
      <c r="AG1008">
        <f t="shared" ca="1" si="331"/>
        <v>0.29830570009612611</v>
      </c>
      <c r="AH1008">
        <f t="shared" ca="1" si="332"/>
        <v>2.09292686780429E-2</v>
      </c>
      <c r="AI1008">
        <f t="shared" ca="1" si="333"/>
        <v>0</v>
      </c>
      <c r="AJ1008" s="47">
        <f t="shared" ca="1" si="334"/>
        <v>0</v>
      </c>
      <c r="AK1008">
        <f t="shared" ca="1" si="335"/>
        <v>67823.602725682562</v>
      </c>
    </row>
    <row r="1009" spans="2:37" x14ac:dyDescent="0.2">
      <c r="B1009">
        <f ca="1">Inputs!B12+(Inputs!D12-Inputs!B12)*BETAINV(RAND(),Model!H6,Model!I6)</f>
        <v>2.7841889269268139</v>
      </c>
      <c r="C1009">
        <f ca="1">Inputs!E12+(Inputs!G12-Inputs!E12)*BETAINV(RAND(),Model!J6,Model!K6)</f>
        <v>0.44105869034781897</v>
      </c>
      <c r="D1009">
        <f ca="1">(Inputs!H12+(Inputs!J12-Inputs!H12)*BETAINV(RAND(),Model!L6,Model!M6))*Inputs!$C$6</f>
        <v>7872.5866286892515</v>
      </c>
      <c r="E1009">
        <f t="shared" ca="1" si="315"/>
        <v>1.22799072179124</v>
      </c>
      <c r="F1009">
        <f t="shared" ca="1" si="316"/>
        <v>4.3475932546954921E-2</v>
      </c>
      <c r="G1009">
        <f t="shared" ca="1" si="317"/>
        <v>0</v>
      </c>
      <c r="H1009" s="47">
        <f t="shared" ca="1" si="318"/>
        <v>0</v>
      </c>
      <c r="I1009">
        <f ca="1">Inputs!B13+(Inputs!D13-Inputs!B13)*BETAINV(RAND(),Model!H7,Model!I7)</f>
        <v>1.7921173251445619</v>
      </c>
      <c r="J1009">
        <f ca="1">Inputs!E13+(Inputs!G13-Inputs!E13)*BETAINV(RAND(),Model!J7,Model!K7)</f>
        <v>0.1566284886141317</v>
      </c>
      <c r="K1009">
        <f ca="1">(Inputs!H13+(Inputs!J13-Inputs!H13)*BETAINV(RAND(),Model!L7,Model!M7))*Inputs!$C$6</f>
        <v>41259.099365356655</v>
      </c>
      <c r="L1009">
        <f t="shared" ca="1" si="319"/>
        <v>0.28069662805659318</v>
      </c>
      <c r="M1009">
        <f t="shared" ca="1" si="320"/>
        <v>0.56017628540982212</v>
      </c>
      <c r="N1009">
        <f t="shared" ca="1" si="321"/>
        <v>0</v>
      </c>
      <c r="O1009" s="47">
        <f t="shared" ca="1" si="322"/>
        <v>0</v>
      </c>
      <c r="P1009">
        <f ca="1">Inputs!B14+(Inputs!D14-Inputs!B14)*BETAINV(RAND(),Model!H8,Model!I8)</f>
        <v>0.29393482877758143</v>
      </c>
      <c r="Q1009">
        <f ca="1">Inputs!E14+(Inputs!G14-Inputs!E14)*BETAINV(RAND(),Model!J8,Model!K8)</f>
        <v>0.64276143524936591</v>
      </c>
      <c r="R1009">
        <f ca="1">(Inputs!H14+(Inputs!J14-Inputs!H14)*BETAINV(RAND(),Model!L8,Model!M8))*Inputs!$C$6</f>
        <v>513844.2249687236</v>
      </c>
      <c r="S1009">
        <f t="shared" ca="1" si="323"/>
        <v>0.18892997241485485</v>
      </c>
      <c r="T1009">
        <f t="shared" ca="1" si="324"/>
        <v>0.47379058322885503</v>
      </c>
      <c r="U1009">
        <f t="shared" ca="1" si="325"/>
        <v>0</v>
      </c>
      <c r="V1009" s="47">
        <f t="shared" ca="1" si="326"/>
        <v>0</v>
      </c>
      <c r="W1009">
        <f ca="1">Inputs!B15+(Inputs!D15-Inputs!B15)*BETAINV(RAND(),Model!H9,Model!I9)</f>
        <v>1.329202420273329</v>
      </c>
      <c r="X1009">
        <f ca="1">Inputs!E15+(Inputs!G15-Inputs!E15)*BETAINV(RAND(),Model!J9,Model!K9)</f>
        <v>0.48817215754791943</v>
      </c>
      <c r="Y1009">
        <f ca="1">(Inputs!H15+(Inputs!J15-Inputs!H15)*BETAINV(RAND(),Model!L9,Model!M9))*Inputs!$C$6</f>
        <v>49259.791596713934</v>
      </c>
      <c r="Z1009">
        <f t="shared" ca="1" si="327"/>
        <v>0.64887961332274735</v>
      </c>
      <c r="AA1009">
        <f t="shared" ca="1" si="328"/>
        <v>0.8271842003080544</v>
      </c>
      <c r="AB1009">
        <f t="shared" ca="1" si="329"/>
        <v>1</v>
      </c>
      <c r="AC1009" s="47">
        <f t="shared" ca="1" si="330"/>
        <v>49259.791596713934</v>
      </c>
      <c r="AD1009">
        <f ca="1">Inputs!B16+(Inputs!D16-Inputs!B16)*BETAINV(RAND(),Model!H10,Model!I10)</f>
        <v>0.99186809945981724</v>
      </c>
      <c r="AE1009">
        <f ca="1">Inputs!E16+(Inputs!G16-Inputs!E16)*BETAINV(RAND(),Model!J10,Model!K10)</f>
        <v>0.5309401848688835</v>
      </c>
      <c r="AF1009">
        <f ca="1">(Inputs!H16+(Inputs!J16-Inputs!H16)*BETAINV(RAND(),Model!L10,Model!M10))*Inputs!$C$6</f>
        <v>130166.31218412321</v>
      </c>
      <c r="AG1009">
        <f t="shared" ca="1" si="331"/>
        <v>0.52662263209274351</v>
      </c>
      <c r="AH1009">
        <f t="shared" ca="1" si="332"/>
        <v>0.26569771250307517</v>
      </c>
      <c r="AI1009">
        <f t="shared" ca="1" si="333"/>
        <v>0</v>
      </c>
      <c r="AJ1009" s="47">
        <f t="shared" ca="1" si="334"/>
        <v>0</v>
      </c>
      <c r="AK1009">
        <f t="shared" ca="1" si="335"/>
        <v>49259.791596713934</v>
      </c>
    </row>
    <row r="1010" spans="2:37" x14ac:dyDescent="0.2">
      <c r="B1010">
        <f ca="1">Inputs!B12+(Inputs!D12-Inputs!B12)*BETAINV(RAND(),Model!H6,Model!I6)</f>
        <v>4.2956999625938384</v>
      </c>
      <c r="C1010">
        <f ca="1">Inputs!E12+(Inputs!G12-Inputs!E12)*BETAINV(RAND(),Model!J6,Model!K6)</f>
        <v>0.35479353894816457</v>
      </c>
      <c r="D1010">
        <f ca="1">(Inputs!H12+(Inputs!J12-Inputs!H12)*BETAINV(RAND(),Model!L6,Model!M6))*Inputs!$C$6</f>
        <v>18337.847230548901</v>
      </c>
      <c r="E1010">
        <f t="shared" ca="1" si="315"/>
        <v>1.5240865919881661</v>
      </c>
      <c r="F1010">
        <f t="shared" ca="1" si="316"/>
        <v>0.12478457118745612</v>
      </c>
      <c r="G1010">
        <f t="shared" ca="1" si="317"/>
        <v>0</v>
      </c>
      <c r="H1010" s="47">
        <f t="shared" ca="1" si="318"/>
        <v>0</v>
      </c>
      <c r="I1010">
        <f ca="1">Inputs!B13+(Inputs!D13-Inputs!B13)*BETAINV(RAND(),Model!H7,Model!I7)</f>
        <v>3.6415094193276425</v>
      </c>
      <c r="J1010">
        <f ca="1">Inputs!E13+(Inputs!G13-Inputs!E13)*BETAINV(RAND(),Model!J7,Model!K7)</f>
        <v>0.36479324572411309</v>
      </c>
      <c r="K1010">
        <f ca="1">(Inputs!H13+(Inputs!J13-Inputs!H13)*BETAINV(RAND(),Model!L7,Model!M7))*Inputs!$C$6</f>
        <v>40672.173559341922</v>
      </c>
      <c r="L1010">
        <f t="shared" ca="1" si="319"/>
        <v>1.328398040411461</v>
      </c>
      <c r="M1010">
        <f t="shared" ca="1" si="320"/>
        <v>0.65352821179387666</v>
      </c>
      <c r="N1010">
        <f t="shared" ca="1" si="321"/>
        <v>2</v>
      </c>
      <c r="O1010" s="47">
        <f t="shared" ca="1" si="322"/>
        <v>81344.347118683843</v>
      </c>
      <c r="P1010">
        <f ca="1">Inputs!B14+(Inputs!D14-Inputs!B14)*BETAINV(RAND(),Model!H8,Model!I8)</f>
        <v>0.44563413416899533</v>
      </c>
      <c r="Q1010">
        <f ca="1">Inputs!E14+(Inputs!G14-Inputs!E14)*BETAINV(RAND(),Model!J8,Model!K8)</f>
        <v>0.47526824867606976</v>
      </c>
      <c r="R1010">
        <f ca="1">(Inputs!H14+(Inputs!J14-Inputs!H14)*BETAINV(RAND(),Model!L8,Model!M8))*Inputs!$C$6</f>
        <v>565624.8456478375</v>
      </c>
      <c r="S1010">
        <f t="shared" ca="1" si="323"/>
        <v>0.2117957544967751</v>
      </c>
      <c r="T1010">
        <f t="shared" ca="1" si="324"/>
        <v>0.76606828850680142</v>
      </c>
      <c r="U1010">
        <f t="shared" ca="1" si="325"/>
        <v>0</v>
      </c>
      <c r="V1010" s="47">
        <f t="shared" ca="1" si="326"/>
        <v>0</v>
      </c>
      <c r="W1010">
        <f ca="1">Inputs!B15+(Inputs!D15-Inputs!B15)*BETAINV(RAND(),Model!H9,Model!I9)</f>
        <v>1.2008224944935644</v>
      </c>
      <c r="X1010">
        <f ca="1">Inputs!E15+(Inputs!G15-Inputs!E15)*BETAINV(RAND(),Model!J9,Model!K9)</f>
        <v>0.27422842895126365</v>
      </c>
      <c r="Y1010">
        <f ca="1">(Inputs!H15+(Inputs!J15-Inputs!H15)*BETAINV(RAND(),Model!L9,Model!M9))*Inputs!$C$6</f>
        <v>15890.017180694431</v>
      </c>
      <c r="Z1010">
        <f t="shared" ca="1" si="327"/>
        <v>0.32929966611430761</v>
      </c>
      <c r="AA1010">
        <f t="shared" ca="1" si="328"/>
        <v>0.92916708946343263</v>
      </c>
      <c r="AB1010">
        <f t="shared" ca="1" si="329"/>
        <v>1</v>
      </c>
      <c r="AC1010" s="47">
        <f t="shared" ca="1" si="330"/>
        <v>15890.017180694431</v>
      </c>
      <c r="AD1010">
        <f ca="1">Inputs!B16+(Inputs!D16-Inputs!B16)*BETAINV(RAND(),Model!H10,Model!I10)</f>
        <v>0.74944681789221534</v>
      </c>
      <c r="AE1010">
        <f ca="1">Inputs!E16+(Inputs!G16-Inputs!E16)*BETAINV(RAND(),Model!J10,Model!K10)</f>
        <v>0.49643655633918754</v>
      </c>
      <c r="AF1010">
        <f ca="1">(Inputs!H16+(Inputs!J16-Inputs!H16)*BETAINV(RAND(),Model!L10,Model!M10))*Inputs!$C$6</f>
        <v>90967.498966631611</v>
      </c>
      <c r="AG1010">
        <f t="shared" ca="1" si="331"/>
        <v>0.37205279743377356</v>
      </c>
      <c r="AH1010">
        <f t="shared" ca="1" si="332"/>
        <v>0.5103185243640771</v>
      </c>
      <c r="AI1010">
        <f t="shared" ca="1" si="333"/>
        <v>0</v>
      </c>
      <c r="AJ1010" s="47">
        <f t="shared" ca="1" si="334"/>
        <v>0</v>
      </c>
      <c r="AK1010">
        <f t="shared" ca="1" si="335"/>
        <v>97234.364299378271</v>
      </c>
    </row>
    <row r="1011" spans="2:37" x14ac:dyDescent="0.2">
      <c r="B1011">
        <f ca="1">Inputs!B12+(Inputs!D12-Inputs!B12)*BETAINV(RAND(),Model!H6,Model!I6)</f>
        <v>3.8705833081354646</v>
      </c>
      <c r="C1011">
        <f ca="1">Inputs!E12+(Inputs!G12-Inputs!E12)*BETAINV(RAND(),Model!J6,Model!K6)</f>
        <v>0.40882561336445944</v>
      </c>
      <c r="D1011">
        <f ca="1">(Inputs!H12+(Inputs!J12-Inputs!H12)*BETAINV(RAND(),Model!L6,Model!M6))*Inputs!$C$6</f>
        <v>17106.955305898649</v>
      </c>
      <c r="E1011">
        <f t="shared" ca="1" si="315"/>
        <v>1.5823935950267198</v>
      </c>
      <c r="F1011">
        <f t="shared" ca="1" si="316"/>
        <v>0.51568070499366359</v>
      </c>
      <c r="G1011">
        <f t="shared" ca="1" si="317"/>
        <v>1</v>
      </c>
      <c r="H1011" s="47">
        <f t="shared" ca="1" si="318"/>
        <v>17106.955305898649</v>
      </c>
      <c r="I1011">
        <f ca="1">Inputs!B13+(Inputs!D13-Inputs!B13)*BETAINV(RAND(),Model!H7,Model!I7)</f>
        <v>1.5307194163974742</v>
      </c>
      <c r="J1011">
        <f ca="1">Inputs!E13+(Inputs!G13-Inputs!E13)*BETAINV(RAND(),Model!J7,Model!K7)</f>
        <v>0.41323997097694121</v>
      </c>
      <c r="K1011">
        <f ca="1">(Inputs!H13+(Inputs!J13-Inputs!H13)*BETAINV(RAND(),Model!L7,Model!M7))*Inputs!$C$6</f>
        <v>33378.75319500795</v>
      </c>
      <c r="L1011">
        <f t="shared" ca="1" si="319"/>
        <v>0.63255444720593268</v>
      </c>
      <c r="M1011">
        <f t="shared" ca="1" si="320"/>
        <v>0.49810655071698129</v>
      </c>
      <c r="N1011">
        <f t="shared" ca="1" si="321"/>
        <v>0</v>
      </c>
      <c r="O1011" s="47">
        <f t="shared" ca="1" si="322"/>
        <v>0</v>
      </c>
      <c r="P1011">
        <f ca="1">Inputs!B14+(Inputs!D14-Inputs!B14)*BETAINV(RAND(),Model!H8,Model!I8)</f>
        <v>0.32882270545519909</v>
      </c>
      <c r="Q1011">
        <f ca="1">Inputs!E14+(Inputs!G14-Inputs!E14)*BETAINV(RAND(),Model!J8,Model!K8)</f>
        <v>0.75733191460524041</v>
      </c>
      <c r="R1011">
        <f ca="1">(Inputs!H14+(Inputs!J14-Inputs!H14)*BETAINV(RAND(),Model!L8,Model!M8))*Inputs!$C$6</f>
        <v>353352.58237117226</v>
      </c>
      <c r="S1011">
        <f t="shared" ca="1" si="323"/>
        <v>0.24902792908806096</v>
      </c>
      <c r="T1011">
        <f t="shared" ca="1" si="324"/>
        <v>0.31769740745501918</v>
      </c>
      <c r="U1011">
        <f t="shared" ca="1" si="325"/>
        <v>0</v>
      </c>
      <c r="V1011" s="47">
        <f t="shared" ca="1" si="326"/>
        <v>0</v>
      </c>
      <c r="W1011">
        <f ca="1">Inputs!B15+(Inputs!D15-Inputs!B15)*BETAINV(RAND(),Model!H9,Model!I9)</f>
        <v>1.540546556303469</v>
      </c>
      <c r="X1011">
        <f ca="1">Inputs!E15+(Inputs!G15-Inputs!E15)*BETAINV(RAND(),Model!J9,Model!K9)</f>
        <v>0.41513186305276006</v>
      </c>
      <c r="Y1011">
        <f ca="1">(Inputs!H15+(Inputs!J15-Inputs!H15)*BETAINV(RAND(),Model!L9,Model!M9))*Inputs!$C$6</f>
        <v>11805.909897742384</v>
      </c>
      <c r="Z1011">
        <f t="shared" ca="1" si="327"/>
        <v>0.63952996203777279</v>
      </c>
      <c r="AA1011">
        <f t="shared" ca="1" si="328"/>
        <v>0.81176436530451801</v>
      </c>
      <c r="AB1011">
        <f t="shared" ca="1" si="329"/>
        <v>1</v>
      </c>
      <c r="AC1011" s="47">
        <f t="shared" ca="1" si="330"/>
        <v>11805.909897742384</v>
      </c>
      <c r="AD1011">
        <f ca="1">Inputs!B16+(Inputs!D16-Inputs!B16)*BETAINV(RAND(),Model!H10,Model!I10)</f>
        <v>0.94208505771935958</v>
      </c>
      <c r="AE1011">
        <f ca="1">Inputs!E16+(Inputs!G16-Inputs!E16)*BETAINV(RAND(),Model!J10,Model!K10)</f>
        <v>0.70921542835854212</v>
      </c>
      <c r="AF1011">
        <f ca="1">(Inputs!H16+(Inputs!J16-Inputs!H16)*BETAINV(RAND(),Model!L10,Model!M10))*Inputs!$C$6</f>
        <v>138828.93558669116</v>
      </c>
      <c r="AG1011">
        <f t="shared" ca="1" si="331"/>
        <v>0.6681412577606175</v>
      </c>
      <c r="AH1011">
        <f t="shared" ca="1" si="332"/>
        <v>0.5952926071329776</v>
      </c>
      <c r="AI1011">
        <f t="shared" ca="1" si="333"/>
        <v>1</v>
      </c>
      <c r="AJ1011" s="47">
        <f t="shared" ca="1" si="334"/>
        <v>138828.93558669116</v>
      </c>
      <c r="AK1011">
        <f t="shared" ca="1" si="335"/>
        <v>167741.8007903322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Inputs</vt:lpstr>
      <vt:lpstr>Model</vt:lpstr>
      <vt:lpstr>Simulation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Séba Daher</cp:lastModifiedBy>
  <cp:revision>0</cp:revision>
  <dcterms:created xsi:type="dcterms:W3CDTF">2026-06-30T06:01:57Z</dcterms:created>
  <dcterms:modified xsi:type="dcterms:W3CDTF">2026-07-09T06:03:59Z</dcterms:modified>
  <cp:category/>
  <dc:language>en-US</dc:language>
</cp:coreProperties>
</file>